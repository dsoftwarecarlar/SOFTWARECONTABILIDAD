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T PROV" sheetId="1" state="visible" r:id="rId1"/>
  </sheets>
  <externalReferences>
    <externalReference r:id="rId3"/>
  </externalReferences>
  <definedNames>
    <definedName name="_xlnm._FilterDatabase" localSheetId="0" hidden="1">'RET PROV'!$A$1:$J$492</definedName>
  </definedNames>
  <calcPr calcId="191029" fullCalcOnLoad="1"/>
  <pivotCaches>
    <pivotCache cacheId="1" r:id="rId2"/>
  </pivotCaches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4" fontId="0" fillId="0" borderId="1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1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Millares" xfId="1" builtinId="3"/>
  </cellStyles>
  <dxfs count="1">
    <dxf>
      <numFmt numFmtId="35" formatCode="_ * #,##0.00_ ;_ * \-#,##0.00_ ;_ * &quot;-&quot;??_ ;_ @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sistente%20Sistemas\Downloads\LIBRO%20DE%20COMPRAS%20ACL%20FEBRERO%20202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 VENTAS"/>
      <sheetName val="SCB"/>
      <sheetName val="SRI"/>
      <sheetName val="NC  SRI"/>
      <sheetName val="LIBRO COMPRAS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>
        <row r="1">
          <cell r="M1" t="str">
            <v>Etiquetas de fila</v>
          </cell>
        </row>
        <row r="12">
          <cell r="P12">
            <v>-289.17999999999978</v>
          </cell>
        </row>
      </sheetData>
      <sheetData sheetId="6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freshedBy="CONTABILIDAD 3" refreshedDate="46084.7172556713" createdVersion="8" refreshedVersion="8" minRefreshableVersion="3" recordCount="491" r:id="rId1">
  <s:cacheSource type="worksheet">
    <s:worksheetSource ref="A1:J492" sheet="RET PROV"/>
  </s:cacheSource>
  <s:cacheFields count="10">
    <s:cacheField name="NUM RT" uniqueList="1" numFmtId="0" sqlType="0" hierarchy="0" level="0" databaseField="1">
      <s:sharedItems count="0" containsInteger="1" containsNumber="1" containsSemiMixedTypes="0" containsString="0" minValue="47029" maxValue="47336"/>
    </s:cacheField>
    <s:cacheField name="PROVEEDOR" uniqueList="1" numFmtId="0" sqlType="0" hierarchy="0" level="0" databaseField="1">
      <s:sharedItems count="0"/>
    </s:cacheField>
    <s:cacheField name="FECHA" uniqueList="1" numFmtId="14" sqlType="0" hierarchy="0" level="0" databaseField="1">
      <s:sharedItems count="0" containsDate="1" containsNonDate="0" containsSemiMixedTypes="0" containsString="0" minDate="2026-02-02T00:00:00" maxDate="2026-03-01T00:00:00"/>
    </s:cacheField>
    <s:cacheField name="FECHA CONT" uniqueList="1" numFmtId="14" sqlType="0" hierarchy="0" level="0" databaseField="1">
      <s:sharedItems count="0" containsDate="1" containsNonDate="0" containsSemiMixedTypes="0" containsString="0" minDate="2026-02-01T00:00:00" maxDate="2026-03-01T00:00:00"/>
    </s:cacheField>
    <s:cacheField name="TIPO" uniqueList="1" numFmtId="14" sqlType="0" hierarchy="0" level="0" databaseField="1">
      <s:sharedItems count="2">
        <s:s v="IVA"/>
        <s:s v="RENTA"/>
      </s:sharedItems>
    </s:cacheField>
    <s:cacheField name="COD" uniqueList="1" numFmtId="0" sqlType="0" hierarchy="0" level="0" databaseField="1">
      <s:sharedItems count="0" containsInteger="1" containsNumber="1" containsSemiMixedTypes="0" containsString="0" minValue="303" maxValue="344"/>
    </s:cacheField>
    <s:cacheField name="FACT" uniqueList="1" numFmtId="0" sqlType="0" hierarchy="0" level="0" databaseField="1">
      <s:sharedItems count="0" containsInteger="1" containsNumber="1" containsSemiMixedTypes="0" containsString="0" minValue="2" maxValue="17835092"/>
    </s:cacheField>
    <s:cacheField name="%" uniqueList="1" numFmtId="0" sqlType="0" hierarchy="0" level="0" databaseField="1">
      <s:sharedItems count="11" containsNumber="1" containsSemiMixedTypes="0" containsString="0" minValue="0" maxValue="100">
        <s:n v="70"/>
        <s:n v="2"/>
        <s:n v="3"/>
        <s:n v="10"/>
        <s:n v="30"/>
        <s:n v="1.75"/>
        <s:n v="20"/>
        <s:n v="2.75"/>
        <s:n v="100"/>
        <s:n v="0"/>
        <s:n v="1"/>
      </s:sharedItems>
    </s:cacheField>
    <s:cacheField name="BASE" uniqueList="1" numFmtId="0" sqlType="0" hierarchy="0" level="0" databaseField="1">
      <s:sharedItems count="0" containsNumber="1" containsSemiMixedTypes="0" containsString="0" minValue="0.75" maxValue="39491.7"/>
    </s:cacheField>
    <s:cacheField name="RETENCION" uniqueList="1" numFmtId="0" sqlType="0" hierarchy="0" level="0" databaseField="1">
      <s:sharedItems count="0" containsNumber="1" containsSemiMixedTypes="0" containsString="0" minValue="0" maxValue="3949.17"/>
    </s:cacheField>
  </s:cacheFields>
</s:pivotCacheDefinition>
</file>

<file path=xl/pivotCache/pivotCacheRecords1.xml><?xml version="1.0" encoding="utf-8"?>
<pivotCacheRecords xmlns="http://schemas.openxmlformats.org/spreadsheetml/2006/main" count="490">
  <r>
    <n v="47029"/>
    <s v="CONSEJO GUBERNATIVO DE LOS BIENES DE LA DIOCESIS DE AMBATO"/>
    <d v="2026-02-02T00:00:00"/>
    <d v="2026-02-02T00:00:00"/>
    <x v="0"/>
    <n v="344"/>
    <n v="811"/>
    <x v="0"/>
    <n v="65.22"/>
    <n v="45.65"/>
  </r>
  <r>
    <n v="47030"/>
    <s v="REINOSO SALAS YAJAIRA CAROLINA"/>
    <d v="2026-02-02T00:00:00"/>
    <d v="2026-02-02T00:00:00"/>
    <x v="0"/>
    <n v="307"/>
    <n v="118"/>
    <x v="0"/>
    <n v="7.5"/>
    <n v="5.25"/>
  </r>
  <r>
    <n v="47030"/>
    <s v="REINOSO SALAS YAJAIRA CAROLINA"/>
    <d v="2026-02-02T00:00:00"/>
    <d v="2026-02-02T00:00:00"/>
    <x v="1"/>
    <n v="307"/>
    <n v="118"/>
    <x v="1"/>
    <n v="50"/>
    <n v="1"/>
  </r>
  <r>
    <n v="47031"/>
    <s v="CARLARSERVICE CIA. LTDA"/>
    <d v="2026-02-02T00:00:00"/>
    <d v="2026-02-02T00:00:00"/>
    <x v="1"/>
    <n v="303"/>
    <n v="448"/>
    <x v="2"/>
    <n v="7000"/>
    <n v="210"/>
  </r>
  <r>
    <n v="47031"/>
    <s v="CARLARSERVICE CIA. LTDA"/>
    <d v="2026-02-02T00:00:00"/>
    <d v="2026-02-02T00:00:00"/>
    <x v="0"/>
    <n v="303"/>
    <n v="448"/>
    <x v="0"/>
    <n v="1050"/>
    <n v="735"/>
  </r>
  <r>
    <n v="47032"/>
    <s v="BACLT INMOBILIARIA S.A.S."/>
    <d v="2026-02-02T00:00:00"/>
    <d v="2026-02-02T00:00:00"/>
    <x v="1"/>
    <n v="320"/>
    <n v="196"/>
    <x v="3"/>
    <n v="7500"/>
    <n v="750"/>
  </r>
  <r>
    <n v="47032"/>
    <s v="BACLT INMOBILIARIA S.A.S."/>
    <d v="2026-02-02T00:00:00"/>
    <d v="2026-02-02T00:00:00"/>
    <x v="0"/>
    <n v="320"/>
    <n v="196"/>
    <x v="0"/>
    <n v="1125"/>
    <n v="787.5"/>
  </r>
  <r>
    <n v="47033"/>
    <s v="VARGAS TORRES WALTTER DARIO"/>
    <d v="2026-02-02T00:00:00"/>
    <d v="2026-02-02T00:00:00"/>
    <x v="0"/>
    <n v="312"/>
    <n v="31786"/>
    <x v="4"/>
    <n v="25.5"/>
    <n v="7.65"/>
  </r>
  <r>
    <n v="47033"/>
    <s v="VARGAS TORRES WALTTER DARIO"/>
    <d v="2026-02-02T00:00:00"/>
    <d v="2026-02-02T00:00:00"/>
    <x v="1"/>
    <n v="312"/>
    <n v="31786"/>
    <x v="5"/>
    <n v="170"/>
    <n v="2.98"/>
  </r>
  <r>
    <n v="47034"/>
    <s v="REINOSO SALAS YAJAIRA CAROLINA"/>
    <d v="2026-02-02T00:00:00"/>
    <d v="2026-02-02T00:00:00"/>
    <x v="0"/>
    <n v="307"/>
    <n v="120"/>
    <x v="0"/>
    <n v="7.5"/>
    <n v="5.25"/>
  </r>
  <r>
    <n v="47034"/>
    <s v="REINOSO SALAS YAJAIRA CAROLINA"/>
    <d v="2026-02-02T00:00:00"/>
    <d v="2026-02-02T00:00:00"/>
    <x v="1"/>
    <n v="307"/>
    <n v="120"/>
    <x v="1"/>
    <n v="50"/>
    <n v="1"/>
  </r>
  <r>
    <n v="47035"/>
    <s v="BACLT INMOBILIARIA S.A.S."/>
    <d v="2026-02-02T00:00:00"/>
    <d v="2026-02-02T00:00:00"/>
    <x v="1"/>
    <n v="320"/>
    <n v="195"/>
    <x v="3"/>
    <n v="12108.04"/>
    <n v="1210.8"/>
  </r>
  <r>
    <n v="47035"/>
    <s v="BACLT INMOBILIARIA S.A.S."/>
    <d v="2026-02-02T00:00:00"/>
    <d v="2026-02-02T00:00:00"/>
    <x v="0"/>
    <n v="320"/>
    <n v="195"/>
    <x v="0"/>
    <n v="1816.21"/>
    <n v="1271.35"/>
  </r>
  <r>
    <n v="47036"/>
    <s v="REINOSO SALAS YAJAIRA CAROLINA"/>
    <d v="2026-02-02T00:00:00"/>
    <d v="2026-02-02T00:00:00"/>
    <x v="0"/>
    <n v="307"/>
    <n v="116"/>
    <x v="0"/>
    <n v="7.5"/>
    <n v="5.25"/>
  </r>
  <r>
    <n v="47036"/>
    <s v="REINOSO SALAS YAJAIRA CAROLINA"/>
    <d v="2026-02-02T00:00:00"/>
    <d v="2026-02-02T00:00:00"/>
    <x v="1"/>
    <n v="307"/>
    <n v="116"/>
    <x v="1"/>
    <n v="50"/>
    <n v="1"/>
  </r>
  <r>
    <n v="47037"/>
    <s v="REINOSO SALAS YAJAIRA CAROLINA"/>
    <d v="2026-02-02T00:00:00"/>
    <d v="2026-02-02T00:00:00"/>
    <x v="1"/>
    <n v="307"/>
    <n v="119"/>
    <x v="1"/>
    <n v="50"/>
    <n v="1"/>
  </r>
  <r>
    <n v="47037"/>
    <s v="REINOSO SALAS YAJAIRA CAROLINA"/>
    <d v="2026-02-02T00:00:00"/>
    <d v="2026-02-02T00:00:00"/>
    <x v="0"/>
    <n v="307"/>
    <n v="119"/>
    <x v="0"/>
    <n v="7.5"/>
    <n v="5.25"/>
  </r>
  <r>
    <n v="47038"/>
    <s v="TELCONET S.A"/>
    <d v="2026-02-02T00:00:00"/>
    <d v="2026-02-02T00:00:00"/>
    <x v="0"/>
    <n v="332"/>
    <n v="423457"/>
    <x v="6"/>
    <n v="55.8"/>
    <n v="11.16"/>
  </r>
  <r>
    <n v="47039"/>
    <s v="CAICEDO ALFONSO DAVID"/>
    <d v="2026-02-02T00:00:00"/>
    <d v="2026-02-02T00:00:00"/>
    <x v="0"/>
    <n v="309"/>
    <n v="820"/>
    <x v="0"/>
    <n v="37.5"/>
    <n v="26.25"/>
  </r>
  <r>
    <n v="47039"/>
    <s v="CAICEDO ALFONSO DAVID"/>
    <d v="2026-02-02T00:00:00"/>
    <d v="2026-02-02T00:00:00"/>
    <x v="1"/>
    <n v="309"/>
    <n v="820"/>
    <x v="7"/>
    <n v="250"/>
    <n v="6.88"/>
  </r>
  <r>
    <n v="47040"/>
    <s v="NARANJO ABRIL VICTORIA ESTEFANIA"/>
    <d v="2026-02-02T00:00:00"/>
    <d v="2026-02-02T00:00:00"/>
    <x v="0"/>
    <n v="307"/>
    <n v="170"/>
    <x v="0"/>
    <n v="12"/>
    <n v="8.4"/>
  </r>
  <r>
    <n v="47040"/>
    <s v="NARANJO ABRIL VICTORIA ESTEFANIA"/>
    <d v="2026-02-02T00:00:00"/>
    <d v="2026-02-02T00:00:00"/>
    <x v="1"/>
    <n v="307"/>
    <n v="170"/>
    <x v="1"/>
    <n v="80"/>
    <n v="1.6"/>
  </r>
  <r>
    <n v="47041"/>
    <s v="CARRO SEGURO CARSEG S.A.  "/>
    <d v="2026-02-02T00:00:00"/>
    <d v="2026-02-02T00:00:00"/>
    <x v="1"/>
    <n v="312"/>
    <n v="74969"/>
    <x v="5"/>
    <n v="540"/>
    <n v="9.449999999999999"/>
  </r>
  <r>
    <n v="47041"/>
    <s v="CARRO SEGURO CARSEG S.A.  "/>
    <d v="2026-02-02T00:00:00"/>
    <d v="2026-02-02T00:00:00"/>
    <x v="0"/>
    <n v="312"/>
    <n v="74969"/>
    <x v="3"/>
    <n v="81"/>
    <n v="8.1"/>
  </r>
  <r>
    <n v="47042"/>
    <s v="PAEZ ORTIZ CHRISTIAN GONZALO"/>
    <d v="2026-02-03T00:00:00"/>
    <d v="2026-02-03T00:00:00"/>
    <x v="0"/>
    <n v="312"/>
    <n v="3601"/>
    <x v="4"/>
    <n v="69"/>
    <n v="20.7"/>
  </r>
  <r>
    <n v="47042"/>
    <s v="PAEZ ORTIZ CHRISTIAN GONZALO"/>
    <d v="2026-02-03T00:00:00"/>
    <d v="2026-02-03T00:00:00"/>
    <x v="1"/>
    <n v="312"/>
    <n v="3601"/>
    <x v="5"/>
    <n v="460"/>
    <n v="8.050000000000001"/>
  </r>
  <r>
    <n v="47043"/>
    <s v="CORPORACION CONFIABLE S.A."/>
    <d v="2026-02-03T00:00:00"/>
    <d v="2026-02-03T00:00:00"/>
    <x v="1"/>
    <n v="344"/>
    <n v="5489"/>
    <x v="7"/>
    <n v="660"/>
    <n v="18.15"/>
  </r>
  <r>
    <n v="47043"/>
    <s v="CORPORACION CONFIABLE S.A."/>
    <d v="2026-02-03T00:00:00"/>
    <d v="2026-02-03T00:00:00"/>
    <x v="0"/>
    <n v="344"/>
    <n v="5489"/>
    <x v="0"/>
    <n v="99"/>
    <n v="69.3"/>
  </r>
  <r>
    <n v="47044"/>
    <s v="VARGAS TORRES WALTTER DARIO"/>
    <d v="2026-02-03T00:00:00"/>
    <d v="2026-02-03T00:00:00"/>
    <x v="1"/>
    <n v="312"/>
    <n v="31801"/>
    <x v="5"/>
    <n v="510"/>
    <n v="8.93"/>
  </r>
  <r>
    <n v="47044"/>
    <s v="VARGAS TORRES WALTTER DARIO"/>
    <d v="2026-02-03T00:00:00"/>
    <d v="2026-02-03T00:00:00"/>
    <x v="0"/>
    <n v="312"/>
    <n v="31801"/>
    <x v="4"/>
    <n v="76.5"/>
    <n v="22.95"/>
  </r>
  <r>
    <n v="47045"/>
    <s v="REINOSO SALAS YAJAIRA CAROLINA"/>
    <d v="2026-02-03T00:00:00"/>
    <d v="2026-02-03T00:00:00"/>
    <x v="0"/>
    <n v="307"/>
    <n v="125"/>
    <x v="0"/>
    <n v="6"/>
    <n v="4.2"/>
  </r>
  <r>
    <n v="47045"/>
    <s v="REINOSO SALAS YAJAIRA CAROLINA"/>
    <d v="2026-02-03T00:00:00"/>
    <d v="2026-02-03T00:00:00"/>
    <x v="1"/>
    <n v="307"/>
    <n v="125"/>
    <x v="1"/>
    <n v="40"/>
    <n v="0.8"/>
  </r>
  <r>
    <n v="47046"/>
    <s v="PALACIOS LARREA FRANCISCO JOSE"/>
    <d v="2026-02-03T00:00:00"/>
    <d v="2026-02-03T00:00:00"/>
    <x v="0"/>
    <n v="303"/>
    <n v="50"/>
    <x v="8"/>
    <n v="166.67"/>
    <n v="166.67"/>
  </r>
  <r>
    <n v="47046"/>
    <s v="PALACIOS LARREA FRANCISCO JOSE"/>
    <d v="2026-02-03T00:00:00"/>
    <d v="2026-02-03T00:00:00"/>
    <x v="1"/>
    <n v="303"/>
    <n v="50"/>
    <x v="3"/>
    <n v="1111.11"/>
    <n v="111.11"/>
  </r>
  <r>
    <n v="47047"/>
    <s v="PAEZ ORTIZ CHRISTIAN GONZALO"/>
    <d v="2026-02-03T00:00:00"/>
    <d v="2026-02-03T00:00:00"/>
    <x v="1"/>
    <n v="312"/>
    <n v="3602"/>
    <x v="5"/>
    <n v="48"/>
    <n v="0.84"/>
  </r>
  <r>
    <n v="47047"/>
    <s v="PAEZ ORTIZ CHRISTIAN GONZALO"/>
    <d v="2026-02-03T00:00:00"/>
    <d v="2026-02-03T00:00:00"/>
    <x v="0"/>
    <n v="312"/>
    <n v="3602"/>
    <x v="4"/>
    <n v="7.2"/>
    <n v="2.16"/>
  </r>
  <r>
    <n v="47048"/>
    <s v="REINOSO SALAS YAJAIRA CAROLINA"/>
    <d v="2026-02-03T00:00:00"/>
    <d v="2026-02-03T00:00:00"/>
    <x v="0"/>
    <n v="307"/>
    <n v="122"/>
    <x v="0"/>
    <n v="6"/>
    <n v="4.2"/>
  </r>
  <r>
    <n v="47048"/>
    <s v="REINOSO SALAS YAJAIRA CAROLINA"/>
    <d v="2026-02-03T00:00:00"/>
    <d v="2026-02-03T00:00:00"/>
    <x v="1"/>
    <n v="307"/>
    <n v="122"/>
    <x v="1"/>
    <n v="40"/>
    <n v="0.8"/>
  </r>
  <r>
    <n v="47049"/>
    <s v="PAEZ ORTIZ CHRISTIAN GONZALO"/>
    <d v="2026-02-03T00:00:00"/>
    <d v="2026-02-03T00:00:00"/>
    <x v="1"/>
    <n v="312"/>
    <n v="3603"/>
    <x v="5"/>
    <n v="75.90000000000001"/>
    <n v="1.33"/>
  </r>
  <r>
    <n v="47049"/>
    <s v="PAEZ ORTIZ CHRISTIAN GONZALO"/>
    <d v="2026-02-03T00:00:00"/>
    <d v="2026-02-03T00:00:00"/>
    <x v="0"/>
    <n v="312"/>
    <n v="3603"/>
    <x v="4"/>
    <n v="11.39"/>
    <n v="3.42"/>
  </r>
  <r>
    <n v="47050"/>
    <s v="ROBAYO BORJA MARGOTH BEATRIZ"/>
    <d v="2026-02-03T00:00:00"/>
    <d v="2026-02-03T00:00:00"/>
    <x v="1"/>
    <n v="332"/>
    <n v="1157"/>
    <x v="9"/>
    <n v="35"/>
    <n v="0"/>
  </r>
  <r>
    <n v="47051"/>
    <s v="REINOSO SALAS YAJAIRA CAROLINA"/>
    <d v="2026-02-03T00:00:00"/>
    <d v="2026-02-03T00:00:00"/>
    <x v="0"/>
    <n v="307"/>
    <n v="124"/>
    <x v="0"/>
    <n v="22.5"/>
    <n v="15.75"/>
  </r>
  <r>
    <n v="47051"/>
    <s v="REINOSO SALAS YAJAIRA CAROLINA"/>
    <d v="2026-02-03T00:00:00"/>
    <d v="2026-02-03T00:00:00"/>
    <x v="1"/>
    <n v="307"/>
    <n v="124"/>
    <x v="1"/>
    <n v="150"/>
    <n v="3"/>
  </r>
  <r>
    <n v="47052"/>
    <s v="FIDUCIARIA ECUADOR FIDUECUADOR S.A. ADMINISTRADORA DE FONDOS"/>
    <d v="2026-02-03T00:00:00"/>
    <d v="2026-02-03T00:00:00"/>
    <x v="0"/>
    <n v="344"/>
    <n v="13391"/>
    <x v="0"/>
    <n v="48.8"/>
    <n v="34.16"/>
  </r>
  <r>
    <n v="47052"/>
    <s v="FIDUCIARIA ECUADOR FIDUECUADOR S.A. ADMINISTRADORA DE FONDOS"/>
    <d v="2026-02-03T00:00:00"/>
    <d v="2026-02-03T00:00:00"/>
    <x v="1"/>
    <n v="344"/>
    <n v="13391"/>
    <x v="7"/>
    <n v="325.35"/>
    <n v="8.949999999999999"/>
  </r>
  <r>
    <n v="47053"/>
    <s v="REINOSO SALAS YAJAIRA CAROLINA"/>
    <d v="2026-02-03T00:00:00"/>
    <d v="2026-02-03T00:00:00"/>
    <x v="1"/>
    <n v="307"/>
    <n v="123"/>
    <x v="1"/>
    <n v="40"/>
    <n v="0.8"/>
  </r>
  <r>
    <n v="47053"/>
    <s v="REINOSO SALAS YAJAIRA CAROLINA"/>
    <d v="2026-02-03T00:00:00"/>
    <d v="2026-02-03T00:00:00"/>
    <x v="0"/>
    <n v="307"/>
    <n v="123"/>
    <x v="0"/>
    <n v="6"/>
    <n v="4.2"/>
  </r>
  <r>
    <n v="47054"/>
    <s v="YANGTSE-AUTO DEL ECUADOR S.A."/>
    <d v="2026-02-03T00:00:00"/>
    <d v="2026-02-03T00:00:00"/>
    <x v="1"/>
    <n v="312"/>
    <n v="629"/>
    <x v="5"/>
    <n v="13166.09"/>
    <n v="230.41"/>
  </r>
  <r>
    <n v="47054"/>
    <s v="YANGTSE-AUTO DEL ECUADOR S.A."/>
    <d v="2026-02-03T00:00:00"/>
    <d v="2026-02-03T00:00:00"/>
    <x v="0"/>
    <n v="312"/>
    <n v="629"/>
    <x v="4"/>
    <n v="1974.91"/>
    <n v="592.47"/>
  </r>
  <r>
    <n v="47055"/>
    <s v="YANEZ APUANGO CRISTINA DE LOS ANGELES"/>
    <d v="2026-02-03T00:00:00"/>
    <d v="2026-02-02T00:00:00"/>
    <x v="1"/>
    <n v="312"/>
    <n v="1912"/>
    <x v="5"/>
    <n v="40"/>
    <n v="0.7"/>
  </r>
  <r>
    <n v="47055"/>
    <s v="YANEZ APUANGO CRISTINA DE LOS ANGELES"/>
    <d v="2026-02-03T00:00:00"/>
    <d v="2026-02-02T00:00:00"/>
    <x v="0"/>
    <n v="312"/>
    <n v="1912"/>
    <x v="4"/>
    <n v="6"/>
    <n v="1.8"/>
  </r>
  <r>
    <n v="47056"/>
    <s v="LOPEZ PACA EDWIN MARCELO"/>
    <d v="2026-02-03T00:00:00"/>
    <d v="2026-02-03T00:00:00"/>
    <x v="1"/>
    <n v="307"/>
    <n v="376"/>
    <x v="1"/>
    <n v="25"/>
    <n v="0.5"/>
  </r>
  <r>
    <n v="47057"/>
    <s v="COMPAÑIA TECNOXPERTISE S.A.S."/>
    <d v="2026-02-04T00:00:00"/>
    <d v="2026-02-04T00:00:00"/>
    <x v="1"/>
    <n v="344"/>
    <n v="377"/>
    <x v="7"/>
    <n v="100"/>
    <n v="2.75"/>
  </r>
  <r>
    <n v="47057"/>
    <s v="COMPAÑIA TECNOXPERTISE S.A.S."/>
    <d v="2026-02-04T00:00:00"/>
    <d v="2026-02-04T00:00:00"/>
    <x v="0"/>
    <n v="344"/>
    <n v="377"/>
    <x v="0"/>
    <n v="15"/>
    <n v="10.5"/>
  </r>
  <r>
    <n v="47058"/>
    <s v="MAYORGA MAYORGA WILSON RAMIRO"/>
    <d v="2026-02-04T00:00:00"/>
    <d v="2026-02-04T00:00:00"/>
    <x v="1"/>
    <n v="304"/>
    <n v="76818"/>
    <x v="3"/>
    <n v="69.34"/>
    <n v="6.93"/>
  </r>
  <r>
    <n v="47058"/>
    <s v="MAYORGA MAYORGA WILSON RAMIRO"/>
    <d v="2026-02-04T00:00:00"/>
    <d v="2026-02-04T00:00:00"/>
    <x v="0"/>
    <n v="304"/>
    <n v="76818"/>
    <x v="0"/>
    <n v="10.27"/>
    <n v="7.19"/>
  </r>
  <r>
    <n v="47059"/>
    <s v="DILIGENCIAS LEGALES"/>
    <d v="2026-02-04T00:00:00"/>
    <d v="2026-02-04T00:00:00"/>
    <x v="1"/>
    <n v="303"/>
    <n v="1804"/>
    <x v="2"/>
    <n v="208.96"/>
    <n v="6.27"/>
  </r>
  <r>
    <n v="47059"/>
    <s v="DILIGENCIAS LEGALES"/>
    <d v="2026-02-04T00:00:00"/>
    <d v="2026-02-04T00:00:00"/>
    <x v="0"/>
    <n v="303"/>
    <n v="1804"/>
    <x v="0"/>
    <n v="31.34"/>
    <n v="21.94"/>
  </r>
  <r>
    <n v="47060"/>
    <s v="MAYORGA MAYORGA WILSON RAMIRO"/>
    <d v="2026-02-04T00:00:00"/>
    <d v="2026-02-04T00:00:00"/>
    <x v="1"/>
    <n v="304"/>
    <n v="76819"/>
    <x v="3"/>
    <n v="10.74"/>
    <n v="1.07"/>
  </r>
  <r>
    <n v="47060"/>
    <s v="MAYORGA MAYORGA WILSON RAMIRO"/>
    <d v="2026-02-04T00:00:00"/>
    <d v="2026-02-04T00:00:00"/>
    <x v="0"/>
    <n v="304"/>
    <n v="76819"/>
    <x v="0"/>
    <n v="1.61"/>
    <n v="1.13"/>
  </r>
  <r>
    <n v="47061"/>
    <s v="TITANIA TRACKING SOLUTIONS-EC S A S"/>
    <d v="2026-02-04T00:00:00"/>
    <d v="2026-02-04T00:00:00"/>
    <x v="0"/>
    <n v="312"/>
    <n v="17622"/>
    <x v="4"/>
    <n v="306"/>
    <n v="91.8"/>
  </r>
  <r>
    <n v="47061"/>
    <s v="TITANIA TRACKING SOLUTIONS-EC S A S"/>
    <d v="2026-02-04T00:00:00"/>
    <d v="2026-02-04T00:00:00"/>
    <x v="1"/>
    <n v="312"/>
    <n v="17622"/>
    <x v="5"/>
    <n v="2040"/>
    <n v="35.7"/>
  </r>
  <r>
    <n v="47062"/>
    <s v="YANGTSE-AUTO DEL ECUADOR S.A."/>
    <d v="2026-02-04T00:00:00"/>
    <d v="2026-02-04T00:00:00"/>
    <x v="1"/>
    <n v="312"/>
    <n v="523"/>
    <x v="5"/>
    <n v="347.83"/>
    <n v="6.09"/>
  </r>
  <r>
    <n v="47062"/>
    <s v="YANGTSE-AUTO DEL ECUADOR S.A."/>
    <d v="2026-02-04T00:00:00"/>
    <d v="2026-02-04T00:00:00"/>
    <x v="0"/>
    <n v="312"/>
    <n v="523"/>
    <x v="4"/>
    <n v="52.17"/>
    <n v="15.65"/>
  </r>
  <r>
    <n v="47063"/>
    <s v="TOYOTASERVICIOS S.A."/>
    <d v="2026-02-04T00:00:00"/>
    <d v="2026-02-03T00:00:00"/>
    <x v="0"/>
    <n v="344"/>
    <n v="52803"/>
    <x v="0"/>
    <n v="2.91"/>
    <n v="2.04"/>
  </r>
  <r>
    <n v="47063"/>
    <s v="TOYOTASERVICIOS S.A."/>
    <d v="2026-02-04T00:00:00"/>
    <d v="2026-02-03T00:00:00"/>
    <x v="1"/>
    <n v="344"/>
    <n v="52803"/>
    <x v="7"/>
    <n v="19.4"/>
    <n v="0.53"/>
  </r>
  <r>
    <n v="47064"/>
    <s v="TOYOTASERVICIOS S.A."/>
    <d v="2026-02-04T00:00:00"/>
    <d v="2026-02-03T00:00:00"/>
    <x v="0"/>
    <n v="312"/>
    <n v="52804"/>
    <x v="4"/>
    <n v="9.550000000000001"/>
    <n v="2.87"/>
  </r>
  <r>
    <n v="47064"/>
    <s v="TOYOTASERVICIOS S.A."/>
    <d v="2026-02-04T00:00:00"/>
    <d v="2026-02-03T00:00:00"/>
    <x v="1"/>
    <n v="312"/>
    <n v="52804"/>
    <x v="5"/>
    <n v="63.66"/>
    <n v="1.11"/>
  </r>
  <r>
    <n v="47065"/>
    <s v="TOYOTASERVICIOS S.A."/>
    <d v="2026-02-05T00:00:00"/>
    <d v="2026-02-05T00:00:00"/>
    <x v="1"/>
    <n v="344"/>
    <n v="52828"/>
    <x v="7"/>
    <n v="48.6"/>
    <n v="1.34"/>
  </r>
  <r>
    <n v="47065"/>
    <s v="TOYOTASERVICIOS S.A."/>
    <d v="2026-02-05T00:00:00"/>
    <d v="2026-02-05T00:00:00"/>
    <x v="0"/>
    <n v="344"/>
    <n v="52828"/>
    <x v="0"/>
    <n v="7.29"/>
    <n v="5.1"/>
  </r>
  <r>
    <n v="47066"/>
    <s v="TITANIA TRACKING SOLUTIONS-EC S A S"/>
    <d v="2026-02-05T00:00:00"/>
    <d v="2026-02-05T00:00:00"/>
    <x v="1"/>
    <n v="312"/>
    <n v="17621"/>
    <x v="5"/>
    <n v="2040"/>
    <n v="35.7"/>
  </r>
  <r>
    <n v="47066"/>
    <s v="TITANIA TRACKING SOLUTIONS-EC S A S"/>
    <d v="2026-02-05T00:00:00"/>
    <d v="2026-02-05T00:00:00"/>
    <x v="0"/>
    <n v="312"/>
    <n v="17621"/>
    <x v="4"/>
    <n v="306"/>
    <n v="91.8"/>
  </r>
  <r>
    <n v="47067"/>
    <s v="SZK DEL ECUADOR S.A."/>
    <d v="2026-02-05T00:00:00"/>
    <d v="2026-02-05T00:00:00"/>
    <x v="0"/>
    <n v="332"/>
    <n v="1518"/>
    <x v="3"/>
    <n v="65.22"/>
    <n v="6.52"/>
  </r>
  <r>
    <n v="47068"/>
    <s v="ARMAS MELENDEZ MONICA ALEXANDRA"/>
    <d v="2026-02-05T00:00:00"/>
    <d v="2026-02-05T00:00:00"/>
    <x v="0"/>
    <n v="304"/>
    <n v="212880"/>
    <x v="0"/>
    <n v="15.14"/>
    <n v="10.6"/>
  </r>
  <r>
    <n v="47068"/>
    <s v="ARMAS MELENDEZ MONICA ALEXANDRA"/>
    <d v="2026-02-05T00:00:00"/>
    <d v="2026-02-05T00:00:00"/>
    <x v="1"/>
    <n v="304"/>
    <n v="212880"/>
    <x v="3"/>
    <n v="101.83"/>
    <n v="10.18"/>
  </r>
  <r>
    <n v="47069"/>
    <s v="TOYOTASERVICIOS S.A."/>
    <d v="2026-02-05T00:00:00"/>
    <d v="2026-02-05T00:00:00"/>
    <x v="0"/>
    <n v="312"/>
    <n v="14870"/>
    <x v="4"/>
    <n v="102.09"/>
    <n v="30.63"/>
  </r>
  <r>
    <n v="47069"/>
    <s v="TOYOTASERVICIOS S.A."/>
    <d v="2026-02-05T00:00:00"/>
    <d v="2026-02-05T00:00:00"/>
    <x v="1"/>
    <n v="312"/>
    <n v="14870"/>
    <x v="5"/>
    <n v="680.6"/>
    <n v="11.91"/>
  </r>
  <r>
    <n v="47070"/>
    <s v="SZK DEL ECUADOR S.A."/>
    <d v="2026-02-05T00:00:00"/>
    <d v="2026-02-05T00:00:00"/>
    <x v="0"/>
    <n v="312"/>
    <n v="3181"/>
    <x v="3"/>
    <n v="3316.73"/>
    <n v="331.67"/>
  </r>
  <r>
    <n v="47071"/>
    <s v="ASEGURADORA DEL SUR C.A. "/>
    <d v="2026-02-05T00:00:00"/>
    <d v="2026-02-05T00:00:00"/>
    <x v="0"/>
    <n v="332"/>
    <n v="50763"/>
    <x v="6"/>
    <n v="72.81"/>
    <n v="14.56"/>
  </r>
  <r>
    <n v="47072"/>
    <s v="REINOSO SALAS YAJAIRA CAROLINA"/>
    <d v="2026-02-05T00:00:00"/>
    <d v="2026-02-04T00:00:00"/>
    <x v="0"/>
    <n v="307"/>
    <n v="127"/>
    <x v="0"/>
    <n v="7.5"/>
    <n v="5.25"/>
  </r>
  <r>
    <n v="47072"/>
    <s v="REINOSO SALAS YAJAIRA CAROLINA"/>
    <d v="2026-02-05T00:00:00"/>
    <d v="2026-02-04T00:00:00"/>
    <x v="1"/>
    <n v="307"/>
    <n v="127"/>
    <x v="1"/>
    <n v="50"/>
    <n v="1"/>
  </r>
  <r>
    <n v="47073"/>
    <s v="COLCHA AREVALO LIZARDO ENRIQUE"/>
    <d v="2026-02-05T00:00:00"/>
    <d v="2026-02-05T00:00:00"/>
    <x v="0"/>
    <n v="307"/>
    <n v="776"/>
    <x v="0"/>
    <n v="24"/>
    <n v="16.8"/>
  </r>
  <r>
    <n v="47073"/>
    <s v="COLCHA AREVALO LIZARDO ENRIQUE"/>
    <d v="2026-02-05T00:00:00"/>
    <d v="2026-02-05T00:00:00"/>
    <x v="1"/>
    <n v="307"/>
    <n v="776"/>
    <x v="1"/>
    <n v="160"/>
    <n v="3.2"/>
  </r>
  <r>
    <n v="47074"/>
    <s v="REINOSO SALAS YAJAIRA CAROLINA"/>
    <d v="2026-02-05T00:00:00"/>
    <d v="2026-02-04T00:00:00"/>
    <x v="0"/>
    <n v="307"/>
    <n v="126"/>
    <x v="0"/>
    <n v="7.5"/>
    <n v="5.25"/>
  </r>
  <r>
    <n v="47074"/>
    <s v="REINOSO SALAS YAJAIRA CAROLINA"/>
    <d v="2026-02-05T00:00:00"/>
    <d v="2026-02-04T00:00:00"/>
    <x v="1"/>
    <n v="307"/>
    <n v="126"/>
    <x v="1"/>
    <n v="50"/>
    <n v="1"/>
  </r>
  <r>
    <n v="47075"/>
    <s v="CEVALLOS CALLE NELSON RODRIGO"/>
    <d v="2026-02-05T00:00:00"/>
    <d v="2026-02-04T00:00:00"/>
    <x v="1"/>
    <n v="332"/>
    <n v="230"/>
    <x v="9"/>
    <n v="37"/>
    <n v="0"/>
  </r>
  <r>
    <n v="47076"/>
    <s v="COMP. DE SEGURIDAD PRIVADA AMBASEGURITY CIA.LTDA."/>
    <d v="2026-02-05T00:00:00"/>
    <d v="2026-02-03T00:00:00"/>
    <x v="0"/>
    <n v="344"/>
    <n v="2473"/>
    <x v="0"/>
    <n v="170.26"/>
    <n v="119.18"/>
  </r>
  <r>
    <n v="47076"/>
    <s v="COMP. DE SEGURIDAD PRIVADA AMBASEGURITY CIA.LTDA."/>
    <d v="2026-02-05T00:00:00"/>
    <d v="2026-02-03T00:00:00"/>
    <x v="1"/>
    <n v="344"/>
    <n v="2473"/>
    <x v="7"/>
    <n v="1135.04"/>
    <n v="31.21"/>
  </r>
  <r>
    <n v="47077"/>
    <s v="GARCES PEREZ HECTOR BOLIVAR"/>
    <d v="2026-02-05T00:00:00"/>
    <d v="2026-02-04T00:00:00"/>
    <x v="0"/>
    <n v="320"/>
    <n v="21"/>
    <x v="8"/>
    <n v="675"/>
    <n v="675"/>
  </r>
  <r>
    <n v="47077"/>
    <s v="GARCES PEREZ HECTOR BOLIVAR"/>
    <d v="2026-02-05T00:00:00"/>
    <d v="2026-02-04T00:00:00"/>
    <x v="1"/>
    <n v="320"/>
    <n v="21"/>
    <x v="3"/>
    <n v="4500"/>
    <n v="450"/>
  </r>
  <r>
    <n v="47078"/>
    <s v="CEVALLOS CALLE NELSON RODRIGO"/>
    <d v="2026-02-05T00:00:00"/>
    <d v="2026-02-04T00:00:00"/>
    <x v="1"/>
    <n v="332"/>
    <n v="231"/>
    <x v="9"/>
    <n v="30"/>
    <n v="0"/>
  </r>
  <r>
    <n v="47079"/>
    <s v="TALENTOPSA S.A"/>
    <d v="2026-02-05T00:00:00"/>
    <d v="2026-02-01T00:00:00"/>
    <x v="1"/>
    <n v="344"/>
    <n v="5286"/>
    <x v="7"/>
    <n v="89.72"/>
    <n v="2.47"/>
  </r>
  <r>
    <n v="47079"/>
    <s v="TALENTOPSA S.A"/>
    <d v="2026-02-05T00:00:00"/>
    <d v="2026-02-01T00:00:00"/>
    <x v="0"/>
    <n v="344"/>
    <n v="5286"/>
    <x v="0"/>
    <n v="13.46"/>
    <n v="9.42"/>
  </r>
  <r>
    <n v="47080"/>
    <s v="SOCIEDAD INDIVISA VILLACIS LOZADA"/>
    <d v="2026-02-05T00:00:00"/>
    <d v="2026-02-04T00:00:00"/>
    <x v="1"/>
    <n v="320"/>
    <n v="48"/>
    <x v="3"/>
    <n v="400"/>
    <n v="40"/>
  </r>
  <r>
    <n v="47080"/>
    <s v="SOCIEDAD INDIVISA VILLACIS LOZADA"/>
    <d v="2026-02-05T00:00:00"/>
    <d v="2026-02-04T00:00:00"/>
    <x v="0"/>
    <n v="320"/>
    <n v="48"/>
    <x v="0"/>
    <n v="60"/>
    <n v="42"/>
  </r>
  <r>
    <n v="47081"/>
    <s v="CALERO OLMOS NANCY DEL ROCIO"/>
    <d v="2026-02-05T00:00:00"/>
    <d v="2026-02-02T00:00:00"/>
    <x v="0"/>
    <n v="320"/>
    <n v="91"/>
    <x v="8"/>
    <n v="133.48"/>
    <n v="133.48"/>
  </r>
  <r>
    <n v="47081"/>
    <s v="CALERO OLMOS NANCY DEL ROCIO"/>
    <d v="2026-02-05T00:00:00"/>
    <d v="2026-02-02T00:00:00"/>
    <x v="1"/>
    <n v="320"/>
    <n v="91"/>
    <x v="3"/>
    <n v="889.89"/>
    <n v="88.98999999999999"/>
  </r>
  <r>
    <n v="47082"/>
    <s v="REINOSO SALAS YAJAIRA CAROLINA"/>
    <d v="2026-02-05T00:00:00"/>
    <d v="2026-02-04T00:00:00"/>
    <x v="1"/>
    <n v="307"/>
    <n v="129"/>
    <x v="1"/>
    <n v="50"/>
    <n v="1"/>
  </r>
  <r>
    <n v="47082"/>
    <s v="REINOSO SALAS YAJAIRA CAROLINA"/>
    <d v="2026-02-05T00:00:00"/>
    <d v="2026-02-04T00:00:00"/>
    <x v="0"/>
    <n v="307"/>
    <n v="129"/>
    <x v="0"/>
    <n v="7.5"/>
    <n v="5.25"/>
  </r>
  <r>
    <n v="47083"/>
    <s v="LAAR CIA. LTDA."/>
    <d v="2026-02-05T00:00:00"/>
    <d v="2026-02-02T00:00:00"/>
    <x v="1"/>
    <n v="344"/>
    <n v="123259"/>
    <x v="7"/>
    <n v="33.9"/>
    <n v="0.93"/>
  </r>
  <r>
    <n v="47083"/>
    <s v="LAAR CIA. LTDA."/>
    <d v="2026-02-05T00:00:00"/>
    <d v="2026-02-02T00:00:00"/>
    <x v="0"/>
    <n v="344"/>
    <n v="123259"/>
    <x v="6"/>
    <n v="5.09"/>
    <n v="1.02"/>
  </r>
  <r>
    <n v="47084"/>
    <s v="LAAR CIA. LTDA."/>
    <d v="2026-02-05T00:00:00"/>
    <d v="2026-02-02T00:00:00"/>
    <x v="0"/>
    <n v="344"/>
    <n v="123260"/>
    <x v="6"/>
    <n v="10.34"/>
    <n v="2.07"/>
  </r>
  <r>
    <n v="47084"/>
    <s v="LAAR CIA. LTDA."/>
    <d v="2026-02-05T00:00:00"/>
    <d v="2026-02-02T00:00:00"/>
    <x v="1"/>
    <n v="344"/>
    <n v="123260"/>
    <x v="7"/>
    <n v="68.94"/>
    <n v="1.9"/>
  </r>
  <r>
    <n v="47085"/>
    <s v="REINOSO SALAS YAJAIRA CAROLINA"/>
    <d v="2026-02-05T00:00:00"/>
    <d v="2026-02-04T00:00:00"/>
    <x v="1"/>
    <n v="307"/>
    <n v="128"/>
    <x v="1"/>
    <n v="40"/>
    <n v="0.8"/>
  </r>
  <r>
    <n v="47085"/>
    <s v="REINOSO SALAS YAJAIRA CAROLINA"/>
    <d v="2026-02-05T00:00:00"/>
    <d v="2026-02-04T00:00:00"/>
    <x v="0"/>
    <n v="307"/>
    <n v="128"/>
    <x v="0"/>
    <n v="6"/>
    <n v="4.2"/>
  </r>
  <r>
    <n v="47086"/>
    <s v="ASO.  EMPRESAS AUTOMOTRICES DEL ECUADOR"/>
    <d v="2026-02-06T00:00:00"/>
    <d v="2026-02-06T00:00:00"/>
    <x v="0"/>
    <n v="344"/>
    <n v="6748"/>
    <x v="0"/>
    <n v="270"/>
    <n v="189"/>
  </r>
  <r>
    <n v="47087"/>
    <s v="TOYOTASERVICIOS S.A."/>
    <d v="2026-02-06T00:00:00"/>
    <d v="2026-02-06T00:00:00"/>
    <x v="1"/>
    <n v="312"/>
    <n v="14871"/>
    <x v="5"/>
    <n v="204.63"/>
    <n v="3.58"/>
  </r>
  <r>
    <n v="47087"/>
    <s v="TOYOTASERVICIOS S.A."/>
    <d v="2026-02-06T00:00:00"/>
    <d v="2026-02-06T00:00:00"/>
    <x v="0"/>
    <n v="312"/>
    <n v="14871"/>
    <x v="4"/>
    <n v="30.69"/>
    <n v="9.210000000000001"/>
  </r>
  <r>
    <n v="47088"/>
    <s v="GARCIA ALLAUCA MERCEDES DEL CARMEN"/>
    <d v="2026-02-08T00:00:00"/>
    <d v="2026-02-06T00:00:00"/>
    <x v="1"/>
    <n v="312"/>
    <n v="927"/>
    <x v="5"/>
    <n v="120"/>
    <n v="2.1"/>
  </r>
  <r>
    <n v="47089"/>
    <s v="PAEZ ORTIZ CHRISTIAN GONZALO"/>
    <d v="2026-02-08T00:00:00"/>
    <d v="2026-02-04T00:00:00"/>
    <x v="1"/>
    <n v="312"/>
    <n v="3607"/>
    <x v="5"/>
    <n v="60"/>
    <n v="1.05"/>
  </r>
  <r>
    <n v="47089"/>
    <s v="PAEZ ORTIZ CHRISTIAN GONZALO"/>
    <d v="2026-02-08T00:00:00"/>
    <d v="2026-02-04T00:00:00"/>
    <x v="0"/>
    <n v="312"/>
    <n v="3607"/>
    <x v="4"/>
    <n v="9"/>
    <n v="2.7"/>
  </r>
  <r>
    <n v="47090"/>
    <s v="POVEDA ALMEIDA EFRAIN ALEJANDRO"/>
    <d v="2026-02-08T00:00:00"/>
    <d v="2026-02-07T00:00:00"/>
    <x v="0"/>
    <n v="312"/>
    <n v="53"/>
    <x v="4"/>
    <n v="10.5"/>
    <n v="3.15"/>
  </r>
  <r>
    <n v="47090"/>
    <s v="POVEDA ALMEIDA EFRAIN ALEJANDRO"/>
    <d v="2026-02-08T00:00:00"/>
    <d v="2026-02-07T00:00:00"/>
    <x v="1"/>
    <n v="312"/>
    <n v="53"/>
    <x v="5"/>
    <n v="70"/>
    <n v="1.23"/>
  </r>
  <r>
    <n v="47091"/>
    <s v="TOYOTASERVICIOS S.A."/>
    <d v="2026-02-08T00:00:00"/>
    <d v="2026-02-06T00:00:00"/>
    <x v="0"/>
    <n v="344"/>
    <n v="6832"/>
    <x v="0"/>
    <n v="2.07"/>
    <n v="1.45"/>
  </r>
  <r>
    <n v="47091"/>
    <s v="TOYOTASERVICIOS S.A."/>
    <d v="2026-02-08T00:00:00"/>
    <d v="2026-02-06T00:00:00"/>
    <x v="1"/>
    <n v="344"/>
    <n v="6832"/>
    <x v="7"/>
    <n v="13.83"/>
    <n v="0.38"/>
  </r>
  <r>
    <n v="47092"/>
    <s v="TOYOTASERVICIOS S.A."/>
    <d v="2026-02-08T00:00:00"/>
    <d v="2026-02-05T00:00:00"/>
    <x v="1"/>
    <n v="344"/>
    <n v="52829"/>
    <x v="7"/>
    <n v="180"/>
    <n v="4.95"/>
  </r>
  <r>
    <n v="47092"/>
    <s v="TOYOTASERVICIOS S.A."/>
    <d v="2026-02-08T00:00:00"/>
    <d v="2026-02-05T00:00:00"/>
    <x v="0"/>
    <n v="344"/>
    <n v="52829"/>
    <x v="0"/>
    <n v="27"/>
    <n v="18.9"/>
  </r>
  <r>
    <n v="47093"/>
    <s v="TOYOTASERVICIOS S.A."/>
    <d v="2026-02-08T00:00:00"/>
    <d v="2026-02-06T00:00:00"/>
    <x v="0"/>
    <n v="312"/>
    <n v="6831"/>
    <x v="4"/>
    <n v="4.66"/>
    <n v="1.4"/>
  </r>
  <r>
    <n v="47093"/>
    <s v="TOYOTASERVICIOS S.A."/>
    <d v="2026-02-08T00:00:00"/>
    <d v="2026-02-06T00:00:00"/>
    <x v="1"/>
    <n v="312"/>
    <n v="6831"/>
    <x v="5"/>
    <n v="31.07"/>
    <n v="0.54"/>
  </r>
  <r>
    <n v="47094"/>
    <s v="TOYOTASERVICIOS S.A."/>
    <d v="2026-02-08T00:00:00"/>
    <d v="2026-02-06T00:00:00"/>
    <x v="1"/>
    <n v="312"/>
    <n v="6833"/>
    <x v="5"/>
    <n v="29.89"/>
    <n v="0.52"/>
  </r>
  <r>
    <n v="47094"/>
    <s v="TOYOTASERVICIOS S.A."/>
    <d v="2026-02-08T00:00:00"/>
    <d v="2026-02-06T00:00:00"/>
    <x v="0"/>
    <n v="312"/>
    <n v="6833"/>
    <x v="4"/>
    <n v="4.48"/>
    <n v="1.34"/>
  </r>
  <r>
    <n v="47095"/>
    <s v="GONZALEZ VEGA EL MOTOR CIA LTDA"/>
    <d v="2026-02-08T00:00:00"/>
    <d v="2026-02-06T00:00:00"/>
    <x v="1"/>
    <n v="312"/>
    <n v="125378"/>
    <x v="5"/>
    <n v="78.02"/>
    <n v="1.37"/>
  </r>
  <r>
    <n v="47095"/>
    <s v="GONZALEZ VEGA EL MOTOR CIA LTDA"/>
    <d v="2026-02-08T00:00:00"/>
    <d v="2026-02-06T00:00:00"/>
    <x v="0"/>
    <n v="312"/>
    <n v="125378"/>
    <x v="4"/>
    <n v="11.7"/>
    <n v="3.51"/>
  </r>
  <r>
    <n v="47096"/>
    <s v="COMERCIAL KYWI S.A. "/>
    <d v="2026-02-08T00:00:00"/>
    <d v="2026-02-03T00:00:00"/>
    <x v="0"/>
    <n v="332"/>
    <n v="730023"/>
    <x v="3"/>
    <n v="11.07"/>
    <n v="1.11"/>
  </r>
  <r>
    <n v="47097"/>
    <s v="POVEDA ALMEIDA EFRAIN ALEJANDRO"/>
    <d v="2026-02-08T00:00:00"/>
    <d v="2026-02-07T00:00:00"/>
    <x v="1"/>
    <n v="312"/>
    <n v="54"/>
    <x v="5"/>
    <n v="70"/>
    <n v="1.23"/>
  </r>
  <r>
    <n v="47097"/>
    <s v="POVEDA ALMEIDA EFRAIN ALEJANDRO"/>
    <d v="2026-02-08T00:00:00"/>
    <d v="2026-02-07T00:00:00"/>
    <x v="0"/>
    <n v="312"/>
    <n v="54"/>
    <x v="4"/>
    <n v="10.5"/>
    <n v="3.15"/>
  </r>
  <r>
    <n v="47098"/>
    <s v="CATAÑA DIAZ ANDREA BELEN"/>
    <d v="2026-02-08T00:00:00"/>
    <d v="2026-02-04T00:00:00"/>
    <x v="1"/>
    <n v="312"/>
    <n v="1176"/>
    <x v="5"/>
    <n v="94"/>
    <n v="1.65"/>
  </r>
  <r>
    <n v="47098"/>
    <s v="CATAÑA DIAZ ANDREA BELEN"/>
    <d v="2026-02-08T00:00:00"/>
    <d v="2026-02-04T00:00:00"/>
    <x v="0"/>
    <n v="312"/>
    <n v="1176"/>
    <x v="4"/>
    <n v="14.1"/>
    <n v="4.23"/>
  </r>
  <r>
    <n v="47099"/>
    <s v="POVEDA ALMEIDA EFRAIN ALEJANDRO"/>
    <d v="2026-02-08T00:00:00"/>
    <d v="2026-02-07T00:00:00"/>
    <x v="1"/>
    <n v="307"/>
    <n v="52"/>
    <x v="1"/>
    <n v="90"/>
    <n v="1.8"/>
  </r>
  <r>
    <n v="47099"/>
    <s v="POVEDA ALMEIDA EFRAIN ALEJANDRO"/>
    <d v="2026-02-08T00:00:00"/>
    <d v="2026-02-07T00:00:00"/>
    <x v="0"/>
    <n v="307"/>
    <n v="52"/>
    <x v="0"/>
    <n v="13.5"/>
    <n v="9.449999999999999"/>
  </r>
  <r>
    <n v="47100"/>
    <s v="TOYOTASERVICIOS S.A."/>
    <d v="2026-02-08T00:00:00"/>
    <d v="2026-02-06T00:00:00"/>
    <x v="1"/>
    <n v="344"/>
    <n v="6834"/>
    <x v="7"/>
    <n v="13.83"/>
    <n v="0.38"/>
  </r>
  <r>
    <n v="47100"/>
    <s v="TOYOTASERVICIOS S.A."/>
    <d v="2026-02-08T00:00:00"/>
    <d v="2026-02-06T00:00:00"/>
    <x v="0"/>
    <n v="344"/>
    <n v="6834"/>
    <x v="0"/>
    <n v="2.07"/>
    <n v="1.45"/>
  </r>
  <r>
    <n v="47101"/>
    <s v="ASO.  EMPRESAS AUTOMOTRICES DEL ECUADOR"/>
    <d v="2026-02-09T00:00:00"/>
    <d v="2026-02-09T00:00:00"/>
    <x v="0"/>
    <n v="344"/>
    <n v="6770"/>
    <x v="0"/>
    <n v="91.5"/>
    <n v="64.05"/>
  </r>
  <r>
    <n v="47102"/>
    <s v="MANTELCOA CIA. LTDA."/>
    <d v="2026-02-09T00:00:00"/>
    <d v="2026-02-09T00:00:00"/>
    <x v="0"/>
    <n v="344"/>
    <n v="10912"/>
    <x v="0"/>
    <n v="27"/>
    <n v="18.9"/>
  </r>
  <r>
    <n v="47102"/>
    <s v="MANTELCOA CIA. LTDA."/>
    <d v="2026-02-09T00:00:00"/>
    <d v="2026-02-09T00:00:00"/>
    <x v="1"/>
    <n v="344"/>
    <n v="10912"/>
    <x v="7"/>
    <n v="180"/>
    <n v="4.95"/>
  </r>
  <r>
    <n v="47103"/>
    <s v="YANGTSE-AUTO DEL ECUADOR S.A."/>
    <d v="2026-02-09T00:00:00"/>
    <d v="2026-02-09T00:00:00"/>
    <x v="1"/>
    <n v="312"/>
    <n v="640"/>
    <x v="5"/>
    <n v="13980.87"/>
    <n v="244.67"/>
  </r>
  <r>
    <n v="47103"/>
    <s v="YANGTSE-AUTO DEL ECUADOR S.A."/>
    <d v="2026-02-09T00:00:00"/>
    <d v="2026-02-09T00:00:00"/>
    <x v="0"/>
    <n v="312"/>
    <n v="640"/>
    <x v="4"/>
    <n v="2097.13"/>
    <n v="629.14"/>
  </r>
  <r>
    <n v="47104"/>
    <s v="POVEDA ALMEIDA EFRAIN ALEJANDRO"/>
    <d v="2026-02-09T00:00:00"/>
    <d v="2026-02-09T00:00:00"/>
    <x v="1"/>
    <n v="312"/>
    <n v="55"/>
    <x v="5"/>
    <n v="70"/>
    <n v="1.23"/>
  </r>
  <r>
    <n v="47104"/>
    <s v="POVEDA ALMEIDA EFRAIN ALEJANDRO"/>
    <d v="2026-02-09T00:00:00"/>
    <d v="2026-02-09T00:00:00"/>
    <x v="0"/>
    <n v="312"/>
    <n v="55"/>
    <x v="4"/>
    <n v="10.5"/>
    <n v="3.15"/>
  </r>
  <r>
    <n v="47105"/>
    <s v="CENTRO DE SERVICIOS COMPARTIDOS GBV S.A."/>
    <d v="2026-02-09T00:00:00"/>
    <d v="2026-02-09T00:00:00"/>
    <x v="1"/>
    <n v="303"/>
    <n v="932"/>
    <x v="2"/>
    <n v="1604.29"/>
    <n v="48.13"/>
  </r>
  <r>
    <n v="47105"/>
    <s v="CENTRO DE SERVICIOS COMPARTIDOS GBV S.A."/>
    <d v="2026-02-09T00:00:00"/>
    <d v="2026-02-09T00:00:00"/>
    <x v="0"/>
    <n v="303"/>
    <n v="932"/>
    <x v="6"/>
    <n v="240.64"/>
    <n v="48.13"/>
  </r>
  <r>
    <n v="47106"/>
    <s v="POVEDA ALMEIDA EFRAIN ALEJANDRO"/>
    <d v="2026-02-09T00:00:00"/>
    <d v="2026-02-09T00:00:00"/>
    <x v="1"/>
    <n v="307"/>
    <n v="56"/>
    <x v="1"/>
    <n v="90"/>
    <n v="1.8"/>
  </r>
  <r>
    <n v="47106"/>
    <s v="POVEDA ALMEIDA EFRAIN ALEJANDRO"/>
    <d v="2026-02-09T00:00:00"/>
    <d v="2026-02-09T00:00:00"/>
    <x v="0"/>
    <n v="307"/>
    <n v="56"/>
    <x v="0"/>
    <n v="13.5"/>
    <n v="9.449999999999999"/>
  </r>
  <r>
    <n v="47107"/>
    <s v="TOYOTASERVICIOS S.A."/>
    <d v="2026-02-10T00:00:00"/>
    <d v="2026-02-10T00:00:00"/>
    <x v="1"/>
    <n v="312"/>
    <n v="14882"/>
    <x v="5"/>
    <n v="130"/>
    <n v="2.28"/>
  </r>
  <r>
    <n v="47107"/>
    <s v="TOYOTASERVICIOS S.A."/>
    <d v="2026-02-10T00:00:00"/>
    <d v="2026-02-10T00:00:00"/>
    <x v="0"/>
    <n v="312"/>
    <n v="14882"/>
    <x v="4"/>
    <n v="19.5"/>
    <n v="5.85"/>
  </r>
  <r>
    <n v="47108"/>
    <s v="LAYOUT S.A."/>
    <d v="2026-02-10T00:00:00"/>
    <d v="2026-02-09T00:00:00"/>
    <x v="1"/>
    <n v="312"/>
    <n v="413"/>
    <x v="5"/>
    <n v="1231.3"/>
    <n v="21.55"/>
  </r>
  <r>
    <n v="47108"/>
    <s v="LAYOUT S.A."/>
    <d v="2026-02-10T00:00:00"/>
    <d v="2026-02-09T00:00:00"/>
    <x v="0"/>
    <n v="312"/>
    <n v="413"/>
    <x v="4"/>
    <n v="184.7"/>
    <n v="55.41"/>
  </r>
  <r>
    <n v="47109"/>
    <s v="LAYOUT S.A."/>
    <d v="2026-02-10T00:00:00"/>
    <d v="2026-02-09T00:00:00"/>
    <x v="0"/>
    <n v="344"/>
    <n v="414"/>
    <x v="0"/>
    <n v="19.5"/>
    <n v="13.65"/>
  </r>
  <r>
    <n v="47109"/>
    <s v="LAYOUT S.A."/>
    <d v="2026-02-10T00:00:00"/>
    <d v="2026-02-09T00:00:00"/>
    <x v="1"/>
    <n v="344"/>
    <n v="414"/>
    <x v="7"/>
    <n v="130"/>
    <n v="3.58"/>
  </r>
  <r>
    <n v="47110"/>
    <s v="MEJIA CARRASCO VICTOR LEONEL"/>
    <d v="2026-02-10T00:00:00"/>
    <d v="2026-02-10T00:00:00"/>
    <x v="1"/>
    <n v="312"/>
    <n v="142395"/>
    <x v="5"/>
    <n v="721.74"/>
    <n v="12.63"/>
  </r>
  <r>
    <n v="47110"/>
    <s v="MEJIA CARRASCO VICTOR LEONEL"/>
    <d v="2026-02-10T00:00:00"/>
    <d v="2026-02-10T00:00:00"/>
    <x v="0"/>
    <n v="312"/>
    <n v="142395"/>
    <x v="3"/>
    <n v="108.26"/>
    <n v="10.83"/>
  </r>
  <r>
    <n v="47111"/>
    <s v="ASEGURADORA DEL SUR C.A. "/>
    <d v="2026-02-10T00:00:00"/>
    <d v="2026-02-10T00:00:00"/>
    <x v="0"/>
    <n v="332"/>
    <n v="50792"/>
    <x v="6"/>
    <n v="151.18"/>
    <n v="30.24"/>
  </r>
  <r>
    <n v="47112"/>
    <s v="REINOSO SALAS YAJAIRA CAROLINA"/>
    <d v="2026-02-10T00:00:00"/>
    <d v="2026-02-10T00:00:00"/>
    <x v="0"/>
    <n v="307"/>
    <n v="134"/>
    <x v="0"/>
    <n v="6"/>
    <n v="4.2"/>
  </r>
  <r>
    <n v="47112"/>
    <s v="REINOSO SALAS YAJAIRA CAROLINA"/>
    <d v="2026-02-10T00:00:00"/>
    <d v="2026-02-10T00:00:00"/>
    <x v="1"/>
    <n v="307"/>
    <n v="134"/>
    <x v="1"/>
    <n v="40"/>
    <n v="0.8"/>
  </r>
  <r>
    <n v="47113"/>
    <s v="ASEGURADORA DEL SUR C.A. "/>
    <d v="2026-02-10T00:00:00"/>
    <d v="2026-02-09T00:00:00"/>
    <x v="0"/>
    <n v="332"/>
    <n v="50774"/>
    <x v="6"/>
    <n v="30.26"/>
    <n v="6.05"/>
  </r>
  <r>
    <n v="47114"/>
    <s v="TOYOTASERVICIOS S.A."/>
    <d v="2026-02-10T00:00:00"/>
    <d v="2026-02-10T00:00:00"/>
    <x v="1"/>
    <n v="312"/>
    <n v="14881"/>
    <x v="5"/>
    <n v="676.11"/>
    <n v="11.83"/>
  </r>
  <r>
    <n v="47114"/>
    <s v="TOYOTASERVICIOS S.A."/>
    <d v="2026-02-10T00:00:00"/>
    <d v="2026-02-10T00:00:00"/>
    <x v="0"/>
    <n v="312"/>
    <n v="14881"/>
    <x v="4"/>
    <n v="101.42"/>
    <n v="30.43"/>
  </r>
  <r>
    <n v="47115"/>
    <s v="FIDEVAL S.A"/>
    <d v="2026-02-11T00:00:00"/>
    <d v="2026-02-11T00:00:00"/>
    <x v="1"/>
    <n v="303"/>
    <n v="226449"/>
    <x v="2"/>
    <n v="139.59"/>
    <n v="4.19"/>
  </r>
  <r>
    <n v="47115"/>
    <s v="FIDEVAL S.A"/>
    <d v="2026-02-11T00:00:00"/>
    <d v="2026-02-11T00:00:00"/>
    <x v="0"/>
    <n v="303"/>
    <n v="226449"/>
    <x v="6"/>
    <n v="20.94"/>
    <n v="4.19"/>
  </r>
  <r>
    <n v="47116"/>
    <s v="FIDEVAL S.A"/>
    <d v="2026-02-11T00:00:00"/>
    <d v="2026-02-11T00:00:00"/>
    <x v="1"/>
    <n v="303"/>
    <n v="226448"/>
    <x v="2"/>
    <n v="380"/>
    <n v="11.4"/>
  </r>
  <r>
    <n v="47116"/>
    <s v="FIDEVAL S.A"/>
    <d v="2026-02-11T00:00:00"/>
    <d v="2026-02-11T00:00:00"/>
    <x v="0"/>
    <n v="303"/>
    <n v="226448"/>
    <x v="6"/>
    <n v="57"/>
    <n v="11.4"/>
  </r>
  <r>
    <n v="47117"/>
    <s v="PROANDES SECURITY CIA. LTDA."/>
    <d v="2026-02-11T00:00:00"/>
    <d v="2026-02-11T00:00:00"/>
    <x v="0"/>
    <n v="344"/>
    <n v="12507"/>
    <x v="0"/>
    <n v="3"/>
    <n v="2.1"/>
  </r>
  <r>
    <n v="47117"/>
    <s v="PROANDES SECURITY CIA. LTDA."/>
    <d v="2026-02-11T00:00:00"/>
    <d v="2026-02-11T00:00:00"/>
    <x v="1"/>
    <n v="344"/>
    <n v="12507"/>
    <x v="7"/>
    <n v="20"/>
    <n v="0.55"/>
  </r>
  <r>
    <n v="47118"/>
    <s v="YANGTSE-AUTO DEL ECUADOR S.A."/>
    <d v="2026-02-12T00:00:00"/>
    <d v="2026-02-12T00:00:00"/>
    <x v="1"/>
    <n v="312"/>
    <n v="651"/>
    <x v="5"/>
    <n v="13980.87"/>
    <n v="244.67"/>
  </r>
  <r>
    <n v="47118"/>
    <s v="YANGTSE-AUTO DEL ECUADOR S.A."/>
    <d v="2026-02-12T00:00:00"/>
    <d v="2026-02-12T00:00:00"/>
    <x v="0"/>
    <n v="312"/>
    <n v="651"/>
    <x v="4"/>
    <n v="2097.13"/>
    <n v="629.14"/>
  </r>
  <r>
    <n v="47119"/>
    <s v="MAYORGA MAYORGA WILSON RAMIRO"/>
    <d v="2026-02-12T00:00:00"/>
    <d v="2026-02-12T00:00:00"/>
    <x v="0"/>
    <n v="304"/>
    <n v="76915"/>
    <x v="0"/>
    <n v="1.61"/>
    <n v="1.13"/>
  </r>
  <r>
    <n v="47119"/>
    <s v="MAYORGA MAYORGA WILSON RAMIRO"/>
    <d v="2026-02-12T00:00:00"/>
    <d v="2026-02-12T00:00:00"/>
    <x v="1"/>
    <n v="304"/>
    <n v="76915"/>
    <x v="3"/>
    <n v="10.74"/>
    <n v="1.07"/>
  </r>
  <r>
    <n v="47120"/>
    <s v="MAYORGA MAYORGA WILSON RAMIRO"/>
    <d v="2026-02-12T00:00:00"/>
    <d v="2026-02-12T00:00:00"/>
    <x v="0"/>
    <n v="304"/>
    <n v="76914"/>
    <x v="0"/>
    <n v="16.42"/>
    <n v="11.49"/>
  </r>
  <r>
    <n v="47120"/>
    <s v="MAYORGA MAYORGA WILSON RAMIRO"/>
    <d v="2026-02-12T00:00:00"/>
    <d v="2026-02-12T00:00:00"/>
    <x v="1"/>
    <n v="304"/>
    <n v="76914"/>
    <x v="3"/>
    <n v="110.07"/>
    <n v="11.01"/>
  </r>
  <r>
    <n v="47122"/>
    <s v="ASEGURADORA DEL SUR C.A. "/>
    <d v="2026-02-12T00:00:00"/>
    <d v="2026-02-12T00:00:00"/>
    <x v="0"/>
    <n v="332"/>
    <n v="17835092"/>
    <x v="6"/>
    <n v="246.67"/>
    <n v="49.33"/>
  </r>
  <r>
    <n v="47123"/>
    <s v="TOYOTASERVICIOS S.A."/>
    <d v="2026-02-12T00:00:00"/>
    <d v="2026-02-12T00:00:00"/>
    <x v="0"/>
    <n v="312"/>
    <n v="6871"/>
    <x v="4"/>
    <n v="18.97"/>
    <n v="5.69"/>
  </r>
  <r>
    <n v="47123"/>
    <s v="TOYOTASERVICIOS S.A."/>
    <d v="2026-02-12T00:00:00"/>
    <d v="2026-02-12T00:00:00"/>
    <x v="1"/>
    <n v="312"/>
    <n v="6871"/>
    <x v="5"/>
    <n v="126.44"/>
    <n v="2.21"/>
  </r>
  <r>
    <n v="47124"/>
    <s v="CARRO SEGURO CARSEG S.A.  "/>
    <d v="2026-02-12T00:00:00"/>
    <d v="2026-02-12T00:00:00"/>
    <x v="1"/>
    <n v="312"/>
    <n v="75049"/>
    <x v="5"/>
    <n v="280"/>
    <n v="4.9"/>
  </r>
  <r>
    <n v="47124"/>
    <s v="CARRO SEGURO CARSEG S.A.  "/>
    <d v="2026-02-12T00:00:00"/>
    <d v="2026-02-12T00:00:00"/>
    <x v="0"/>
    <n v="312"/>
    <n v="75049"/>
    <x v="3"/>
    <n v="42"/>
    <n v="4.2"/>
  </r>
  <r>
    <n v="47125"/>
    <s v="LARREAUTO CIA. LTDA. "/>
    <d v="2026-02-12T00:00:00"/>
    <d v="2026-02-12T00:00:00"/>
    <x v="0"/>
    <n v="344"/>
    <n v="6283"/>
    <x v="0"/>
    <n v="7.5"/>
    <n v="5.25"/>
  </r>
  <r>
    <n v="47125"/>
    <s v="LARREAUTO CIA. LTDA. "/>
    <d v="2026-02-12T00:00:00"/>
    <d v="2026-02-12T00:00:00"/>
    <x v="1"/>
    <n v="344"/>
    <n v="6283"/>
    <x v="7"/>
    <n v="50"/>
    <n v="1.38"/>
  </r>
  <r>
    <n v="47126"/>
    <s v="TOYOTASERVICIOS S.A."/>
    <d v="2026-02-12T00:00:00"/>
    <d v="2026-02-12T00:00:00"/>
    <x v="0"/>
    <n v="344"/>
    <n v="6870"/>
    <x v="0"/>
    <n v="6.83"/>
    <n v="4.78"/>
  </r>
  <r>
    <n v="47126"/>
    <s v="TOYOTASERVICIOS S.A."/>
    <d v="2026-02-12T00:00:00"/>
    <d v="2026-02-12T00:00:00"/>
    <x v="1"/>
    <n v="344"/>
    <n v="6870"/>
    <x v="7"/>
    <n v="45.5"/>
    <n v="1.25"/>
  </r>
  <r>
    <n v="47127"/>
    <s v="MERCANTIL TORRESCO CIA. LTDA."/>
    <d v="2026-02-12T00:00:00"/>
    <d v="2026-02-12T00:00:00"/>
    <x v="0"/>
    <n v="320"/>
    <n v="46"/>
    <x v="0"/>
    <n v="412.7"/>
    <n v="288.89"/>
  </r>
  <r>
    <n v="47127"/>
    <s v="MERCANTIL TORRESCO CIA. LTDA."/>
    <d v="2026-02-12T00:00:00"/>
    <d v="2026-02-12T00:00:00"/>
    <x v="1"/>
    <n v="320"/>
    <n v="46"/>
    <x v="3"/>
    <n v="2751.32"/>
    <n v="275.13"/>
  </r>
  <r>
    <n v="47128"/>
    <s v="SEVILLA GALARZA JOSE MANUEL"/>
    <d v="2026-02-12T00:00:00"/>
    <d v="2026-02-11T00:00:00"/>
    <x v="1"/>
    <n v="307"/>
    <n v="7220"/>
    <x v="1"/>
    <n v="63.13"/>
    <n v="1.26"/>
  </r>
  <r>
    <n v="47128"/>
    <s v="SEVILLA GALARZA JOSE MANUEL"/>
    <d v="2026-02-12T00:00:00"/>
    <d v="2026-02-11T00:00:00"/>
    <x v="0"/>
    <n v="307"/>
    <n v="7220"/>
    <x v="0"/>
    <n v="9.470000000000001"/>
    <n v="6.63"/>
  </r>
  <r>
    <n v="47129"/>
    <s v="AGUAS DIAS MARCO ANTONIO"/>
    <d v="2026-02-12T00:00:00"/>
    <d v="2026-02-10T00:00:00"/>
    <x v="0"/>
    <n v="307"/>
    <n v="1550"/>
    <x v="0"/>
    <n v="24.79"/>
    <n v="17.35"/>
  </r>
  <r>
    <n v="47129"/>
    <s v="AGUAS DIAS MARCO ANTONIO"/>
    <d v="2026-02-12T00:00:00"/>
    <d v="2026-02-10T00:00:00"/>
    <x v="1"/>
    <n v="307"/>
    <n v="1550"/>
    <x v="1"/>
    <n v="165.24"/>
    <n v="3.3"/>
  </r>
  <r>
    <n v="47130"/>
    <s v="SZK DEL ECUADOR S.A."/>
    <d v="2026-02-12T00:00:00"/>
    <d v="2026-02-10T00:00:00"/>
    <x v="0"/>
    <n v="312"/>
    <n v="3182"/>
    <x v="3"/>
    <n v="17283.52"/>
    <n v="1728.35"/>
  </r>
  <r>
    <n v="47131"/>
    <s v="CASABACA S.A. "/>
    <d v="2026-02-12T00:00:00"/>
    <d v="2026-02-12T00:00:00"/>
    <x v="0"/>
    <n v="332"/>
    <n v="31420"/>
    <x v="3"/>
    <n v="398.9"/>
    <n v="39.89"/>
  </r>
  <r>
    <n v="47132"/>
    <s v="CASABACA S.A. "/>
    <d v="2026-02-12T00:00:00"/>
    <d v="2026-02-12T00:00:00"/>
    <x v="0"/>
    <n v="332"/>
    <n v="31419"/>
    <x v="3"/>
    <n v="398.9"/>
    <n v="39.89"/>
  </r>
  <r>
    <n v="47133"/>
    <s v="CASABACA S.A. "/>
    <d v="2026-02-12T00:00:00"/>
    <d v="2026-02-12T00:00:00"/>
    <x v="0"/>
    <n v="332"/>
    <n v="31421"/>
    <x v="3"/>
    <n v="398.9"/>
    <n v="39.89"/>
  </r>
  <r>
    <n v="47134"/>
    <s v="CASABACA S.A. "/>
    <d v="2026-02-13T00:00:00"/>
    <d v="2026-02-13T00:00:00"/>
    <x v="0"/>
    <n v="332"/>
    <n v="9074"/>
    <x v="3"/>
    <n v="23011.2"/>
    <n v="2301.12"/>
  </r>
  <r>
    <n v="47135"/>
    <s v="YANGTSE-AUTO DEL ECUADOR S.A."/>
    <d v="2026-02-14T00:00:00"/>
    <d v="2026-02-14T00:00:00"/>
    <x v="0"/>
    <n v="312"/>
    <n v="660"/>
    <x v="4"/>
    <n v="2052.82"/>
    <n v="615.85"/>
  </r>
  <r>
    <n v="47135"/>
    <s v="YANGTSE-AUTO DEL ECUADOR S.A."/>
    <d v="2026-02-14T00:00:00"/>
    <d v="2026-02-14T00:00:00"/>
    <x v="1"/>
    <n v="312"/>
    <n v="660"/>
    <x v="5"/>
    <n v="13685.48"/>
    <n v="239.5"/>
  </r>
  <r>
    <n v="47136"/>
    <s v="YANGTSE-AUTO DEL ECUADOR S.A."/>
    <d v="2026-02-14T00:00:00"/>
    <d v="2026-02-14T00:00:00"/>
    <x v="1"/>
    <n v="312"/>
    <n v="662"/>
    <x v="5"/>
    <n v="13685.48"/>
    <n v="239.5"/>
  </r>
  <r>
    <n v="47136"/>
    <s v="YANGTSE-AUTO DEL ECUADOR S.A."/>
    <d v="2026-02-14T00:00:00"/>
    <d v="2026-02-14T00:00:00"/>
    <x v="0"/>
    <n v="312"/>
    <n v="662"/>
    <x v="4"/>
    <n v="2052.82"/>
    <n v="615.85"/>
  </r>
  <r>
    <n v="47137"/>
    <s v="YANGTSE-AUTO DEL ECUADOR S.A."/>
    <d v="2026-02-14T00:00:00"/>
    <d v="2026-02-14T00:00:00"/>
    <x v="0"/>
    <n v="312"/>
    <n v="659"/>
    <x v="4"/>
    <n v="2052.82"/>
    <n v="615.85"/>
  </r>
  <r>
    <n v="47137"/>
    <s v="YANGTSE-AUTO DEL ECUADOR S.A."/>
    <d v="2026-02-14T00:00:00"/>
    <d v="2026-02-14T00:00:00"/>
    <x v="1"/>
    <n v="312"/>
    <n v="659"/>
    <x v="5"/>
    <n v="13685.48"/>
    <n v="239.5"/>
  </r>
  <r>
    <n v="47138"/>
    <s v="YANGTSE-AUTO DEL ECUADOR S.A."/>
    <d v="2026-02-14T00:00:00"/>
    <d v="2026-02-14T00:00:00"/>
    <x v="1"/>
    <n v="312"/>
    <n v="664"/>
    <x v="5"/>
    <n v="13685.48"/>
    <n v="239.5"/>
  </r>
  <r>
    <n v="47138"/>
    <s v="YANGTSE-AUTO DEL ECUADOR S.A."/>
    <d v="2026-02-14T00:00:00"/>
    <d v="2026-02-14T00:00:00"/>
    <x v="0"/>
    <n v="312"/>
    <n v="664"/>
    <x v="4"/>
    <n v="2052.82"/>
    <n v="615.85"/>
  </r>
  <r>
    <n v="47139"/>
    <s v="YANGTSE-AUTO DEL ECUADOR S.A."/>
    <d v="2026-02-14T00:00:00"/>
    <d v="2026-02-14T00:00:00"/>
    <x v="1"/>
    <n v="312"/>
    <n v="661"/>
    <x v="5"/>
    <n v="13685.48"/>
    <n v="239.5"/>
  </r>
  <r>
    <n v="47139"/>
    <s v="YANGTSE-AUTO DEL ECUADOR S.A."/>
    <d v="2026-02-14T00:00:00"/>
    <d v="2026-02-14T00:00:00"/>
    <x v="0"/>
    <n v="312"/>
    <n v="661"/>
    <x v="4"/>
    <n v="2052.82"/>
    <n v="615.85"/>
  </r>
  <r>
    <n v="47140"/>
    <s v="VALENZUELA SALAZAR JAVIER EDMUNDO"/>
    <d v="2026-02-17T00:00:00"/>
    <d v="2026-02-13T00:00:00"/>
    <x v="0"/>
    <n v="304"/>
    <n v="2"/>
    <x v="0"/>
    <n v="472.5"/>
    <n v="330.75"/>
  </r>
  <r>
    <n v="47140"/>
    <s v="VALENZUELA SALAZAR JAVIER EDMUNDO"/>
    <d v="2026-02-17T00:00:00"/>
    <d v="2026-02-13T00:00:00"/>
    <x v="1"/>
    <n v="304"/>
    <n v="2"/>
    <x v="3"/>
    <n v="3150"/>
    <n v="315"/>
  </r>
  <r>
    <n v="47141"/>
    <s v="YANGTSE-AUTO DEL ECUADOR S.A."/>
    <d v="2026-02-17T00:00:00"/>
    <d v="2026-02-14T00:00:00"/>
    <x v="1"/>
    <n v="312"/>
    <n v="657"/>
    <x v="5"/>
    <n v="33940"/>
    <n v="593.95"/>
  </r>
  <r>
    <n v="47142"/>
    <s v="ZEA ALTAMIRANO MARIA ELENA"/>
    <d v="2026-02-18T00:00:00"/>
    <d v="2026-02-18T00:00:00"/>
    <x v="1"/>
    <n v="304"/>
    <n v="3"/>
    <x v="3"/>
    <n v="3150"/>
    <n v="315"/>
  </r>
  <r>
    <n v="47142"/>
    <s v="ZEA ALTAMIRANO MARIA ELENA"/>
    <d v="2026-02-18T00:00:00"/>
    <d v="2026-02-18T00:00:00"/>
    <x v="0"/>
    <n v="304"/>
    <n v="3"/>
    <x v="0"/>
    <n v="472.5"/>
    <n v="330.75"/>
  </r>
  <r>
    <n v="47143"/>
    <s v="CASABACA S.A. "/>
    <d v="2026-02-18T00:00:00"/>
    <d v="2026-02-18T00:00:00"/>
    <x v="0"/>
    <n v="332"/>
    <n v="9084"/>
    <x v="3"/>
    <n v="23556.02"/>
    <n v="2355.6"/>
  </r>
  <r>
    <n v="47144"/>
    <s v="CARLARSERVICE CIA. LTDA"/>
    <d v="2026-02-18T00:00:00"/>
    <d v="2026-02-18T00:00:00"/>
    <x v="1"/>
    <n v="303"/>
    <n v="451"/>
    <x v="2"/>
    <n v="608"/>
    <n v="18.24"/>
  </r>
  <r>
    <n v="47144"/>
    <s v="CARLARSERVICE CIA. LTDA"/>
    <d v="2026-02-18T00:00:00"/>
    <d v="2026-02-18T00:00:00"/>
    <x v="0"/>
    <n v="303"/>
    <n v="451"/>
    <x v="0"/>
    <n v="91.2"/>
    <n v="63.84"/>
  </r>
  <r>
    <n v="47145"/>
    <s v="CARLARSERVICE CIA. LTDA"/>
    <d v="2026-02-18T00:00:00"/>
    <d v="2026-02-18T00:00:00"/>
    <x v="0"/>
    <n v="303"/>
    <n v="454"/>
    <x v="0"/>
    <n v="68.05"/>
    <n v="47.64"/>
  </r>
  <r>
    <n v="47145"/>
    <s v="CARLARSERVICE CIA. LTDA"/>
    <d v="2026-02-18T00:00:00"/>
    <d v="2026-02-18T00:00:00"/>
    <x v="1"/>
    <n v="303"/>
    <n v="454"/>
    <x v="2"/>
    <n v="453.67"/>
    <n v="13.61"/>
  </r>
  <r>
    <n v="47146"/>
    <s v="CARLARSERVICE CIA. LTDA"/>
    <d v="2026-02-18T00:00:00"/>
    <d v="2026-02-18T00:00:00"/>
    <x v="0"/>
    <n v="303"/>
    <n v="456"/>
    <x v="0"/>
    <n v="148.93"/>
    <n v="104.25"/>
  </r>
  <r>
    <n v="47146"/>
    <s v="CARLARSERVICE CIA. LTDA"/>
    <d v="2026-02-18T00:00:00"/>
    <d v="2026-02-18T00:00:00"/>
    <x v="1"/>
    <n v="303"/>
    <n v="456"/>
    <x v="2"/>
    <n v="992.85"/>
    <n v="29.79"/>
  </r>
  <r>
    <n v="47147"/>
    <s v="REINOSO SALAS YAJAIRA CAROLINA"/>
    <d v="2026-02-18T00:00:00"/>
    <d v="2026-02-12T00:00:00"/>
    <x v="0"/>
    <n v="307"/>
    <n v="137"/>
    <x v="0"/>
    <n v="7.5"/>
    <n v="5.25"/>
  </r>
  <r>
    <n v="47147"/>
    <s v="REINOSO SALAS YAJAIRA CAROLINA"/>
    <d v="2026-02-18T00:00:00"/>
    <d v="2026-02-12T00:00:00"/>
    <x v="1"/>
    <n v="307"/>
    <n v="137"/>
    <x v="1"/>
    <n v="50"/>
    <n v="1"/>
  </r>
  <r>
    <n v="47148"/>
    <s v="VAZCREDIT S.A."/>
    <d v="2026-02-18T00:00:00"/>
    <d v="2026-02-13T00:00:00"/>
    <x v="1"/>
    <n v="344"/>
    <n v="39"/>
    <x v="7"/>
    <n v="17113.18"/>
    <n v="470.61"/>
  </r>
  <r>
    <n v="47149"/>
    <s v="REINOSO SALAS YAJAIRA CAROLINA"/>
    <d v="2026-02-18T00:00:00"/>
    <d v="2026-02-18T00:00:00"/>
    <x v="0"/>
    <n v="307"/>
    <n v="141"/>
    <x v="0"/>
    <n v="6"/>
    <n v="4.2"/>
  </r>
  <r>
    <n v="47149"/>
    <s v="REINOSO SALAS YAJAIRA CAROLINA"/>
    <d v="2026-02-18T00:00:00"/>
    <d v="2026-02-18T00:00:00"/>
    <x v="1"/>
    <n v="307"/>
    <n v="141"/>
    <x v="1"/>
    <n v="40"/>
    <n v="0.8"/>
  </r>
  <r>
    <n v="47150"/>
    <s v="REINOSO SALAS YAJAIRA CAROLINA"/>
    <d v="2026-02-18T00:00:00"/>
    <d v="2026-02-18T00:00:00"/>
    <x v="1"/>
    <n v="307"/>
    <n v="142"/>
    <x v="1"/>
    <n v="40"/>
    <n v="0.8"/>
  </r>
  <r>
    <n v="47150"/>
    <s v="REINOSO SALAS YAJAIRA CAROLINA"/>
    <d v="2026-02-18T00:00:00"/>
    <d v="2026-02-18T00:00:00"/>
    <x v="0"/>
    <n v="307"/>
    <n v="142"/>
    <x v="0"/>
    <n v="6"/>
    <n v="4.2"/>
  </r>
  <r>
    <n v="47151"/>
    <s v="REINOSO SALAS YAJAIRA CAROLINA"/>
    <d v="2026-02-18T00:00:00"/>
    <d v="2026-02-18T00:00:00"/>
    <x v="0"/>
    <n v="307"/>
    <n v="143"/>
    <x v="0"/>
    <n v="6"/>
    <n v="4.2"/>
  </r>
  <r>
    <n v="47151"/>
    <s v="REINOSO SALAS YAJAIRA CAROLINA"/>
    <d v="2026-02-18T00:00:00"/>
    <d v="2026-02-18T00:00:00"/>
    <x v="1"/>
    <n v="307"/>
    <n v="143"/>
    <x v="1"/>
    <n v="40"/>
    <n v="0.8"/>
  </r>
  <r>
    <n v="47152"/>
    <s v="ETL-EC AUDITORES S.A."/>
    <d v="2026-02-18T00:00:00"/>
    <d v="2026-02-10T00:00:00"/>
    <x v="0"/>
    <n v="303"/>
    <n v="7432"/>
    <x v="0"/>
    <n v="247.5"/>
    <n v="173.25"/>
  </r>
  <r>
    <n v="47152"/>
    <s v="ETL-EC AUDITORES S.A."/>
    <d v="2026-02-18T00:00:00"/>
    <d v="2026-02-10T00:00:00"/>
    <x v="1"/>
    <n v="303"/>
    <n v="7432"/>
    <x v="2"/>
    <n v="1650"/>
    <n v="49.5"/>
  </r>
  <r>
    <n v="47153"/>
    <s v="LOPEZ ANDRANGO SEGUNDO MANUEL"/>
    <d v="2026-02-18T00:00:00"/>
    <d v="2026-02-13T00:00:00"/>
    <x v="1"/>
    <n v="307"/>
    <n v="550"/>
    <x v="1"/>
    <n v="100"/>
    <n v="2"/>
  </r>
  <r>
    <n v="47153"/>
    <s v="LOPEZ ANDRANGO SEGUNDO MANUEL"/>
    <d v="2026-02-18T00:00:00"/>
    <d v="2026-02-13T00:00:00"/>
    <x v="0"/>
    <n v="307"/>
    <n v="550"/>
    <x v="0"/>
    <n v="15"/>
    <n v="10.5"/>
  </r>
  <r>
    <n v="47154"/>
    <s v="KMSOLUTIONS S.A."/>
    <d v="2026-02-18T00:00:00"/>
    <d v="2026-02-13T00:00:00"/>
    <x v="1"/>
    <n v="344"/>
    <n v="29230"/>
    <x v="7"/>
    <n v="784.3200000000001"/>
    <n v="21.57"/>
  </r>
  <r>
    <n v="47154"/>
    <s v="KMSOLUTIONS S.A."/>
    <d v="2026-02-18T00:00:00"/>
    <d v="2026-02-13T00:00:00"/>
    <x v="0"/>
    <n v="344"/>
    <n v="29230"/>
    <x v="6"/>
    <n v="117.65"/>
    <n v="23.53"/>
  </r>
  <r>
    <n v="47155"/>
    <s v="REINOSO SALAS YAJAIRA CAROLINA"/>
    <d v="2026-02-18T00:00:00"/>
    <d v="2026-02-18T00:00:00"/>
    <x v="1"/>
    <n v="307"/>
    <n v="140"/>
    <x v="1"/>
    <n v="40"/>
    <n v="0.8"/>
  </r>
  <r>
    <n v="47155"/>
    <s v="REINOSO SALAS YAJAIRA CAROLINA"/>
    <d v="2026-02-18T00:00:00"/>
    <d v="2026-02-18T00:00:00"/>
    <x v="0"/>
    <n v="307"/>
    <n v="140"/>
    <x v="0"/>
    <n v="6"/>
    <n v="4.2"/>
  </r>
  <r>
    <n v="47156"/>
    <s v="LALAMA MORALES CARMEN GUADALUPE"/>
    <d v="2026-02-18T00:00:00"/>
    <d v="2026-02-10T00:00:00"/>
    <x v="1"/>
    <n v="312"/>
    <n v="5950"/>
    <x v="5"/>
    <n v="20.54"/>
    <n v="0.36"/>
  </r>
  <r>
    <n v="47156"/>
    <s v="LALAMA MORALES CARMEN GUADALUPE"/>
    <d v="2026-02-18T00:00:00"/>
    <d v="2026-02-10T00:00:00"/>
    <x v="0"/>
    <n v="312"/>
    <n v="5950"/>
    <x v="4"/>
    <n v="3.08"/>
    <n v="0.92"/>
  </r>
  <r>
    <n v="47157"/>
    <s v="REINOSO SALAS YAJAIRA CAROLINA"/>
    <d v="2026-02-18T00:00:00"/>
    <d v="2026-02-18T00:00:00"/>
    <x v="0"/>
    <n v="307"/>
    <n v="139"/>
    <x v="0"/>
    <n v="6"/>
    <n v="4.2"/>
  </r>
  <r>
    <n v="47157"/>
    <s v="REINOSO SALAS YAJAIRA CAROLINA"/>
    <d v="2026-02-18T00:00:00"/>
    <d v="2026-02-18T00:00:00"/>
    <x v="1"/>
    <n v="307"/>
    <n v="139"/>
    <x v="1"/>
    <n v="40"/>
    <n v="0.8"/>
  </r>
  <r>
    <n v="47158"/>
    <s v="PAEZ ORTIZ CHRISTIAN GONZALO"/>
    <d v="2026-02-18T00:00:00"/>
    <d v="2026-02-14T00:00:00"/>
    <x v="1"/>
    <n v="312"/>
    <n v="3630"/>
    <x v="5"/>
    <n v="92.5"/>
    <n v="1.62"/>
  </r>
  <r>
    <n v="47158"/>
    <s v="PAEZ ORTIZ CHRISTIAN GONZALO"/>
    <d v="2026-02-18T00:00:00"/>
    <d v="2026-02-14T00:00:00"/>
    <x v="0"/>
    <n v="312"/>
    <n v="3630"/>
    <x v="4"/>
    <n v="13.88"/>
    <n v="4.16"/>
  </r>
  <r>
    <n v="47159"/>
    <s v="ASTUDILLO RIVADENEIRA CRISTOPHER DANIEL"/>
    <d v="2026-02-18T00:00:00"/>
    <d v="2026-02-13T00:00:00"/>
    <x v="0"/>
    <n v="307"/>
    <n v="1114"/>
    <x v="0"/>
    <n v="285"/>
    <n v="199.5"/>
  </r>
  <r>
    <n v="47159"/>
    <s v="ASTUDILLO RIVADENEIRA CRISTOPHER DANIEL"/>
    <d v="2026-02-18T00:00:00"/>
    <d v="2026-02-13T00:00:00"/>
    <x v="1"/>
    <n v="307"/>
    <n v="1114"/>
    <x v="1"/>
    <n v="1900"/>
    <n v="38"/>
  </r>
  <r>
    <n v="47160"/>
    <s v="PAEZ ORTIZ CHRISTIAN GONZALO"/>
    <d v="2026-02-18T00:00:00"/>
    <d v="2026-02-14T00:00:00"/>
    <x v="1"/>
    <n v="312"/>
    <n v="3631"/>
    <x v="5"/>
    <n v="232.4"/>
    <n v="4.07"/>
  </r>
  <r>
    <n v="47160"/>
    <s v="PAEZ ORTIZ CHRISTIAN GONZALO"/>
    <d v="2026-02-18T00:00:00"/>
    <d v="2026-02-14T00:00:00"/>
    <x v="0"/>
    <n v="312"/>
    <n v="3631"/>
    <x v="4"/>
    <n v="34.86"/>
    <n v="10.46"/>
  </r>
  <r>
    <n v="47161"/>
    <s v="PAEZ ORTIZ CHRISTIAN GONZALO"/>
    <d v="2026-02-18T00:00:00"/>
    <d v="2026-02-14T00:00:00"/>
    <x v="0"/>
    <n v="312"/>
    <n v="3633"/>
    <x v="4"/>
    <n v="19.2"/>
    <n v="5.76"/>
  </r>
  <r>
    <n v="47161"/>
    <s v="PAEZ ORTIZ CHRISTIAN GONZALO"/>
    <d v="2026-02-18T00:00:00"/>
    <d v="2026-02-14T00:00:00"/>
    <x v="1"/>
    <n v="312"/>
    <n v="3633"/>
    <x v="5"/>
    <n v="128"/>
    <n v="2.24"/>
  </r>
  <r>
    <n v="47162"/>
    <s v="PAEZ ORTIZ CHRISTIAN GONZALO"/>
    <d v="2026-02-18T00:00:00"/>
    <d v="2026-02-14T00:00:00"/>
    <x v="0"/>
    <n v="312"/>
    <n v="3634"/>
    <x v="4"/>
    <n v="34.56"/>
    <n v="10.37"/>
  </r>
  <r>
    <n v="47162"/>
    <s v="PAEZ ORTIZ CHRISTIAN GONZALO"/>
    <d v="2026-02-18T00:00:00"/>
    <d v="2026-02-14T00:00:00"/>
    <x v="1"/>
    <n v="312"/>
    <n v="3634"/>
    <x v="5"/>
    <n v="230.4"/>
    <n v="4.03"/>
  </r>
  <r>
    <n v="47163"/>
    <s v="PAEZ ORTIZ CHRISTIAN GONZALO"/>
    <d v="2026-02-18T00:00:00"/>
    <d v="2026-02-12T00:00:00"/>
    <x v="0"/>
    <n v="312"/>
    <n v="3622"/>
    <x v="4"/>
    <n v="10.5"/>
    <n v="3.15"/>
  </r>
  <r>
    <n v="47163"/>
    <s v="PAEZ ORTIZ CHRISTIAN GONZALO"/>
    <d v="2026-02-18T00:00:00"/>
    <d v="2026-02-12T00:00:00"/>
    <x v="1"/>
    <n v="312"/>
    <n v="3622"/>
    <x v="5"/>
    <n v="70"/>
    <n v="1.23"/>
  </r>
  <r>
    <n v="47164"/>
    <s v="ASTUDILLO RIVADENEIRA CRISTOPHER DANIEL"/>
    <d v="2026-02-18T00:00:00"/>
    <d v="2026-02-13T00:00:00"/>
    <x v="0"/>
    <n v="307"/>
    <n v="1113"/>
    <x v="0"/>
    <n v="285"/>
    <n v="199.5"/>
  </r>
  <r>
    <n v="47164"/>
    <s v="ASTUDILLO RIVADENEIRA CRISTOPHER DANIEL"/>
    <d v="2026-02-18T00:00:00"/>
    <d v="2026-02-13T00:00:00"/>
    <x v="1"/>
    <n v="307"/>
    <n v="1113"/>
    <x v="1"/>
    <n v="1900"/>
    <n v="38"/>
  </r>
  <r>
    <n v="47165"/>
    <s v="PAEZ ORTIZ CHRISTIAN GONZALO"/>
    <d v="2026-02-18T00:00:00"/>
    <d v="2026-02-14T00:00:00"/>
    <x v="1"/>
    <n v="312"/>
    <n v="3632"/>
    <x v="5"/>
    <n v="299"/>
    <n v="5.23"/>
  </r>
  <r>
    <n v="47165"/>
    <s v="PAEZ ORTIZ CHRISTIAN GONZALO"/>
    <d v="2026-02-18T00:00:00"/>
    <d v="2026-02-14T00:00:00"/>
    <x v="0"/>
    <n v="312"/>
    <n v="3632"/>
    <x v="4"/>
    <n v="44.85"/>
    <n v="13.46"/>
  </r>
  <r>
    <n v="47166"/>
    <s v="PAEZ ORTIZ CHRISTIAN GONZALO"/>
    <d v="2026-02-18T00:00:00"/>
    <d v="2026-02-14T00:00:00"/>
    <x v="1"/>
    <n v="307"/>
    <n v="3635"/>
    <x v="1"/>
    <n v="487"/>
    <n v="9.74"/>
  </r>
  <r>
    <n v="47166"/>
    <s v="PAEZ ORTIZ CHRISTIAN GONZALO"/>
    <d v="2026-02-18T00:00:00"/>
    <d v="2026-02-14T00:00:00"/>
    <x v="0"/>
    <n v="307"/>
    <n v="3635"/>
    <x v="0"/>
    <n v="73.05"/>
    <n v="51.14"/>
  </r>
  <r>
    <n v="47167"/>
    <s v="TOYOTASERVICIOS S.A."/>
    <d v="2026-02-18T00:00:00"/>
    <d v="2026-02-18T00:00:00"/>
    <x v="1"/>
    <n v="344"/>
    <n v="6895"/>
    <x v="7"/>
    <n v="21.63"/>
    <n v="0.59"/>
  </r>
  <r>
    <n v="47167"/>
    <s v="TOYOTASERVICIOS S.A."/>
    <d v="2026-02-18T00:00:00"/>
    <d v="2026-02-18T00:00:00"/>
    <x v="0"/>
    <n v="344"/>
    <n v="6895"/>
    <x v="0"/>
    <n v="3.24"/>
    <n v="2.27"/>
  </r>
  <r>
    <n v="47168"/>
    <s v="TOYOTASERVICIOS S.A."/>
    <d v="2026-02-18T00:00:00"/>
    <d v="2026-02-18T00:00:00"/>
    <x v="1"/>
    <n v="312"/>
    <n v="6894"/>
    <x v="5"/>
    <n v="29.89"/>
    <n v="0.52"/>
  </r>
  <r>
    <n v="47168"/>
    <s v="TOYOTASERVICIOS S.A."/>
    <d v="2026-02-18T00:00:00"/>
    <d v="2026-02-18T00:00:00"/>
    <x v="0"/>
    <n v="312"/>
    <n v="6894"/>
    <x v="4"/>
    <n v="4.48"/>
    <n v="1.34"/>
  </r>
  <r>
    <n v="47169"/>
    <s v="GARCES REA JAVIER ALEJANDRO  "/>
    <d v="2026-02-18T00:00:00"/>
    <d v="2026-02-18T00:00:00"/>
    <x v="1"/>
    <n v="312"/>
    <n v="1096"/>
    <x v="5"/>
    <n v="1000"/>
    <n v="17.5"/>
  </r>
  <r>
    <n v="47169"/>
    <s v="GARCES REA JAVIER ALEJANDRO  "/>
    <d v="2026-02-18T00:00:00"/>
    <d v="2026-02-18T00:00:00"/>
    <x v="0"/>
    <n v="312"/>
    <n v="1096"/>
    <x v="4"/>
    <n v="150"/>
    <n v="45"/>
  </r>
  <r>
    <n v="47170"/>
    <s v="TOYOTASERVICIOS S.A."/>
    <d v="2026-02-18T00:00:00"/>
    <d v="2026-02-18T00:00:00"/>
    <x v="1"/>
    <n v="312"/>
    <n v="14894"/>
    <x v="5"/>
    <n v="682.3"/>
    <n v="11.94"/>
  </r>
  <r>
    <n v="47170"/>
    <s v="TOYOTASERVICIOS S.A."/>
    <d v="2026-02-18T00:00:00"/>
    <d v="2026-02-18T00:00:00"/>
    <x v="0"/>
    <n v="312"/>
    <n v="14894"/>
    <x v="4"/>
    <n v="102.35"/>
    <n v="30.71"/>
  </r>
  <r>
    <n v="47171"/>
    <s v="TOYOTASERVICIOS S.A."/>
    <d v="2026-02-18T00:00:00"/>
    <d v="2026-02-18T00:00:00"/>
    <x v="1"/>
    <n v="312"/>
    <n v="14895"/>
    <x v="5"/>
    <n v="220"/>
    <n v="3.85"/>
  </r>
  <r>
    <n v="47171"/>
    <s v="TOYOTASERVICIOS S.A."/>
    <d v="2026-02-18T00:00:00"/>
    <d v="2026-02-18T00:00:00"/>
    <x v="0"/>
    <n v="312"/>
    <n v="14895"/>
    <x v="4"/>
    <n v="33"/>
    <n v="9.9"/>
  </r>
  <r>
    <n v="47172"/>
    <s v="CABRERA ROJAS DORIS MARIA"/>
    <d v="2026-02-19T00:00:00"/>
    <d v="2026-02-19T00:00:00"/>
    <x v="1"/>
    <n v="304"/>
    <n v="193539"/>
    <x v="3"/>
    <n v="74.69"/>
    <n v="7.47"/>
  </r>
  <r>
    <n v="47172"/>
    <s v="CABRERA ROJAS DORIS MARIA"/>
    <d v="2026-02-19T00:00:00"/>
    <d v="2026-02-19T00:00:00"/>
    <x v="0"/>
    <n v="304"/>
    <n v="193539"/>
    <x v="0"/>
    <n v="11.11"/>
    <n v="7.78"/>
  </r>
  <r>
    <n v="47173"/>
    <s v="SZK DEL ECUADOR S.A."/>
    <d v="2026-02-19T00:00:00"/>
    <d v="2026-02-19T00:00:00"/>
    <x v="0"/>
    <n v="312"/>
    <n v="3183"/>
    <x v="3"/>
    <n v="15525.44"/>
    <n v="1552.54"/>
  </r>
  <r>
    <n v="47174"/>
    <s v="YANGTSE-AUTO DEL ECUADOR S.A."/>
    <d v="2026-02-19T00:00:00"/>
    <d v="2026-02-19T00:00:00"/>
    <x v="1"/>
    <n v="312"/>
    <n v="545"/>
    <x v="5"/>
    <n v="396.08"/>
    <n v="6.93"/>
  </r>
  <r>
    <n v="47174"/>
    <s v="YANGTSE-AUTO DEL ECUADOR S.A."/>
    <d v="2026-02-19T00:00:00"/>
    <d v="2026-02-19T00:00:00"/>
    <x v="0"/>
    <n v="312"/>
    <n v="545"/>
    <x v="4"/>
    <n v="3.91"/>
    <n v="1.17"/>
  </r>
  <r>
    <n v="47175"/>
    <s v="SZK DEL ECUADOR S.A."/>
    <d v="2026-02-20T00:00:00"/>
    <d v="2026-02-20T00:00:00"/>
    <x v="0"/>
    <n v="312"/>
    <n v="3184"/>
    <x v="3"/>
    <n v="9688.940000000001"/>
    <n v="968.89"/>
  </r>
  <r>
    <n v="47176"/>
    <s v="COUSIN VALLEJO BYRON IVAN"/>
    <d v="2026-02-22T00:00:00"/>
    <d v="2026-02-19T00:00:00"/>
    <x v="1"/>
    <n v="307"/>
    <n v="314"/>
    <x v="1"/>
    <n v="60"/>
    <n v="1.2"/>
  </r>
  <r>
    <n v="47177"/>
    <s v="FILLIPPO SANCHEZ ALEXANDER"/>
    <d v="2026-02-22T00:00:00"/>
    <d v="2026-02-19T00:00:00"/>
    <x v="1"/>
    <n v="312"/>
    <n v="178"/>
    <x v="5"/>
    <n v="11016.09"/>
    <n v="192.78"/>
  </r>
  <r>
    <n v="47177"/>
    <s v="FILLIPPO SANCHEZ ALEXANDER"/>
    <d v="2026-02-22T00:00:00"/>
    <d v="2026-02-19T00:00:00"/>
    <x v="0"/>
    <n v="312"/>
    <n v="178"/>
    <x v="4"/>
    <n v="1652.41"/>
    <n v="495.72"/>
  </r>
  <r>
    <n v="47178"/>
    <s v="FILLIPPO SANCHEZ ALEXANDER"/>
    <d v="2026-02-22T00:00:00"/>
    <d v="2026-02-19T00:00:00"/>
    <x v="0"/>
    <n v="307"/>
    <n v="177"/>
    <x v="0"/>
    <n v="2945.53"/>
    <n v="2061.87"/>
  </r>
  <r>
    <n v="47178"/>
    <s v="FILLIPPO SANCHEZ ALEXANDER"/>
    <d v="2026-02-22T00:00:00"/>
    <d v="2026-02-19T00:00:00"/>
    <x v="1"/>
    <n v="307"/>
    <n v="177"/>
    <x v="1"/>
    <n v="19636.88"/>
    <n v="392.74"/>
  </r>
  <r>
    <n v="47179"/>
    <s v="INDUSTRIAL Y COMERCIAL CASTRO OJEDA I.C.C.O. S.A."/>
    <d v="2026-02-22T00:00:00"/>
    <d v="2026-02-18T00:00:00"/>
    <x v="1"/>
    <n v="312"/>
    <n v="239005"/>
    <x v="5"/>
    <n v="162.49"/>
    <n v="2.84"/>
  </r>
  <r>
    <n v="47179"/>
    <s v="INDUSTRIAL Y COMERCIAL CASTRO OJEDA I.C.C.O. S.A."/>
    <d v="2026-02-22T00:00:00"/>
    <d v="2026-02-18T00:00:00"/>
    <x v="0"/>
    <n v="312"/>
    <n v="239005"/>
    <x v="3"/>
    <n v="24.37"/>
    <n v="2.44"/>
  </r>
  <r>
    <n v="47180"/>
    <s v="INDUSTRIAL Y COMERCIAL CASTRO OJEDA I.C.C.O. S.A."/>
    <d v="2026-02-22T00:00:00"/>
    <d v="2026-02-18T00:00:00"/>
    <x v="0"/>
    <n v="312"/>
    <n v="239006"/>
    <x v="3"/>
    <n v="24.88"/>
    <n v="2.49"/>
  </r>
  <r>
    <n v="47180"/>
    <s v="INDUSTRIAL Y COMERCIAL CASTRO OJEDA I.C.C.O. S.A."/>
    <d v="2026-02-22T00:00:00"/>
    <d v="2026-02-18T00:00:00"/>
    <x v="1"/>
    <n v="312"/>
    <n v="239006"/>
    <x v="5"/>
    <n v="165.89"/>
    <n v="2.9"/>
  </r>
  <r>
    <n v="47181"/>
    <s v="CAMARA DE COMERCIO DE AMBATO"/>
    <d v="2026-02-22T00:00:00"/>
    <d v="2026-02-19T00:00:00"/>
    <x v="0"/>
    <n v="320"/>
    <n v="21000"/>
    <x v="0"/>
    <n v="16.31"/>
    <n v="11.42"/>
  </r>
  <r>
    <n v="47182"/>
    <s v="CARRERA KUMMERFELD MANUEL FABIAN"/>
    <d v="2026-02-22T00:00:00"/>
    <d v="2026-02-18T00:00:00"/>
    <x v="1"/>
    <n v="307"/>
    <n v="538"/>
    <x v="1"/>
    <n v="175"/>
    <n v="3.5"/>
  </r>
  <r>
    <n v="47182"/>
    <s v="CARRERA KUMMERFELD MANUEL FABIAN"/>
    <d v="2026-02-22T00:00:00"/>
    <d v="2026-02-18T00:00:00"/>
    <x v="0"/>
    <n v="307"/>
    <n v="538"/>
    <x v="0"/>
    <n v="26.25"/>
    <n v="18.38"/>
  </r>
  <r>
    <n v="47183"/>
    <s v="FABARA VILLACIS MANOLO ROBERTO"/>
    <d v="2026-02-22T00:00:00"/>
    <d v="2026-02-20T00:00:00"/>
    <x v="1"/>
    <n v="320"/>
    <n v="11"/>
    <x v="3"/>
    <n v="1200"/>
    <n v="120"/>
  </r>
  <r>
    <n v="47184"/>
    <s v="INDUSTRIAL Y COMERCIAL CASTRO OJEDA I.C.C.O. S.A."/>
    <d v="2026-02-22T00:00:00"/>
    <d v="2026-02-18T00:00:00"/>
    <x v="1"/>
    <n v="312"/>
    <n v="239004"/>
    <x v="5"/>
    <n v="335.63"/>
    <n v="5.87"/>
  </r>
  <r>
    <n v="47184"/>
    <s v="INDUSTRIAL Y COMERCIAL CASTRO OJEDA I.C.C.O. S.A."/>
    <d v="2026-02-22T00:00:00"/>
    <d v="2026-02-18T00:00:00"/>
    <x v="0"/>
    <n v="312"/>
    <n v="239004"/>
    <x v="3"/>
    <n v="50.34"/>
    <n v="5.03"/>
  </r>
  <r>
    <n v="47185"/>
    <s v="SUAREZ JACOME DOLORES FERNANDA"/>
    <d v="2026-02-22T00:00:00"/>
    <d v="2026-02-19T00:00:00"/>
    <x v="1"/>
    <n v="312"/>
    <n v="5599"/>
    <x v="5"/>
    <n v="179.2"/>
    <n v="3.14"/>
  </r>
  <r>
    <n v="47185"/>
    <s v="SUAREZ JACOME DOLORES FERNANDA"/>
    <d v="2026-02-22T00:00:00"/>
    <d v="2026-02-19T00:00:00"/>
    <x v="0"/>
    <n v="312"/>
    <n v="5599"/>
    <x v="4"/>
    <n v="8.130000000000001"/>
    <n v="2.44"/>
  </r>
  <r>
    <n v="47186"/>
    <s v="SUAREZ JACOME DOLORES FERNANDA"/>
    <d v="2026-02-22T00:00:00"/>
    <d v="2026-02-19T00:00:00"/>
    <x v="1"/>
    <n v="312"/>
    <n v="5600"/>
    <x v="5"/>
    <n v="86.56999999999999"/>
    <n v="1.51"/>
  </r>
  <r>
    <n v="47186"/>
    <s v="SUAREZ JACOME DOLORES FERNANDA"/>
    <d v="2026-02-22T00:00:00"/>
    <d v="2026-02-19T00:00:00"/>
    <x v="0"/>
    <n v="312"/>
    <n v="5600"/>
    <x v="4"/>
    <n v="5.49"/>
    <n v="1.65"/>
  </r>
  <r>
    <n v="47187"/>
    <s v="SUAREZ JACOME DOLORES FERNANDA"/>
    <d v="2026-02-22T00:00:00"/>
    <d v="2026-02-19T00:00:00"/>
    <x v="1"/>
    <n v="312"/>
    <n v="5602"/>
    <x v="5"/>
    <n v="55.19"/>
    <n v="0.97"/>
  </r>
  <r>
    <n v="47187"/>
    <s v="SUAREZ JACOME DOLORES FERNANDA"/>
    <d v="2026-02-22T00:00:00"/>
    <d v="2026-02-19T00:00:00"/>
    <x v="0"/>
    <n v="312"/>
    <n v="5602"/>
    <x v="4"/>
    <n v="4.53"/>
    <n v="1.36"/>
  </r>
  <r>
    <n v="47188"/>
    <s v="CASTRO MORALES OMAR VLADIMIR"/>
    <d v="2026-02-22T00:00:00"/>
    <d v="2026-02-20T00:00:00"/>
    <x v="1"/>
    <n v="307"/>
    <n v="2706"/>
    <x v="1"/>
    <n v="24.35"/>
    <n v="0.49"/>
  </r>
  <r>
    <n v="47188"/>
    <s v="CASTRO MORALES OMAR VLADIMIR"/>
    <d v="2026-02-22T00:00:00"/>
    <d v="2026-02-20T00:00:00"/>
    <x v="0"/>
    <n v="307"/>
    <n v="2706"/>
    <x v="0"/>
    <n v="3.65"/>
    <n v="2.56"/>
  </r>
  <r>
    <n v="47189"/>
    <s v="SUAREZ JACOME DOLORES FERNANDA"/>
    <d v="2026-02-22T00:00:00"/>
    <d v="2026-02-19T00:00:00"/>
    <x v="1"/>
    <n v="312"/>
    <n v="5606"/>
    <x v="5"/>
    <n v="144.27"/>
    <n v="2.52"/>
  </r>
  <r>
    <n v="47189"/>
    <s v="SUAREZ JACOME DOLORES FERNANDA"/>
    <d v="2026-02-22T00:00:00"/>
    <d v="2026-02-19T00:00:00"/>
    <x v="0"/>
    <n v="312"/>
    <n v="5606"/>
    <x v="4"/>
    <n v="14.14"/>
    <n v="4.24"/>
  </r>
  <r>
    <n v="47190"/>
    <s v="SUAREZ JACOME DOLORES FERNANDA"/>
    <d v="2026-02-22T00:00:00"/>
    <d v="2026-02-19T00:00:00"/>
    <x v="1"/>
    <n v="312"/>
    <n v="5603"/>
    <x v="5"/>
    <n v="85.95999999999999"/>
    <n v="1.5"/>
  </r>
  <r>
    <n v="47190"/>
    <s v="SUAREZ JACOME DOLORES FERNANDA"/>
    <d v="2026-02-22T00:00:00"/>
    <d v="2026-02-19T00:00:00"/>
    <x v="0"/>
    <n v="312"/>
    <n v="5603"/>
    <x v="4"/>
    <n v="9.140000000000001"/>
    <n v="2.74"/>
  </r>
  <r>
    <n v="47191"/>
    <s v="CASTRO MORALES OMAR VLADIMIR"/>
    <d v="2026-02-22T00:00:00"/>
    <d v="2026-02-20T00:00:00"/>
    <x v="1"/>
    <n v="307"/>
    <n v="2699"/>
    <x v="1"/>
    <n v="24.35"/>
    <n v="0.49"/>
  </r>
  <r>
    <n v="47191"/>
    <s v="CASTRO MORALES OMAR VLADIMIR"/>
    <d v="2026-02-22T00:00:00"/>
    <d v="2026-02-20T00:00:00"/>
    <x v="0"/>
    <n v="307"/>
    <n v="2699"/>
    <x v="0"/>
    <n v="3.65"/>
    <n v="2.56"/>
  </r>
  <r>
    <n v="47192"/>
    <s v="SUAREZ JACOME DOLORES FERNANDA"/>
    <d v="2026-02-22T00:00:00"/>
    <d v="2026-02-19T00:00:00"/>
    <x v="1"/>
    <n v="312"/>
    <n v="5607"/>
    <x v="5"/>
    <n v="45.72"/>
    <n v="0.8"/>
  </r>
  <r>
    <n v="47192"/>
    <s v="SUAREZ JACOME DOLORES FERNANDA"/>
    <d v="2026-02-22T00:00:00"/>
    <d v="2026-02-19T00:00:00"/>
    <x v="0"/>
    <n v="312"/>
    <n v="5607"/>
    <x v="4"/>
    <n v="3.11"/>
    <n v="0.93"/>
  </r>
  <r>
    <n v="47193"/>
    <s v="CASTRO MORALES OMAR VLADIMIR"/>
    <d v="2026-02-22T00:00:00"/>
    <d v="2026-02-20T00:00:00"/>
    <x v="1"/>
    <n v="307"/>
    <n v="2690"/>
    <x v="1"/>
    <n v="24.35"/>
    <n v="0.49"/>
  </r>
  <r>
    <n v="47193"/>
    <s v="CASTRO MORALES OMAR VLADIMIR"/>
    <d v="2026-02-22T00:00:00"/>
    <d v="2026-02-20T00:00:00"/>
    <x v="0"/>
    <n v="307"/>
    <n v="2690"/>
    <x v="0"/>
    <n v="3.65"/>
    <n v="2.56"/>
  </r>
  <r>
    <n v="47194"/>
    <s v="CASTRO MORALES OMAR VLADIMIR"/>
    <d v="2026-02-22T00:00:00"/>
    <d v="2026-02-20T00:00:00"/>
    <x v="0"/>
    <n v="307"/>
    <n v="2708"/>
    <x v="0"/>
    <n v="3.65"/>
    <n v="2.56"/>
  </r>
  <r>
    <n v="47194"/>
    <s v="CASTRO MORALES OMAR VLADIMIR"/>
    <d v="2026-02-22T00:00:00"/>
    <d v="2026-02-20T00:00:00"/>
    <x v="1"/>
    <n v="307"/>
    <n v="2708"/>
    <x v="1"/>
    <n v="24.35"/>
    <n v="0.49"/>
  </r>
  <r>
    <n v="47195"/>
    <s v="GOMEZ CORDOVA EDWIN ROLANDO"/>
    <d v="2026-02-22T00:00:00"/>
    <d v="2026-02-19T00:00:00"/>
    <x v="1"/>
    <n v="343"/>
    <n v="637"/>
    <x v="10"/>
    <n v="126.06"/>
    <n v="1.26"/>
  </r>
  <r>
    <n v="47196"/>
    <s v="SERVICIOS DE RADIO Y TELEVISION RODALFE CIA LTDA"/>
    <d v="2026-02-22T00:00:00"/>
    <d v="2026-02-20T00:00:00"/>
    <x v="1"/>
    <n v="309"/>
    <n v="2993"/>
    <x v="7"/>
    <n v="400"/>
    <n v="11"/>
  </r>
  <r>
    <n v="47196"/>
    <s v="SERVICIOS DE RADIO Y TELEVISION RODALFE CIA LTDA"/>
    <d v="2026-02-22T00:00:00"/>
    <d v="2026-02-20T00:00:00"/>
    <x v="0"/>
    <n v="309"/>
    <n v="2993"/>
    <x v="0"/>
    <n v="60"/>
    <n v="42"/>
  </r>
  <r>
    <n v="47197"/>
    <s v="CARASAYO ASHCA ANGEL GUSTAVO"/>
    <d v="2026-02-22T00:00:00"/>
    <d v="2026-02-20T00:00:00"/>
    <x v="1"/>
    <n v="332"/>
    <n v="812"/>
    <x v="9"/>
    <n v="60"/>
    <n v="0"/>
  </r>
  <r>
    <n v="47198"/>
    <s v="TOYOTASERVICIOS S.A."/>
    <d v="2026-02-22T00:00:00"/>
    <d v="2026-02-20T00:00:00"/>
    <x v="1"/>
    <n v="344"/>
    <n v="1442"/>
    <x v="7"/>
    <n v="412.88"/>
    <n v="11.35"/>
  </r>
  <r>
    <n v="47198"/>
    <s v="TOYOTASERVICIOS S.A."/>
    <d v="2026-02-22T00:00:00"/>
    <d v="2026-02-20T00:00:00"/>
    <x v="0"/>
    <n v="344"/>
    <n v="1442"/>
    <x v="0"/>
    <n v="61.93"/>
    <n v="43.35"/>
  </r>
  <r>
    <n v="47199"/>
    <s v="PANTERA DE SEGURIDAD PHANTERSEG COMPAÑIA LIMITADA"/>
    <d v="2026-02-22T00:00:00"/>
    <d v="2026-02-20T00:00:00"/>
    <x v="1"/>
    <n v="344"/>
    <n v="3768"/>
    <x v="7"/>
    <n v="2671.04"/>
    <n v="73.45"/>
  </r>
  <r>
    <n v="47199"/>
    <s v="PANTERA DE SEGURIDAD PHANTERSEG COMPAÑIA LIMITADA"/>
    <d v="2026-02-22T00:00:00"/>
    <d v="2026-02-20T00:00:00"/>
    <x v="0"/>
    <n v="344"/>
    <n v="3768"/>
    <x v="0"/>
    <n v="400.66"/>
    <n v="280.46"/>
  </r>
  <r>
    <n v="47200"/>
    <s v="TOYOTASERVICIOS S.A."/>
    <d v="2026-02-22T00:00:00"/>
    <d v="2026-02-20T00:00:00"/>
    <x v="1"/>
    <n v="344"/>
    <n v="7753"/>
    <x v="7"/>
    <n v="91.92"/>
    <n v="2.53"/>
  </r>
  <r>
    <n v="47200"/>
    <s v="TOYOTASERVICIOS S.A."/>
    <d v="2026-02-22T00:00:00"/>
    <d v="2026-02-20T00:00:00"/>
    <x v="0"/>
    <n v="344"/>
    <n v="7753"/>
    <x v="0"/>
    <n v="13.79"/>
    <n v="9.65"/>
  </r>
  <r>
    <n v="47201"/>
    <s v="TOYOTASERVICIOS S.A."/>
    <d v="2026-02-22T00:00:00"/>
    <d v="2026-02-19T00:00:00"/>
    <x v="0"/>
    <n v="312"/>
    <n v="6915"/>
    <x v="4"/>
    <n v="39"/>
    <n v="11.7"/>
  </r>
  <r>
    <n v="47201"/>
    <s v="TOYOTASERVICIOS S.A."/>
    <d v="2026-02-22T00:00:00"/>
    <d v="2026-02-19T00:00:00"/>
    <x v="1"/>
    <n v="312"/>
    <n v="6915"/>
    <x v="5"/>
    <n v="260"/>
    <n v="4.55"/>
  </r>
  <r>
    <n v="47202"/>
    <s v="TOYOTASERVICIOS S.A."/>
    <d v="2026-02-22T00:00:00"/>
    <d v="2026-02-20T00:00:00"/>
    <x v="0"/>
    <n v="312"/>
    <n v="1443"/>
    <x v="4"/>
    <n v="74.92"/>
    <n v="22.48"/>
  </r>
  <r>
    <n v="47202"/>
    <s v="TOYOTASERVICIOS S.A."/>
    <d v="2026-02-22T00:00:00"/>
    <d v="2026-02-20T00:00:00"/>
    <x v="1"/>
    <n v="312"/>
    <n v="1443"/>
    <x v="5"/>
    <n v="499.44"/>
    <n v="8.74"/>
  </r>
  <r>
    <n v="47203"/>
    <s v="TOYOTASERVICIOS S.A."/>
    <d v="2026-02-22T00:00:00"/>
    <d v="2026-02-19T00:00:00"/>
    <x v="1"/>
    <n v="344"/>
    <n v="6916"/>
    <x v="7"/>
    <n v="14.3"/>
    <n v="0.39"/>
  </r>
  <r>
    <n v="47203"/>
    <s v="TOYOTASERVICIOS S.A."/>
    <d v="2026-02-22T00:00:00"/>
    <d v="2026-02-19T00:00:00"/>
    <x v="0"/>
    <n v="344"/>
    <n v="6916"/>
    <x v="0"/>
    <n v="2.15"/>
    <n v="1.51"/>
  </r>
  <r>
    <n v="47204"/>
    <s v="ARELLANO YEPEZ ANDRES FERNANDO"/>
    <d v="2026-02-22T00:00:00"/>
    <d v="2026-02-20T00:00:00"/>
    <x v="0"/>
    <n v="312"/>
    <n v="7371"/>
    <x v="4"/>
    <n v="31.5"/>
    <n v="9.449999999999999"/>
  </r>
  <r>
    <n v="47204"/>
    <s v="ARELLANO YEPEZ ANDRES FERNANDO"/>
    <d v="2026-02-22T00:00:00"/>
    <d v="2026-02-20T00:00:00"/>
    <x v="1"/>
    <n v="312"/>
    <n v="7371"/>
    <x v="5"/>
    <n v="210"/>
    <n v="3.68"/>
  </r>
  <r>
    <n v="47205"/>
    <s v="TOYOTASERVICIOS S.A."/>
    <d v="2026-02-22T00:00:00"/>
    <d v="2026-02-20T00:00:00"/>
    <x v="1"/>
    <n v="312"/>
    <n v="7752"/>
    <x v="5"/>
    <n v="349.58"/>
    <n v="6.12"/>
  </r>
  <r>
    <n v="47205"/>
    <s v="TOYOTASERVICIOS S.A."/>
    <d v="2026-02-22T00:00:00"/>
    <d v="2026-02-20T00:00:00"/>
    <x v="0"/>
    <n v="312"/>
    <n v="7752"/>
    <x v="4"/>
    <n v="52.44"/>
    <n v="15.73"/>
  </r>
  <r>
    <n v="47206"/>
    <s v="SERVIENTREGA ECUADOR S.A. "/>
    <d v="2026-02-22T00:00:00"/>
    <d v="2026-02-20T00:00:00"/>
    <x v="0"/>
    <n v="332"/>
    <n v="131697"/>
    <x v="6"/>
    <n v="36.97"/>
    <n v="7.39"/>
  </r>
  <r>
    <n v="47207"/>
    <s v="COOPERATIVA DE AHORRO Y CREDITO CREDIAMBATO LTDA"/>
    <d v="2026-02-22T00:00:00"/>
    <d v="2026-02-20T00:00:00"/>
    <x v="1"/>
    <n v="344"/>
    <n v="24668"/>
    <x v="7"/>
    <n v="5993.64"/>
    <n v="164.83"/>
  </r>
  <r>
    <n v="47208"/>
    <s v="YANGTSE-AUTO DEL ECUADOR S.A."/>
    <d v="2026-02-23T00:00:00"/>
    <d v="2026-02-23T00:00:00"/>
    <x v="0"/>
    <n v="312"/>
    <n v="684"/>
    <x v="4"/>
    <n v="3066.62"/>
    <n v="919.99"/>
  </r>
  <r>
    <n v="47208"/>
    <s v="YANGTSE-AUTO DEL ECUADOR S.A."/>
    <d v="2026-02-23T00:00:00"/>
    <d v="2026-02-23T00:00:00"/>
    <x v="1"/>
    <n v="312"/>
    <n v="684"/>
    <x v="5"/>
    <n v="20444.13"/>
    <n v="357.77"/>
  </r>
  <r>
    <n v="47209"/>
    <s v="FIDEVAL S.A"/>
    <d v="2026-02-23T00:00:00"/>
    <d v="2026-02-23T00:00:00"/>
    <x v="0"/>
    <n v="303"/>
    <n v="227571"/>
    <x v="6"/>
    <n v="20.94"/>
    <n v="4.19"/>
  </r>
  <r>
    <n v="47209"/>
    <s v="FIDEVAL S.A"/>
    <d v="2026-02-23T00:00:00"/>
    <d v="2026-02-23T00:00:00"/>
    <x v="1"/>
    <n v="303"/>
    <n v="227571"/>
    <x v="2"/>
    <n v="139.59"/>
    <n v="4.19"/>
  </r>
  <r>
    <n v="47210"/>
    <s v="FIDEVAL S.A"/>
    <d v="2026-02-23T00:00:00"/>
    <d v="2026-02-23T00:00:00"/>
    <x v="0"/>
    <n v="303"/>
    <n v="227570"/>
    <x v="6"/>
    <n v="21"/>
    <n v="4.2"/>
  </r>
  <r>
    <n v="47210"/>
    <s v="FIDEVAL S.A"/>
    <d v="2026-02-23T00:00:00"/>
    <d v="2026-02-23T00:00:00"/>
    <x v="1"/>
    <n v="303"/>
    <n v="227570"/>
    <x v="2"/>
    <n v="140"/>
    <n v="4.2"/>
  </r>
  <r>
    <n v="47211"/>
    <s v="TOYOTASERVICIOS S.A."/>
    <d v="2026-02-23T00:00:00"/>
    <d v="2026-02-23T00:00:00"/>
    <x v="1"/>
    <n v="312"/>
    <n v="14906"/>
    <x v="5"/>
    <n v="220"/>
    <n v="3.85"/>
  </r>
  <r>
    <n v="47211"/>
    <s v="TOYOTASERVICIOS S.A."/>
    <d v="2026-02-23T00:00:00"/>
    <d v="2026-02-23T00:00:00"/>
    <x v="0"/>
    <n v="312"/>
    <n v="14906"/>
    <x v="4"/>
    <n v="33"/>
    <n v="9.9"/>
  </r>
  <r>
    <n v="47212"/>
    <s v="YANGTSE-AUTO DEL ECUADOR S.A."/>
    <d v="2026-02-23T00:00:00"/>
    <d v="2026-02-23T00:00:00"/>
    <x v="1"/>
    <n v="312"/>
    <n v="561"/>
    <x v="5"/>
    <n v="246.08"/>
    <n v="4.31"/>
  </r>
  <r>
    <n v="47212"/>
    <s v="YANGTSE-AUTO DEL ECUADOR S.A."/>
    <d v="2026-02-23T00:00:00"/>
    <d v="2026-02-23T00:00:00"/>
    <x v="0"/>
    <n v="312"/>
    <n v="561"/>
    <x v="4"/>
    <n v="3.91"/>
    <n v="1.17"/>
  </r>
  <r>
    <n v="47213"/>
    <s v="SZK DEL ECUADOR S.A."/>
    <d v="2026-02-24T00:00:00"/>
    <d v="2026-02-24T00:00:00"/>
    <x v="0"/>
    <n v="312"/>
    <n v="3190"/>
    <x v="3"/>
    <n v="2212.53"/>
    <n v="221.25"/>
  </r>
  <r>
    <n v="47214"/>
    <s v="SZK DEL ECUADOR S.A."/>
    <d v="2026-02-24T00:00:00"/>
    <d v="2026-02-24T00:00:00"/>
    <x v="0"/>
    <n v="312"/>
    <n v="3188"/>
    <x v="3"/>
    <n v="6637.59"/>
    <n v="663.76"/>
  </r>
  <r>
    <n v="47215"/>
    <s v="SZK DEL ECUADOR S.A."/>
    <d v="2026-02-24T00:00:00"/>
    <d v="2026-02-24T00:00:00"/>
    <x v="0"/>
    <n v="312"/>
    <n v="3185"/>
    <x v="3"/>
    <n v="15788.05"/>
    <n v="1578.81"/>
  </r>
  <r>
    <n v="47216"/>
    <s v="SZK DEL ECUADOR S.A."/>
    <d v="2026-02-24T00:00:00"/>
    <d v="2026-02-24T00:00:00"/>
    <x v="0"/>
    <n v="312"/>
    <n v="3189"/>
    <x v="3"/>
    <n v="2631.34"/>
    <n v="263.13"/>
  </r>
  <r>
    <n v="47217"/>
    <s v="SZK DEL ECUADOR S.A."/>
    <d v="2026-02-24T00:00:00"/>
    <d v="2026-02-24T00:00:00"/>
    <x v="0"/>
    <n v="312"/>
    <n v="3187"/>
    <x v="3"/>
    <n v="10525.37"/>
    <n v="1052.54"/>
  </r>
  <r>
    <n v="47218"/>
    <s v="SZK DEL ECUADOR S.A."/>
    <d v="2026-02-24T00:00:00"/>
    <d v="2026-02-24T00:00:00"/>
    <x v="0"/>
    <n v="312"/>
    <n v="3186"/>
    <x v="3"/>
    <n v="15788.05"/>
    <n v="1578.81"/>
  </r>
  <r>
    <n v="47219"/>
    <s v="PALACIOS DAVALOS MARCELO EDUARDO"/>
    <d v="2026-02-24T00:00:00"/>
    <d v="2026-02-20T00:00:00"/>
    <x v="1"/>
    <n v="307"/>
    <n v="628"/>
    <x v="1"/>
    <n v="35"/>
    <n v="0.7"/>
  </r>
  <r>
    <n v="47219"/>
    <s v="PALACIOS DAVALOS MARCELO EDUARDO"/>
    <d v="2026-02-24T00:00:00"/>
    <d v="2026-02-20T00:00:00"/>
    <x v="0"/>
    <n v="307"/>
    <n v="628"/>
    <x v="0"/>
    <n v="5.25"/>
    <n v="3.68"/>
  </r>
  <r>
    <n v="47220"/>
    <s v="PALACIOS DAVALOS MARCELO EDUARDO"/>
    <d v="2026-02-24T00:00:00"/>
    <d v="2026-02-20T00:00:00"/>
    <x v="1"/>
    <n v="312"/>
    <n v="629"/>
    <x v="5"/>
    <n v="15"/>
    <n v="0.26"/>
  </r>
  <r>
    <n v="47220"/>
    <s v="PALACIOS DAVALOS MARCELO EDUARDO"/>
    <d v="2026-02-24T00:00:00"/>
    <d v="2026-02-20T00:00:00"/>
    <x v="0"/>
    <n v="312"/>
    <n v="629"/>
    <x v="4"/>
    <n v="2.25"/>
    <n v="0.67"/>
  </r>
  <r>
    <n v="47221"/>
    <s v="TOYOTASERVICIOS S.A."/>
    <d v="2026-02-24T00:00:00"/>
    <d v="2026-02-23T00:00:00"/>
    <x v="0"/>
    <n v="344"/>
    <n v="7760"/>
    <x v="0"/>
    <n v="9"/>
    <n v="6.3"/>
  </r>
  <r>
    <n v="47221"/>
    <s v="TOYOTASERVICIOS S.A."/>
    <d v="2026-02-24T00:00:00"/>
    <d v="2026-02-23T00:00:00"/>
    <x v="1"/>
    <n v="344"/>
    <n v="7760"/>
    <x v="7"/>
    <n v="60"/>
    <n v="1.65"/>
  </r>
  <r>
    <n v="47222"/>
    <s v="TOYOTASERVICIOS S.A."/>
    <d v="2026-02-24T00:00:00"/>
    <d v="2026-02-23T00:00:00"/>
    <x v="0"/>
    <n v="344"/>
    <n v="7758"/>
    <x v="0"/>
    <n v="21"/>
    <n v="14.7"/>
  </r>
  <r>
    <n v="47222"/>
    <s v="TOYOTASERVICIOS S.A."/>
    <d v="2026-02-24T00:00:00"/>
    <d v="2026-02-23T00:00:00"/>
    <x v="1"/>
    <n v="344"/>
    <n v="7758"/>
    <x v="7"/>
    <n v="140"/>
    <n v="3.85"/>
  </r>
  <r>
    <n v="47223"/>
    <s v="TOYOTASERVICIOS S.A."/>
    <d v="2026-02-24T00:00:00"/>
    <d v="2026-02-23T00:00:00"/>
    <x v="0"/>
    <n v="344"/>
    <n v="7761"/>
    <x v="0"/>
    <n v="9"/>
    <n v="6.3"/>
  </r>
  <r>
    <n v="47223"/>
    <s v="TOYOTASERVICIOS S.A."/>
    <d v="2026-02-24T00:00:00"/>
    <d v="2026-02-23T00:00:00"/>
    <x v="1"/>
    <n v="344"/>
    <n v="7761"/>
    <x v="7"/>
    <n v="60"/>
    <n v="1.65"/>
  </r>
  <r>
    <n v="47224"/>
    <s v="TOYOTASERVICIOS S.A."/>
    <d v="2026-02-24T00:00:00"/>
    <d v="2026-02-23T00:00:00"/>
    <x v="0"/>
    <n v="344"/>
    <n v="7759"/>
    <x v="0"/>
    <n v="56.25"/>
    <n v="39.38"/>
  </r>
  <r>
    <n v="47224"/>
    <s v="TOYOTASERVICIOS S.A."/>
    <d v="2026-02-24T00:00:00"/>
    <d v="2026-02-23T00:00:00"/>
    <x v="1"/>
    <n v="344"/>
    <n v="7759"/>
    <x v="7"/>
    <n v="375"/>
    <n v="10.31"/>
  </r>
  <r>
    <n v="47225"/>
    <s v="TOYOTASERVICIOS S.A."/>
    <d v="2026-02-24T00:00:00"/>
    <d v="2026-02-23T00:00:00"/>
    <x v="0"/>
    <n v="344"/>
    <n v="7757"/>
    <x v="0"/>
    <n v="7.5"/>
    <n v="5.25"/>
  </r>
  <r>
    <n v="47225"/>
    <s v="TOYOTASERVICIOS S.A."/>
    <d v="2026-02-24T00:00:00"/>
    <d v="2026-02-23T00:00:00"/>
    <x v="1"/>
    <n v="344"/>
    <n v="7757"/>
    <x v="7"/>
    <n v="50"/>
    <n v="1.38"/>
  </r>
  <r>
    <n v="47226"/>
    <s v="SZK DEL ECUADOR S.A."/>
    <d v="2026-02-24T00:00:00"/>
    <d v="2026-02-24T00:00:00"/>
    <x v="0"/>
    <n v="332"/>
    <n v="1519"/>
    <x v="3"/>
    <n v="100.33"/>
    <n v="10.03"/>
  </r>
  <r>
    <n v="47227"/>
    <s v="TOYOTASERVICIOS S.A."/>
    <d v="2026-02-24T00:00:00"/>
    <d v="2026-02-24T00:00:00"/>
    <x v="0"/>
    <n v="312"/>
    <n v="14907"/>
    <x v="4"/>
    <n v="16.02"/>
    <n v="4.81"/>
  </r>
  <r>
    <n v="47227"/>
    <s v="TOYOTASERVICIOS S.A."/>
    <d v="2026-02-24T00:00:00"/>
    <d v="2026-02-24T00:00:00"/>
    <x v="1"/>
    <n v="312"/>
    <n v="14907"/>
    <x v="5"/>
    <n v="106.8"/>
    <n v="1.87"/>
  </r>
  <r>
    <n v="47228"/>
    <s v="SZK DEL ECUADOR S.A."/>
    <d v="2026-02-25T00:00:00"/>
    <d v="2026-02-25T00:00:00"/>
    <x v="0"/>
    <n v="332"/>
    <n v="1521"/>
    <x v="3"/>
    <n v="100.33"/>
    <n v="10.03"/>
  </r>
  <r>
    <n v="47229"/>
    <s v="TOYOTASERVICIOS S.A."/>
    <d v="2026-02-25T00:00:00"/>
    <d v="2026-02-25T00:00:00"/>
    <x v="1"/>
    <n v="312"/>
    <n v="6942"/>
    <x v="5"/>
    <n v="546"/>
    <n v="9.56"/>
  </r>
  <r>
    <n v="47229"/>
    <s v="TOYOTASERVICIOS S.A."/>
    <d v="2026-02-25T00:00:00"/>
    <d v="2026-02-25T00:00:00"/>
    <x v="0"/>
    <n v="312"/>
    <n v="6942"/>
    <x v="4"/>
    <n v="81.90000000000001"/>
    <n v="24.57"/>
  </r>
  <r>
    <n v="47230"/>
    <s v="CASABACA S.A. "/>
    <d v="2026-02-25T00:00:00"/>
    <d v="2026-02-25T00:00:00"/>
    <x v="0"/>
    <n v="332"/>
    <n v="31451"/>
    <x v="3"/>
    <n v="329.88"/>
    <n v="32.99"/>
  </r>
  <r>
    <n v="47231"/>
    <s v="TOYOTASERVICIOS S.A."/>
    <d v="2026-02-25T00:00:00"/>
    <d v="2026-02-25T00:00:00"/>
    <x v="1"/>
    <n v="312"/>
    <n v="14919"/>
    <x v="5"/>
    <n v="767.52"/>
    <n v="13.43"/>
  </r>
  <r>
    <n v="47231"/>
    <s v="TOYOTASERVICIOS S.A."/>
    <d v="2026-02-25T00:00:00"/>
    <d v="2026-02-25T00:00:00"/>
    <x v="0"/>
    <n v="312"/>
    <n v="14919"/>
    <x v="4"/>
    <n v="115.13"/>
    <n v="34.54"/>
  </r>
  <r>
    <n v="47232"/>
    <s v="SZK DEL ECUADOR S.A."/>
    <d v="2026-02-25T00:00:00"/>
    <d v="2026-02-25T00:00:00"/>
    <x v="0"/>
    <n v="312"/>
    <n v="3196"/>
    <x v="3"/>
    <n v="10855.08"/>
    <n v="1085.51"/>
  </r>
  <r>
    <n v="47233"/>
    <s v="SZK DEL ECUADOR S.A."/>
    <d v="2026-02-25T00:00:00"/>
    <d v="2026-02-25T00:00:00"/>
    <x v="0"/>
    <n v="312"/>
    <n v="3191"/>
    <x v="3"/>
    <n v="2212.53"/>
    <n v="221.25"/>
  </r>
  <r>
    <n v="47234"/>
    <s v="SZK DEL ECUADOR S.A."/>
    <d v="2026-02-25T00:00:00"/>
    <d v="2026-02-25T00:00:00"/>
    <x v="0"/>
    <n v="312"/>
    <n v="3193"/>
    <x v="3"/>
    <n v="13156.71"/>
    <n v="1315.67"/>
  </r>
  <r>
    <n v="47235"/>
    <s v="CASABACA S.A. "/>
    <d v="2026-02-25T00:00:00"/>
    <d v="2026-02-25T00:00:00"/>
    <x v="0"/>
    <n v="332"/>
    <n v="9109"/>
    <x v="3"/>
    <n v="27673.52"/>
    <n v="2767.35"/>
  </r>
  <r>
    <n v="47236"/>
    <s v="SZK DEL ECUADOR S.A."/>
    <d v="2026-02-25T00:00:00"/>
    <d v="2026-02-25T00:00:00"/>
    <x v="0"/>
    <n v="312"/>
    <n v="3195"/>
    <x v="3"/>
    <n v="8850.120000000001"/>
    <n v="885.01"/>
  </r>
  <r>
    <n v="47237"/>
    <s v="SZK DEL ECUADOR S.A."/>
    <d v="2026-02-25T00:00:00"/>
    <d v="2026-02-25T00:00:00"/>
    <x v="0"/>
    <n v="332"/>
    <n v="1522"/>
    <x v="3"/>
    <n v="665.22"/>
    <n v="66.52"/>
  </r>
  <r>
    <n v="47238"/>
    <s v="TOYOTASERVICIOS S.A."/>
    <d v="2026-02-25T00:00:00"/>
    <d v="2026-02-25T00:00:00"/>
    <x v="1"/>
    <n v="312"/>
    <n v="14918"/>
    <x v="5"/>
    <n v="682.3"/>
    <n v="11.94"/>
  </r>
  <r>
    <n v="47238"/>
    <s v="TOYOTASERVICIOS S.A."/>
    <d v="2026-02-25T00:00:00"/>
    <d v="2026-02-25T00:00:00"/>
    <x v="0"/>
    <n v="312"/>
    <n v="14918"/>
    <x v="4"/>
    <n v="102.35"/>
    <n v="30.71"/>
  </r>
  <r>
    <n v="47239"/>
    <s v="SZK DEL ECUADOR S.A."/>
    <d v="2026-02-25T00:00:00"/>
    <d v="2026-02-25T00:00:00"/>
    <x v="0"/>
    <n v="312"/>
    <n v="3194"/>
    <x v="3"/>
    <n v="13156.71"/>
    <n v="1315.67"/>
  </r>
  <r>
    <n v="47240"/>
    <s v="SZK DEL ECUADOR S.A."/>
    <d v="2026-02-25T00:00:00"/>
    <d v="2026-02-25T00:00:00"/>
    <x v="0"/>
    <n v="332"/>
    <n v="1520"/>
    <x v="3"/>
    <n v="365.21"/>
    <n v="36.52"/>
  </r>
  <r>
    <n v="47241"/>
    <s v="SZK DEL ECUADOR S.A."/>
    <d v="2026-02-25T00:00:00"/>
    <d v="2026-02-25T00:00:00"/>
    <x v="0"/>
    <n v="312"/>
    <n v="3192"/>
    <x v="3"/>
    <n v="18419.39"/>
    <n v="1841.94"/>
  </r>
  <r>
    <n v="47242"/>
    <s v="TOYOTASERVICIOS S.A."/>
    <d v="2026-02-25T00:00:00"/>
    <d v="2026-02-25T00:00:00"/>
    <x v="1"/>
    <n v="312"/>
    <n v="14912"/>
    <x v="5"/>
    <n v="106.8"/>
    <n v="1.87"/>
  </r>
  <r>
    <n v="47242"/>
    <s v="TOYOTASERVICIOS S.A."/>
    <d v="2026-02-25T00:00:00"/>
    <d v="2026-02-25T00:00:00"/>
    <x v="0"/>
    <n v="312"/>
    <n v="14912"/>
    <x v="4"/>
    <n v="16.02"/>
    <n v="4.81"/>
  </r>
  <r>
    <n v="47243"/>
    <s v="CASABACA S.A. "/>
    <d v="2026-02-25T00:00:00"/>
    <d v="2026-02-25T00:00:00"/>
    <x v="0"/>
    <n v="332"/>
    <n v="31450"/>
    <x v="3"/>
    <n v="398.9"/>
    <n v="39.89"/>
  </r>
  <r>
    <n v="47244"/>
    <s v="YANGTSE-AUTO DEL ECUADOR S.A."/>
    <d v="2026-02-26T00:00:00"/>
    <d v="2026-02-26T00:00:00"/>
    <x v="0"/>
    <n v="312"/>
    <n v="697"/>
    <x v="4"/>
    <n v="4396.02"/>
    <n v="1318.81"/>
  </r>
  <r>
    <n v="47244"/>
    <s v="YANGTSE-AUTO DEL ECUADOR S.A."/>
    <d v="2026-02-26T00:00:00"/>
    <d v="2026-02-26T00:00:00"/>
    <x v="1"/>
    <n v="312"/>
    <n v="697"/>
    <x v="5"/>
    <n v="29306.8"/>
    <n v="512.87"/>
  </r>
  <r>
    <n v="47245"/>
    <s v="SZK DEL ECUADOR S.A."/>
    <d v="2026-02-26T00:00:00"/>
    <d v="2026-02-26T00:00:00"/>
    <x v="0"/>
    <n v="312"/>
    <n v="3199"/>
    <x v="3"/>
    <n v="15788.05"/>
    <n v="1578.81"/>
  </r>
  <r>
    <n v="47246"/>
    <s v="CASABACA S.A. "/>
    <d v="2026-02-26T00:00:00"/>
    <d v="2026-02-26T00:00:00"/>
    <x v="0"/>
    <n v="332"/>
    <n v="9120"/>
    <x v="3"/>
    <n v="23377.32"/>
    <n v="2337.73"/>
  </r>
  <r>
    <n v="47247"/>
    <s v="CODEX"/>
    <d v="2026-02-26T00:00:00"/>
    <d v="2026-02-26T00:00:00"/>
    <x v="1"/>
    <n v="344"/>
    <n v="11919"/>
    <x v="7"/>
    <n v="195.65"/>
    <n v="5.38"/>
  </r>
  <r>
    <n v="47247"/>
    <s v="CODEX"/>
    <d v="2026-02-26T00:00:00"/>
    <d v="2026-02-26T00:00:00"/>
    <x v="0"/>
    <n v="344"/>
    <n v="11919"/>
    <x v="0"/>
    <n v="29.35"/>
    <n v="20.55"/>
  </r>
  <r>
    <n v="47248"/>
    <s v="SZK DEL ECUADOR S.A."/>
    <d v="2026-02-26T00:00:00"/>
    <d v="2026-02-26T00:00:00"/>
    <x v="0"/>
    <n v="312"/>
    <n v="3197"/>
    <x v="3"/>
    <n v="2870.66"/>
    <n v="287.07"/>
  </r>
  <r>
    <n v="47249"/>
    <s v="SZK DEL ECUADOR S.A."/>
    <d v="2026-02-26T00:00:00"/>
    <d v="2026-02-26T00:00:00"/>
    <x v="0"/>
    <n v="312"/>
    <n v="3198"/>
    <x v="3"/>
    <n v="15788.05"/>
    <n v="1578.81"/>
  </r>
  <r>
    <n v="47250"/>
    <s v="SZK DEL ECUADOR S.A."/>
    <d v="2026-02-26T00:00:00"/>
    <d v="2026-02-26T00:00:00"/>
    <x v="0"/>
    <n v="312"/>
    <n v="3200"/>
    <x v="3"/>
    <n v="3917.87"/>
    <n v="391.79"/>
  </r>
  <r>
    <n v="47251"/>
    <s v="TOYOTASERVICIOS S.A."/>
    <d v="2026-02-26T00:00:00"/>
    <d v="2026-02-26T00:00:00"/>
    <x v="0"/>
    <n v="344"/>
    <n v="7769"/>
    <x v="0"/>
    <n v="9"/>
    <n v="6.3"/>
  </r>
  <r>
    <n v="47251"/>
    <s v="TOYOTASERVICIOS S.A."/>
    <d v="2026-02-26T00:00:00"/>
    <d v="2026-02-26T00:00:00"/>
    <x v="1"/>
    <n v="344"/>
    <n v="7769"/>
    <x v="7"/>
    <n v="60"/>
    <n v="1.65"/>
  </r>
  <r>
    <n v="47252"/>
    <s v="CONSORCIO DEL PICHINCHA S.A CONDELPI"/>
    <d v="2026-02-26T00:00:00"/>
    <d v="2026-02-25T00:00:00"/>
    <x v="0"/>
    <n v="332"/>
    <n v="101390"/>
    <x v="3"/>
    <n v="1695.65"/>
    <n v="169.57"/>
  </r>
  <r>
    <n v="47253"/>
    <s v="NOBOA CABRERA GALO HERNAN"/>
    <d v="2026-02-26T00:00:00"/>
    <d v="2026-02-26T00:00:00"/>
    <x v="1"/>
    <n v="343"/>
    <n v="914"/>
    <x v="10"/>
    <n v="15"/>
    <n v="0.15"/>
  </r>
  <r>
    <n v="47253"/>
    <s v="NOBOA CABRERA GALO HERNAN"/>
    <d v="2026-02-26T00:00:00"/>
    <d v="2026-02-26T00:00:00"/>
    <x v="0"/>
    <n v="343"/>
    <n v="914"/>
    <x v="0"/>
    <n v="2.25"/>
    <n v="1.58"/>
  </r>
  <r>
    <n v="47254"/>
    <s v="TOYOTASERVICIOS S.A."/>
    <d v="2026-02-26T00:00:00"/>
    <d v="2026-02-26T00:00:00"/>
    <x v="1"/>
    <n v="344"/>
    <n v="7770"/>
    <x v="7"/>
    <n v="60"/>
    <n v="1.65"/>
  </r>
  <r>
    <n v="47254"/>
    <s v="TOYOTASERVICIOS S.A."/>
    <d v="2026-02-26T00:00:00"/>
    <d v="2026-02-26T00:00:00"/>
    <x v="0"/>
    <n v="344"/>
    <n v="7770"/>
    <x v="0"/>
    <n v="9"/>
    <n v="6.3"/>
  </r>
  <r>
    <n v="47255"/>
    <s v="GONZALEZ VEGA EL MOTOR CIA LTDA"/>
    <d v="2026-02-26T00:00:00"/>
    <d v="2026-02-25T00:00:00"/>
    <x v="1"/>
    <n v="312"/>
    <n v="125851"/>
    <x v="5"/>
    <n v="57.35"/>
    <n v="1"/>
  </r>
  <r>
    <n v="47255"/>
    <s v="GONZALEZ VEGA EL MOTOR CIA LTDA"/>
    <d v="2026-02-26T00:00:00"/>
    <d v="2026-02-25T00:00:00"/>
    <x v="0"/>
    <n v="312"/>
    <n v="125851"/>
    <x v="4"/>
    <n v="8.6"/>
    <n v="2.58"/>
  </r>
  <r>
    <n v="47256"/>
    <s v="CONSORCIO DEL PICHINCHA S.A CONDELPI"/>
    <d v="2026-02-26T00:00:00"/>
    <d v="2026-02-25T00:00:00"/>
    <x v="0"/>
    <n v="332"/>
    <n v="101391"/>
    <x v="6"/>
    <n v="16.31"/>
    <n v="3.26"/>
  </r>
  <r>
    <n v="47257"/>
    <s v="TOYOTASERVICIOS S.A."/>
    <d v="2026-02-26T00:00:00"/>
    <d v="2026-02-26T00:00:00"/>
    <x v="1"/>
    <n v="344"/>
    <n v="7768"/>
    <x v="7"/>
    <n v="60"/>
    <n v="1.65"/>
  </r>
  <r>
    <n v="47257"/>
    <s v="TOYOTASERVICIOS S.A."/>
    <d v="2026-02-26T00:00:00"/>
    <d v="2026-02-26T00:00:00"/>
    <x v="0"/>
    <n v="344"/>
    <n v="7768"/>
    <x v="0"/>
    <n v="9"/>
    <n v="6.3"/>
  </r>
  <r>
    <n v="47258"/>
    <s v="CONSORCIO DEL PICHINCHA S.A CONDELPI"/>
    <d v="2026-02-26T00:00:00"/>
    <d v="2026-02-25T00:00:00"/>
    <x v="0"/>
    <n v="332"/>
    <n v="101400"/>
    <x v="6"/>
    <n v="16.31"/>
    <n v="3.26"/>
  </r>
  <r>
    <n v="47259"/>
    <s v="CONSORCIO DEL PICHINCHA S.A CONDELPI"/>
    <d v="2026-02-26T00:00:00"/>
    <d v="2026-02-25T00:00:00"/>
    <x v="0"/>
    <n v="332"/>
    <n v="101399"/>
    <x v="3"/>
    <n v="978.26"/>
    <n v="97.83"/>
  </r>
  <r>
    <n v="47260"/>
    <s v="CASABACA S.A. "/>
    <d v="2026-02-26T00:00:00"/>
    <d v="2026-02-26T00:00:00"/>
    <x v="0"/>
    <n v="332"/>
    <n v="31458"/>
    <x v="3"/>
    <n v="340.14"/>
    <n v="34.01"/>
  </r>
  <r>
    <n v="47261"/>
    <s v="CASABACA S.A. "/>
    <d v="2026-02-26T00:00:00"/>
    <d v="2026-02-26T00:00:00"/>
    <x v="0"/>
    <n v="332"/>
    <n v="31461"/>
    <x v="3"/>
    <n v="340.14"/>
    <n v="34.01"/>
  </r>
  <r>
    <n v="47262"/>
    <s v="SZK DEL ECUADOR S.A."/>
    <d v="2026-02-26T00:00:00"/>
    <d v="2026-02-26T00:00:00"/>
    <x v="0"/>
    <n v="332"/>
    <n v="1523"/>
    <x v="3"/>
    <n v="221.74"/>
    <n v="22.17"/>
  </r>
  <r>
    <n v="47263"/>
    <s v="CASABACA S.A. "/>
    <d v="2026-02-26T00:00:00"/>
    <d v="2026-02-26T00:00:00"/>
    <x v="0"/>
    <n v="332"/>
    <n v="31459"/>
    <x v="3"/>
    <n v="340.14"/>
    <n v="34.01"/>
  </r>
  <r>
    <n v="47264"/>
    <s v="CASABACA S.A. "/>
    <d v="2026-02-26T00:00:00"/>
    <d v="2026-02-26T00:00:00"/>
    <x v="0"/>
    <n v="332"/>
    <n v="31462"/>
    <x v="3"/>
    <n v="340.14"/>
    <n v="34.01"/>
  </r>
  <r>
    <n v="47265"/>
    <s v="YANGTSE-AUTO DEL ECUADOR S.A."/>
    <d v="2026-02-26T00:00:00"/>
    <d v="2026-02-26T00:00:00"/>
    <x v="1"/>
    <n v="312"/>
    <n v="573"/>
    <x v="5"/>
    <n v="396.08"/>
    <n v="6.93"/>
  </r>
  <r>
    <n v="47265"/>
    <s v="YANGTSE-AUTO DEL ECUADOR S.A."/>
    <d v="2026-02-26T00:00:00"/>
    <d v="2026-02-26T00:00:00"/>
    <x v="0"/>
    <n v="312"/>
    <n v="573"/>
    <x v="4"/>
    <n v="3.91"/>
    <n v="1.17"/>
  </r>
  <r>
    <n v="47266"/>
    <s v="CASABACA S.A. "/>
    <d v="2026-02-26T00:00:00"/>
    <d v="2026-02-26T00:00:00"/>
    <x v="0"/>
    <n v="332"/>
    <n v="31460"/>
    <x v="3"/>
    <n v="340.14"/>
    <n v="34.01"/>
  </r>
  <r>
    <n v="47267"/>
    <s v="SZK DEL ECUADOR S.A."/>
    <d v="2026-02-27T00:00:00"/>
    <d v="2026-02-27T00:00:00"/>
    <x v="0"/>
    <n v="312"/>
    <n v="3205"/>
    <x v="3"/>
    <n v="3917.87"/>
    <n v="391.79"/>
  </r>
  <r>
    <n v="47268"/>
    <s v="SZK DEL ECUADOR S.A."/>
    <d v="2026-02-27T00:00:00"/>
    <d v="2026-02-27T00:00:00"/>
    <x v="0"/>
    <n v="312"/>
    <n v="3203"/>
    <x v="3"/>
    <n v="15487.71"/>
    <n v="1548.77"/>
  </r>
  <r>
    <n v="47269"/>
    <s v="TOYOTASERVICIOS S.A."/>
    <d v="2026-02-27T00:00:00"/>
    <d v="2026-02-27T00:00:00"/>
    <x v="1"/>
    <n v="312"/>
    <n v="14923"/>
    <x v="5"/>
    <n v="621.11"/>
    <n v="10.87"/>
  </r>
  <r>
    <n v="47269"/>
    <s v="TOYOTASERVICIOS S.A."/>
    <d v="2026-02-27T00:00:00"/>
    <d v="2026-02-27T00:00:00"/>
    <x v="0"/>
    <n v="312"/>
    <n v="14923"/>
    <x v="4"/>
    <n v="93.17"/>
    <n v="27.95"/>
  </r>
  <r>
    <n v="47270"/>
    <s v="SZK DEL ECUADOR S.A."/>
    <d v="2026-02-27T00:00:00"/>
    <d v="2026-02-27T00:00:00"/>
    <x v="0"/>
    <n v="312"/>
    <n v="3202"/>
    <x v="3"/>
    <n v="13275.18"/>
    <n v="1327.52"/>
  </r>
  <r>
    <n v="47271"/>
    <s v="SZK DEL ECUADOR S.A."/>
    <d v="2026-02-27T00:00:00"/>
    <d v="2026-02-27T00:00:00"/>
    <x v="0"/>
    <n v="312"/>
    <n v="3201"/>
    <x v="3"/>
    <n v="13156.71"/>
    <n v="1315.67"/>
  </r>
  <r>
    <n v="47272"/>
    <s v="TOYOTASERVICIOS S.A."/>
    <d v="2026-02-27T00:00:00"/>
    <d v="2026-02-27T00:00:00"/>
    <x v="0"/>
    <n v="312"/>
    <n v="14926"/>
    <x v="4"/>
    <n v="93.17"/>
    <n v="27.95"/>
  </r>
  <r>
    <n v="47272"/>
    <s v="TOYOTASERVICIOS S.A."/>
    <d v="2026-02-27T00:00:00"/>
    <d v="2026-02-27T00:00:00"/>
    <x v="1"/>
    <n v="312"/>
    <n v="14926"/>
    <x v="5"/>
    <n v="621.11"/>
    <n v="10.87"/>
  </r>
  <r>
    <n v="47273"/>
    <s v="TOYOTASERVICIOS S.A."/>
    <d v="2026-02-27T00:00:00"/>
    <d v="2026-02-27T00:00:00"/>
    <x v="0"/>
    <n v="312"/>
    <n v="14925"/>
    <x v="4"/>
    <n v="93.17"/>
    <n v="27.95"/>
  </r>
  <r>
    <n v="47273"/>
    <s v="TOYOTASERVICIOS S.A."/>
    <d v="2026-02-27T00:00:00"/>
    <d v="2026-02-27T00:00:00"/>
    <x v="1"/>
    <n v="312"/>
    <n v="14925"/>
    <x v="5"/>
    <n v="621.11"/>
    <n v="10.87"/>
  </r>
  <r>
    <n v="47274"/>
    <s v="SZK DEL ECUADOR S.A."/>
    <d v="2026-02-27T00:00:00"/>
    <d v="2026-02-27T00:00:00"/>
    <x v="0"/>
    <n v="332"/>
    <n v="385"/>
    <x v="3"/>
    <n v="238.5"/>
    <n v="23.85"/>
  </r>
  <r>
    <n v="47275"/>
    <s v="TOYOTASERVICIOS S.A."/>
    <d v="2026-02-27T00:00:00"/>
    <d v="2026-02-27T00:00:00"/>
    <x v="1"/>
    <n v="312"/>
    <n v="14927"/>
    <x v="5"/>
    <n v="621.11"/>
    <n v="10.87"/>
  </r>
  <r>
    <n v="47275"/>
    <s v="TOYOTASERVICIOS S.A."/>
    <d v="2026-02-27T00:00:00"/>
    <d v="2026-02-27T00:00:00"/>
    <x v="0"/>
    <n v="312"/>
    <n v="14927"/>
    <x v="4"/>
    <n v="93.17"/>
    <n v="27.95"/>
  </r>
  <r>
    <n v="47276"/>
    <s v="TOYOTASERVICIOS S.A."/>
    <d v="2026-02-27T00:00:00"/>
    <d v="2026-02-27T00:00:00"/>
    <x v="1"/>
    <n v="312"/>
    <n v="14924"/>
    <x v="5"/>
    <n v="621.11"/>
    <n v="10.87"/>
  </r>
  <r>
    <n v="47276"/>
    <s v="TOYOTASERVICIOS S.A."/>
    <d v="2026-02-27T00:00:00"/>
    <d v="2026-02-27T00:00:00"/>
    <x v="0"/>
    <n v="312"/>
    <n v="14924"/>
    <x v="4"/>
    <n v="93.17"/>
    <n v="27.95"/>
  </r>
  <r>
    <n v="47277"/>
    <s v="SZK DEL ECUADOR S.A."/>
    <d v="2026-02-27T00:00:00"/>
    <d v="2026-02-27T00:00:00"/>
    <x v="0"/>
    <n v="312"/>
    <n v="3204"/>
    <x v="3"/>
    <n v="3618.36"/>
    <n v="361.84"/>
  </r>
  <r>
    <n v="47278"/>
    <s v="SZK DEL ECUADOR S.A."/>
    <d v="2026-02-27T00:00:00"/>
    <d v="2026-02-27T00:00:00"/>
    <x v="0"/>
    <n v="332"/>
    <n v="1524"/>
    <x v="3"/>
    <n v="311.03"/>
    <n v="31.1"/>
  </r>
  <r>
    <n v="47279"/>
    <s v="SZK DEL ECUADOR S.A."/>
    <d v="2026-02-27T00:00:00"/>
    <d v="2026-02-27T00:00:00"/>
    <x v="0"/>
    <n v="332"/>
    <n v="1525"/>
    <x v="3"/>
    <n v="221.74"/>
    <n v="22.17"/>
  </r>
  <r>
    <n v="47280"/>
    <s v="SZK DEL ECUADOR S.A."/>
    <d v="2026-02-27T00:00:00"/>
    <d v="2026-02-27T00:00:00"/>
    <x v="0"/>
    <n v="332"/>
    <n v="1526"/>
    <x v="3"/>
    <n v="221.74"/>
    <n v="22.17"/>
  </r>
  <r>
    <n v="47281"/>
    <s v="TOYOTASERVICIOS S.A."/>
    <d v="2026-02-27T00:00:00"/>
    <d v="2026-02-27T00:00:00"/>
    <x v="0"/>
    <n v="312"/>
    <n v="14932"/>
    <x v="4"/>
    <n v="93.17"/>
    <n v="27.95"/>
  </r>
  <r>
    <n v="47281"/>
    <s v="TOYOTASERVICIOS S.A."/>
    <d v="2026-02-27T00:00:00"/>
    <d v="2026-02-27T00:00:00"/>
    <x v="1"/>
    <n v="312"/>
    <n v="14932"/>
    <x v="5"/>
    <n v="621.11"/>
    <n v="10.87"/>
  </r>
  <r>
    <n v="47282"/>
    <s v="TOYOTASERVICIOS S.A."/>
    <d v="2026-02-27T00:00:00"/>
    <d v="2026-02-27T00:00:00"/>
    <x v="1"/>
    <n v="312"/>
    <n v="14931"/>
    <x v="5"/>
    <n v="621.11"/>
    <n v="10.87"/>
  </r>
  <r>
    <n v="47282"/>
    <s v="TOYOTASERVICIOS S.A."/>
    <d v="2026-02-27T00:00:00"/>
    <d v="2026-02-27T00:00:00"/>
    <x v="0"/>
    <n v="312"/>
    <n v="14931"/>
    <x v="4"/>
    <n v="93.17"/>
    <n v="27.95"/>
  </r>
  <r>
    <n v="47283"/>
    <s v="CASABACA S.A. "/>
    <d v="2026-02-28T00:00:00"/>
    <d v="2026-02-28T00:00:00"/>
    <x v="0"/>
    <n v="332"/>
    <n v="9140"/>
    <x v="3"/>
    <n v="39491.7"/>
    <n v="3949.17"/>
  </r>
  <r>
    <n v="47284"/>
    <s v="CASABACA S.A. "/>
    <d v="2026-02-28T00:00:00"/>
    <d v="2026-02-28T00:00:00"/>
    <x v="0"/>
    <n v="332"/>
    <n v="31488"/>
    <x v="3"/>
    <n v="398.9"/>
    <n v="39.89"/>
  </r>
  <r>
    <n v="47285"/>
    <s v="CASABACA S.A. "/>
    <d v="2026-02-28T00:00:00"/>
    <d v="2026-02-28T00:00:00"/>
    <x v="0"/>
    <n v="332"/>
    <n v="31485"/>
    <x v="3"/>
    <n v="357.16"/>
    <n v="35.72"/>
  </r>
  <r>
    <n v="47286"/>
    <s v="YANGTSE-AUTO DEL ECUADOR S.A."/>
    <d v="2026-02-28T00:00:00"/>
    <d v="2026-02-28T00:00:00"/>
    <x v="1"/>
    <n v="312"/>
    <n v="714"/>
    <x v="5"/>
    <n v="13685.48"/>
    <n v="239.5"/>
  </r>
  <r>
    <n v="47286"/>
    <s v="YANGTSE-AUTO DEL ECUADOR S.A."/>
    <d v="2026-02-28T00:00:00"/>
    <d v="2026-02-28T00:00:00"/>
    <x v="0"/>
    <n v="312"/>
    <n v="714"/>
    <x v="4"/>
    <n v="2052.82"/>
    <n v="615.85"/>
  </r>
  <r>
    <n v="47287"/>
    <s v="CASABACA S.A. "/>
    <d v="2026-02-28T00:00:00"/>
    <d v="2026-02-28T00:00:00"/>
    <x v="0"/>
    <n v="332"/>
    <n v="31486"/>
    <x v="3"/>
    <n v="340.14"/>
    <n v="34.01"/>
  </r>
  <r>
    <n v="47288"/>
    <s v="CASABACA S.A. "/>
    <d v="2026-02-28T00:00:00"/>
    <d v="2026-02-28T00:00:00"/>
    <x v="0"/>
    <n v="332"/>
    <n v="31487"/>
    <x v="3"/>
    <n v="329.88"/>
    <n v="32.99"/>
  </r>
  <r>
    <n v="47289"/>
    <s v="CASABACA S.A. "/>
    <d v="2026-02-28T00:00:00"/>
    <d v="2026-02-28T00:00:00"/>
    <x v="0"/>
    <n v="332"/>
    <n v="9141"/>
    <x v="3"/>
    <n v="11121.4"/>
    <n v="1112.14"/>
  </r>
  <r>
    <n v="47290"/>
    <s v="YANGTSE-AUTO DEL ECUADOR S.A."/>
    <d v="2026-02-28T00:00:00"/>
    <d v="2026-02-28T00:00:00"/>
    <x v="0"/>
    <n v="312"/>
    <n v="716"/>
    <x v="4"/>
    <n v="2966.76"/>
    <n v="890.03"/>
  </r>
  <r>
    <n v="47290"/>
    <s v="YANGTSE-AUTO DEL ECUADOR S.A."/>
    <d v="2026-02-28T00:00:00"/>
    <d v="2026-02-28T00:00:00"/>
    <x v="1"/>
    <n v="312"/>
    <n v="716"/>
    <x v="5"/>
    <n v="19778.43"/>
    <n v="346.12"/>
  </r>
  <r>
    <n v="47291"/>
    <s v="CASABACA S.A. "/>
    <d v="2026-02-28T00:00:00"/>
    <d v="2026-02-28T00:00:00"/>
    <x v="0"/>
    <n v="332"/>
    <n v="31483"/>
    <x v="3"/>
    <n v="340.14"/>
    <n v="34.01"/>
  </r>
  <r>
    <n v="47292"/>
    <s v="CASABACA S.A. "/>
    <d v="2026-02-28T00:00:00"/>
    <d v="2026-02-28T00:00:00"/>
    <x v="0"/>
    <n v="332"/>
    <n v="31484"/>
    <x v="3"/>
    <n v="329.88"/>
    <n v="32.99"/>
  </r>
  <r>
    <n v="47293"/>
    <s v="CONSORCIO DEL PICHINCHA S.A CONDELPI"/>
    <d v="2026-02-28T00:00:00"/>
    <d v="2026-02-25T00:00:00"/>
    <x v="0"/>
    <n v="332"/>
    <n v="101383"/>
    <x v="6"/>
    <n v="16.31"/>
    <n v="3.26"/>
  </r>
  <r>
    <n v="47294"/>
    <s v="CONSORCIO DEL PICHINCHA S.A CONDELPI"/>
    <d v="2026-02-28T00:00:00"/>
    <d v="2026-02-26T00:00:00"/>
    <x v="0"/>
    <n v="332"/>
    <n v="101422"/>
    <x v="3"/>
    <n v="978.26"/>
    <n v="97.83"/>
  </r>
  <r>
    <n v="47295"/>
    <s v="CONSORCIO DEL PICHINCHA S.A CONDELPI"/>
    <d v="2026-02-28T00:00:00"/>
    <d v="2026-02-26T00:00:00"/>
    <x v="0"/>
    <n v="332"/>
    <n v="101421"/>
    <x v="6"/>
    <n v="16.31"/>
    <n v="3.26"/>
  </r>
  <r>
    <n v="47296"/>
    <s v="CONSORCIO DEL PICHINCHA S.A CONDELPI"/>
    <d v="2026-02-28T00:00:00"/>
    <d v="2026-02-26T00:00:00"/>
    <x v="0"/>
    <n v="332"/>
    <n v="101419"/>
    <x v="6"/>
    <n v="16.31"/>
    <n v="3.26"/>
  </r>
  <r>
    <n v="47297"/>
    <s v="CONSORCIO DEL PICHINCHA S.A CONDELPI"/>
    <d v="2026-02-28T00:00:00"/>
    <d v="2026-02-26T00:00:00"/>
    <x v="0"/>
    <n v="332"/>
    <n v="101423"/>
    <x v="6"/>
    <n v="16.31"/>
    <n v="3.26"/>
  </r>
  <r>
    <n v="47298"/>
    <s v="CONSORCIO DEL PICHINCHA S.A CONDELPI"/>
    <d v="2026-02-28T00:00:00"/>
    <d v="2026-02-25T00:00:00"/>
    <x v="0"/>
    <n v="332"/>
    <n v="101380"/>
    <x v="3"/>
    <n v="1695.65"/>
    <n v="169.57"/>
  </r>
  <r>
    <n v="47299"/>
    <s v="CONSORCIO DEL PICHINCHA S.A CONDELPI"/>
    <d v="2026-02-28T00:00:00"/>
    <d v="2026-02-25T00:00:00"/>
    <x v="0"/>
    <n v="332"/>
    <n v="101382"/>
    <x v="3"/>
    <n v="1695.65"/>
    <n v="169.57"/>
  </r>
  <r>
    <n v="47300"/>
    <s v="CONSORCIO DEL PICHINCHA S.A CONDELPI"/>
    <d v="2026-02-28T00:00:00"/>
    <d v="2026-02-25T00:00:00"/>
    <x v="0"/>
    <n v="332"/>
    <n v="101401"/>
    <x v="3"/>
    <n v="978.26"/>
    <n v="97.83"/>
  </r>
  <r>
    <n v="47301"/>
    <s v="CONSORCIO DEL PICHINCHA S.A CONDELPI"/>
    <d v="2026-02-28T00:00:00"/>
    <d v="2026-02-25T00:00:00"/>
    <x v="0"/>
    <n v="332"/>
    <n v="101385"/>
    <x v="6"/>
    <n v="16.31"/>
    <n v="3.26"/>
  </r>
  <r>
    <n v="47302"/>
    <s v="CONSORCIO DEL PICHINCHA S.A CONDELPI"/>
    <d v="2026-02-28T00:00:00"/>
    <d v="2026-02-26T00:00:00"/>
    <x v="0"/>
    <n v="332"/>
    <n v="101425"/>
    <x v="6"/>
    <n v="16.31"/>
    <n v="3.26"/>
  </r>
  <r>
    <n v="47303"/>
    <s v="TOYOTASERVICIOS S.A."/>
    <d v="2026-02-28T00:00:00"/>
    <d v="2026-02-27T00:00:00"/>
    <x v="0"/>
    <n v="312"/>
    <n v="53045"/>
    <x v="4"/>
    <n v="0.75"/>
    <n v="0.23"/>
  </r>
  <r>
    <n v="47303"/>
    <s v="TOYOTASERVICIOS S.A."/>
    <d v="2026-02-28T00:00:00"/>
    <d v="2026-02-27T00:00:00"/>
    <x v="1"/>
    <n v="312"/>
    <n v="53045"/>
    <x v="5"/>
    <n v="5"/>
    <n v="0.09"/>
  </r>
  <r>
    <n v="47304"/>
    <s v="CONSORCIO DEL PICHINCHA S.A CONDELPI"/>
    <d v="2026-02-28T00:00:00"/>
    <d v="2026-02-25T00:00:00"/>
    <x v="0"/>
    <n v="332"/>
    <n v="101381"/>
    <x v="6"/>
    <n v="16.31"/>
    <n v="3.26"/>
  </r>
  <r>
    <n v="47305"/>
    <s v="CONSORCIO DEL PICHINCHA S.A CONDELPI"/>
    <d v="2026-02-28T00:00:00"/>
    <d v="2026-02-25T00:00:00"/>
    <x v="0"/>
    <n v="332"/>
    <n v="101388"/>
    <x v="3"/>
    <n v="1695.65"/>
    <n v="169.57"/>
  </r>
  <r>
    <n v="47306"/>
    <s v="CONSORCIO DEL PICHINCHA S.A CONDELPI"/>
    <d v="2026-02-28T00:00:00"/>
    <d v="2026-02-25T00:00:00"/>
    <x v="0"/>
    <n v="332"/>
    <n v="101386"/>
    <x v="3"/>
    <n v="1695.65"/>
    <n v="169.57"/>
  </r>
  <r>
    <n v="47307"/>
    <s v="CONSORCIO DEL PICHINCHA S.A CONDELPI"/>
    <d v="2026-02-28T00:00:00"/>
    <d v="2026-02-25T00:00:00"/>
    <x v="0"/>
    <n v="332"/>
    <n v="101387"/>
    <x v="6"/>
    <n v="16.31"/>
    <n v="3.26"/>
  </r>
  <r>
    <n v="47308"/>
    <s v="CONSORCIO DEL PICHINCHA S.A CONDELPI"/>
    <d v="2026-02-28T00:00:00"/>
    <d v="2026-02-26T00:00:00"/>
    <x v="0"/>
    <n v="332"/>
    <n v="101420"/>
    <x v="3"/>
    <n v="978.26"/>
    <n v="97.83"/>
  </r>
  <r>
    <n v="47309"/>
    <s v="TOYOTASERVICIOS S.A."/>
    <d v="2026-02-28T00:00:00"/>
    <d v="2026-02-27T00:00:00"/>
    <x v="1"/>
    <n v="312"/>
    <n v="867"/>
    <x v="5"/>
    <n v="938.85"/>
    <n v="16.43"/>
  </r>
  <r>
    <n v="47309"/>
    <s v="TOYOTASERVICIOS S.A."/>
    <d v="2026-02-28T00:00:00"/>
    <d v="2026-02-27T00:00:00"/>
    <x v="0"/>
    <n v="312"/>
    <n v="867"/>
    <x v="4"/>
    <n v="140.83"/>
    <n v="42.25"/>
  </r>
  <r>
    <n v="47310"/>
    <s v="CONSORCIO DEL PICHINCHA S.A CONDELPI"/>
    <d v="2026-02-28T00:00:00"/>
    <d v="2026-02-25T00:00:00"/>
    <x v="0"/>
    <n v="332"/>
    <n v="101378"/>
    <x v="3"/>
    <n v="1695.65"/>
    <n v="169.57"/>
  </r>
  <r>
    <n v="47311"/>
    <s v="CONSORCIO DEL PICHINCHA S.A CONDELPI"/>
    <d v="2026-02-28T00:00:00"/>
    <d v="2026-02-25T00:00:00"/>
    <x v="0"/>
    <n v="332"/>
    <n v="101395"/>
    <x v="6"/>
    <n v="16.31"/>
    <n v="3.26"/>
  </r>
  <r>
    <n v="47312"/>
    <s v="CONSORCIO DEL PICHINCHA S.A CONDELPI"/>
    <d v="2026-02-28T00:00:00"/>
    <d v="2026-02-25T00:00:00"/>
    <x v="0"/>
    <n v="332"/>
    <n v="101404"/>
    <x v="6"/>
    <n v="16.31"/>
    <n v="3.26"/>
  </r>
  <r>
    <n v="47313"/>
    <s v="CONSORCIO DEL PICHINCHA S.A CONDELPI"/>
    <d v="2026-02-28T00:00:00"/>
    <d v="2026-02-26T00:00:00"/>
    <x v="0"/>
    <n v="332"/>
    <n v="101413"/>
    <x v="6"/>
    <n v="16.31"/>
    <n v="3.26"/>
  </r>
  <r>
    <n v="47314"/>
    <s v="CONSORCIO DEL PICHINCHA S.A CONDELPI"/>
    <d v="2026-02-28T00:00:00"/>
    <d v="2026-02-26T00:00:00"/>
    <x v="0"/>
    <n v="332"/>
    <n v="101416"/>
    <x v="3"/>
    <n v="1173.91"/>
    <n v="117.39"/>
  </r>
  <r>
    <n v="47315"/>
    <s v="CONSORCIO DEL PICHINCHA S.A CONDELPI"/>
    <d v="2026-02-28T00:00:00"/>
    <d v="2026-02-26T00:00:00"/>
    <x v="0"/>
    <n v="332"/>
    <n v="101424"/>
    <x v="3"/>
    <n v="978.26"/>
    <n v="97.83"/>
  </r>
  <r>
    <n v="47316"/>
    <s v="CONSORCIO DEL PICHINCHA S.A CONDELPI"/>
    <d v="2026-02-28T00:00:00"/>
    <d v="2026-02-26T00:00:00"/>
    <x v="0"/>
    <n v="332"/>
    <n v="101415"/>
    <x v="6"/>
    <n v="16.31"/>
    <n v="3.26"/>
  </r>
  <r>
    <n v="47317"/>
    <s v="CONSORCIO DEL PICHINCHA S.A CONDELPI"/>
    <d v="2026-02-28T00:00:00"/>
    <d v="2026-02-25T00:00:00"/>
    <x v="0"/>
    <n v="332"/>
    <n v="101379"/>
    <x v="6"/>
    <n v="16.31"/>
    <n v="3.26"/>
  </r>
  <r>
    <n v="47318"/>
    <s v="CONSORCIO DEL PICHINCHA S.A CONDELPI"/>
    <d v="2026-02-28T00:00:00"/>
    <d v="2026-02-25T00:00:00"/>
    <x v="0"/>
    <n v="332"/>
    <n v="101403"/>
    <x v="3"/>
    <n v="978.26"/>
    <n v="97.83"/>
  </r>
  <r>
    <n v="47319"/>
    <s v="CONSORCIO DEL PICHINCHA S.A CONDELPI"/>
    <d v="2026-02-28T00:00:00"/>
    <d v="2026-02-25T00:00:00"/>
    <x v="0"/>
    <n v="332"/>
    <n v="101408"/>
    <x v="6"/>
    <n v="16.31"/>
    <n v="3.26"/>
  </r>
  <r>
    <n v="47320"/>
    <s v="CONSORCIO DEL PICHINCHA S.A CONDELPI"/>
    <d v="2026-02-28T00:00:00"/>
    <d v="2026-02-26T00:00:00"/>
    <x v="0"/>
    <n v="332"/>
    <n v="101410"/>
    <x v="3"/>
    <n v="1695.65"/>
    <n v="169.57"/>
  </r>
  <r>
    <n v="47321"/>
    <s v="CONSORCIO DEL PICHINCHA S.A CONDELPI"/>
    <d v="2026-02-28T00:00:00"/>
    <d v="2026-02-25T00:00:00"/>
    <x v="0"/>
    <n v="332"/>
    <n v="101394"/>
    <x v="3"/>
    <n v="978.26"/>
    <n v="97.83"/>
  </r>
  <r>
    <n v="47322"/>
    <s v="CONSORCIO DEL PICHINCHA S.A CONDELPI"/>
    <d v="2026-02-28T00:00:00"/>
    <d v="2026-02-25T00:00:00"/>
    <x v="0"/>
    <n v="332"/>
    <n v="101392"/>
    <x v="3"/>
    <n v="978.26"/>
    <n v="97.83"/>
  </r>
  <r>
    <n v="47323"/>
    <s v="CONSORCIO DEL PICHINCHA S.A CONDELPI"/>
    <d v="2026-02-28T00:00:00"/>
    <d v="2026-02-25T00:00:00"/>
    <x v="0"/>
    <n v="332"/>
    <n v="101405"/>
    <x v="3"/>
    <n v="978.26"/>
    <n v="97.83"/>
  </r>
  <r>
    <n v="47324"/>
    <s v="CONSORCIO DEL PICHINCHA S.A CONDELPI"/>
    <d v="2026-02-28T00:00:00"/>
    <d v="2026-02-25T00:00:00"/>
    <x v="0"/>
    <n v="332"/>
    <n v="101407"/>
    <x v="3"/>
    <n v="978.26"/>
    <n v="97.83"/>
  </r>
  <r>
    <n v="47325"/>
    <s v="CONSORCIO DEL PICHINCHA S.A CONDELPI"/>
    <d v="2026-02-28T00:00:00"/>
    <d v="2026-02-26T00:00:00"/>
    <x v="0"/>
    <n v="332"/>
    <n v="101411"/>
    <x v="6"/>
    <n v="16.31"/>
    <n v="3.26"/>
  </r>
  <r>
    <n v="47326"/>
    <s v="CONSORCIO DEL PICHINCHA S.A CONDELPI"/>
    <d v="2026-02-28T00:00:00"/>
    <d v="2026-02-26T00:00:00"/>
    <x v="0"/>
    <n v="332"/>
    <n v="101418"/>
    <x v="3"/>
    <n v="1173.91"/>
    <n v="117.39"/>
  </r>
  <r>
    <n v="47327"/>
    <s v="CONSORCIO DEL PICHINCHA S.A CONDELPI"/>
    <d v="2026-02-28T00:00:00"/>
    <d v="2026-02-26T00:00:00"/>
    <x v="0"/>
    <n v="332"/>
    <n v="101417"/>
    <x v="6"/>
    <n v="16.31"/>
    <n v="3.26"/>
  </r>
  <r>
    <n v="47328"/>
    <s v="TOYOTASERVICIOS S.A."/>
    <d v="2026-02-28T00:00:00"/>
    <d v="2026-02-27T00:00:00"/>
    <x v="1"/>
    <n v="312"/>
    <n v="866"/>
    <x v="5"/>
    <n v="4598.9"/>
    <n v="80.48"/>
  </r>
  <r>
    <n v="47328"/>
    <s v="TOYOTASERVICIOS S.A."/>
    <d v="2026-02-28T00:00:00"/>
    <d v="2026-02-27T00:00:00"/>
    <x v="0"/>
    <n v="312"/>
    <n v="866"/>
    <x v="4"/>
    <n v="689.84"/>
    <n v="206.95"/>
  </r>
  <r>
    <n v="47329"/>
    <s v="CONSORCIO DEL PICHINCHA S.A CONDELPI"/>
    <d v="2026-02-28T00:00:00"/>
    <d v="2026-02-25T00:00:00"/>
    <x v="0"/>
    <n v="332"/>
    <n v="101389"/>
    <x v="6"/>
    <n v="16.31"/>
    <n v="3.26"/>
  </r>
  <r>
    <n v="47330"/>
    <s v="CONSORCIO DEL PICHINCHA S.A CONDELPI"/>
    <d v="2026-02-28T00:00:00"/>
    <d v="2026-02-25T00:00:00"/>
    <x v="0"/>
    <n v="332"/>
    <n v="101402"/>
    <x v="6"/>
    <n v="16.31"/>
    <n v="3.26"/>
  </r>
  <r>
    <n v="47331"/>
    <s v="CONSORCIO DEL PICHINCHA S.A CONDELPI"/>
    <d v="2026-02-28T00:00:00"/>
    <d v="2026-02-25T00:00:00"/>
    <x v="0"/>
    <n v="332"/>
    <n v="101393"/>
    <x v="6"/>
    <n v="16.31"/>
    <n v="3.26"/>
  </r>
  <r>
    <n v="47332"/>
    <s v="CONSORCIO DEL PICHINCHA S.A CONDELPI"/>
    <d v="2026-02-28T00:00:00"/>
    <d v="2026-02-25T00:00:00"/>
    <x v="0"/>
    <n v="332"/>
    <n v="101406"/>
    <x v="6"/>
    <n v="16.31"/>
    <n v="3.26"/>
  </r>
  <r>
    <n v="47333"/>
    <s v="CONSORCIO DEL PICHINCHA S.A CONDELPI"/>
    <d v="2026-02-28T00:00:00"/>
    <d v="2026-02-25T00:00:00"/>
    <x v="0"/>
    <n v="332"/>
    <n v="101384"/>
    <x v="3"/>
    <n v="1695.65"/>
    <n v="169.57"/>
  </r>
  <r>
    <n v="47334"/>
    <s v="CONSORCIO DEL PICHINCHA S.A CONDELPI"/>
    <d v="2026-02-28T00:00:00"/>
    <d v="2026-02-26T00:00:00"/>
    <x v="0"/>
    <n v="332"/>
    <n v="101412"/>
    <x v="3"/>
    <n v="1695.65"/>
    <n v="169.57"/>
  </r>
  <r>
    <n v="47335"/>
    <s v="CONSORCIO DEL PICHINCHA S.A CONDELPI"/>
    <d v="2026-02-28T00:00:00"/>
    <d v="2026-02-26T00:00:00"/>
    <x v="0"/>
    <n v="332"/>
    <n v="101414"/>
    <x v="3"/>
    <n v="1695.65"/>
    <n v="169.57"/>
  </r>
  <r>
    <n v="47336"/>
    <s v="TOYOTASERVICIOS S.A."/>
    <d v="2026-02-28T00:00:00"/>
    <d v="2026-02-27T00:00:00"/>
    <x v="1"/>
    <n v="344"/>
    <n v="53046"/>
    <x v="7"/>
    <n v="846"/>
    <n v="23.27"/>
  </r>
  <r>
    <n v="47336"/>
    <s v="TOYOTASERVICIOS S.A."/>
    <d v="2026-02-28T00:00:00"/>
    <d v="2026-02-27T00:00:00"/>
    <x v="0"/>
    <n v="344"/>
    <n v="53046"/>
    <x v="0"/>
    <n v="126.9"/>
    <n v="88.8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s:pivotTableDefinition xmlns:r="http://schemas.openxmlformats.org/officeDocument/2006/relationships" xmlns:s="http://schemas.openxmlformats.org/spreadsheetml/2006/main" name="TablaDinámica2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s:location ref="L1:N16" firstHeaderRow="0" firstDataRow="1" firstDataCol="1"/>
  <s:pivotFields count="10"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numFmtId="14" outline="1" subtotalTop="1" dragToRow="1" dragToCol="1" dragToPage="1" dragToData="1" dragOff="1" showAll="0" topAutoShow="1" itemPageCount="10" sortType="manual" defaultSubtotal="1"/>
    <s:pivotField showDropDowns="1" compact="1" numFmtId="14" outline="1" subtotalTop="1" dragToRow="1" dragToCol="1" dragToPage="1" dragToData="1" dragOff="1" showAll="0" topAutoShow="1" itemPageCount="10" sortType="manual" defaultSubtotal="1"/>
    <s:pivotField axis="axisRow" showDropDowns="1" compact="1" outline="1" subtotalTop="1" dragToRow="1" dragToCol="1" dragToPage="1" dragToData="1" dragOff="1" showAll="0" topAutoShow="1" itemPageCount="10" sortType="manual" defaultSubtotal="1">
      <s:items count="3">
        <s:item t="data" sd="1" x="0"/>
        <s:item t="data" sd="1" x="1"/>
        <s:item t="default" sd="1"/>
      </s:items>
    </s:pivotField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outline="1" subtotalTop="1" dragToRow="1" dragToCol="1" dragToPage="1" dragToData="1" dragOff="1" showAll="0" topAutoShow="1" itemPageCount="10" sortType="manual" defaultSubtotal="1"/>
    <s:pivotField axis="axisRow" showDropDowns="1" compact="1" outline="1" subtotalTop="1" dragToRow="1" dragToCol="1" dragToPage="1" dragToData="1" dragOff="1" showAll="0" topAutoShow="1" itemPageCount="10" sortType="manual" defaultSubtotal="1">
      <s:items count="12">
        <s:item t="data" sd="1" x="9"/>
        <s:item t="data" sd="1" x="10"/>
        <s:item t="data" sd="1" x="5"/>
        <s:item t="data" sd="1" x="1"/>
        <s:item t="data" sd="1" x="7"/>
        <s:item t="data" sd="1" x="2"/>
        <s:item t="data" sd="1" x="3"/>
        <s:item t="data" sd="1" x="6"/>
        <s:item t="data" sd="1" x="4"/>
        <s:item t="data" sd="1" x="0"/>
        <s:item t="data" sd="1" x="8"/>
        <s:item t="default" sd="1"/>
      </s:items>
    </s:pivotField>
    <s:pivotField dataField="1" showDropDowns="1" compact="1" outline="1" subtotalTop="1" dragToRow="1" dragToCol="1" dragToPage="1" dragToData="1" dragOff="1" showAll="0" topAutoShow="1" itemPageCount="10" sortType="manual" defaultSubtotal="1"/>
    <s:pivotField dataField="1" showDropDowns="1" compact="1" outline="1" subtotalTop="1" dragToRow="1" dragToCol="1" dragToPage="1" dragToData="1" dragOff="1" showAll="0" topAutoShow="1" itemPageCount="10" sortType="manual" defaultSubtotal="1"/>
  </s:pivotFields>
  <s:rowFields count="2">
    <s:field x="4"/>
    <s:field x="7"/>
  </s:rowFields>
  <s:rowItems count="15">
    <s:i t="data" r="0" i="0">
      <s:x v="0"/>
    </s:i>
    <s:i t="data" r="1" i="0">
      <s:x v="6"/>
    </s:i>
    <s:i t="data" r="1" i="0">
      <s:x v="7"/>
    </s:i>
    <s:i t="data" r="1" i="0">
      <s:x v="8"/>
    </s:i>
    <s:i t="data" r="1" i="0">
      <s:x v="9"/>
    </s:i>
    <s:i t="data" r="1" i="0">
      <s:x v="10"/>
    </s:i>
    <s:i t="data" r="0" i="0">
      <s:x v="1"/>
    </s:i>
    <s:i t="data" r="1" i="0">
      <s:x v="0"/>
    </s:i>
    <s:i t="data" r="1" i="0">
      <s:x v="1"/>
    </s:i>
    <s:i t="data" r="1" i="0">
      <s:x v="2"/>
    </s:i>
    <s:i t="data" r="1" i="0">
      <s:x v="3"/>
    </s:i>
    <s:i t="data" r="1" i="0">
      <s:x v="4"/>
    </s:i>
    <s:i t="data" r="1" i="0">
      <s:x v="5"/>
    </s:i>
    <s:i t="data" r="1" i="0">
      <s:x v="6"/>
    </s:i>
    <s:i t="grand" r="0" i="0">
      <s:x v="0"/>
    </s:i>
  </s:rowItems>
  <s:colFields count="1">
    <s:field x="-2"/>
  </s:colFields>
  <s:colItems count="2">
    <s:i t="data" r="0" i="0">
      <s:x v="0"/>
    </s:i>
    <s:i t="data" r="0" i="1">
      <s:x v="1"/>
    </s:i>
  </s:colItems>
  <s:dataFields count="2">
    <s:dataField name="Suma de BASE" fld="8" subtotal="sum" showDataAs="normal" baseField="0" baseItem="0"/>
    <s:dataField name="Suma de RETENCION" fld="9" subtotal="sum" showDataAs="normal" baseField="0" baseItem="0"/>
  </s:dataFields>
  <s:formats count="1">
    <s:format action="formatting" dxfId="0">
      <s:pivotArea type="normal" dataOnly="1" outline="0" collapsedLevelsAreSubtotals="1" fieldPosition="0"/>
    </s:format>
  </s:formats>
  <s:pivotTableStyleInfo name="PivotStyleLight16" showRowHeaders="1" showColHeaders="1" showRowStripes="0" showColStripes="0" showLastColumn="1"/>
</s: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P550"/>
  <s:sheetViews>
    <s:sheetView tabSelected="1" topLeftCell="A91" workbookViewId="0">
      <s:selection activeCell="H495" sqref="H495"/>
    </s:sheetView>
  </s:sheetViews>
  <s:sheetFormatPr baseColWidth="10" defaultRowHeight="15"/>
  <s:cols>
    <s:col width="10" bestFit="1" customWidth="1" min="1" max="1"/>
    <s:col width="64.85546875" bestFit="1" customWidth="1" min="2" max="2"/>
    <s:col width="12.85546875" bestFit="1" customWidth="1" min="4" max="4"/>
    <s:col width="17.85546875" bestFit="1" customWidth="1" min="12" max="12"/>
    <s:col width="13.7109375" bestFit="1" customWidth="1" min="13" max="13"/>
    <s:col width="20.140625" bestFit="1" customWidth="1" min="14" max="14"/>
  </s:cols>
  <s:sheetData>
    <s:row r="1">
      <s:c r="A1" s="10" t="inlineStr">
        <s:is>
          <s:t>NUM RT</s:t>
        </s:is>
      </s:c>
      <s:c r="B1" s="10" t="inlineStr">
        <s:is>
          <s:t>PROVEEDOR</s:t>
        </s:is>
      </s:c>
      <s:c r="C1" s="10" t="inlineStr">
        <s:is>
          <s:t>FECHA</s:t>
        </s:is>
      </s:c>
      <s:c r="D1" s="10" t="inlineStr">
        <s:is>
          <s:t>FECHA CONT</s:t>
        </s:is>
      </s:c>
      <s:c r="E1" s="10" t="inlineStr">
        <s:is>
          <s:t>TIPO</s:t>
        </s:is>
      </s:c>
      <s:c r="F1" s="10" t="inlineStr">
        <s:is>
          <s:t>COD</s:t>
        </s:is>
      </s:c>
      <s:c r="G1" s="10" t="inlineStr">
        <s:is>
          <s:t>FACT</s:t>
        </s:is>
      </s:c>
      <s:c r="H1" s="10" t="inlineStr">
        <s:is>
          <s:t>%</s:t>
        </s:is>
      </s:c>
      <s:c r="I1" s="10" t="inlineStr">
        <s:is>
          <s:t>BASE</s:t>
        </s:is>
      </s:c>
      <s:c r="J1" s="10" t="inlineStr">
        <s:is>
          <s:t>RETENCION</s:t>
        </s:is>
      </s:c>
      <s:c r="L1" s="9" t="inlineStr">
        <s:is>
          <s:t>Etiquetas de fila</s:t>
        </s:is>
      </s:c>
      <s:c r="M1" t="inlineStr">
        <s:is>
          <s:t>Suma de BASE</s:t>
        </s:is>
      </s:c>
      <s:c r="N1" t="inlineStr">
        <s:is>
          <s:t>Suma de RETENCION</s:t>
        </s:is>
      </s:c>
    </s:row>
    <s:row r="2">
      <s:c r="A2" s="2" t="n">
        <s:v>47029</s:v>
      </s:c>
      <s:c r="B2" s="2" t="inlineStr">
        <s:is>
          <s:t>PROV_CAN_1774368060</s:t>
        </s:is>
      </s:c>
      <s:c r="C2" s="3" t="n">
        <s:v>46055</s:v>
      </s:c>
      <s:c r="D2" s="3" t="n">
        <s:v>46055</s:v>
      </s:c>
      <s:c r="E2" s="3" t="inlineStr">
        <s:is>
          <s:t>IVA</s:t>
        </s:is>
      </s:c>
      <s:c r="F2" s="2" t="n">
        <s:v>344</s:v>
      </s:c>
      <s:c r="G2" s="2" t="n">
        <s:v>811</s:v>
      </s:c>
      <s:c r="H2" s="2" t="n">
        <s:v>70</s:v>
      </s:c>
      <s:c r="I2" s="2" t="n">
        <s:v>65.22</s:v>
      </s:c>
      <s:c r="J2" s="2" t="n">
        <s:v>45.65</s:v>
      </s:c>
      <s:c r="L2" s="7" t="inlineStr">
        <s:is>
          <s:t>IVA</s:t>
        </s:is>
      </s:c>
      <s:c r="M2" s="11" t="n">
        <s:v>488420.72</s:v>
      </s:c>
      <s:c r="N2" s="11" t="n">
        <s:v>63793.46</s:v>
      </s:c>
    </s:row>
    <s:row r="3">
      <s:c r="A3" s="2" t="n">
        <s:v>47030</s:v>
      </s:c>
      <s:c r="B3" s="2" t="inlineStr">
        <s:is>
          <s:t>REINOSO SALAS YAJAIRA CAROLINA</s:t>
        </s:is>
      </s:c>
      <s:c r="C3" s="3" t="n">
        <s:v>46055</s:v>
      </s:c>
      <s:c r="D3" s="3" t="n">
        <s:v>46055</s:v>
      </s:c>
      <s:c r="E3" s="3" t="inlineStr">
        <s:is>
          <s:t>IVA</s:t>
        </s:is>
      </s:c>
      <s:c r="F3" s="2" t="n">
        <s:v>307</s:v>
      </s:c>
      <s:c r="G3" s="2" t="n">
        <s:v>118</s:v>
      </s:c>
      <s:c r="H3" s="2" t="n">
        <s:v>70</s:v>
      </s:c>
      <s:c r="I3" s="2" t="n">
        <s:v>7.5</s:v>
      </s:c>
      <s:c r="J3" s="2" t="n">
        <s:v>5.25</s:v>
      </s:c>
      <s:c r="L3" s="8" t="n">
        <s:v>10</s:v>
      </s:c>
      <s:c r="M3" s="11" t="n">
        <s:v>37137.77</s:v>
      </s:c>
      <s:c r="N3" s="11" t="n">
        <s:v>3713.76</s:v>
      </s:c>
      <s:c r="O3" s="12">
        <s:f>+GETPIVOTDATA("Suma de HABER",'[1]MAYOR RET'!$M$1,"CUENTA","RETENCION 10% IVA (BIENES)")</s:f>
        <s:v/>
      </s:c>
      <s:c r="P3" s="11">
        <s:f>+N3-O3</s:f>
        <s:v/>
      </s:c>
    </s:row>
    <s:row r="4">
      <s:c r="A4" s="2" t="n">
        <s:v>47030</s:v>
      </s:c>
      <s:c r="B4" s="2" t="inlineStr">
        <s:is>
          <s:t>REINOSO SALAS YAJAIRA CAROLINA</s:t>
        </s:is>
      </s:c>
      <s:c r="C4" s="3" t="n">
        <s:v>46055</s:v>
      </s:c>
      <s:c r="D4" s="3" t="n">
        <s:v>46055</s:v>
      </s:c>
      <s:c r="E4" s="3" t="inlineStr">
        <s:is>
          <s:t>RENTA</s:t>
        </s:is>
      </s:c>
      <s:c r="F4" s="2" t="n">
        <s:v>307</s:v>
      </s:c>
      <s:c r="G4" s="2" t="n">
        <s:v>118</s:v>
      </s:c>
      <s:c r="H4" s="2" t="n">
        <s:v>2</s:v>
      </s:c>
      <s:c r="I4" s="2" t="n">
        <s:v>50</s:v>
      </s:c>
      <s:c r="J4" s="2" t="n">
        <s:v>1</s:v>
      </s:c>
      <s:c r="L4" s="8" t="n">
        <s:v>20</s:v>
      </s:c>
      <s:c r="M4" s="11" t="n">
        <s:v>1446.11</s:v>
      </s:c>
      <s:c r="N4" s="11" t="n">
        <s:v>289.18</s:v>
      </s:c>
      <s:c r="O4" s="12">
        <s:f>+'[1]MAYOR RET'!P12</s:f>
        <s:v/>
      </s:c>
      <s:c r="P4" s="11">
        <s:f>+N4+O4</s:f>
        <s:v/>
      </s:c>
    </s:row>
    <s:row r="5">
      <s:c r="A5" s="2" t="n">
        <s:v>47031</s:v>
      </s:c>
      <s:c r="B5" s="2" t="inlineStr">
        <s:is>
          <s:t>CARLARSERVICE CIA. LTDA</s:t>
        </s:is>
      </s:c>
      <s:c r="C5" s="3" t="n">
        <s:v>46055</s:v>
      </s:c>
      <s:c r="D5" s="3" t="n">
        <s:v>46055</s:v>
      </s:c>
      <s:c r="E5" s="3" t="inlineStr">
        <s:is>
          <s:t>RENTA</s:t>
        </s:is>
      </s:c>
      <s:c r="F5" s="2" t="n">
        <s:v>303</s:v>
      </s:c>
      <s:c r="G5" s="2" t="n">
        <s:v>448</s:v>
      </s:c>
      <s:c r="H5" s="2" t="n">
        <s:v>3</s:v>
      </s:c>
      <s:c r="I5" s="4" t="n">
        <s:v>7000</s:v>
      </s:c>
      <s:c r="J5" s="2" t="n">
        <s:v>210</s:v>
      </s:c>
      <s:c r="L5" s="8" t="n">
        <s:v>30</s:v>
      </s:c>
      <s:c r="M5" s="11" t="n">
        <s:v>34533.79</s:v>
      </s:c>
      <s:c r="N5" s="11" t="n">
        <s:v>10360.18</s:v>
      </s:c>
      <s:c r="O5" s="12">
        <s:f>+GETPIVOTDATA("Suma de HABER",'[1]MAYOR RET'!$M$1,"CUENTA","30% RETENCION IVA - COMPRAS")</s:f>
        <s:v/>
      </s:c>
      <s:c r="P5" s="11">
        <s:f>+N5-O5</s:f>
        <s:v/>
      </s:c>
    </s:row>
    <s:row r="6">
      <s:c r="A6" s="2" t="n">
        <s:v>47031</s:v>
      </s:c>
      <s:c r="B6" s="2" t="inlineStr">
        <s:is>
          <s:t>CARLARSERVICE CIA. LTDA</s:t>
        </s:is>
      </s:c>
      <s:c r="C6" s="3" t="n">
        <s:v>46055</s:v>
      </s:c>
      <s:c r="D6" s="3" t="n">
        <s:v>46055</s:v>
      </s:c>
      <s:c r="E6" s="3" t="inlineStr">
        <s:is>
          <s:t>IVA</s:t>
        </s:is>
      </s:c>
      <s:c r="F6" s="2" t="n">
        <s:v>303</s:v>
      </s:c>
      <s:c r="G6" s="2" t="n">
        <s:v>448</s:v>
      </s:c>
      <s:c r="H6" s="2" t="n">
        <s:v>70</s:v>
      </s:c>
      <s:c r="I6" s="4" t="n">
        <s:v>1050</s:v>
      </s:c>
      <s:c r="J6" s="2" t="n">
        <s:v>735</s:v>
      </s:c>
      <s:c r="L6" s="8" t="n">
        <s:v>70</s:v>
      </s:c>
      <s:c r="M6" s="11" t="n">
        <s:v>11703.77</s:v>
      </s:c>
      <s:c r="N6" s="11" t="n">
        <s:v>8192.700000000001</s:v>
      </s:c>
      <s:c r="O6" s="12">
        <s:f>+GETPIVOTDATA("Suma de HABER",'[1]MAYOR RET'!$M$1,"CUENTA","70% RETENCION IVA -SERVICIOS")</s:f>
        <s:v/>
      </s:c>
      <s:c r="P6" s="11">
        <s:f>+N6-O6</s:f>
        <s:v/>
      </s:c>
    </s:row>
    <s:row r="7">
      <s:c r="A7" s="2" t="n">
        <s:v>47032</s:v>
      </s:c>
      <s:c r="B7" s="2" t="inlineStr">
        <s:is>
          <s:t>BACLT INMOBILIARIA S.A.S.</s:t>
        </s:is>
      </s:c>
      <s:c r="C7" s="3" t="n">
        <s:v>46055</s:v>
      </s:c>
      <s:c r="D7" s="3" t="n">
        <s:v>46055</s:v>
      </s:c>
      <s:c r="E7" s="3" t="inlineStr">
        <s:is>
          <s:t>RENTA</s:t>
        </s:is>
      </s:c>
      <s:c r="F7" s="2" t="n">
        <s:v>320</s:v>
      </s:c>
      <s:c r="G7" s="2" t="n">
        <s:v>196</s:v>
      </s:c>
      <s:c r="H7" s="2" t="n">
        <s:v>10</s:v>
      </s:c>
      <s:c r="I7" s="4" t="n">
        <s:v>7500</s:v>
      </s:c>
      <s:c r="J7" s="2" t="n">
        <s:v>750</s:v>
      </s:c>
      <s:c r="L7" s="8" t="n">
        <s:v>100</s:v>
      </s:c>
      <s:c r="M7" s="11" t="n">
        <s:v>975.15</s:v>
      </s:c>
      <s:c r="N7" s="11" t="n">
        <s:v>975.15</s:v>
      </s:c>
      <s:c r="O7" s="12">
        <s:f>+GETPIVOTDATA("Suma de HABER",'[1]MAYOR RET'!$M$1,"CUENTA","100 % RETENCION  IVA")</s:f>
        <s:v/>
      </s:c>
      <s:c r="P7" s="11">
        <s:f>+N7-O7</s:f>
        <s:v/>
      </s:c>
    </s:row>
    <s:row r="8">
      <s:c r="A8" s="2" t="n">
        <s:v>47032</s:v>
      </s:c>
      <s:c r="B8" s="2" t="inlineStr">
        <s:is>
          <s:t>BACLT INMOBILIARIA S.A.S.</s:t>
        </s:is>
      </s:c>
      <s:c r="C8" s="3" t="n">
        <s:v>46055</s:v>
      </s:c>
      <s:c r="D8" s="3" t="n">
        <s:v>46055</s:v>
      </s:c>
      <s:c r="E8" s="3" t="inlineStr">
        <s:is>
          <s:t>IVA</s:t>
        </s:is>
      </s:c>
      <s:c r="F8" s="2" t="n">
        <s:v>320</s:v>
      </s:c>
      <s:c r="G8" s="2" t="n">
        <s:v>196</s:v>
      </s:c>
      <s:c r="H8" s="2" t="n">
        <s:v>70</s:v>
      </s:c>
      <s:c r="I8" s="4" t="n">
        <s:v>1125</s:v>
      </s:c>
      <s:c r="J8" s="2" t="n">
        <s:v>787.5</s:v>
      </s:c>
      <s:c r="L8" s="7" t="inlineStr">
        <s:is>
          <s:t>RENTA</s:t>
        </s:is>
      </s:c>
      <s:c r="M8" s="11" t="n">
        <s:v>377296.95</s:v>
      </s:c>
      <s:c r="N8" s="11" t="n">
        <s:v>10221.98</s:v>
      </s:c>
      <s:c r="O8" s="12" t="n"/>
      <s:c r="P8" s="11" t="n"/>
    </s:row>
    <s:row r="9">
      <s:c r="A9" s="2" t="n">
        <s:v>47033</s:v>
      </s:c>
      <s:c r="B9" s="2" t="inlineStr">
        <s:is>
          <s:t>VARGAS TORRES WALTTER DARIO</s:t>
        </s:is>
      </s:c>
      <s:c r="C9" s="3" t="n">
        <s:v>46055</s:v>
      </s:c>
      <s:c r="D9" s="3" t="n">
        <s:v>46055</s:v>
      </s:c>
      <s:c r="E9" s="3" t="inlineStr">
        <s:is>
          <s:t>IVA</s:t>
        </s:is>
      </s:c>
      <s:c r="F9" s="2" t="n">
        <s:v>312</s:v>
      </s:c>
      <s:c r="G9" s="2" t="n">
        <s:v>31786</s:v>
      </s:c>
      <s:c r="H9" s="2" t="n">
        <s:v>30</s:v>
      </s:c>
      <s:c r="I9" s="2" t="n">
        <s:v>25.5</s:v>
      </s:c>
      <s:c r="J9" s="2" t="n">
        <s:v>7.65</s:v>
      </s:c>
      <s:c r="L9" s="8" t="n">
        <s:v>0</s:v>
      </s:c>
      <s:c r="M9" s="11" t="n">
        <s:v>162</s:v>
      </s:c>
      <s:c r="N9" s="11" t="n">
        <s:v>0</s:v>
      </s:c>
      <s:c r="O9" s="12" t="n"/>
      <s:c r="P9" s="11" t="n"/>
    </s:row>
    <s:row r="10">
      <s:c r="A10" s="2" t="n">
        <s:v>47033</s:v>
      </s:c>
      <s:c r="B10" s="2" t="inlineStr">
        <s:is>
          <s:t>VARGAS TORRES WALTTER DARIO</s:t>
        </s:is>
      </s:c>
      <s:c r="C10" s="3" t="n">
        <s:v>46055</s:v>
      </s:c>
      <s:c r="D10" s="3" t="n">
        <s:v>46055</s:v>
      </s:c>
      <s:c r="E10" s="3" t="inlineStr">
        <s:is>
          <s:t>RENTA</s:t>
        </s:is>
      </s:c>
      <s:c r="F10" s="2" t="n">
        <s:v>312</s:v>
      </s:c>
      <s:c r="G10" s="2" t="n">
        <s:v>31786</s:v>
      </s:c>
      <s:c r="H10" s="2" t="n">
        <s:v>1.75</s:v>
      </s:c>
      <s:c r="I10" s="2" t="n">
        <s:v>170</s:v>
      </s:c>
      <s:c r="J10" s="2" t="n">
        <s:v>2.98</s:v>
      </s:c>
      <s:c r="L10" s="8" t="n">
        <s:v>1</s:v>
      </s:c>
      <s:c r="M10" s="11" t="n">
        <s:v>141.06</s:v>
      </s:c>
      <s:c r="N10" s="11" t="n">
        <s:v>1.41</s:v>
      </s:c>
      <s:c r="O10" s="12">
        <s:f>+GETPIVOTDATA("Suma de HABER",'[1]MAYOR RET'!$M$1,"CUENTA","1% RETENCION")</s:f>
        <s:v/>
      </s:c>
      <s:c r="P10" s="11">
        <s:f>+N10-O10</s:f>
        <s:v/>
      </s:c>
    </s:row>
    <s:row r="11">
      <s:c r="A11" s="2" t="n">
        <s:v>47034</s:v>
      </s:c>
      <s:c r="B11" s="2" t="inlineStr">
        <s:is>
          <s:t>REINOSO SALAS YAJAIRA CAROLINA</s:t>
        </s:is>
      </s:c>
      <s:c r="C11" s="3" t="n">
        <s:v>46055</s:v>
      </s:c>
      <s:c r="D11" s="3" t="n">
        <s:v>46055</s:v>
      </s:c>
      <s:c r="E11" s="3" t="inlineStr">
        <s:is>
          <s:t>IVA</s:t>
        </s:is>
      </s:c>
      <s:c r="F11" s="2" t="n">
        <s:v>307</s:v>
      </s:c>
      <s:c r="G11" s="2" t="n">
        <s:v>120</s:v>
      </s:c>
      <s:c r="H11" s="2" t="n">
        <s:v>70</s:v>
      </s:c>
      <s:c r="I11" s="2" t="n">
        <s:v>7.5</s:v>
      </s:c>
      <s:c r="J11" s="2" t="n">
        <s:v>5.25</s:v>
      </s:c>
      <s:c r="L11" s="8" t="n">
        <s:v>1.75</s:v>
      </s:c>
      <s:c r="M11" s="11" t="n">
        <s:v>267750.8499999998</s:v>
      </s:c>
      <s:c r="N11" s="11" t="n">
        <s:v>4685.699999999999</s:v>
      </s:c>
      <s:c r="O11" s="12">
        <s:f>+GETPIVOTDATA("Suma de HABER",'[1]MAYOR RET'!$M$1,"CUENTA","1.75% RETENCION FUENTE")</s:f>
        <s:v/>
      </s:c>
      <s:c r="P11" s="11">
        <s:f>+N11-O11</s:f>
        <s:v/>
      </s:c>
    </s:row>
    <s:row r="12">
      <s:c r="A12" s="2" t="n">
        <s:v>47034</s:v>
      </s:c>
      <s:c r="B12" s="2" t="inlineStr">
        <s:is>
          <s:t>REINOSO SALAS YAJAIRA CAROLINA</s:t>
        </s:is>
      </s:c>
      <s:c r="C12" s="3" t="n">
        <s:v>46055</s:v>
      </s:c>
      <s:c r="D12" s="3" t="n">
        <s:v>46055</s:v>
      </s:c>
      <s:c r="E12" s="3" t="inlineStr">
        <s:is>
          <s:t>RENTA</s:t>
        </s:is>
      </s:c>
      <s:c r="F12" s="2" t="n">
        <s:v>307</s:v>
      </s:c>
      <s:c r="G12" s="2" t="n">
        <s:v>120</s:v>
      </s:c>
      <s:c r="H12" s="2" t="n">
        <s:v>2</s:v>
      </s:c>
      <s:c r="I12" s="2" t="n">
        <s:v>50</s:v>
      </s:c>
      <s:c r="J12" s="2" t="n">
        <s:v>1</s:v>
      </s:c>
      <s:c r="L12" s="8" t="n">
        <s:v>2</s:v>
      </s:c>
      <s:c r="M12" s="11" t="n">
        <s:v>26014.64999999999</s:v>
      </s:c>
      <s:c r="N12" s="11" t="n">
        <s:v>520.3000000000001</s:v>
      </s:c>
      <s:c r="O12" s="12">
        <s:f>+GETPIVOTDATA("Suma de HABER",'[1]MAYOR RET'!$M$1,"CUENTA","2% RETENCION FUENTE")</s:f>
        <s:v/>
      </s:c>
      <s:c r="P12" s="11">
        <s:f>+N12-O12</s:f>
        <s:v/>
      </s:c>
    </s:row>
    <s:row r="13">
      <s:c r="A13" s="2" t="n">
        <s:v>47035</s:v>
      </s:c>
      <s:c r="B13" s="2" t="inlineStr">
        <s:is>
          <s:t>BACLT INMOBILIARIA S.A.S.</s:t>
        </s:is>
      </s:c>
      <s:c r="C13" s="3" t="n">
        <s:v>46055</s:v>
      </s:c>
      <s:c r="D13" s="3" t="n">
        <s:v>46055</s:v>
      </s:c>
      <s:c r="E13" s="3" t="inlineStr">
        <s:is>
          <s:t>RENTA</s:t>
        </s:is>
      </s:c>
      <s:c r="F13" s="2" t="n">
        <s:v>320</s:v>
      </s:c>
      <s:c r="G13" s="2" t="n">
        <s:v>195</s:v>
      </s:c>
      <s:c r="H13" s="2" t="n">
        <s:v>10</s:v>
      </s:c>
      <s:c r="I13" s="4" t="n">
        <s:v>12108.04</s:v>
      </s:c>
      <s:c r="J13" s="4" t="n">
        <s:v>1210.8</s:v>
      </s:c>
      <s:c r="L13" s="8" t="n">
        <s:v>2.75</s:v>
      </s:c>
      <s:c r="M13" s="11" t="n">
        <s:v>32773.67</s:v>
      </s:c>
      <s:c r="N13" s="11" t="n">
        <s:v>901.29</s:v>
      </s:c>
      <s:c r="O13" s="12">
        <s:f>+GETPIVOTDATA("Suma de HABER",'[1]MAYOR RET'!$M$1,"CUENTA","2.75% RETENCION FUENTE")</s:f>
        <s:v/>
      </s:c>
      <s:c r="P13" s="11">
        <s:f>+N13-O13</s:f>
        <s:v/>
      </s:c>
    </s:row>
    <s:row r="14">
      <s:c r="A14" s="2" t="n">
        <s:v>47035</s:v>
      </s:c>
      <s:c r="B14" s="2" t="inlineStr">
        <s:is>
          <s:t>BACLT INMOBILIARIA S.A.S.</s:t>
        </s:is>
      </s:c>
      <s:c r="C14" s="3" t="n">
        <s:v>46055</s:v>
      </s:c>
      <s:c r="D14" s="3" t="n">
        <s:v>46055</s:v>
      </s:c>
      <s:c r="E14" s="3" t="inlineStr">
        <s:is>
          <s:t>IVA</s:t>
        </s:is>
      </s:c>
      <s:c r="F14" s="2" t="n">
        <s:v>320</s:v>
      </s:c>
      <s:c r="G14" s="2" t="n">
        <s:v>195</s:v>
      </s:c>
      <s:c r="H14" s="2" t="n">
        <s:v>70</s:v>
      </s:c>
      <s:c r="I14" s="4" t="n">
        <s:v>1816.21</s:v>
      </s:c>
      <s:c r="J14" s="4" t="n">
        <s:v>1271.35</s:v>
      </s:c>
      <s:c r="L14" s="8" t="n">
        <s:v>3</s:v>
      </s:c>
      <s:c r="M14" s="11" t="n">
        <s:v>13316.95</s:v>
      </s:c>
      <s:c r="N14" s="11" t="n">
        <s:v>399.52</s:v>
      </s:c>
      <s:c r="O14" s="12">
        <s:f>+GETPIVOTDATA("Suma de HABER",'[1]MAYOR RET'!$M$1,"CUENTA","3% RETENCION FUENTE")</s:f>
        <s:v/>
      </s:c>
      <s:c r="P14" s="11">
        <s:f>+N14-O14</s:f>
        <s:v/>
      </s:c>
    </s:row>
    <s:row r="15">
      <s:c r="A15" s="2" t="n">
        <s:v>47036</s:v>
      </s:c>
      <s:c r="B15" s="2" t="inlineStr">
        <s:is>
          <s:t>REINOSO SALAS YAJAIRA CAROLINA</s:t>
        </s:is>
      </s:c>
      <s:c r="C15" s="3" t="n">
        <s:v>46055</s:v>
      </s:c>
      <s:c r="D15" s="3" t="n">
        <s:v>46055</s:v>
      </s:c>
      <s:c r="E15" s="3" t="inlineStr">
        <s:is>
          <s:t>IVA</s:t>
        </s:is>
      </s:c>
      <s:c r="F15" s="2" t="n">
        <s:v>307</s:v>
      </s:c>
      <s:c r="G15" s="2" t="n">
        <s:v>116</s:v>
      </s:c>
      <s:c r="H15" s="2" t="n">
        <s:v>70</s:v>
      </s:c>
      <s:c r="I15" s="2" t="n">
        <s:v>7.5</s:v>
      </s:c>
      <s:c r="J15" s="2" t="n">
        <s:v>5.25</s:v>
      </s:c>
      <s:c r="L15" s="8" t="n">
        <s:v>10</s:v>
      </s:c>
      <s:c r="M15" s="11" t="n">
        <s:v>37137.77</s:v>
      </s:c>
      <s:c r="N15" s="11" t="n">
        <s:v>3713.76</s:v>
      </s:c>
      <s:c r="O15" s="12">
        <s:f>+GETPIVOTDATA("Suma de HABER",'[1]MAYOR RET'!$M$1,"CUENTA","10 % RETENCION FUENTE")</s:f>
        <s:v/>
      </s:c>
      <s:c r="P15" s="11">
        <s:f>+N15-O15</s:f>
        <s:v/>
      </s:c>
    </s:row>
    <s:row r="16">
      <s:c r="A16" s="2" t="n">
        <s:v>47036</s:v>
      </s:c>
      <s:c r="B16" s="2" t="inlineStr">
        <s:is>
          <s:t>REINOSO SALAS YAJAIRA CAROLINA</s:t>
        </s:is>
      </s:c>
      <s:c r="C16" s="3" t="n">
        <s:v>46055</s:v>
      </s:c>
      <s:c r="D16" s="3" t="n">
        <s:v>46055</s:v>
      </s:c>
      <s:c r="E16" s="3" t="inlineStr">
        <s:is>
          <s:t>RENTA</s:t>
        </s:is>
      </s:c>
      <s:c r="F16" s="2" t="n">
        <s:v>307</s:v>
      </s:c>
      <s:c r="G16" s="2" t="n">
        <s:v>116</s:v>
      </s:c>
      <s:c r="H16" s="2" t="n">
        <s:v>2</s:v>
      </s:c>
      <s:c r="I16" s="2" t="n">
        <s:v>50</s:v>
      </s:c>
      <s:c r="J16" s="2" t="n">
        <s:v>1</s:v>
      </s:c>
      <s:c r="L16" s="7" t="inlineStr">
        <s:is>
          <s:t>Total general</s:t>
        </s:is>
      </s:c>
      <s:c r="M16" s="11" t="n">
        <s:v>865717.6700000002</s:v>
      </s:c>
      <s:c r="N16" s="11" t="n">
        <s:v>74015.43999999999</s:v>
      </s:c>
      <s:c r="O16" s="12" t="n"/>
    </s:row>
    <s:row r="17">
      <s:c r="A17" s="2" t="n">
        <s:v>47037</s:v>
      </s:c>
      <s:c r="B17" s="2" t="inlineStr">
        <s:is>
          <s:t>REINOSO SALAS YAJAIRA CAROLINA</s:t>
        </s:is>
      </s:c>
      <s:c r="C17" s="3" t="n">
        <s:v>46055</s:v>
      </s:c>
      <s:c r="D17" s="3" t="n">
        <s:v>46055</s:v>
      </s:c>
      <s:c r="E17" s="3" t="inlineStr">
        <s:is>
          <s:t>RENTA</s:t>
        </s:is>
      </s:c>
      <s:c r="F17" s="2" t="n">
        <s:v>307</s:v>
      </s:c>
      <s:c r="G17" s="2" t="n">
        <s:v>119</s:v>
      </s:c>
      <s:c r="H17" s="2" t="n">
        <s:v>2</s:v>
      </s:c>
      <s:c r="I17" s="2" t="n">
        <s:v>50</s:v>
      </s:c>
      <s:c r="J17" s="2" t="n">
        <s:v>1</s:v>
      </s:c>
    </s:row>
    <s:row r="18">
      <s:c r="A18" s="2" t="n">
        <s:v>47037</s:v>
      </s:c>
      <s:c r="B18" s="2" t="inlineStr">
        <s:is>
          <s:t>REINOSO SALAS YAJAIRA CAROLINA</s:t>
        </s:is>
      </s:c>
      <s:c r="C18" s="3" t="n">
        <s:v>46055</s:v>
      </s:c>
      <s:c r="D18" s="3" t="n">
        <s:v>46055</s:v>
      </s:c>
      <s:c r="E18" s="3" t="inlineStr">
        <s:is>
          <s:t>IVA</s:t>
        </s:is>
      </s:c>
      <s:c r="F18" s="2" t="n">
        <s:v>307</s:v>
      </s:c>
      <s:c r="G18" s="2" t="n">
        <s:v>119</s:v>
      </s:c>
      <s:c r="H18" s="2" t="n">
        <s:v>70</s:v>
      </s:c>
      <s:c r="I18" s="2" t="n">
        <s:v>7.5</s:v>
      </s:c>
      <s:c r="J18" s="2" t="n">
        <s:v>5.25</s:v>
      </s:c>
    </s:row>
    <s:row r="19">
      <s:c r="A19" s="2" t="n">
        <s:v>47038</s:v>
      </s:c>
      <s:c r="B19" s="2" t="inlineStr">
        <s:is>
          <s:t>TELCONET S.A</s:t>
        </s:is>
      </s:c>
      <s:c r="C19" s="3" t="n">
        <s:v>46055</s:v>
      </s:c>
      <s:c r="D19" s="3" t="n">
        <s:v>46055</s:v>
      </s:c>
      <s:c r="E19" s="3" t="inlineStr">
        <s:is>
          <s:t>IVA</s:t>
        </s:is>
      </s:c>
      <s:c r="F19" s="2" t="n">
        <s:v>332</s:v>
      </s:c>
      <s:c r="G19" s="2" t="n">
        <s:v>423457</s:v>
      </s:c>
      <s:c r="H19" s="2" t="n">
        <s:v>20</s:v>
      </s:c>
      <s:c r="I19" s="2" t="n">
        <s:v>55.8</s:v>
      </s:c>
      <s:c r="J19" s="2" t="n">
        <s:v>11.16</s:v>
      </s:c>
    </s:row>
    <s:row r="20">
      <s:c r="A20" s="2" t="n">
        <s:v>47039</s:v>
      </s:c>
      <s:c r="B20" s="2" t="inlineStr">
        <s:is>
          <s:t>CAICEDO ALFONSO DAVID</s:t>
        </s:is>
      </s:c>
      <s:c r="C20" s="3" t="n">
        <s:v>46055</s:v>
      </s:c>
      <s:c r="D20" s="3" t="n">
        <s:v>46055</s:v>
      </s:c>
      <s:c r="E20" s="3" t="inlineStr">
        <s:is>
          <s:t>IVA</s:t>
        </s:is>
      </s:c>
      <s:c r="F20" s="2" t="n">
        <s:v>309</s:v>
      </s:c>
      <s:c r="G20" s="2" t="n">
        <s:v>820</s:v>
      </s:c>
      <s:c r="H20" s="2" t="n">
        <s:v>70</s:v>
      </s:c>
      <s:c r="I20" s="2" t="n">
        <s:v>37.5</s:v>
      </s:c>
      <s:c r="J20" s="2" t="n">
        <s:v>26.25</s:v>
      </s:c>
    </s:row>
    <s:row r="21">
      <s:c r="A21" s="2" t="n">
        <s:v>47039</s:v>
      </s:c>
      <s:c r="B21" s="2" t="inlineStr">
        <s:is>
          <s:t>CAICEDO ALFONSO DAVID</s:t>
        </s:is>
      </s:c>
      <s:c r="C21" s="3" t="n">
        <s:v>46055</s:v>
      </s:c>
      <s:c r="D21" s="3" t="n">
        <s:v>46055</s:v>
      </s:c>
      <s:c r="E21" s="3" t="inlineStr">
        <s:is>
          <s:t>RENTA</s:t>
        </s:is>
      </s:c>
      <s:c r="F21" s="2" t="n">
        <s:v>309</s:v>
      </s:c>
      <s:c r="G21" s="2" t="n">
        <s:v>820</s:v>
      </s:c>
      <s:c r="H21" s="2" t="n">
        <s:v>2.75</s:v>
      </s:c>
      <s:c r="I21" s="2" t="n">
        <s:v>250</s:v>
      </s:c>
      <s:c r="J21" s="2" t="n">
        <s:v>6.88</s:v>
      </s:c>
    </s:row>
    <s:row r="22">
      <s:c r="A22" s="2" t="n">
        <s:v>47040</s:v>
      </s:c>
      <s:c r="B22" s="2" t="inlineStr">
        <s:is>
          <s:t>NARANJO ABRIL VICTORIA ESTEFANIA</s:t>
        </s:is>
      </s:c>
      <s:c r="C22" s="3" t="n">
        <s:v>46055</s:v>
      </s:c>
      <s:c r="D22" s="3" t="n">
        <s:v>46055</s:v>
      </s:c>
      <s:c r="E22" s="3" t="inlineStr">
        <s:is>
          <s:t>IVA</s:t>
        </s:is>
      </s:c>
      <s:c r="F22" s="2" t="n">
        <s:v>307</s:v>
      </s:c>
      <s:c r="G22" s="2" t="n">
        <s:v>170</s:v>
      </s:c>
      <s:c r="H22" s="2" t="n">
        <s:v>70</s:v>
      </s:c>
      <s:c r="I22" s="2" t="n">
        <s:v>12</s:v>
      </s:c>
      <s:c r="J22" s="2" t="n">
        <s:v>8.4</s:v>
      </s:c>
    </s:row>
    <s:row r="23">
      <s:c r="A23" s="2" t="n">
        <s:v>47040</s:v>
      </s:c>
      <s:c r="B23" s="2" t="inlineStr">
        <s:is>
          <s:t>NARANJO ABRIL VICTORIA ESTEFANIA</s:t>
        </s:is>
      </s:c>
      <s:c r="C23" s="3" t="n">
        <s:v>46055</s:v>
      </s:c>
      <s:c r="D23" s="3" t="n">
        <s:v>46055</s:v>
      </s:c>
      <s:c r="E23" s="3" t="inlineStr">
        <s:is>
          <s:t>RENTA</s:t>
        </s:is>
      </s:c>
      <s:c r="F23" s="2" t="n">
        <s:v>307</s:v>
      </s:c>
      <s:c r="G23" s="2" t="n">
        <s:v>170</s:v>
      </s:c>
      <s:c r="H23" s="2" t="n">
        <s:v>2</s:v>
      </s:c>
      <s:c r="I23" s="2" t="n">
        <s:v>80</s:v>
      </s:c>
      <s:c r="J23" s="2" t="n">
        <s:v>1.6</s:v>
      </s:c>
    </s:row>
    <s:row r="24">
      <s:c r="A24" s="2" t="n">
        <s:v>47041</s:v>
      </s:c>
      <s:c r="B24" s="2" t="inlineStr">
        <s:is>
          <s:t>CARRO SEGURO CARSEG S.A.</s:t>
        </s:is>
      </s:c>
      <s:c r="C24" s="3" t="n">
        <s:v>46055</s:v>
      </s:c>
      <s:c r="D24" s="3" t="n">
        <s:v>46055</s:v>
      </s:c>
      <s:c r="E24" s="3" t="inlineStr">
        <s:is>
          <s:t>RENTA</s:t>
        </s:is>
      </s:c>
      <s:c r="F24" s="2" t="n">
        <s:v>312</s:v>
      </s:c>
      <s:c r="G24" s="2" t="n">
        <s:v>74969</s:v>
      </s:c>
      <s:c r="H24" s="2" t="n">
        <s:v>1.75</s:v>
      </s:c>
      <s:c r="I24" s="2" t="n">
        <s:v>540</s:v>
      </s:c>
      <s:c r="J24" s="2" t="n">
        <s:v>9.449999999999999</s:v>
      </s:c>
    </s:row>
    <s:row r="25">
      <s:c r="A25" s="2" t="n">
        <s:v>47041</s:v>
      </s:c>
      <s:c r="B25" s="2" t="inlineStr">
        <s:is>
          <s:t>CARRO SEGURO CARSEG S.A.</s:t>
        </s:is>
      </s:c>
      <s:c r="C25" s="3" t="n">
        <s:v>46055</s:v>
      </s:c>
      <s:c r="D25" s="3" t="n">
        <s:v>46055</s:v>
      </s:c>
      <s:c r="E25" s="3" t="inlineStr">
        <s:is>
          <s:t>IVA</s:t>
        </s:is>
      </s:c>
      <s:c r="F25" s="2" t="n">
        <s:v>312</s:v>
      </s:c>
      <s:c r="G25" s="2" t="n">
        <s:v>74969</s:v>
      </s:c>
      <s:c r="H25" s="2" t="n">
        <s:v>10</s:v>
      </s:c>
      <s:c r="I25" s="2" t="n">
        <s:v>81</s:v>
      </s:c>
      <s:c r="J25" s="2" t="n">
        <s:v>8.1</s:v>
      </s:c>
    </s:row>
    <s:row r="26">
      <s:c r="A26" s="2" t="n">
        <s:v>47042</s:v>
      </s:c>
      <s:c r="B26" s="2" t="inlineStr">
        <s:is>
          <s:t>PAEZ ORTIZ CHRISTIAN GONZALO</s:t>
        </s:is>
      </s:c>
      <s:c r="C26" s="3" t="n">
        <s:v>46056</s:v>
      </s:c>
      <s:c r="D26" s="3" t="n">
        <s:v>46056</s:v>
      </s:c>
      <s:c r="E26" s="3" t="inlineStr">
        <s:is>
          <s:t>IVA</s:t>
        </s:is>
      </s:c>
      <s:c r="F26" s="2" t="n">
        <s:v>312</s:v>
      </s:c>
      <s:c r="G26" s="2" t="n">
        <s:v>3601</s:v>
      </s:c>
      <s:c r="H26" s="2" t="n">
        <s:v>30</s:v>
      </s:c>
      <s:c r="I26" s="2" t="n">
        <s:v>69</s:v>
      </s:c>
      <s:c r="J26" s="2" t="n">
        <s:v>20.7</s:v>
      </s:c>
    </s:row>
    <s:row r="27">
      <s:c r="A27" s="2" t="n">
        <s:v>47042</s:v>
      </s:c>
      <s:c r="B27" s="2" t="inlineStr">
        <s:is>
          <s:t>PAEZ ORTIZ CHRISTIAN GONZALO</s:t>
        </s:is>
      </s:c>
      <s:c r="C27" s="3" t="n">
        <s:v>46056</s:v>
      </s:c>
      <s:c r="D27" s="3" t="n">
        <s:v>46056</s:v>
      </s:c>
      <s:c r="E27" s="3" t="inlineStr">
        <s:is>
          <s:t>RENTA</s:t>
        </s:is>
      </s:c>
      <s:c r="F27" s="2" t="n">
        <s:v>312</s:v>
      </s:c>
      <s:c r="G27" s="2" t="n">
        <s:v>3601</s:v>
      </s:c>
      <s:c r="H27" s="2" t="n">
        <s:v>1.75</s:v>
      </s:c>
      <s:c r="I27" s="2" t="n">
        <s:v>460</s:v>
      </s:c>
      <s:c r="J27" s="2" t="n">
        <s:v>8.050000000000001</s:v>
      </s:c>
    </s:row>
    <s:row r="28">
      <s:c r="A28" s="2" t="n">
        <s:v>47043</s:v>
      </s:c>
      <s:c r="B28" s="2" t="inlineStr">
        <s:is>
          <s:t>CORPORACION CONFIABLE S.A.</s:t>
        </s:is>
      </s:c>
      <s:c r="C28" s="3" t="n">
        <s:v>46056</s:v>
      </s:c>
      <s:c r="D28" s="3" t="n">
        <s:v>46056</s:v>
      </s:c>
      <s:c r="E28" s="3" t="inlineStr">
        <s:is>
          <s:t>RENTA</s:t>
        </s:is>
      </s:c>
      <s:c r="F28" s="2" t="n">
        <s:v>344</s:v>
      </s:c>
      <s:c r="G28" s="2" t="n">
        <s:v>5489</s:v>
      </s:c>
      <s:c r="H28" s="2" t="n">
        <s:v>2.75</s:v>
      </s:c>
      <s:c r="I28" s="2" t="n">
        <s:v>660</s:v>
      </s:c>
      <s:c r="J28" s="2" t="n">
        <s:v>18.15</s:v>
      </s:c>
    </s:row>
    <s:row r="29">
      <s:c r="A29" s="2" t="n">
        <s:v>47043</s:v>
      </s:c>
      <s:c r="B29" s="2" t="inlineStr">
        <s:is>
          <s:t>CORPORACION CONFIABLE S.A.</s:t>
        </s:is>
      </s:c>
      <s:c r="C29" s="3" t="n">
        <s:v>46056</s:v>
      </s:c>
      <s:c r="D29" s="3" t="n">
        <s:v>46056</s:v>
      </s:c>
      <s:c r="E29" s="3" t="inlineStr">
        <s:is>
          <s:t>IVA</s:t>
        </s:is>
      </s:c>
      <s:c r="F29" s="2" t="n">
        <s:v>344</s:v>
      </s:c>
      <s:c r="G29" s="2" t="n">
        <s:v>5489</s:v>
      </s:c>
      <s:c r="H29" s="2" t="n">
        <s:v>70</s:v>
      </s:c>
      <s:c r="I29" s="2" t="n">
        <s:v>99</s:v>
      </s:c>
      <s:c r="J29" s="2" t="n">
        <s:v>69.3</s:v>
      </s:c>
    </s:row>
    <s:row r="30">
      <s:c r="A30" s="2" t="n">
        <s:v>47044</s:v>
      </s:c>
      <s:c r="B30" s="2" t="inlineStr">
        <s:is>
          <s:t>VARGAS TORRES WALTTER DARIO</s:t>
        </s:is>
      </s:c>
      <s:c r="C30" s="3" t="n">
        <s:v>46056</s:v>
      </s:c>
      <s:c r="D30" s="3" t="n">
        <s:v>46056</s:v>
      </s:c>
      <s:c r="E30" s="3" t="inlineStr">
        <s:is>
          <s:t>RENTA</s:t>
        </s:is>
      </s:c>
      <s:c r="F30" s="2" t="n">
        <s:v>312</s:v>
      </s:c>
      <s:c r="G30" s="2" t="n">
        <s:v>31801</s:v>
      </s:c>
      <s:c r="H30" s="2" t="n">
        <s:v>1.75</s:v>
      </s:c>
      <s:c r="I30" s="2" t="n">
        <s:v>510</s:v>
      </s:c>
      <s:c r="J30" s="2" t="n">
        <s:v>8.93</s:v>
      </s:c>
    </s:row>
    <s:row r="31">
      <s:c r="A31" s="2" t="n">
        <s:v>47044</s:v>
      </s:c>
      <s:c r="B31" s="2" t="inlineStr">
        <s:is>
          <s:t>VARGAS TORRES WALTTER DARIO</s:t>
        </s:is>
      </s:c>
      <s:c r="C31" s="3" t="n">
        <s:v>46056</s:v>
      </s:c>
      <s:c r="D31" s="3" t="n">
        <s:v>46056</s:v>
      </s:c>
      <s:c r="E31" s="3" t="inlineStr">
        <s:is>
          <s:t>IVA</s:t>
        </s:is>
      </s:c>
      <s:c r="F31" s="2" t="n">
        <s:v>312</s:v>
      </s:c>
      <s:c r="G31" s="2" t="n">
        <s:v>31801</s:v>
      </s:c>
      <s:c r="H31" s="2" t="n">
        <s:v>30</s:v>
      </s:c>
      <s:c r="I31" s="2" t="n">
        <s:v>76.5</s:v>
      </s:c>
      <s:c r="J31" s="2" t="n">
        <s:v>22.95</s:v>
      </s:c>
    </s:row>
    <s:row r="32">
      <s:c r="A32" s="2" t="n">
        <s:v>47045</s:v>
      </s:c>
      <s:c r="B32" s="2" t="inlineStr">
        <s:is>
          <s:t>REINOSO SALAS YAJAIRA CAROLINA</s:t>
        </s:is>
      </s:c>
      <s:c r="C32" s="3" t="n">
        <s:v>46056</s:v>
      </s:c>
      <s:c r="D32" s="3" t="n">
        <s:v>46056</s:v>
      </s:c>
      <s:c r="E32" s="3" t="inlineStr">
        <s:is>
          <s:t>IVA</s:t>
        </s:is>
      </s:c>
      <s:c r="F32" s="2" t="n">
        <s:v>307</s:v>
      </s:c>
      <s:c r="G32" s="2" t="n">
        <s:v>125</s:v>
      </s:c>
      <s:c r="H32" s="2" t="n">
        <s:v>70</s:v>
      </s:c>
      <s:c r="I32" s="2" t="n">
        <s:v>6</s:v>
      </s:c>
      <s:c r="J32" s="2" t="n">
        <s:v>4.2</s:v>
      </s:c>
    </s:row>
    <s:row r="33">
      <s:c r="A33" s="2" t="n">
        <s:v>47045</s:v>
      </s:c>
      <s:c r="B33" s="2" t="inlineStr">
        <s:is>
          <s:t>REINOSO SALAS YAJAIRA CAROLINA</s:t>
        </s:is>
      </s:c>
      <s:c r="C33" s="3" t="n">
        <s:v>46056</s:v>
      </s:c>
      <s:c r="D33" s="3" t="n">
        <s:v>46056</s:v>
      </s:c>
      <s:c r="E33" s="3" t="inlineStr">
        <s:is>
          <s:t>RENTA</s:t>
        </s:is>
      </s:c>
      <s:c r="F33" s="2" t="n">
        <s:v>307</s:v>
      </s:c>
      <s:c r="G33" s="2" t="n">
        <s:v>125</s:v>
      </s:c>
      <s:c r="H33" s="2" t="n">
        <s:v>2</s:v>
      </s:c>
      <s:c r="I33" s="2" t="n">
        <s:v>40</s:v>
      </s:c>
      <s:c r="J33" s="2" t="n">
        <s:v>0.8</s:v>
      </s:c>
    </s:row>
    <s:row r="34">
      <s:c r="A34" s="2" t="n">
        <s:v>47046</s:v>
      </s:c>
      <s:c r="B34" s="2" t="inlineStr">
        <s:is>
          <s:t>PALACIOS LARREA FRANCISCO JOSE</s:t>
        </s:is>
      </s:c>
      <s:c r="C34" s="3" t="n">
        <s:v>46056</s:v>
      </s:c>
      <s:c r="D34" s="3" t="n">
        <s:v>46056</s:v>
      </s:c>
      <s:c r="E34" s="3" t="inlineStr">
        <s:is>
          <s:t>IVA</s:t>
        </s:is>
      </s:c>
      <s:c r="F34" s="2" t="n">
        <s:v>303</s:v>
      </s:c>
      <s:c r="G34" s="2" t="n">
        <s:v>50</s:v>
      </s:c>
      <s:c r="H34" s="2" t="n">
        <s:v>100</s:v>
      </s:c>
      <s:c r="I34" s="2" t="n">
        <s:v>166.67</s:v>
      </s:c>
      <s:c r="J34" s="2" t="n">
        <s:v>166.67</s:v>
      </s:c>
    </s:row>
    <s:row r="35">
      <s:c r="A35" s="2" t="n">
        <s:v>47046</s:v>
      </s:c>
      <s:c r="B35" s="2" t="inlineStr">
        <s:is>
          <s:t>PALACIOS LARREA FRANCISCO JOSE</s:t>
        </s:is>
      </s:c>
      <s:c r="C35" s="3" t="n">
        <s:v>46056</s:v>
      </s:c>
      <s:c r="D35" s="3" t="n">
        <s:v>46056</s:v>
      </s:c>
      <s:c r="E35" s="3" t="inlineStr">
        <s:is>
          <s:t>RENTA</s:t>
        </s:is>
      </s:c>
      <s:c r="F35" s="2" t="n">
        <s:v>303</s:v>
      </s:c>
      <s:c r="G35" s="2" t="n">
        <s:v>50</s:v>
      </s:c>
      <s:c r="H35" s="2" t="n">
        <s:v>10</s:v>
      </s:c>
      <s:c r="I35" s="4" t="n">
        <s:v>1111.11</s:v>
      </s:c>
      <s:c r="J35" s="2" t="n">
        <s:v>111.11</s:v>
      </s:c>
    </s:row>
    <s:row r="36">
      <s:c r="A36" s="2" t="n">
        <s:v>47047</s:v>
      </s:c>
      <s:c r="B36" s="2" t="inlineStr">
        <s:is>
          <s:t>PAEZ ORTIZ CHRISTIAN GONZALO</s:t>
        </s:is>
      </s:c>
      <s:c r="C36" s="3" t="n">
        <s:v>46056</s:v>
      </s:c>
      <s:c r="D36" s="3" t="n">
        <s:v>46056</s:v>
      </s:c>
      <s:c r="E36" s="3" t="inlineStr">
        <s:is>
          <s:t>RENTA</s:t>
        </s:is>
      </s:c>
      <s:c r="F36" s="2" t="n">
        <s:v>312</s:v>
      </s:c>
      <s:c r="G36" s="2" t="n">
        <s:v>3602</s:v>
      </s:c>
      <s:c r="H36" s="2" t="n">
        <s:v>1.75</s:v>
      </s:c>
      <s:c r="I36" s="2" t="n">
        <s:v>48</s:v>
      </s:c>
      <s:c r="J36" s="2" t="n">
        <s:v>0.84</s:v>
      </s:c>
    </s:row>
    <s:row r="37">
      <s:c r="A37" s="2" t="n">
        <s:v>47047</s:v>
      </s:c>
      <s:c r="B37" s="2" t="inlineStr">
        <s:is>
          <s:t>PAEZ ORTIZ CHRISTIAN GONZALO</s:t>
        </s:is>
      </s:c>
      <s:c r="C37" s="3" t="n">
        <s:v>46056</s:v>
      </s:c>
      <s:c r="D37" s="3" t="n">
        <s:v>46056</s:v>
      </s:c>
      <s:c r="E37" s="3" t="inlineStr">
        <s:is>
          <s:t>IVA</s:t>
        </s:is>
      </s:c>
      <s:c r="F37" s="2" t="n">
        <s:v>312</s:v>
      </s:c>
      <s:c r="G37" s="2" t="n">
        <s:v>3602</s:v>
      </s:c>
      <s:c r="H37" s="2" t="n">
        <s:v>30</s:v>
      </s:c>
      <s:c r="I37" s="2" t="n">
        <s:v>7.2</s:v>
      </s:c>
      <s:c r="J37" s="2" t="n">
        <s:v>2.16</s:v>
      </s:c>
    </s:row>
    <s:row r="38">
      <s:c r="A38" s="2" t="n">
        <s:v>47048</s:v>
      </s:c>
      <s:c r="B38" s="2" t="inlineStr">
        <s:is>
          <s:t>REINOSO SALAS YAJAIRA CAROLINA</s:t>
        </s:is>
      </s:c>
      <s:c r="C38" s="3" t="n">
        <s:v>46056</s:v>
      </s:c>
      <s:c r="D38" s="3" t="n">
        <s:v>46056</s:v>
      </s:c>
      <s:c r="E38" s="3" t="inlineStr">
        <s:is>
          <s:t>IVA</s:t>
        </s:is>
      </s:c>
      <s:c r="F38" s="2" t="n">
        <s:v>307</s:v>
      </s:c>
      <s:c r="G38" s="2" t="n">
        <s:v>122</s:v>
      </s:c>
      <s:c r="H38" s="2" t="n">
        <s:v>70</s:v>
      </s:c>
      <s:c r="I38" s="2" t="n">
        <s:v>6</s:v>
      </s:c>
      <s:c r="J38" s="2" t="n">
        <s:v>4.2</s:v>
      </s:c>
    </s:row>
    <s:row r="39">
      <s:c r="A39" s="2" t="n">
        <s:v>47048</s:v>
      </s:c>
      <s:c r="B39" s="2" t="inlineStr">
        <s:is>
          <s:t>REINOSO SALAS YAJAIRA CAROLINA</s:t>
        </s:is>
      </s:c>
      <s:c r="C39" s="3" t="n">
        <s:v>46056</s:v>
      </s:c>
      <s:c r="D39" s="3" t="n">
        <s:v>46056</s:v>
      </s:c>
      <s:c r="E39" s="3" t="inlineStr">
        <s:is>
          <s:t>RENTA</s:t>
        </s:is>
      </s:c>
      <s:c r="F39" s="2" t="n">
        <s:v>307</s:v>
      </s:c>
      <s:c r="G39" s="2" t="n">
        <s:v>122</s:v>
      </s:c>
      <s:c r="H39" s="2" t="n">
        <s:v>2</s:v>
      </s:c>
      <s:c r="I39" s="2" t="n">
        <s:v>40</s:v>
      </s:c>
      <s:c r="J39" s="2" t="n">
        <s:v>0.8</s:v>
      </s:c>
    </s:row>
    <s:row r="40">
      <s:c r="A40" s="2" t="n">
        <s:v>47049</s:v>
      </s:c>
      <s:c r="B40" s="2" t="inlineStr">
        <s:is>
          <s:t>PAEZ ORTIZ CHRISTIAN GONZALO</s:t>
        </s:is>
      </s:c>
      <s:c r="C40" s="3" t="n">
        <s:v>46056</s:v>
      </s:c>
      <s:c r="D40" s="3" t="n">
        <s:v>46056</s:v>
      </s:c>
      <s:c r="E40" s="3" t="inlineStr">
        <s:is>
          <s:t>RENTA</s:t>
        </s:is>
      </s:c>
      <s:c r="F40" s="2" t="n">
        <s:v>312</s:v>
      </s:c>
      <s:c r="G40" s="2" t="n">
        <s:v>3603</s:v>
      </s:c>
      <s:c r="H40" s="2" t="n">
        <s:v>1.75</s:v>
      </s:c>
      <s:c r="I40" s="2" t="n">
        <s:v>75.90000000000001</s:v>
      </s:c>
      <s:c r="J40" s="2" t="n">
        <s:v>1.33</s:v>
      </s:c>
    </s:row>
    <s:row r="41">
      <s:c r="A41" s="2" t="n">
        <s:v>47049</s:v>
      </s:c>
      <s:c r="B41" s="2" t="inlineStr">
        <s:is>
          <s:t>PAEZ ORTIZ CHRISTIAN GONZALO</s:t>
        </s:is>
      </s:c>
      <s:c r="C41" s="3" t="n">
        <s:v>46056</s:v>
      </s:c>
      <s:c r="D41" s="3" t="n">
        <s:v>46056</s:v>
      </s:c>
      <s:c r="E41" s="3" t="inlineStr">
        <s:is>
          <s:t>IVA</s:t>
        </s:is>
      </s:c>
      <s:c r="F41" s="2" t="n">
        <s:v>312</s:v>
      </s:c>
      <s:c r="G41" s="2" t="n">
        <s:v>3603</s:v>
      </s:c>
      <s:c r="H41" s="2" t="n">
        <s:v>30</s:v>
      </s:c>
      <s:c r="I41" s="2" t="n">
        <s:v>11.39</s:v>
      </s:c>
      <s:c r="J41" s="2" t="n">
        <s:v>3.42</s:v>
      </s:c>
    </s:row>
    <s:row r="42">
      <s:c r="A42" s="2" t="n">
        <s:v>47050</s:v>
      </s:c>
      <s:c r="B42" s="2" t="inlineStr">
        <s:is>
          <s:t>ROBAYO BORJA MARGOTH BEATRIZ</s:t>
        </s:is>
      </s:c>
      <s:c r="C42" s="3" t="n">
        <s:v>46056</s:v>
      </s:c>
      <s:c r="D42" s="3" t="n">
        <s:v>46056</s:v>
      </s:c>
      <s:c r="E42" s="3" t="inlineStr">
        <s:is>
          <s:t>RENTA</s:t>
        </s:is>
      </s:c>
      <s:c r="F42" s="2" t="n">
        <s:v>332</s:v>
      </s:c>
      <s:c r="G42" s="2" t="n">
        <s:v>1157</s:v>
      </s:c>
      <s:c r="H42" s="2" t="n">
        <s:v>0</s:v>
      </s:c>
      <s:c r="I42" s="2" t="n">
        <s:v>35</s:v>
      </s:c>
      <s:c r="J42" s="2" t="n">
        <s:v>0</s:v>
      </s:c>
    </s:row>
    <s:row r="43">
      <s:c r="A43" s="2" t="n">
        <s:v>47051</s:v>
      </s:c>
      <s:c r="B43" s="2" t="inlineStr">
        <s:is>
          <s:t>REINOSO SALAS YAJAIRA CAROLINA</s:t>
        </s:is>
      </s:c>
      <s:c r="C43" s="3" t="n">
        <s:v>46056</s:v>
      </s:c>
      <s:c r="D43" s="3" t="n">
        <s:v>46056</s:v>
      </s:c>
      <s:c r="E43" s="3" t="inlineStr">
        <s:is>
          <s:t>IVA</s:t>
        </s:is>
      </s:c>
      <s:c r="F43" s="2" t="n">
        <s:v>307</s:v>
      </s:c>
      <s:c r="G43" s="2" t="n">
        <s:v>124</s:v>
      </s:c>
      <s:c r="H43" s="2" t="n">
        <s:v>70</s:v>
      </s:c>
      <s:c r="I43" s="2" t="n">
        <s:v>22.5</s:v>
      </s:c>
      <s:c r="J43" s="2" t="n">
        <s:v>15.75</s:v>
      </s:c>
    </s:row>
    <s:row r="44">
      <s:c r="A44" s="2" t="n">
        <s:v>47051</s:v>
      </s:c>
      <s:c r="B44" s="2" t="inlineStr">
        <s:is>
          <s:t>REINOSO SALAS YAJAIRA CAROLINA</s:t>
        </s:is>
      </s:c>
      <s:c r="C44" s="3" t="n">
        <s:v>46056</s:v>
      </s:c>
      <s:c r="D44" s="3" t="n">
        <s:v>46056</s:v>
      </s:c>
      <s:c r="E44" s="3" t="inlineStr">
        <s:is>
          <s:t>RENTA</s:t>
        </s:is>
      </s:c>
      <s:c r="F44" s="2" t="n">
        <s:v>307</s:v>
      </s:c>
      <s:c r="G44" s="2" t="n">
        <s:v>124</s:v>
      </s:c>
      <s:c r="H44" s="2" t="n">
        <s:v>2</s:v>
      </s:c>
      <s:c r="I44" s="2" t="n">
        <s:v>150</s:v>
      </s:c>
      <s:c r="J44" s="2" t="n">
        <s:v>3</s:v>
      </s:c>
    </s:row>
    <s:row r="45">
      <s:c r="A45" s="2" t="n">
        <s:v>47052</s:v>
      </s:c>
      <s:c r="B45" s="2" t="inlineStr">
        <s:is>
          <s:t>FIDUCIARIA ECUADOR FIDUECUADOR S.A. ADMINISTRADORA DE FONDOS</s:t>
        </s:is>
      </s:c>
      <s:c r="C45" s="3" t="n">
        <s:v>46056</s:v>
      </s:c>
      <s:c r="D45" s="3" t="n">
        <s:v>46056</s:v>
      </s:c>
      <s:c r="E45" s="3" t="inlineStr">
        <s:is>
          <s:t>IVA</s:t>
        </s:is>
      </s:c>
      <s:c r="F45" s="2" t="n">
        <s:v>344</s:v>
      </s:c>
      <s:c r="G45" s="2" t="n">
        <s:v>13391</s:v>
      </s:c>
      <s:c r="H45" s="2" t="n">
        <s:v>70</s:v>
      </s:c>
      <s:c r="I45" s="2" t="n">
        <s:v>48.8</s:v>
      </s:c>
      <s:c r="J45" s="2" t="n">
        <s:v>34.16</s:v>
      </s:c>
    </s:row>
    <s:row r="46">
      <s:c r="A46" s="2" t="n">
        <s:v>47052</s:v>
      </s:c>
      <s:c r="B46" s="2" t="inlineStr">
        <s:is>
          <s:t>FIDUCIARIA ECUADOR FIDUECUADOR S.A. ADMINISTRADORA DE FONDOS</s:t>
        </s:is>
      </s:c>
      <s:c r="C46" s="3" t="n">
        <s:v>46056</s:v>
      </s:c>
      <s:c r="D46" s="3" t="n">
        <s:v>46056</s:v>
      </s:c>
      <s:c r="E46" s="3" t="inlineStr">
        <s:is>
          <s:t>RENTA</s:t>
        </s:is>
      </s:c>
      <s:c r="F46" s="2" t="n">
        <s:v>344</s:v>
      </s:c>
      <s:c r="G46" s="2" t="n">
        <s:v>13391</s:v>
      </s:c>
      <s:c r="H46" s="2" t="n">
        <s:v>2.75</s:v>
      </s:c>
      <s:c r="I46" s="2" t="n">
        <s:v>325.35</s:v>
      </s:c>
      <s:c r="J46" s="2" t="n">
        <s:v>8.949999999999999</s:v>
      </s:c>
    </s:row>
    <s:row r="47">
      <s:c r="A47" s="2" t="n">
        <s:v>47053</s:v>
      </s:c>
      <s:c r="B47" s="2" t="inlineStr">
        <s:is>
          <s:t>REINOSO SALAS YAJAIRA CAROLINA</s:t>
        </s:is>
      </s:c>
      <s:c r="C47" s="3" t="n">
        <s:v>46056</s:v>
      </s:c>
      <s:c r="D47" s="3" t="n">
        <s:v>46056</s:v>
      </s:c>
      <s:c r="E47" s="3" t="inlineStr">
        <s:is>
          <s:t>RENTA</s:t>
        </s:is>
      </s:c>
      <s:c r="F47" s="2" t="n">
        <s:v>307</s:v>
      </s:c>
      <s:c r="G47" s="2" t="n">
        <s:v>123</s:v>
      </s:c>
      <s:c r="H47" s="2" t="n">
        <s:v>2</s:v>
      </s:c>
      <s:c r="I47" s="2" t="n">
        <s:v>40</s:v>
      </s:c>
      <s:c r="J47" s="2" t="n">
        <s:v>0.8</s:v>
      </s:c>
    </s:row>
    <s:row r="48">
      <s:c r="A48" s="2" t="n">
        <s:v>47053</s:v>
      </s:c>
      <s:c r="B48" s="2" t="inlineStr">
        <s:is>
          <s:t>REINOSO SALAS YAJAIRA CAROLINA</s:t>
        </s:is>
      </s:c>
      <s:c r="C48" s="3" t="n">
        <s:v>46056</s:v>
      </s:c>
      <s:c r="D48" s="3" t="n">
        <s:v>46056</s:v>
      </s:c>
      <s:c r="E48" s="3" t="inlineStr">
        <s:is>
          <s:t>IVA</s:t>
        </s:is>
      </s:c>
      <s:c r="F48" s="2" t="n">
        <s:v>307</s:v>
      </s:c>
      <s:c r="G48" s="2" t="n">
        <s:v>123</s:v>
      </s:c>
      <s:c r="H48" s="2" t="n">
        <s:v>70</s:v>
      </s:c>
      <s:c r="I48" s="2" t="n">
        <s:v>6</s:v>
      </s:c>
      <s:c r="J48" s="2" t="n">
        <s:v>4.2</s:v>
      </s:c>
    </s:row>
    <s:row r="49">
      <s:c r="A49" s="2" t="n">
        <s:v>47054</s:v>
      </s:c>
      <s:c r="B49" s="2" t="inlineStr">
        <s:is>
          <s:t>YANGTSE-AUTO DEL ECUADOR S.A.</s:t>
        </s:is>
      </s:c>
      <s:c r="C49" s="3" t="n">
        <s:v>46056</s:v>
      </s:c>
      <s:c r="D49" s="3" t="n">
        <s:v>46056</s:v>
      </s:c>
      <s:c r="E49" s="3" t="inlineStr">
        <s:is>
          <s:t>RENTA</s:t>
        </s:is>
      </s:c>
      <s:c r="F49" s="2" t="n">
        <s:v>312</s:v>
      </s:c>
      <s:c r="G49" s="2" t="n">
        <s:v>629</s:v>
      </s:c>
      <s:c r="H49" s="2" t="n">
        <s:v>1.75</s:v>
      </s:c>
      <s:c r="I49" s="4" t="n">
        <s:v>13166.09</s:v>
      </s:c>
      <s:c r="J49" s="2" t="n">
        <s:v>230.41</s:v>
      </s:c>
    </s:row>
    <s:row r="50">
      <s:c r="A50" s="2" t="n">
        <s:v>47054</s:v>
      </s:c>
      <s:c r="B50" s="2" t="inlineStr">
        <s:is>
          <s:t>YANGTSE-AUTO DEL ECUADOR S.A.</s:t>
        </s:is>
      </s:c>
      <s:c r="C50" s="3" t="n">
        <s:v>46056</s:v>
      </s:c>
      <s:c r="D50" s="3" t="n">
        <s:v>46056</s:v>
      </s:c>
      <s:c r="E50" s="3" t="inlineStr">
        <s:is>
          <s:t>IVA</s:t>
        </s:is>
      </s:c>
      <s:c r="F50" s="2" t="n">
        <s:v>312</s:v>
      </s:c>
      <s:c r="G50" s="2" t="n">
        <s:v>629</s:v>
      </s:c>
      <s:c r="H50" s="2" t="n">
        <s:v>30</s:v>
      </s:c>
      <s:c r="I50" s="4" t="n">
        <s:v>1974.91</s:v>
      </s:c>
      <s:c r="J50" s="2" t="n">
        <s:v>592.47</s:v>
      </s:c>
    </s:row>
    <s:row r="51">
      <s:c r="A51" s="2" t="n">
        <s:v>47055</s:v>
      </s:c>
      <s:c r="B51" s="2" t="inlineStr">
        <s:is>
          <s:t>YANEZ APUANGO CRISTINA DE LOS ANGELES</s:t>
        </s:is>
      </s:c>
      <s:c r="C51" s="3" t="n">
        <s:v>46056</s:v>
      </s:c>
      <s:c r="D51" s="3" t="n">
        <s:v>46055</s:v>
      </s:c>
      <s:c r="E51" s="3" t="inlineStr">
        <s:is>
          <s:t>RENTA</s:t>
        </s:is>
      </s:c>
      <s:c r="F51" s="2" t="n">
        <s:v>312</s:v>
      </s:c>
      <s:c r="G51" s="2" t="n">
        <s:v>1912</s:v>
      </s:c>
      <s:c r="H51" s="2" t="n">
        <s:v>1.75</s:v>
      </s:c>
      <s:c r="I51" s="2" t="n">
        <s:v>40</s:v>
      </s:c>
      <s:c r="J51" s="2" t="n">
        <s:v>0.7</s:v>
      </s:c>
    </s:row>
    <s:row r="52">
      <s:c r="A52" s="2" t="n">
        <s:v>47055</s:v>
      </s:c>
      <s:c r="B52" s="2" t="inlineStr">
        <s:is>
          <s:t>YANEZ APUANGO CRISTINA DE LOS ANGELES</s:t>
        </s:is>
      </s:c>
      <s:c r="C52" s="3" t="n">
        <s:v>46056</s:v>
      </s:c>
      <s:c r="D52" s="3" t="n">
        <s:v>46055</s:v>
      </s:c>
      <s:c r="E52" s="3" t="inlineStr">
        <s:is>
          <s:t>IVA</s:t>
        </s:is>
      </s:c>
      <s:c r="F52" s="2" t="n">
        <s:v>312</s:v>
      </s:c>
      <s:c r="G52" s="2" t="n">
        <s:v>1912</s:v>
      </s:c>
      <s:c r="H52" s="2" t="n">
        <s:v>30</s:v>
      </s:c>
      <s:c r="I52" s="2" t="n">
        <s:v>6</s:v>
      </s:c>
      <s:c r="J52" s="2" t="n">
        <s:v>1.8</s:v>
      </s:c>
    </s:row>
    <s:row r="53">
      <s:c r="A53" s="2" t="n">
        <s:v>47056</s:v>
      </s:c>
      <s:c r="B53" s="2" t="inlineStr">
        <s:is>
          <s:t>LOPEZ PACA EDWIN MARCELO</s:t>
        </s:is>
      </s:c>
      <s:c r="C53" s="3" t="n">
        <s:v>46056</s:v>
      </s:c>
      <s:c r="D53" s="3" t="n">
        <s:v>46056</s:v>
      </s:c>
      <s:c r="E53" s="3" t="inlineStr">
        <s:is>
          <s:t>RENTA</s:t>
        </s:is>
      </s:c>
      <s:c r="F53" s="2" t="n">
        <s:v>307</s:v>
      </s:c>
      <s:c r="G53" s="2" t="n">
        <s:v>376</s:v>
      </s:c>
      <s:c r="H53" s="2" t="n">
        <s:v>2</s:v>
      </s:c>
      <s:c r="I53" s="2" t="n">
        <s:v>25</s:v>
      </s:c>
      <s:c r="J53" s="2" t="n">
        <s:v>0.5</s:v>
      </s:c>
    </s:row>
    <s:row r="54">
      <s:c r="A54" s="2" t="n">
        <s:v>47057</s:v>
      </s:c>
      <s:c r="B54" s="2" t="inlineStr">
        <s:is>
          <s:t>COMPAÑIA TECNOXPERTISE S.A.S.</s:t>
        </s:is>
      </s:c>
      <s:c r="C54" s="3" t="n">
        <s:v>46057</s:v>
      </s:c>
      <s:c r="D54" s="3" t="n">
        <s:v>46057</s:v>
      </s:c>
      <s:c r="E54" s="3" t="inlineStr">
        <s:is>
          <s:t>RENTA</s:t>
        </s:is>
      </s:c>
      <s:c r="F54" s="2" t="n">
        <s:v>344</s:v>
      </s:c>
      <s:c r="G54" s="2" t="n">
        <s:v>377</s:v>
      </s:c>
      <s:c r="H54" s="2" t="n">
        <s:v>2.75</s:v>
      </s:c>
      <s:c r="I54" s="2" t="n">
        <s:v>100</s:v>
      </s:c>
      <s:c r="J54" s="2" t="n">
        <s:v>2.75</s:v>
      </s:c>
    </s:row>
    <s:row r="55">
      <s:c r="A55" s="2" t="n">
        <s:v>47057</s:v>
      </s:c>
      <s:c r="B55" s="2" t="inlineStr">
        <s:is>
          <s:t>COMPAÑIA TECNOXPERTISE S.A.S.</s:t>
        </s:is>
      </s:c>
      <s:c r="C55" s="3" t="n">
        <s:v>46057</s:v>
      </s:c>
      <s:c r="D55" s="3" t="n">
        <s:v>46057</s:v>
      </s:c>
      <s:c r="E55" s="3" t="inlineStr">
        <s:is>
          <s:t>IVA</s:t>
        </s:is>
      </s:c>
      <s:c r="F55" s="2" t="n">
        <s:v>344</s:v>
      </s:c>
      <s:c r="G55" s="2" t="n">
        <s:v>377</s:v>
      </s:c>
      <s:c r="H55" s="2" t="n">
        <s:v>70</s:v>
      </s:c>
      <s:c r="I55" s="2" t="n">
        <s:v>15</s:v>
      </s:c>
      <s:c r="J55" s="2" t="n">
        <s:v>10.5</s:v>
      </s:c>
    </s:row>
    <s:row r="56">
      <s:c r="A56" s="2" t="n">
        <s:v>47058</s:v>
      </s:c>
      <s:c r="B56" s="2" t="inlineStr">
        <s:is>
          <s:t>MAYORGA MAYORGA WILSON RAMIRO</s:t>
        </s:is>
      </s:c>
      <s:c r="C56" s="3" t="n">
        <s:v>46057</s:v>
      </s:c>
      <s:c r="D56" s="3" t="n">
        <s:v>46057</s:v>
      </s:c>
      <s:c r="E56" s="3" t="inlineStr">
        <s:is>
          <s:t>RENTA</s:t>
        </s:is>
      </s:c>
      <s:c r="F56" s="2" t="n">
        <s:v>304</s:v>
      </s:c>
      <s:c r="G56" s="2" t="n">
        <s:v>76818</s:v>
      </s:c>
      <s:c r="H56" s="2" t="n">
        <s:v>10</s:v>
      </s:c>
      <s:c r="I56" s="2" t="n">
        <s:v>69.34</s:v>
      </s:c>
      <s:c r="J56" s="2" t="n">
        <s:v>6.93</s:v>
      </s:c>
    </s:row>
    <s:row r="57">
      <s:c r="A57" s="2" t="n">
        <s:v>47058</s:v>
      </s:c>
      <s:c r="B57" s="2" t="inlineStr">
        <s:is>
          <s:t>MAYORGA MAYORGA WILSON RAMIRO</s:t>
        </s:is>
      </s:c>
      <s:c r="C57" s="3" t="n">
        <s:v>46057</s:v>
      </s:c>
      <s:c r="D57" s="3" t="n">
        <s:v>46057</s:v>
      </s:c>
      <s:c r="E57" s="3" t="inlineStr">
        <s:is>
          <s:t>IVA</s:t>
        </s:is>
      </s:c>
      <s:c r="F57" s="2" t="n">
        <s:v>304</s:v>
      </s:c>
      <s:c r="G57" s="2" t="n">
        <s:v>76818</s:v>
      </s:c>
      <s:c r="H57" s="2" t="n">
        <s:v>70</s:v>
      </s:c>
      <s:c r="I57" s="2" t="n">
        <s:v>10.27</s:v>
      </s:c>
      <s:c r="J57" s="2" t="n">
        <s:v>7.19</s:v>
      </s:c>
    </s:row>
    <s:row r="58">
      <s:c r="A58" s="2" t="n">
        <s:v>47059</s:v>
      </s:c>
      <s:c r="B58" s="2" t="inlineStr">
        <s:is>
          <s:t>DILIGENCIAS LEGALES</s:t>
        </s:is>
      </s:c>
      <s:c r="C58" s="3" t="n">
        <s:v>46057</s:v>
      </s:c>
      <s:c r="D58" s="3" t="n">
        <s:v>46057</s:v>
      </s:c>
      <s:c r="E58" s="3" t="inlineStr">
        <s:is>
          <s:t>RENTA</s:t>
        </s:is>
      </s:c>
      <s:c r="F58" s="2" t="n">
        <s:v>303</s:v>
      </s:c>
      <s:c r="G58" s="2" t="n">
        <s:v>1804</s:v>
      </s:c>
      <s:c r="H58" s="2" t="n">
        <s:v>3</s:v>
      </s:c>
      <s:c r="I58" s="2" t="n">
        <s:v>208.96</s:v>
      </s:c>
      <s:c r="J58" s="2" t="n">
        <s:v>6.27</s:v>
      </s:c>
    </s:row>
    <s:row r="59">
      <s:c r="A59" s="2" t="n">
        <s:v>47059</s:v>
      </s:c>
      <s:c r="B59" s="2" t="inlineStr">
        <s:is>
          <s:t>DILIGENCIAS LEGALES</s:t>
        </s:is>
      </s:c>
      <s:c r="C59" s="3" t="n">
        <s:v>46057</s:v>
      </s:c>
      <s:c r="D59" s="3" t="n">
        <s:v>46057</s:v>
      </s:c>
      <s:c r="E59" s="3" t="inlineStr">
        <s:is>
          <s:t>IVA</s:t>
        </s:is>
      </s:c>
      <s:c r="F59" s="2" t="n">
        <s:v>303</s:v>
      </s:c>
      <s:c r="G59" s="2" t="n">
        <s:v>1804</s:v>
      </s:c>
      <s:c r="H59" s="2" t="n">
        <s:v>70</s:v>
      </s:c>
      <s:c r="I59" s="2" t="n">
        <s:v>31.34</s:v>
      </s:c>
      <s:c r="J59" s="2" t="n">
        <s:v>21.94</s:v>
      </s:c>
    </s:row>
    <s:row r="60">
      <s:c r="A60" s="2" t="n">
        <s:v>47060</s:v>
      </s:c>
      <s:c r="B60" s="2" t="inlineStr">
        <s:is>
          <s:t>MAYORGA MAYORGA WILSON RAMIRO</s:t>
        </s:is>
      </s:c>
      <s:c r="C60" s="3" t="n">
        <s:v>46057</s:v>
      </s:c>
      <s:c r="D60" s="3" t="n">
        <s:v>46057</s:v>
      </s:c>
      <s:c r="E60" s="3" t="inlineStr">
        <s:is>
          <s:t>RENTA</s:t>
        </s:is>
      </s:c>
      <s:c r="F60" s="2" t="n">
        <s:v>304</s:v>
      </s:c>
      <s:c r="G60" s="2" t="n">
        <s:v>76819</s:v>
      </s:c>
      <s:c r="H60" s="2" t="n">
        <s:v>10</s:v>
      </s:c>
      <s:c r="I60" s="2" t="n">
        <s:v>10.74</s:v>
      </s:c>
      <s:c r="J60" s="2" t="n">
        <s:v>1.07</s:v>
      </s:c>
    </s:row>
    <s:row r="61">
      <s:c r="A61" s="2" t="n">
        <s:v>47060</s:v>
      </s:c>
      <s:c r="B61" s="2" t="inlineStr">
        <s:is>
          <s:t>MAYORGA MAYORGA WILSON RAMIRO</s:t>
        </s:is>
      </s:c>
      <s:c r="C61" s="3" t="n">
        <s:v>46057</s:v>
      </s:c>
      <s:c r="D61" s="3" t="n">
        <s:v>46057</s:v>
      </s:c>
      <s:c r="E61" s="3" t="inlineStr">
        <s:is>
          <s:t>IVA</s:t>
        </s:is>
      </s:c>
      <s:c r="F61" s="2" t="n">
        <s:v>304</s:v>
      </s:c>
      <s:c r="G61" s="2" t="n">
        <s:v>76819</s:v>
      </s:c>
      <s:c r="H61" s="2" t="n">
        <s:v>70</s:v>
      </s:c>
      <s:c r="I61" s="2" t="n">
        <s:v>1.61</s:v>
      </s:c>
      <s:c r="J61" s="2" t="n">
        <s:v>1.13</s:v>
      </s:c>
    </s:row>
    <s:row r="62">
      <s:c r="A62" s="2" t="n">
        <s:v>47061</s:v>
      </s:c>
      <s:c r="B62" s="2" t="inlineStr">
        <s:is>
          <s:t>TITANIA TRACKING SOLUTIONS-EC S A S</s:t>
        </s:is>
      </s:c>
      <s:c r="C62" s="3" t="n">
        <s:v>46057</s:v>
      </s:c>
      <s:c r="D62" s="3" t="n">
        <s:v>46057</s:v>
      </s:c>
      <s:c r="E62" s="3" t="inlineStr">
        <s:is>
          <s:t>IVA</s:t>
        </s:is>
      </s:c>
      <s:c r="F62" s="2" t="n">
        <s:v>312</s:v>
      </s:c>
      <s:c r="G62" s="2" t="n">
        <s:v>17622</s:v>
      </s:c>
      <s:c r="H62" s="2" t="n">
        <s:v>30</s:v>
      </s:c>
      <s:c r="I62" s="2" t="n">
        <s:v>306</s:v>
      </s:c>
      <s:c r="J62" s="2" t="n">
        <s:v>91.8</s:v>
      </s:c>
    </s:row>
    <s:row r="63">
      <s:c r="A63" s="2" t="n">
        <s:v>47061</s:v>
      </s:c>
      <s:c r="B63" s="2" t="inlineStr">
        <s:is>
          <s:t>TITANIA TRACKING SOLUTIONS-EC S A S</s:t>
        </s:is>
      </s:c>
      <s:c r="C63" s="3" t="n">
        <s:v>46057</s:v>
      </s:c>
      <s:c r="D63" s="3" t="n">
        <s:v>46057</s:v>
      </s:c>
      <s:c r="E63" s="3" t="inlineStr">
        <s:is>
          <s:t>RENTA</s:t>
        </s:is>
      </s:c>
      <s:c r="F63" s="2" t="n">
        <s:v>312</s:v>
      </s:c>
      <s:c r="G63" s="2" t="n">
        <s:v>17622</s:v>
      </s:c>
      <s:c r="H63" s="2" t="n">
        <s:v>1.75</s:v>
      </s:c>
      <s:c r="I63" s="4" t="n">
        <s:v>2040</s:v>
      </s:c>
      <s:c r="J63" s="2" t="n">
        <s:v>35.7</s:v>
      </s:c>
    </s:row>
    <s:row r="64">
      <s:c r="A64" s="2" t="n">
        <s:v>47062</s:v>
      </s:c>
      <s:c r="B64" s="2" t="inlineStr">
        <s:is>
          <s:t>YANGTSE-AUTO DEL ECUADOR S.A.</s:t>
        </s:is>
      </s:c>
      <s:c r="C64" s="3" t="n">
        <s:v>46057</s:v>
      </s:c>
      <s:c r="D64" s="3" t="n">
        <s:v>46057</s:v>
      </s:c>
      <s:c r="E64" s="3" t="inlineStr">
        <s:is>
          <s:t>RENTA</s:t>
        </s:is>
      </s:c>
      <s:c r="F64" s="2" t="n">
        <s:v>312</s:v>
      </s:c>
      <s:c r="G64" s="2" t="n">
        <s:v>523</s:v>
      </s:c>
      <s:c r="H64" s="2" t="n">
        <s:v>1.75</s:v>
      </s:c>
      <s:c r="I64" s="2" t="n">
        <s:v>347.83</s:v>
      </s:c>
      <s:c r="J64" s="2" t="n">
        <s:v>6.09</s:v>
      </s:c>
    </s:row>
    <s:row r="65">
      <s:c r="A65" s="2" t="n">
        <s:v>47062</s:v>
      </s:c>
      <s:c r="B65" s="2" t="inlineStr">
        <s:is>
          <s:t>YANGTSE-AUTO DEL ECUADOR S.A.</s:t>
        </s:is>
      </s:c>
      <s:c r="C65" s="3" t="n">
        <s:v>46057</s:v>
      </s:c>
      <s:c r="D65" s="3" t="n">
        <s:v>46057</s:v>
      </s:c>
      <s:c r="E65" s="3" t="inlineStr">
        <s:is>
          <s:t>IVA</s:t>
        </s:is>
      </s:c>
      <s:c r="F65" s="2" t="n">
        <s:v>312</s:v>
      </s:c>
      <s:c r="G65" s="2" t="n">
        <s:v>523</s:v>
      </s:c>
      <s:c r="H65" s="2" t="n">
        <s:v>30</s:v>
      </s:c>
      <s:c r="I65" s="2" t="n">
        <s:v>52.17</s:v>
      </s:c>
      <s:c r="J65" s="2" t="n">
        <s:v>15.65</s:v>
      </s:c>
    </s:row>
    <s:row r="66">
      <s:c r="A66" s="2" t="n">
        <s:v>47063</s:v>
      </s:c>
      <s:c r="B66" s="2" t="inlineStr">
        <s:is>
          <s:t>TOYOTASERVICIOS S.A.</s:t>
        </s:is>
      </s:c>
      <s:c r="C66" s="3" t="n">
        <s:v>46057</s:v>
      </s:c>
      <s:c r="D66" s="3" t="n">
        <s:v>46056</s:v>
      </s:c>
      <s:c r="E66" s="3" t="inlineStr">
        <s:is>
          <s:t>IVA</s:t>
        </s:is>
      </s:c>
      <s:c r="F66" s="2" t="n">
        <s:v>344</s:v>
      </s:c>
      <s:c r="G66" s="2" t="n">
        <s:v>52803</s:v>
      </s:c>
      <s:c r="H66" s="2" t="n">
        <s:v>70</s:v>
      </s:c>
      <s:c r="I66" s="2" t="n">
        <s:v>2.91</s:v>
      </s:c>
      <s:c r="J66" s="2" t="n">
        <s:v>2.04</s:v>
      </s:c>
    </s:row>
    <s:row r="67">
      <s:c r="A67" s="2" t="n">
        <s:v>47063</s:v>
      </s:c>
      <s:c r="B67" s="2" t="inlineStr">
        <s:is>
          <s:t>TOYOTASERVICIOS S.A.</s:t>
        </s:is>
      </s:c>
      <s:c r="C67" s="3" t="n">
        <s:v>46057</s:v>
      </s:c>
      <s:c r="D67" s="3" t="n">
        <s:v>46056</s:v>
      </s:c>
      <s:c r="E67" s="3" t="inlineStr">
        <s:is>
          <s:t>RENTA</s:t>
        </s:is>
      </s:c>
      <s:c r="F67" s="2" t="n">
        <s:v>344</s:v>
      </s:c>
      <s:c r="G67" s="2" t="n">
        <s:v>52803</s:v>
      </s:c>
      <s:c r="H67" s="2" t="n">
        <s:v>2.75</s:v>
      </s:c>
      <s:c r="I67" s="2" t="n">
        <s:v>19.4</s:v>
      </s:c>
      <s:c r="J67" s="2" t="n">
        <s:v>0.53</s:v>
      </s:c>
    </s:row>
    <s:row r="68">
      <s:c r="A68" s="2" t="n">
        <s:v>47064</s:v>
      </s:c>
      <s:c r="B68" s="2" t="inlineStr">
        <s:is>
          <s:t>TOYOTASERVICIOS S.A.</s:t>
        </s:is>
      </s:c>
      <s:c r="C68" s="3" t="n">
        <s:v>46057</s:v>
      </s:c>
      <s:c r="D68" s="3" t="n">
        <s:v>46056</s:v>
      </s:c>
      <s:c r="E68" s="3" t="inlineStr">
        <s:is>
          <s:t>IVA</s:t>
        </s:is>
      </s:c>
      <s:c r="F68" s="2" t="n">
        <s:v>312</s:v>
      </s:c>
      <s:c r="G68" s="2" t="n">
        <s:v>52804</s:v>
      </s:c>
      <s:c r="H68" s="2" t="n">
        <s:v>30</s:v>
      </s:c>
      <s:c r="I68" s="2" t="n">
        <s:v>9.550000000000001</s:v>
      </s:c>
      <s:c r="J68" s="2" t="n">
        <s:v>2.87</s:v>
      </s:c>
    </s:row>
    <s:row r="69">
      <s:c r="A69" s="2" t="n">
        <s:v>47064</s:v>
      </s:c>
      <s:c r="B69" s="2" t="inlineStr">
        <s:is>
          <s:t>TOYOTASERVICIOS S.A.</s:t>
        </s:is>
      </s:c>
      <s:c r="C69" s="3" t="n">
        <s:v>46057</s:v>
      </s:c>
      <s:c r="D69" s="3" t="n">
        <s:v>46056</s:v>
      </s:c>
      <s:c r="E69" s="3" t="inlineStr">
        <s:is>
          <s:t>RENTA</s:t>
        </s:is>
      </s:c>
      <s:c r="F69" s="2" t="n">
        <s:v>312</s:v>
      </s:c>
      <s:c r="G69" s="2" t="n">
        <s:v>52804</s:v>
      </s:c>
      <s:c r="H69" s="2" t="n">
        <s:v>1.75</s:v>
      </s:c>
      <s:c r="I69" s="2" t="n">
        <s:v>63.66</s:v>
      </s:c>
      <s:c r="J69" s="2" t="n">
        <s:v>1.11</s:v>
      </s:c>
    </s:row>
    <s:row r="70">
      <s:c r="A70" s="2" t="n">
        <s:v>47065</s:v>
      </s:c>
      <s:c r="B70" s="2" t="inlineStr">
        <s:is>
          <s:t>TOYOTASERVICIOS S.A.</s:t>
        </s:is>
      </s:c>
      <s:c r="C70" s="3" t="n">
        <s:v>46058</s:v>
      </s:c>
      <s:c r="D70" s="3" t="n">
        <s:v>46058</s:v>
      </s:c>
      <s:c r="E70" s="3" t="inlineStr">
        <s:is>
          <s:t>RENTA</s:t>
        </s:is>
      </s:c>
      <s:c r="F70" s="2" t="n">
        <s:v>344</s:v>
      </s:c>
      <s:c r="G70" s="2" t="n">
        <s:v>52828</s:v>
      </s:c>
      <s:c r="H70" s="2" t="n">
        <s:v>2.75</s:v>
      </s:c>
      <s:c r="I70" s="2" t="n">
        <s:v>48.6</s:v>
      </s:c>
      <s:c r="J70" s="2" t="n">
        <s:v>1.34</s:v>
      </s:c>
    </s:row>
    <s:row r="71">
      <s:c r="A71" s="2" t="n">
        <s:v>47065</s:v>
      </s:c>
      <s:c r="B71" s="2" t="inlineStr">
        <s:is>
          <s:t>TOYOTASERVICIOS S.A.</s:t>
        </s:is>
      </s:c>
      <s:c r="C71" s="3" t="n">
        <s:v>46058</s:v>
      </s:c>
      <s:c r="D71" s="3" t="n">
        <s:v>46058</s:v>
      </s:c>
      <s:c r="E71" s="3" t="inlineStr">
        <s:is>
          <s:t>IVA</s:t>
        </s:is>
      </s:c>
      <s:c r="F71" s="2" t="n">
        <s:v>344</s:v>
      </s:c>
      <s:c r="G71" s="2" t="n">
        <s:v>52828</s:v>
      </s:c>
      <s:c r="H71" s="2" t="n">
        <s:v>70</s:v>
      </s:c>
      <s:c r="I71" s="2" t="n">
        <s:v>7.29</s:v>
      </s:c>
      <s:c r="J71" s="2" t="n">
        <s:v>5.1</s:v>
      </s:c>
    </s:row>
    <s:row r="72">
      <s:c r="A72" s="2" t="n">
        <s:v>47066</s:v>
      </s:c>
      <s:c r="B72" s="2" t="inlineStr">
        <s:is>
          <s:t>TITANIA TRACKING SOLUTIONS-EC S A S</s:t>
        </s:is>
      </s:c>
      <s:c r="C72" s="3" t="n">
        <s:v>46058</s:v>
      </s:c>
      <s:c r="D72" s="3" t="n">
        <s:v>46058</s:v>
      </s:c>
      <s:c r="E72" s="3" t="inlineStr">
        <s:is>
          <s:t>RENTA</s:t>
        </s:is>
      </s:c>
      <s:c r="F72" s="2" t="n">
        <s:v>312</s:v>
      </s:c>
      <s:c r="G72" s="2" t="n">
        <s:v>17621</s:v>
      </s:c>
      <s:c r="H72" s="2" t="n">
        <s:v>1.75</s:v>
      </s:c>
      <s:c r="I72" s="4" t="n">
        <s:v>2040</s:v>
      </s:c>
      <s:c r="J72" s="2" t="n">
        <s:v>35.7</s:v>
      </s:c>
    </s:row>
    <s:row r="73">
      <s:c r="A73" s="2" t="n">
        <s:v>47066</s:v>
      </s:c>
      <s:c r="B73" s="2" t="inlineStr">
        <s:is>
          <s:t>TITANIA TRACKING SOLUTIONS-EC S A S</s:t>
        </s:is>
      </s:c>
      <s:c r="C73" s="3" t="n">
        <s:v>46058</s:v>
      </s:c>
      <s:c r="D73" s="3" t="n">
        <s:v>46058</s:v>
      </s:c>
      <s:c r="E73" s="3" t="inlineStr">
        <s:is>
          <s:t>IVA</s:t>
        </s:is>
      </s:c>
      <s:c r="F73" s="2" t="n">
        <s:v>312</s:v>
      </s:c>
      <s:c r="G73" s="2" t="n">
        <s:v>17621</s:v>
      </s:c>
      <s:c r="H73" s="2" t="n">
        <s:v>30</s:v>
      </s:c>
      <s:c r="I73" s="2" t="n">
        <s:v>306</s:v>
      </s:c>
      <s:c r="J73" s="2" t="n">
        <s:v>91.8</s:v>
      </s:c>
    </s:row>
    <s:row r="74">
      <s:c r="A74" s="2" t="n">
        <s:v>47067</s:v>
      </s:c>
      <s:c r="B74" s="2" t="inlineStr">
        <s:is>
          <s:t>SZK DEL ECUADOR S.A.</s:t>
        </s:is>
      </s:c>
      <s:c r="C74" s="3" t="n">
        <s:v>46058</s:v>
      </s:c>
      <s:c r="D74" s="3" t="n">
        <s:v>46058</s:v>
      </s:c>
      <s:c r="E74" s="3" t="inlineStr">
        <s:is>
          <s:t>IVA</s:t>
        </s:is>
      </s:c>
      <s:c r="F74" s="2" t="n">
        <s:v>332</s:v>
      </s:c>
      <s:c r="G74" s="2" t="n">
        <s:v>1518</s:v>
      </s:c>
      <s:c r="H74" s="2" t="n">
        <s:v>10</s:v>
      </s:c>
      <s:c r="I74" s="2" t="n">
        <s:v>65.22</s:v>
      </s:c>
      <s:c r="J74" s="2" t="n">
        <s:v>6.52</s:v>
      </s:c>
    </s:row>
    <s:row r="75">
      <s:c r="A75" s="2" t="n">
        <s:v>47068</s:v>
      </s:c>
      <s:c r="B75" s="2" t="inlineStr">
        <s:is>
          <s:t>ARMAS MELENDEZ MONICA ALEXANDRA</s:t>
        </s:is>
      </s:c>
      <s:c r="C75" s="3" t="n">
        <s:v>46058</s:v>
      </s:c>
      <s:c r="D75" s="3" t="n">
        <s:v>46058</s:v>
      </s:c>
      <s:c r="E75" s="3" t="inlineStr">
        <s:is>
          <s:t>IVA</s:t>
        </s:is>
      </s:c>
      <s:c r="F75" s="2" t="n">
        <s:v>304</s:v>
      </s:c>
      <s:c r="G75" s="2" t="n">
        <s:v>212880</s:v>
      </s:c>
      <s:c r="H75" s="2" t="n">
        <s:v>70</s:v>
      </s:c>
      <s:c r="I75" s="2" t="n">
        <s:v>15.14</s:v>
      </s:c>
      <s:c r="J75" s="2" t="n">
        <s:v>10.6</s:v>
      </s:c>
    </s:row>
    <s:row r="76">
      <s:c r="A76" s="2" t="n">
        <s:v>47068</s:v>
      </s:c>
      <s:c r="B76" s="2" t="inlineStr">
        <s:is>
          <s:t>ARMAS MELENDEZ MONICA ALEXANDRA</s:t>
        </s:is>
      </s:c>
      <s:c r="C76" s="3" t="n">
        <s:v>46058</s:v>
      </s:c>
      <s:c r="D76" s="3" t="n">
        <s:v>46058</s:v>
      </s:c>
      <s:c r="E76" s="3" t="inlineStr">
        <s:is>
          <s:t>RENTA</s:t>
        </s:is>
      </s:c>
      <s:c r="F76" s="2" t="n">
        <s:v>304</s:v>
      </s:c>
      <s:c r="G76" s="2" t="n">
        <s:v>212880</s:v>
      </s:c>
      <s:c r="H76" s="2" t="n">
        <s:v>10</s:v>
      </s:c>
      <s:c r="I76" s="2" t="n">
        <s:v>101.83</s:v>
      </s:c>
      <s:c r="J76" s="2" t="n">
        <s:v>10.18</s:v>
      </s:c>
    </s:row>
    <s:row r="77">
      <s:c r="A77" s="2" t="n">
        <s:v>47069</s:v>
      </s:c>
      <s:c r="B77" s="2" t="inlineStr">
        <s:is>
          <s:t>TOYOTASERVICIOS S.A.</s:t>
        </s:is>
      </s:c>
      <s:c r="C77" s="3" t="n">
        <s:v>46058</s:v>
      </s:c>
      <s:c r="D77" s="3" t="n">
        <s:v>46058</s:v>
      </s:c>
      <s:c r="E77" s="3" t="inlineStr">
        <s:is>
          <s:t>IVA</s:t>
        </s:is>
      </s:c>
      <s:c r="F77" s="2" t="n">
        <s:v>312</s:v>
      </s:c>
      <s:c r="G77" s="2" t="n">
        <s:v>14870</s:v>
      </s:c>
      <s:c r="H77" s="2" t="n">
        <s:v>30</s:v>
      </s:c>
      <s:c r="I77" s="2" t="n">
        <s:v>102.09</s:v>
      </s:c>
      <s:c r="J77" s="2" t="n">
        <s:v>30.63</s:v>
      </s:c>
    </s:row>
    <s:row r="78">
      <s:c r="A78" s="2" t="n">
        <s:v>47069</s:v>
      </s:c>
      <s:c r="B78" s="2" t="inlineStr">
        <s:is>
          <s:t>TOYOTASERVICIOS S.A.</s:t>
        </s:is>
      </s:c>
      <s:c r="C78" s="3" t="n">
        <s:v>46058</s:v>
      </s:c>
      <s:c r="D78" s="3" t="n">
        <s:v>46058</s:v>
      </s:c>
      <s:c r="E78" s="3" t="inlineStr">
        <s:is>
          <s:t>RENTA</s:t>
        </s:is>
      </s:c>
      <s:c r="F78" s="2" t="n">
        <s:v>312</s:v>
      </s:c>
      <s:c r="G78" s="2" t="n">
        <s:v>14870</s:v>
      </s:c>
      <s:c r="H78" s="2" t="n">
        <s:v>1.75</s:v>
      </s:c>
      <s:c r="I78" s="2" t="n">
        <s:v>680.6</s:v>
      </s:c>
      <s:c r="J78" s="2" t="n">
        <s:v>11.91</s:v>
      </s:c>
    </s:row>
    <s:row r="79">
      <s:c r="A79" s="2" t="n">
        <s:v>47070</s:v>
      </s:c>
      <s:c r="B79" s="2" t="inlineStr">
        <s:is>
          <s:t>SZK DEL ECUADOR S.A.</s:t>
        </s:is>
      </s:c>
      <s:c r="C79" s="3" t="n">
        <s:v>46058</s:v>
      </s:c>
      <s:c r="D79" s="3" t="n">
        <s:v>46058</s:v>
      </s:c>
      <s:c r="E79" s="3" t="inlineStr">
        <s:is>
          <s:t>IVA</s:t>
        </s:is>
      </s:c>
      <s:c r="F79" s="2" t="n">
        <s:v>312</s:v>
      </s:c>
      <s:c r="G79" s="2" t="n">
        <s:v>3181</s:v>
      </s:c>
      <s:c r="H79" s="2" t="n">
        <s:v>10</s:v>
      </s:c>
      <s:c r="I79" s="4" t="n">
        <s:v>3316.73</s:v>
      </s:c>
      <s:c r="J79" s="2" t="n">
        <s:v>331.67</s:v>
      </s:c>
    </s:row>
    <s:row r="80">
      <s:c r="A80" s="2" t="n">
        <s:v>47071</s:v>
      </s:c>
      <s:c r="B80" s="2" t="inlineStr">
        <s:is>
          <s:t>ASEGURADORA DEL SUR C.A.</s:t>
        </s:is>
      </s:c>
      <s:c r="C80" s="3" t="n">
        <s:v>46058</s:v>
      </s:c>
      <s:c r="D80" s="3" t="n">
        <s:v>46058</s:v>
      </s:c>
      <s:c r="E80" s="3" t="inlineStr">
        <s:is>
          <s:t>IVA</s:t>
        </s:is>
      </s:c>
      <s:c r="F80" s="2" t="n">
        <s:v>332</s:v>
      </s:c>
      <s:c r="G80" s="2" t="n">
        <s:v>50763</s:v>
      </s:c>
      <s:c r="H80" s="2" t="n">
        <s:v>20</s:v>
      </s:c>
      <s:c r="I80" s="2" t="n">
        <s:v>72.81</s:v>
      </s:c>
      <s:c r="J80" s="2" t="n">
        <s:v>14.56</s:v>
      </s:c>
    </s:row>
    <s:row r="81">
      <s:c r="A81" s="2" t="n">
        <s:v>47072</s:v>
      </s:c>
      <s:c r="B81" s="2" t="inlineStr">
        <s:is>
          <s:t>REINOSO SALAS YAJAIRA CAROLINA</s:t>
        </s:is>
      </s:c>
      <s:c r="C81" s="3" t="n">
        <s:v>46058</s:v>
      </s:c>
      <s:c r="D81" s="3" t="n">
        <s:v>46057</s:v>
      </s:c>
      <s:c r="E81" s="3" t="inlineStr">
        <s:is>
          <s:t>IVA</s:t>
        </s:is>
      </s:c>
      <s:c r="F81" s="2" t="n">
        <s:v>307</s:v>
      </s:c>
      <s:c r="G81" s="2" t="n">
        <s:v>127</s:v>
      </s:c>
      <s:c r="H81" s="2" t="n">
        <s:v>70</s:v>
      </s:c>
      <s:c r="I81" s="2" t="n">
        <s:v>7.5</s:v>
      </s:c>
      <s:c r="J81" s="2" t="n">
        <s:v>5.25</s:v>
      </s:c>
    </s:row>
    <s:row r="82">
      <s:c r="A82" s="2" t="n">
        <s:v>47072</s:v>
      </s:c>
      <s:c r="B82" s="2" t="inlineStr">
        <s:is>
          <s:t>REINOSO SALAS YAJAIRA CAROLINA</s:t>
        </s:is>
      </s:c>
      <s:c r="C82" s="3" t="n">
        <s:v>46058</s:v>
      </s:c>
      <s:c r="D82" s="3" t="n">
        <s:v>46057</s:v>
      </s:c>
      <s:c r="E82" s="3" t="inlineStr">
        <s:is>
          <s:t>RENTA</s:t>
        </s:is>
      </s:c>
      <s:c r="F82" s="2" t="n">
        <s:v>307</s:v>
      </s:c>
      <s:c r="G82" s="2" t="n">
        <s:v>127</s:v>
      </s:c>
      <s:c r="H82" s="2" t="n">
        <s:v>2</s:v>
      </s:c>
      <s:c r="I82" s="2" t="n">
        <s:v>50</s:v>
      </s:c>
      <s:c r="J82" s="2" t="n">
        <s:v>1</s:v>
      </s:c>
    </s:row>
    <s:row r="83">
      <s:c r="A83" s="2" t="n">
        <s:v>47073</s:v>
      </s:c>
      <s:c r="B83" s="2" t="inlineStr">
        <s:is>
          <s:t>COLCHA AREVALO LIZARDO ENRIQUE</s:t>
        </s:is>
      </s:c>
      <s:c r="C83" s="3" t="n">
        <s:v>46058</s:v>
      </s:c>
      <s:c r="D83" s="3" t="n">
        <s:v>46058</s:v>
      </s:c>
      <s:c r="E83" s="3" t="inlineStr">
        <s:is>
          <s:t>IVA</s:t>
        </s:is>
      </s:c>
      <s:c r="F83" s="2" t="n">
        <s:v>307</s:v>
      </s:c>
      <s:c r="G83" s="2" t="n">
        <s:v>776</s:v>
      </s:c>
      <s:c r="H83" s="2" t="n">
        <s:v>70</s:v>
      </s:c>
      <s:c r="I83" s="2" t="n">
        <s:v>24</s:v>
      </s:c>
      <s:c r="J83" s="2" t="n">
        <s:v>16.8</s:v>
      </s:c>
    </s:row>
    <s:row r="84">
      <s:c r="A84" s="2" t="n">
        <s:v>47073</s:v>
      </s:c>
      <s:c r="B84" s="2" t="inlineStr">
        <s:is>
          <s:t>COLCHA AREVALO LIZARDO ENRIQUE</s:t>
        </s:is>
      </s:c>
      <s:c r="C84" s="3" t="n">
        <s:v>46058</s:v>
      </s:c>
      <s:c r="D84" s="3" t="n">
        <s:v>46058</s:v>
      </s:c>
      <s:c r="E84" s="3" t="inlineStr">
        <s:is>
          <s:t>RENTA</s:t>
        </s:is>
      </s:c>
      <s:c r="F84" s="2" t="n">
        <s:v>307</s:v>
      </s:c>
      <s:c r="G84" s="2" t="n">
        <s:v>776</s:v>
      </s:c>
      <s:c r="H84" s="2" t="n">
        <s:v>2</s:v>
      </s:c>
      <s:c r="I84" s="2" t="n">
        <s:v>160</s:v>
      </s:c>
      <s:c r="J84" s="2" t="n">
        <s:v>3.2</s:v>
      </s:c>
    </s:row>
    <s:row r="85">
      <s:c r="A85" s="2" t="n">
        <s:v>47074</s:v>
      </s:c>
      <s:c r="B85" s="2" t="inlineStr">
        <s:is>
          <s:t>REINOSO SALAS YAJAIRA CAROLINA</s:t>
        </s:is>
      </s:c>
      <s:c r="C85" s="3" t="n">
        <s:v>46058</s:v>
      </s:c>
      <s:c r="D85" s="3" t="n">
        <s:v>46057</s:v>
      </s:c>
      <s:c r="E85" s="3" t="inlineStr">
        <s:is>
          <s:t>IVA</s:t>
        </s:is>
      </s:c>
      <s:c r="F85" s="2" t="n">
        <s:v>307</s:v>
      </s:c>
      <s:c r="G85" s="2" t="n">
        <s:v>126</s:v>
      </s:c>
      <s:c r="H85" s="2" t="n">
        <s:v>70</s:v>
      </s:c>
      <s:c r="I85" s="2" t="n">
        <s:v>7.5</s:v>
      </s:c>
      <s:c r="J85" s="2" t="n">
        <s:v>5.25</s:v>
      </s:c>
    </s:row>
    <s:row r="86">
      <s:c r="A86" s="2" t="n">
        <s:v>47074</s:v>
      </s:c>
      <s:c r="B86" s="2" t="inlineStr">
        <s:is>
          <s:t>REINOSO SALAS YAJAIRA CAROLINA</s:t>
        </s:is>
      </s:c>
      <s:c r="C86" s="3" t="n">
        <s:v>46058</s:v>
      </s:c>
      <s:c r="D86" s="3" t="n">
        <s:v>46057</s:v>
      </s:c>
      <s:c r="E86" s="3" t="inlineStr">
        <s:is>
          <s:t>RENTA</s:t>
        </s:is>
      </s:c>
      <s:c r="F86" s="2" t="n">
        <s:v>307</s:v>
      </s:c>
      <s:c r="G86" s="2" t="n">
        <s:v>126</s:v>
      </s:c>
      <s:c r="H86" s="2" t="n">
        <s:v>2</s:v>
      </s:c>
      <s:c r="I86" s="2" t="n">
        <s:v>50</s:v>
      </s:c>
      <s:c r="J86" s="2" t="n">
        <s:v>1</s:v>
      </s:c>
    </s:row>
    <s:row r="87">
      <s:c r="A87" s="2" t="n">
        <s:v>47075</s:v>
      </s:c>
      <s:c r="B87" s="2" t="inlineStr">
        <s:is>
          <s:t>CEVALLOS CALLE NELSON RODRIGO</s:t>
        </s:is>
      </s:c>
      <s:c r="C87" s="3" t="n">
        <s:v>46058</s:v>
      </s:c>
      <s:c r="D87" s="3" t="n">
        <s:v>46057</s:v>
      </s:c>
      <s:c r="E87" s="3" t="inlineStr">
        <s:is>
          <s:t>RENTA</s:t>
        </s:is>
      </s:c>
      <s:c r="F87" s="2" t="n">
        <s:v>332</s:v>
      </s:c>
      <s:c r="G87" s="2" t="n">
        <s:v>230</s:v>
      </s:c>
      <s:c r="H87" s="2" t="n">
        <s:v>0</s:v>
      </s:c>
      <s:c r="I87" s="2" t="n">
        <s:v>37</s:v>
      </s:c>
      <s:c r="J87" s="2" t="n">
        <s:v>0</s:v>
      </s:c>
    </s:row>
    <s:row r="88">
      <s:c r="A88" s="2" t="n">
        <s:v>47076</s:v>
      </s:c>
      <s:c r="B88" s="2" t="inlineStr">
        <s:is>
          <s:t>COMP. DE SEGURIDAD PRIVADA AMBASEGURITY CIA.LTDA.</s:t>
        </s:is>
      </s:c>
      <s:c r="C88" s="3" t="n">
        <s:v>46058</s:v>
      </s:c>
      <s:c r="D88" s="3" t="n">
        <s:v>46056</s:v>
      </s:c>
      <s:c r="E88" s="3" t="inlineStr">
        <s:is>
          <s:t>IVA</s:t>
        </s:is>
      </s:c>
      <s:c r="F88" s="2" t="n">
        <s:v>344</s:v>
      </s:c>
      <s:c r="G88" s="2" t="n">
        <s:v>2473</s:v>
      </s:c>
      <s:c r="H88" s="2" t="n">
        <s:v>70</s:v>
      </s:c>
      <s:c r="I88" s="2" t="n">
        <s:v>170.26</s:v>
      </s:c>
      <s:c r="J88" s="2" t="n">
        <s:v>119.18</s:v>
      </s:c>
    </s:row>
    <s:row r="89">
      <s:c r="A89" s="2" t="n">
        <s:v>47076</s:v>
      </s:c>
      <s:c r="B89" s="2" t="inlineStr">
        <s:is>
          <s:t>COMP. DE SEGURIDAD PRIVADA AMBASEGURITY CIA.LTDA.</s:t>
        </s:is>
      </s:c>
      <s:c r="C89" s="3" t="n">
        <s:v>46058</s:v>
      </s:c>
      <s:c r="D89" s="3" t="n">
        <s:v>46056</s:v>
      </s:c>
      <s:c r="E89" s="3" t="inlineStr">
        <s:is>
          <s:t>RENTA</s:t>
        </s:is>
      </s:c>
      <s:c r="F89" s="2" t="n">
        <s:v>344</s:v>
      </s:c>
      <s:c r="G89" s="2" t="n">
        <s:v>2473</s:v>
      </s:c>
      <s:c r="H89" s="2" t="n">
        <s:v>2.75</s:v>
      </s:c>
      <s:c r="I89" s="4" t="n">
        <s:v>1135.04</s:v>
      </s:c>
      <s:c r="J89" s="2" t="n">
        <s:v>31.21</s:v>
      </s:c>
    </s:row>
    <s:row r="90">
      <s:c r="A90" s="2" t="n">
        <s:v>47077</s:v>
      </s:c>
      <s:c r="B90" s="2" t="inlineStr">
        <s:is>
          <s:t>GARCES PEREZ HECTOR BOLIVAR</s:t>
        </s:is>
      </s:c>
      <s:c r="C90" s="3" t="n">
        <s:v>46058</s:v>
      </s:c>
      <s:c r="D90" s="3" t="n">
        <s:v>46057</s:v>
      </s:c>
      <s:c r="E90" s="3" t="inlineStr">
        <s:is>
          <s:t>IVA</s:t>
        </s:is>
      </s:c>
      <s:c r="F90" s="2" t="n">
        <s:v>320</s:v>
      </s:c>
      <s:c r="G90" s="2" t="n">
        <s:v>21</s:v>
      </s:c>
      <s:c r="H90" s="2" t="n">
        <s:v>100</s:v>
      </s:c>
      <s:c r="I90" s="2" t="n">
        <s:v>675</s:v>
      </s:c>
      <s:c r="J90" s="2" t="n">
        <s:v>675</s:v>
      </s:c>
    </s:row>
    <s:row r="91">
      <s:c r="A91" s="2" t="n">
        <s:v>47077</s:v>
      </s:c>
      <s:c r="B91" s="2" t="inlineStr">
        <s:is>
          <s:t>GARCES PEREZ HECTOR BOLIVAR</s:t>
        </s:is>
      </s:c>
      <s:c r="C91" s="3" t="n">
        <s:v>46058</s:v>
      </s:c>
      <s:c r="D91" s="3" t="n">
        <s:v>46057</s:v>
      </s:c>
      <s:c r="E91" s="3" t="inlineStr">
        <s:is>
          <s:t>RENTA</s:t>
        </s:is>
      </s:c>
      <s:c r="F91" s="2" t="n">
        <s:v>320</s:v>
      </s:c>
      <s:c r="G91" s="2" t="n">
        <s:v>21</s:v>
      </s:c>
      <s:c r="H91" s="2" t="n">
        <s:v>10</s:v>
      </s:c>
      <s:c r="I91" s="4" t="n">
        <s:v>4500</s:v>
      </s:c>
      <s:c r="J91" s="2" t="n">
        <s:v>450</s:v>
      </s:c>
    </s:row>
    <s:row r="92">
      <s:c r="A92" s="2" t="n">
        <s:v>47078</s:v>
      </s:c>
      <s:c r="B92" s="2" t="inlineStr">
        <s:is>
          <s:t>CEVALLOS CALLE NELSON RODRIGO</s:t>
        </s:is>
      </s:c>
      <s:c r="C92" s="3" t="n">
        <s:v>46058</s:v>
      </s:c>
      <s:c r="D92" s="3" t="n">
        <s:v>46057</s:v>
      </s:c>
      <s:c r="E92" s="3" t="inlineStr">
        <s:is>
          <s:t>RENTA</s:t>
        </s:is>
      </s:c>
      <s:c r="F92" s="2" t="n">
        <s:v>332</s:v>
      </s:c>
      <s:c r="G92" s="2" t="n">
        <s:v>231</s:v>
      </s:c>
      <s:c r="H92" s="2" t="n">
        <s:v>0</s:v>
      </s:c>
      <s:c r="I92" s="2" t="n">
        <s:v>30</s:v>
      </s:c>
      <s:c r="J92" s="2" t="n">
        <s:v>0</s:v>
      </s:c>
    </s:row>
    <s:row r="93">
      <s:c r="A93" s="2" t="n">
        <s:v>47079</s:v>
      </s:c>
      <s:c r="B93" s="2" t="inlineStr">
        <s:is>
          <s:t>TALENTOPSA S.A</s:t>
        </s:is>
      </s:c>
      <s:c r="C93" s="3" t="n">
        <s:v>46058</s:v>
      </s:c>
      <s:c r="D93" s="3" t="n">
        <s:v>46054</s:v>
      </s:c>
      <s:c r="E93" s="3" t="inlineStr">
        <s:is>
          <s:t>RENTA</s:t>
        </s:is>
      </s:c>
      <s:c r="F93" s="2" t="n">
        <s:v>344</s:v>
      </s:c>
      <s:c r="G93" s="2" t="n">
        <s:v>5286</s:v>
      </s:c>
      <s:c r="H93" s="2" t="n">
        <s:v>2.75</s:v>
      </s:c>
      <s:c r="I93" s="2" t="n">
        <s:v>89.72</s:v>
      </s:c>
      <s:c r="J93" s="2" t="n">
        <s:v>2.47</s:v>
      </s:c>
    </s:row>
    <s:row r="94">
      <s:c r="A94" s="2" t="n">
        <s:v>47079</s:v>
      </s:c>
      <s:c r="B94" s="2" t="inlineStr">
        <s:is>
          <s:t>TALENTOPSA S.A</s:t>
        </s:is>
      </s:c>
      <s:c r="C94" s="3" t="n">
        <s:v>46058</s:v>
      </s:c>
      <s:c r="D94" s="3" t="n">
        <s:v>46054</s:v>
      </s:c>
      <s:c r="E94" s="3" t="inlineStr">
        <s:is>
          <s:t>IVA</s:t>
        </s:is>
      </s:c>
      <s:c r="F94" s="2" t="n">
        <s:v>344</s:v>
      </s:c>
      <s:c r="G94" s="2" t="n">
        <s:v>5286</s:v>
      </s:c>
      <s:c r="H94" s="2" t="n">
        <s:v>70</s:v>
      </s:c>
      <s:c r="I94" s="2" t="n">
        <s:v>13.46</s:v>
      </s:c>
      <s:c r="J94" s="2" t="n">
        <s:v>9.42</s:v>
      </s:c>
    </s:row>
    <s:row r="95">
      <s:c r="A95" s="2" t="n">
        <s:v>47080</s:v>
      </s:c>
      <s:c r="B95" s="2" t="inlineStr">
        <s:is>
          <s:t>SOCIEDAD INDIVISA VILLACIS LOZADA</s:t>
        </s:is>
      </s:c>
      <s:c r="C95" s="3" t="n">
        <s:v>46058</s:v>
      </s:c>
      <s:c r="D95" s="3" t="n">
        <s:v>46057</s:v>
      </s:c>
      <s:c r="E95" s="3" t="inlineStr">
        <s:is>
          <s:t>RENTA</s:t>
        </s:is>
      </s:c>
      <s:c r="F95" s="2" t="n">
        <s:v>320</s:v>
      </s:c>
      <s:c r="G95" s="2" t="n">
        <s:v>48</s:v>
      </s:c>
      <s:c r="H95" s="2" t="n">
        <s:v>10</s:v>
      </s:c>
      <s:c r="I95" s="2" t="n">
        <s:v>400</s:v>
      </s:c>
      <s:c r="J95" s="2" t="n">
        <s:v>40</s:v>
      </s:c>
    </s:row>
    <s:row r="96">
      <s:c r="A96" s="2" t="n">
        <s:v>47080</s:v>
      </s:c>
      <s:c r="B96" s="2" t="inlineStr">
        <s:is>
          <s:t>SOCIEDAD INDIVISA VILLACIS LOZADA</s:t>
        </s:is>
      </s:c>
      <s:c r="C96" s="3" t="n">
        <s:v>46058</s:v>
      </s:c>
      <s:c r="D96" s="3" t="n">
        <s:v>46057</s:v>
      </s:c>
      <s:c r="E96" s="3" t="inlineStr">
        <s:is>
          <s:t>IVA</s:t>
        </s:is>
      </s:c>
      <s:c r="F96" s="2" t="n">
        <s:v>320</s:v>
      </s:c>
      <s:c r="G96" s="2" t="n">
        <s:v>48</s:v>
      </s:c>
      <s:c r="H96" s="2" t="n">
        <s:v>70</s:v>
      </s:c>
      <s:c r="I96" s="2" t="n">
        <s:v>60</s:v>
      </s:c>
      <s:c r="J96" s="2" t="n">
        <s:v>42</s:v>
      </s:c>
    </s:row>
    <s:row r="97">
      <s:c r="A97" s="2" t="n">
        <s:v>47081</s:v>
      </s:c>
      <s:c r="B97" s="2" t="inlineStr">
        <s:is>
          <s:t>CALERO OLMOS NANCY DEL ROCIO</s:t>
        </s:is>
      </s:c>
      <s:c r="C97" s="3" t="n">
        <s:v>46058</s:v>
      </s:c>
      <s:c r="D97" s="3" t="n">
        <s:v>46055</s:v>
      </s:c>
      <s:c r="E97" s="3" t="inlineStr">
        <s:is>
          <s:t>IVA</s:t>
        </s:is>
      </s:c>
      <s:c r="F97" s="2" t="n">
        <s:v>320</s:v>
      </s:c>
      <s:c r="G97" s="2" t="n">
        <s:v>91</s:v>
      </s:c>
      <s:c r="H97" s="2" t="n">
        <s:v>100</s:v>
      </s:c>
      <s:c r="I97" s="2" t="n">
        <s:v>133.48</s:v>
      </s:c>
      <s:c r="J97" s="2" t="n">
        <s:v>133.48</s:v>
      </s:c>
    </s:row>
    <s:row r="98">
      <s:c r="A98" s="2" t="n">
        <s:v>47081</s:v>
      </s:c>
      <s:c r="B98" s="2" t="inlineStr">
        <s:is>
          <s:t>CALERO OLMOS NANCY DEL ROCIO</s:t>
        </s:is>
      </s:c>
      <s:c r="C98" s="3" t="n">
        <s:v>46058</s:v>
      </s:c>
      <s:c r="D98" s="3" t="n">
        <s:v>46055</s:v>
      </s:c>
      <s:c r="E98" s="3" t="inlineStr">
        <s:is>
          <s:t>RENTA</s:t>
        </s:is>
      </s:c>
      <s:c r="F98" s="2" t="n">
        <s:v>320</s:v>
      </s:c>
      <s:c r="G98" s="2" t="n">
        <s:v>91</s:v>
      </s:c>
      <s:c r="H98" s="2" t="n">
        <s:v>10</s:v>
      </s:c>
      <s:c r="I98" s="2" t="n">
        <s:v>889.89</s:v>
      </s:c>
      <s:c r="J98" s="2" t="n">
        <s:v>88.98999999999999</s:v>
      </s:c>
    </s:row>
    <s:row r="99">
      <s:c r="A99" s="2" t="n">
        <s:v>47082</s:v>
      </s:c>
      <s:c r="B99" s="2" t="inlineStr">
        <s:is>
          <s:t>REINOSO SALAS YAJAIRA CAROLINA</s:t>
        </s:is>
      </s:c>
      <s:c r="C99" s="3" t="n">
        <s:v>46058</s:v>
      </s:c>
      <s:c r="D99" s="3" t="n">
        <s:v>46057</s:v>
      </s:c>
      <s:c r="E99" s="3" t="inlineStr">
        <s:is>
          <s:t>RENTA</s:t>
        </s:is>
      </s:c>
      <s:c r="F99" s="2" t="n">
        <s:v>307</s:v>
      </s:c>
      <s:c r="G99" s="2" t="n">
        <s:v>129</s:v>
      </s:c>
      <s:c r="H99" s="2" t="n">
        <s:v>2</s:v>
      </s:c>
      <s:c r="I99" s="2" t="n">
        <s:v>50</s:v>
      </s:c>
      <s:c r="J99" s="2" t="n">
        <s:v>1</s:v>
      </s:c>
    </s:row>
    <s:row r="100">
      <s:c r="A100" s="2" t="n">
        <s:v>47082</s:v>
      </s:c>
      <s:c r="B100" s="2" t="inlineStr">
        <s:is>
          <s:t>REINOSO SALAS YAJAIRA CAROLINA</s:t>
        </s:is>
      </s:c>
      <s:c r="C100" s="3" t="n">
        <s:v>46058</s:v>
      </s:c>
      <s:c r="D100" s="3" t="n">
        <s:v>46057</s:v>
      </s:c>
      <s:c r="E100" s="3" t="inlineStr">
        <s:is>
          <s:t>IVA</s:t>
        </s:is>
      </s:c>
      <s:c r="F100" s="2" t="n">
        <s:v>307</s:v>
      </s:c>
      <s:c r="G100" s="2" t="n">
        <s:v>129</s:v>
      </s:c>
      <s:c r="H100" s="2" t="n">
        <s:v>70</s:v>
      </s:c>
      <s:c r="I100" s="2" t="n">
        <s:v>7.5</s:v>
      </s:c>
      <s:c r="J100" s="2" t="n">
        <s:v>5.25</s:v>
      </s:c>
    </s:row>
    <s:row r="101">
      <s:c r="A101" s="2" t="n">
        <s:v>47083</s:v>
      </s:c>
      <s:c r="B101" s="2" t="inlineStr">
        <s:is>
          <s:t>LAAR CIA. LTDA.</s:t>
        </s:is>
      </s:c>
      <s:c r="C101" s="3" t="n">
        <s:v>46058</s:v>
      </s:c>
      <s:c r="D101" s="3" t="n">
        <s:v>46055</s:v>
      </s:c>
      <s:c r="E101" s="3" t="inlineStr">
        <s:is>
          <s:t>RENTA</s:t>
        </s:is>
      </s:c>
      <s:c r="F101" s="2" t="n">
        <s:v>344</s:v>
      </s:c>
      <s:c r="G101" s="2" t="n">
        <s:v>123259</s:v>
      </s:c>
      <s:c r="H101" s="2" t="n">
        <s:v>2.75</s:v>
      </s:c>
      <s:c r="I101" s="2" t="n">
        <s:v>33.9</s:v>
      </s:c>
      <s:c r="J101" s="2" t="n">
        <s:v>0.93</s:v>
      </s:c>
    </s:row>
    <s:row r="102">
      <s:c r="A102" s="2" t="n">
        <s:v>47083</s:v>
      </s:c>
      <s:c r="B102" s="2" t="inlineStr">
        <s:is>
          <s:t>LAAR CIA. LTDA.</s:t>
        </s:is>
      </s:c>
      <s:c r="C102" s="3" t="n">
        <s:v>46058</s:v>
      </s:c>
      <s:c r="D102" s="3" t="n">
        <s:v>46055</s:v>
      </s:c>
      <s:c r="E102" s="3" t="inlineStr">
        <s:is>
          <s:t>IVA</s:t>
        </s:is>
      </s:c>
      <s:c r="F102" s="2" t="n">
        <s:v>344</s:v>
      </s:c>
      <s:c r="G102" s="2" t="n">
        <s:v>123259</s:v>
      </s:c>
      <s:c r="H102" s="2" t="n">
        <s:v>20</s:v>
      </s:c>
      <s:c r="I102" s="2" t="n">
        <s:v>5.09</s:v>
      </s:c>
      <s:c r="J102" s="2" t="n">
        <s:v>1.02</s:v>
      </s:c>
    </s:row>
    <s:row r="103">
      <s:c r="A103" s="2" t="n">
        <s:v>47084</s:v>
      </s:c>
      <s:c r="B103" s="2" t="inlineStr">
        <s:is>
          <s:t>LAAR CIA. LTDA.</s:t>
        </s:is>
      </s:c>
      <s:c r="C103" s="3" t="n">
        <s:v>46058</s:v>
      </s:c>
      <s:c r="D103" s="3" t="n">
        <s:v>46055</s:v>
      </s:c>
      <s:c r="E103" s="3" t="inlineStr">
        <s:is>
          <s:t>IVA</s:t>
        </s:is>
      </s:c>
      <s:c r="F103" s="2" t="n">
        <s:v>344</s:v>
      </s:c>
      <s:c r="G103" s="2" t="n">
        <s:v>123260</s:v>
      </s:c>
      <s:c r="H103" s="2" t="n">
        <s:v>20</s:v>
      </s:c>
      <s:c r="I103" s="2" t="n">
        <s:v>10.34</s:v>
      </s:c>
      <s:c r="J103" s="2" t="n">
        <s:v>2.07</s:v>
      </s:c>
    </s:row>
    <s:row r="104">
      <s:c r="A104" s="2" t="n">
        <s:v>47084</s:v>
      </s:c>
      <s:c r="B104" s="2" t="inlineStr">
        <s:is>
          <s:t>LAAR CIA. LTDA.</s:t>
        </s:is>
      </s:c>
      <s:c r="C104" s="3" t="n">
        <s:v>46058</s:v>
      </s:c>
      <s:c r="D104" s="3" t="n">
        <s:v>46055</s:v>
      </s:c>
      <s:c r="E104" s="3" t="inlineStr">
        <s:is>
          <s:t>RENTA</s:t>
        </s:is>
      </s:c>
      <s:c r="F104" s="2" t="n">
        <s:v>344</s:v>
      </s:c>
      <s:c r="G104" s="2" t="n">
        <s:v>123260</s:v>
      </s:c>
      <s:c r="H104" s="2" t="n">
        <s:v>2.75</s:v>
      </s:c>
      <s:c r="I104" s="2" t="n">
        <s:v>68.94</s:v>
      </s:c>
      <s:c r="J104" s="2" t="n">
        <s:v>1.9</s:v>
      </s:c>
    </s:row>
    <s:row r="105">
      <s:c r="A105" s="2" t="n">
        <s:v>47085</s:v>
      </s:c>
      <s:c r="B105" s="2" t="inlineStr">
        <s:is>
          <s:t>REINOSO SALAS YAJAIRA CAROLINA</s:t>
        </s:is>
      </s:c>
      <s:c r="C105" s="3" t="n">
        <s:v>46058</s:v>
      </s:c>
      <s:c r="D105" s="3" t="n">
        <s:v>46057</s:v>
      </s:c>
      <s:c r="E105" s="3" t="inlineStr">
        <s:is>
          <s:t>RENTA</s:t>
        </s:is>
      </s:c>
      <s:c r="F105" s="2" t="n">
        <s:v>307</s:v>
      </s:c>
      <s:c r="G105" s="2" t="n">
        <s:v>128</s:v>
      </s:c>
      <s:c r="H105" s="2" t="n">
        <s:v>2</s:v>
      </s:c>
      <s:c r="I105" s="2" t="n">
        <s:v>40</s:v>
      </s:c>
      <s:c r="J105" s="2" t="n">
        <s:v>0.8</s:v>
      </s:c>
    </s:row>
    <s:row r="106">
      <s:c r="A106" s="2" t="n">
        <s:v>47085</s:v>
      </s:c>
      <s:c r="B106" s="2" t="inlineStr">
        <s:is>
          <s:t>REINOSO SALAS YAJAIRA CAROLINA</s:t>
        </s:is>
      </s:c>
      <s:c r="C106" s="3" t="n">
        <s:v>46058</s:v>
      </s:c>
      <s:c r="D106" s="3" t="n">
        <s:v>46057</s:v>
      </s:c>
      <s:c r="E106" s="3" t="inlineStr">
        <s:is>
          <s:t>IVA</s:t>
        </s:is>
      </s:c>
      <s:c r="F106" s="2" t="n">
        <s:v>307</s:v>
      </s:c>
      <s:c r="G106" s="2" t="n">
        <s:v>128</s:v>
      </s:c>
      <s:c r="H106" s="2" t="n">
        <s:v>70</s:v>
      </s:c>
      <s:c r="I106" s="2" t="n">
        <s:v>6</s:v>
      </s:c>
      <s:c r="J106" s="2" t="n">
        <s:v>4.2</s:v>
      </s:c>
    </s:row>
    <s:row r="107">
      <s:c r="A107" s="2" t="n">
        <s:v>47086</s:v>
      </s:c>
      <s:c r="B107" s="2" t="inlineStr">
        <s:is>
          <s:t>ASO. EMPRESAS AUTOMOTRICES DEL ECUADOR</s:t>
        </s:is>
      </s:c>
      <s:c r="C107" s="3" t="n">
        <s:v>46059</s:v>
      </s:c>
      <s:c r="D107" s="3" t="n">
        <s:v>46059</s:v>
      </s:c>
      <s:c r="E107" s="3" t="inlineStr">
        <s:is>
          <s:t>IVA</s:t>
        </s:is>
      </s:c>
      <s:c r="F107" s="2" t="n">
        <s:v>344</s:v>
      </s:c>
      <s:c r="G107" s="2" t="n">
        <s:v>6748</s:v>
      </s:c>
      <s:c r="H107" s="2" t="n">
        <s:v>70</s:v>
      </s:c>
      <s:c r="I107" s="2" t="n">
        <s:v>270</s:v>
      </s:c>
      <s:c r="J107" s="2" t="n">
        <s:v>189</s:v>
      </s:c>
    </s:row>
    <s:row r="108">
      <s:c r="A108" s="2" t="n">
        <s:v>47087</s:v>
      </s:c>
      <s:c r="B108" s="2" t="inlineStr">
        <s:is>
          <s:t>TOYOTASERVICIOS S.A.</s:t>
        </s:is>
      </s:c>
      <s:c r="C108" s="3" t="n">
        <s:v>46059</s:v>
      </s:c>
      <s:c r="D108" s="3" t="n">
        <s:v>46059</s:v>
      </s:c>
      <s:c r="E108" s="3" t="inlineStr">
        <s:is>
          <s:t>RENTA</s:t>
        </s:is>
      </s:c>
      <s:c r="F108" s="2" t="n">
        <s:v>312</s:v>
      </s:c>
      <s:c r="G108" s="2" t="n">
        <s:v>14871</s:v>
      </s:c>
      <s:c r="H108" s="2" t="n">
        <s:v>1.75</s:v>
      </s:c>
      <s:c r="I108" s="2" t="n">
        <s:v>204.63</s:v>
      </s:c>
      <s:c r="J108" s="2" t="n">
        <s:v>3.58</s:v>
      </s:c>
    </s:row>
    <s:row r="109">
      <s:c r="A109" s="2" t="n">
        <s:v>47087</s:v>
      </s:c>
      <s:c r="B109" s="2" t="inlineStr">
        <s:is>
          <s:t>TOYOTASERVICIOS S.A.</s:t>
        </s:is>
      </s:c>
      <s:c r="C109" s="3" t="n">
        <s:v>46059</s:v>
      </s:c>
      <s:c r="D109" s="3" t="n">
        <s:v>46059</s:v>
      </s:c>
      <s:c r="E109" s="3" t="inlineStr">
        <s:is>
          <s:t>IVA</s:t>
        </s:is>
      </s:c>
      <s:c r="F109" s="2" t="n">
        <s:v>312</s:v>
      </s:c>
      <s:c r="G109" s="2" t="n">
        <s:v>14871</s:v>
      </s:c>
      <s:c r="H109" s="2" t="n">
        <s:v>30</s:v>
      </s:c>
      <s:c r="I109" s="2" t="n">
        <s:v>30.69</s:v>
      </s:c>
      <s:c r="J109" s="2" t="n">
        <s:v>9.210000000000001</s:v>
      </s:c>
    </s:row>
    <s:row r="110">
      <s:c r="A110" s="2" t="n">
        <s:v>47088</s:v>
      </s:c>
      <s:c r="B110" s="2" t="inlineStr">
        <s:is>
          <s:t>GARCIA ALLAUCA MERCEDES DEL CARMEN</s:t>
        </s:is>
      </s:c>
      <s:c r="C110" s="3" t="n">
        <s:v>46061</s:v>
      </s:c>
      <s:c r="D110" s="3" t="n">
        <s:v>46059</s:v>
      </s:c>
      <s:c r="E110" s="3" t="inlineStr">
        <s:is>
          <s:t>RENTA</s:t>
        </s:is>
      </s:c>
      <s:c r="F110" s="2" t="n">
        <s:v>312</s:v>
      </s:c>
      <s:c r="G110" s="2" t="n">
        <s:v>927</s:v>
      </s:c>
      <s:c r="H110" s="2" t="n">
        <s:v>1.75</s:v>
      </s:c>
      <s:c r="I110" s="2" t="n">
        <s:v>120</s:v>
      </s:c>
      <s:c r="J110" s="2" t="n">
        <s:v>2.1</s:v>
      </s:c>
    </s:row>
    <s:row r="111">
      <s:c r="A111" s="2" t="n">
        <s:v>47089</s:v>
      </s:c>
      <s:c r="B111" s="2" t="inlineStr">
        <s:is>
          <s:t>PAEZ ORTIZ CHRISTIAN GONZALO</s:t>
        </s:is>
      </s:c>
      <s:c r="C111" s="3" t="n">
        <s:v>46061</s:v>
      </s:c>
      <s:c r="D111" s="3" t="n">
        <s:v>46057</s:v>
      </s:c>
      <s:c r="E111" s="3" t="inlineStr">
        <s:is>
          <s:t>RENTA</s:t>
        </s:is>
      </s:c>
      <s:c r="F111" s="2" t="n">
        <s:v>312</s:v>
      </s:c>
      <s:c r="G111" s="2" t="n">
        <s:v>3607</s:v>
      </s:c>
      <s:c r="H111" s="2" t="n">
        <s:v>1.75</s:v>
      </s:c>
      <s:c r="I111" s="2" t="n">
        <s:v>60</s:v>
      </s:c>
      <s:c r="J111" s="2" t="n">
        <s:v>1.05</s:v>
      </s:c>
    </s:row>
    <s:row r="112">
      <s:c r="A112" s="2" t="n">
        <s:v>47089</s:v>
      </s:c>
      <s:c r="B112" s="2" t="inlineStr">
        <s:is>
          <s:t>PAEZ ORTIZ CHRISTIAN GONZALO</s:t>
        </s:is>
      </s:c>
      <s:c r="C112" s="3" t="n">
        <s:v>46061</s:v>
      </s:c>
      <s:c r="D112" s="3" t="n">
        <s:v>46057</s:v>
      </s:c>
      <s:c r="E112" s="3" t="inlineStr">
        <s:is>
          <s:t>IVA</s:t>
        </s:is>
      </s:c>
      <s:c r="F112" s="2" t="n">
        <s:v>312</s:v>
      </s:c>
      <s:c r="G112" s="2" t="n">
        <s:v>3607</s:v>
      </s:c>
      <s:c r="H112" s="2" t="n">
        <s:v>30</s:v>
      </s:c>
      <s:c r="I112" s="2" t="n">
        <s:v>9</s:v>
      </s:c>
      <s:c r="J112" s="2" t="n">
        <s:v>2.7</s:v>
      </s:c>
    </s:row>
    <s:row r="113">
      <s:c r="A113" s="2" t="n">
        <s:v>47090</s:v>
      </s:c>
      <s:c r="B113" s="2" t="inlineStr">
        <s:is>
          <s:t>POVEDA ALMEIDA EFRAIN ALEJANDRO</s:t>
        </s:is>
      </s:c>
      <s:c r="C113" s="3" t="n">
        <s:v>46061</s:v>
      </s:c>
      <s:c r="D113" s="3" t="n">
        <s:v>46060</s:v>
      </s:c>
      <s:c r="E113" s="3" t="inlineStr">
        <s:is>
          <s:t>IVA</s:t>
        </s:is>
      </s:c>
      <s:c r="F113" s="2" t="n">
        <s:v>312</s:v>
      </s:c>
      <s:c r="G113" s="2" t="n">
        <s:v>53</s:v>
      </s:c>
      <s:c r="H113" s="2" t="n">
        <s:v>30</s:v>
      </s:c>
      <s:c r="I113" s="2" t="n">
        <s:v>10.5</s:v>
      </s:c>
      <s:c r="J113" s="2" t="n">
        <s:v>3.15</s:v>
      </s:c>
    </s:row>
    <s:row r="114">
      <s:c r="A114" s="2" t="n">
        <s:v>47090</s:v>
      </s:c>
      <s:c r="B114" s="2" t="inlineStr">
        <s:is>
          <s:t>POVEDA ALMEIDA EFRAIN ALEJANDRO</s:t>
        </s:is>
      </s:c>
      <s:c r="C114" s="3" t="n">
        <s:v>46061</s:v>
      </s:c>
      <s:c r="D114" s="3" t="n">
        <s:v>46060</s:v>
      </s:c>
      <s:c r="E114" s="3" t="inlineStr">
        <s:is>
          <s:t>RENTA</s:t>
        </s:is>
      </s:c>
      <s:c r="F114" s="2" t="n">
        <s:v>312</s:v>
      </s:c>
      <s:c r="G114" s="2" t="n">
        <s:v>53</s:v>
      </s:c>
      <s:c r="H114" s="2" t="n">
        <s:v>1.75</s:v>
      </s:c>
      <s:c r="I114" s="2" t="n">
        <s:v>70</s:v>
      </s:c>
      <s:c r="J114" s="2" t="n">
        <s:v>1.23</s:v>
      </s:c>
    </s:row>
    <s:row r="115">
      <s:c r="A115" s="2" t="n">
        <s:v>47091</s:v>
      </s:c>
      <s:c r="B115" s="2" t="inlineStr">
        <s:is>
          <s:t>TOYOTASERVICIOS S.A.</s:t>
        </s:is>
      </s:c>
      <s:c r="C115" s="3" t="n">
        <s:v>46061</s:v>
      </s:c>
      <s:c r="D115" s="3" t="n">
        <s:v>46059</s:v>
      </s:c>
      <s:c r="E115" s="3" t="inlineStr">
        <s:is>
          <s:t>IVA</s:t>
        </s:is>
      </s:c>
      <s:c r="F115" s="2" t="n">
        <s:v>344</s:v>
      </s:c>
      <s:c r="G115" s="2" t="n">
        <s:v>6832</s:v>
      </s:c>
      <s:c r="H115" s="2" t="n">
        <s:v>70</s:v>
      </s:c>
      <s:c r="I115" s="2" t="n">
        <s:v>2.07</s:v>
      </s:c>
      <s:c r="J115" s="2" t="n">
        <s:v>1.45</s:v>
      </s:c>
    </s:row>
    <s:row r="116">
      <s:c r="A116" s="2" t="n">
        <s:v>47091</s:v>
      </s:c>
      <s:c r="B116" s="2" t="inlineStr">
        <s:is>
          <s:t>TOYOTASERVICIOS S.A.</s:t>
        </s:is>
      </s:c>
      <s:c r="C116" s="3" t="n">
        <s:v>46061</s:v>
      </s:c>
      <s:c r="D116" s="3" t="n">
        <s:v>46059</s:v>
      </s:c>
      <s:c r="E116" s="3" t="inlineStr">
        <s:is>
          <s:t>RENTA</s:t>
        </s:is>
      </s:c>
      <s:c r="F116" s="2" t="n">
        <s:v>344</s:v>
      </s:c>
      <s:c r="G116" s="2" t="n">
        <s:v>6832</s:v>
      </s:c>
      <s:c r="H116" s="2" t="n">
        <s:v>2.75</s:v>
      </s:c>
      <s:c r="I116" s="2" t="n">
        <s:v>13.83</s:v>
      </s:c>
      <s:c r="J116" s="2" t="n">
        <s:v>0.38</s:v>
      </s:c>
    </s:row>
    <s:row r="117">
      <s:c r="A117" s="2" t="n">
        <s:v>47092</s:v>
      </s:c>
      <s:c r="B117" s="2" t="inlineStr">
        <s:is>
          <s:t>TOYOTASERVICIOS S.A.</s:t>
        </s:is>
      </s:c>
      <s:c r="C117" s="3" t="n">
        <s:v>46061</s:v>
      </s:c>
      <s:c r="D117" s="3" t="n">
        <s:v>46058</s:v>
      </s:c>
      <s:c r="E117" s="3" t="inlineStr">
        <s:is>
          <s:t>RENTA</s:t>
        </s:is>
      </s:c>
      <s:c r="F117" s="2" t="n">
        <s:v>344</s:v>
      </s:c>
      <s:c r="G117" s="2" t="n">
        <s:v>52829</s:v>
      </s:c>
      <s:c r="H117" s="2" t="n">
        <s:v>2.75</s:v>
      </s:c>
      <s:c r="I117" s="2" t="n">
        <s:v>180</s:v>
      </s:c>
      <s:c r="J117" s="2" t="n">
        <s:v>4.95</s:v>
      </s:c>
    </s:row>
    <s:row r="118">
      <s:c r="A118" s="2" t="n">
        <s:v>47092</s:v>
      </s:c>
      <s:c r="B118" s="2" t="inlineStr">
        <s:is>
          <s:t>TOYOTASERVICIOS S.A.</s:t>
        </s:is>
      </s:c>
      <s:c r="C118" s="3" t="n">
        <s:v>46061</s:v>
      </s:c>
      <s:c r="D118" s="3" t="n">
        <s:v>46058</s:v>
      </s:c>
      <s:c r="E118" s="3" t="inlineStr">
        <s:is>
          <s:t>IVA</s:t>
        </s:is>
      </s:c>
      <s:c r="F118" s="2" t="n">
        <s:v>344</s:v>
      </s:c>
      <s:c r="G118" s="2" t="n">
        <s:v>52829</s:v>
      </s:c>
      <s:c r="H118" s="2" t="n">
        <s:v>70</s:v>
      </s:c>
      <s:c r="I118" s="2" t="n">
        <s:v>27</s:v>
      </s:c>
      <s:c r="J118" s="2" t="n">
        <s:v>18.9</s:v>
      </s:c>
    </s:row>
    <s:row r="119">
      <s:c r="A119" s="2" t="n">
        <s:v>47093</s:v>
      </s:c>
      <s:c r="B119" s="2" t="inlineStr">
        <s:is>
          <s:t>TOYOTASERVICIOS S.A.</s:t>
        </s:is>
      </s:c>
      <s:c r="C119" s="3" t="n">
        <s:v>46061</s:v>
      </s:c>
      <s:c r="D119" s="3" t="n">
        <s:v>46059</s:v>
      </s:c>
      <s:c r="E119" s="3" t="inlineStr">
        <s:is>
          <s:t>IVA</s:t>
        </s:is>
      </s:c>
      <s:c r="F119" s="2" t="n">
        <s:v>312</s:v>
      </s:c>
      <s:c r="G119" s="2" t="n">
        <s:v>6831</s:v>
      </s:c>
      <s:c r="H119" s="2" t="n">
        <s:v>30</s:v>
      </s:c>
      <s:c r="I119" s="2" t="n">
        <s:v>4.66</s:v>
      </s:c>
      <s:c r="J119" s="2" t="n">
        <s:v>1.4</s:v>
      </s:c>
    </s:row>
    <s:row r="120">
      <s:c r="A120" s="2" t="n">
        <s:v>47093</s:v>
      </s:c>
      <s:c r="B120" s="2" t="inlineStr">
        <s:is>
          <s:t>TOYOTASERVICIOS S.A.</s:t>
        </s:is>
      </s:c>
      <s:c r="C120" s="3" t="n">
        <s:v>46061</s:v>
      </s:c>
      <s:c r="D120" s="3" t="n">
        <s:v>46059</s:v>
      </s:c>
      <s:c r="E120" s="3" t="inlineStr">
        <s:is>
          <s:t>RENTA</s:t>
        </s:is>
      </s:c>
      <s:c r="F120" s="2" t="n">
        <s:v>312</s:v>
      </s:c>
      <s:c r="G120" s="2" t="n">
        <s:v>6831</s:v>
      </s:c>
      <s:c r="H120" s="2" t="n">
        <s:v>1.75</s:v>
      </s:c>
      <s:c r="I120" s="2" t="n">
        <s:v>31.07</s:v>
      </s:c>
      <s:c r="J120" s="2" t="n">
        <s:v>0.54</s:v>
      </s:c>
    </s:row>
    <s:row r="121">
      <s:c r="A121" s="2" t="n">
        <s:v>47094</s:v>
      </s:c>
      <s:c r="B121" s="2" t="inlineStr">
        <s:is>
          <s:t>TOYOTASERVICIOS S.A.</s:t>
        </s:is>
      </s:c>
      <s:c r="C121" s="3" t="n">
        <s:v>46061</s:v>
      </s:c>
      <s:c r="D121" s="3" t="n">
        <s:v>46059</s:v>
      </s:c>
      <s:c r="E121" s="3" t="inlineStr">
        <s:is>
          <s:t>RENTA</s:t>
        </s:is>
      </s:c>
      <s:c r="F121" s="2" t="n">
        <s:v>312</s:v>
      </s:c>
      <s:c r="G121" s="2" t="n">
        <s:v>6833</s:v>
      </s:c>
      <s:c r="H121" s="2" t="n">
        <s:v>1.75</s:v>
      </s:c>
      <s:c r="I121" s="2" t="n">
        <s:v>29.89</s:v>
      </s:c>
      <s:c r="J121" s="2" t="n">
        <s:v>0.52</s:v>
      </s:c>
    </s:row>
    <s:row r="122">
      <s:c r="A122" s="2" t="n">
        <s:v>47094</s:v>
      </s:c>
      <s:c r="B122" s="2" t="inlineStr">
        <s:is>
          <s:t>TOYOTASERVICIOS S.A.</s:t>
        </s:is>
      </s:c>
      <s:c r="C122" s="3" t="n">
        <s:v>46061</s:v>
      </s:c>
      <s:c r="D122" s="3" t="n">
        <s:v>46059</s:v>
      </s:c>
      <s:c r="E122" s="3" t="inlineStr">
        <s:is>
          <s:t>IVA</s:t>
        </s:is>
      </s:c>
      <s:c r="F122" s="2" t="n">
        <s:v>312</s:v>
      </s:c>
      <s:c r="G122" s="2" t="n">
        <s:v>6833</s:v>
      </s:c>
      <s:c r="H122" s="2" t="n">
        <s:v>30</s:v>
      </s:c>
      <s:c r="I122" s="2" t="n">
        <s:v>4.48</s:v>
      </s:c>
      <s:c r="J122" s="2" t="n">
        <s:v>1.34</s:v>
      </s:c>
    </s:row>
    <s:row r="123">
      <s:c r="A123" s="2" t="n">
        <s:v>47095</s:v>
      </s:c>
      <s:c r="B123" s="2" t="inlineStr">
        <s:is>
          <s:t>GONZALEZ VEGA EL MOTOR CIA LTDA</s:t>
        </s:is>
      </s:c>
      <s:c r="C123" s="3" t="n">
        <s:v>46061</s:v>
      </s:c>
      <s:c r="D123" s="3" t="n">
        <s:v>46059</s:v>
      </s:c>
      <s:c r="E123" s="3" t="inlineStr">
        <s:is>
          <s:t>RENTA</s:t>
        </s:is>
      </s:c>
      <s:c r="F123" s="2" t="n">
        <s:v>312</s:v>
      </s:c>
      <s:c r="G123" s="2" t="n">
        <s:v>125378</s:v>
      </s:c>
      <s:c r="H123" s="2" t="n">
        <s:v>1.75</s:v>
      </s:c>
      <s:c r="I123" s="2" t="n">
        <s:v>78.02</s:v>
      </s:c>
      <s:c r="J123" s="2" t="n">
        <s:v>1.37</s:v>
      </s:c>
    </s:row>
    <s:row r="124">
      <s:c r="A124" s="2" t="n">
        <s:v>47095</s:v>
      </s:c>
      <s:c r="B124" s="2" t="inlineStr">
        <s:is>
          <s:t>GONZALEZ VEGA EL MOTOR CIA LTDA</s:t>
        </s:is>
      </s:c>
      <s:c r="C124" s="3" t="n">
        <s:v>46061</s:v>
      </s:c>
      <s:c r="D124" s="3" t="n">
        <s:v>46059</s:v>
      </s:c>
      <s:c r="E124" s="3" t="inlineStr">
        <s:is>
          <s:t>IVA</s:t>
        </s:is>
      </s:c>
      <s:c r="F124" s="2" t="n">
        <s:v>312</s:v>
      </s:c>
      <s:c r="G124" s="2" t="n">
        <s:v>125378</s:v>
      </s:c>
      <s:c r="H124" s="2" t="n">
        <s:v>30</s:v>
      </s:c>
      <s:c r="I124" s="2" t="n">
        <s:v>11.7</s:v>
      </s:c>
      <s:c r="J124" s="2" t="n">
        <s:v>3.51</s:v>
      </s:c>
    </s:row>
    <s:row r="125">
      <s:c r="A125" s="2" t="n">
        <s:v>47096</s:v>
      </s:c>
      <s:c r="B125" s="2" t="inlineStr">
        <s:is>
          <s:t>COMERCIAL KYWI S.A.</s:t>
        </s:is>
      </s:c>
      <s:c r="C125" s="3" t="n">
        <s:v>46061</s:v>
      </s:c>
      <s:c r="D125" s="3" t="n">
        <s:v>46056</s:v>
      </s:c>
      <s:c r="E125" s="3" t="inlineStr">
        <s:is>
          <s:t>IVA</s:t>
        </s:is>
      </s:c>
      <s:c r="F125" s="2" t="n">
        <s:v>332</s:v>
      </s:c>
      <s:c r="G125" s="2" t="n">
        <s:v>730023</s:v>
      </s:c>
      <s:c r="H125" s="2" t="n">
        <s:v>10</s:v>
      </s:c>
      <s:c r="I125" s="2" t="n">
        <s:v>11.07</s:v>
      </s:c>
      <s:c r="J125" s="2" t="n">
        <s:v>1.11</s:v>
      </s:c>
    </s:row>
    <s:row r="126">
      <s:c r="A126" s="2" t="n">
        <s:v>47097</s:v>
      </s:c>
      <s:c r="B126" s="2" t="inlineStr">
        <s:is>
          <s:t>POVEDA ALMEIDA EFRAIN ALEJANDRO</s:t>
        </s:is>
      </s:c>
      <s:c r="C126" s="3" t="n">
        <s:v>46061</s:v>
      </s:c>
      <s:c r="D126" s="3" t="n">
        <s:v>46060</s:v>
      </s:c>
      <s:c r="E126" s="3" t="inlineStr">
        <s:is>
          <s:t>RENTA</s:t>
        </s:is>
      </s:c>
      <s:c r="F126" s="2" t="n">
        <s:v>312</s:v>
      </s:c>
      <s:c r="G126" s="2" t="n">
        <s:v>54</s:v>
      </s:c>
      <s:c r="H126" s="2" t="n">
        <s:v>1.75</s:v>
      </s:c>
      <s:c r="I126" s="2" t="n">
        <s:v>70</s:v>
      </s:c>
      <s:c r="J126" s="2" t="n">
        <s:v>1.23</s:v>
      </s:c>
    </s:row>
    <s:row r="127">
      <s:c r="A127" s="2" t="n">
        <s:v>47097</s:v>
      </s:c>
      <s:c r="B127" s="2" t="inlineStr">
        <s:is>
          <s:t>POVEDA ALMEIDA EFRAIN ALEJANDRO</s:t>
        </s:is>
      </s:c>
      <s:c r="C127" s="3" t="n">
        <s:v>46061</s:v>
      </s:c>
      <s:c r="D127" s="3" t="n">
        <s:v>46060</s:v>
      </s:c>
      <s:c r="E127" s="3" t="inlineStr">
        <s:is>
          <s:t>IVA</s:t>
        </s:is>
      </s:c>
      <s:c r="F127" s="2" t="n">
        <s:v>312</s:v>
      </s:c>
      <s:c r="G127" s="2" t="n">
        <s:v>54</s:v>
      </s:c>
      <s:c r="H127" s="2" t="n">
        <s:v>30</s:v>
      </s:c>
      <s:c r="I127" s="2" t="n">
        <s:v>10.5</s:v>
      </s:c>
      <s:c r="J127" s="2" t="n">
        <s:v>3.15</s:v>
      </s:c>
    </s:row>
    <s:row r="128">
      <s:c r="A128" s="2" t="n">
        <s:v>47098</s:v>
      </s:c>
      <s:c r="B128" s="2" t="inlineStr">
        <s:is>
          <s:t>CATAÑA DIAZ ANDREA BELEN</s:t>
        </s:is>
      </s:c>
      <s:c r="C128" s="3" t="n">
        <s:v>46061</s:v>
      </s:c>
      <s:c r="D128" s="3" t="n">
        <s:v>46057</s:v>
      </s:c>
      <s:c r="E128" s="3" t="inlineStr">
        <s:is>
          <s:t>RENTA</s:t>
        </s:is>
      </s:c>
      <s:c r="F128" s="2" t="n">
        <s:v>312</s:v>
      </s:c>
      <s:c r="G128" s="2" t="n">
        <s:v>1176</s:v>
      </s:c>
      <s:c r="H128" s="2" t="n">
        <s:v>1.75</s:v>
      </s:c>
      <s:c r="I128" s="2" t="n">
        <s:v>94</s:v>
      </s:c>
      <s:c r="J128" s="2" t="n">
        <s:v>1.65</s:v>
      </s:c>
    </s:row>
    <s:row r="129">
      <s:c r="A129" s="2" t="n">
        <s:v>47098</s:v>
      </s:c>
      <s:c r="B129" s="2" t="inlineStr">
        <s:is>
          <s:t>CATAÑA DIAZ ANDREA BELEN</s:t>
        </s:is>
      </s:c>
      <s:c r="C129" s="3" t="n">
        <s:v>46061</s:v>
      </s:c>
      <s:c r="D129" s="3" t="n">
        <s:v>46057</s:v>
      </s:c>
      <s:c r="E129" s="3" t="inlineStr">
        <s:is>
          <s:t>IVA</s:t>
        </s:is>
      </s:c>
      <s:c r="F129" s="2" t="n">
        <s:v>312</s:v>
      </s:c>
      <s:c r="G129" s="2" t="n">
        <s:v>1176</s:v>
      </s:c>
      <s:c r="H129" s="2" t="n">
        <s:v>30</s:v>
      </s:c>
      <s:c r="I129" s="2" t="n">
        <s:v>14.1</s:v>
      </s:c>
      <s:c r="J129" s="2" t="n">
        <s:v>4.23</s:v>
      </s:c>
    </s:row>
    <s:row r="130">
      <s:c r="A130" s="2" t="n">
        <s:v>47099</s:v>
      </s:c>
      <s:c r="B130" s="2" t="inlineStr">
        <s:is>
          <s:t>POVEDA ALMEIDA EFRAIN ALEJANDRO</s:t>
        </s:is>
      </s:c>
      <s:c r="C130" s="3" t="n">
        <s:v>46061</s:v>
      </s:c>
      <s:c r="D130" s="3" t="n">
        <s:v>46060</s:v>
      </s:c>
      <s:c r="E130" s="3" t="inlineStr">
        <s:is>
          <s:t>RENTA</s:t>
        </s:is>
      </s:c>
      <s:c r="F130" s="2" t="n">
        <s:v>307</s:v>
      </s:c>
      <s:c r="G130" s="2" t="n">
        <s:v>52</s:v>
      </s:c>
      <s:c r="H130" s="2" t="n">
        <s:v>2</s:v>
      </s:c>
      <s:c r="I130" s="2" t="n">
        <s:v>90</s:v>
      </s:c>
      <s:c r="J130" s="2" t="n">
        <s:v>1.8</s:v>
      </s:c>
    </s:row>
    <s:row r="131">
      <s:c r="A131" s="2" t="n">
        <s:v>47099</s:v>
      </s:c>
      <s:c r="B131" s="2" t="inlineStr">
        <s:is>
          <s:t>POVEDA ALMEIDA EFRAIN ALEJANDRO</s:t>
        </s:is>
      </s:c>
      <s:c r="C131" s="3" t="n">
        <s:v>46061</s:v>
      </s:c>
      <s:c r="D131" s="3" t="n">
        <s:v>46060</s:v>
      </s:c>
      <s:c r="E131" s="3" t="inlineStr">
        <s:is>
          <s:t>IVA</s:t>
        </s:is>
      </s:c>
      <s:c r="F131" s="2" t="n">
        <s:v>307</s:v>
      </s:c>
      <s:c r="G131" s="2" t="n">
        <s:v>52</s:v>
      </s:c>
      <s:c r="H131" s="2" t="n">
        <s:v>70</s:v>
      </s:c>
      <s:c r="I131" s="2" t="n">
        <s:v>13.5</s:v>
      </s:c>
      <s:c r="J131" s="2" t="n">
        <s:v>9.449999999999999</s:v>
      </s:c>
    </s:row>
    <s:row r="132">
      <s:c r="A132" s="2" t="n">
        <s:v>47100</s:v>
      </s:c>
      <s:c r="B132" s="2" t="inlineStr">
        <s:is>
          <s:t>TOYOTASERVICIOS S.A.</s:t>
        </s:is>
      </s:c>
      <s:c r="C132" s="3" t="n">
        <s:v>46061</s:v>
      </s:c>
      <s:c r="D132" s="3" t="n">
        <s:v>46059</s:v>
      </s:c>
      <s:c r="E132" s="3" t="inlineStr">
        <s:is>
          <s:t>RENTA</s:t>
        </s:is>
      </s:c>
      <s:c r="F132" s="2" t="n">
        <s:v>344</s:v>
      </s:c>
      <s:c r="G132" s="2" t="n">
        <s:v>6834</s:v>
      </s:c>
      <s:c r="H132" s="2" t="n">
        <s:v>2.75</s:v>
      </s:c>
      <s:c r="I132" s="2" t="n">
        <s:v>13.83</s:v>
      </s:c>
      <s:c r="J132" s="2" t="n">
        <s:v>0.38</s:v>
      </s:c>
    </s:row>
    <s:row r="133">
      <s:c r="A133" s="2" t="n">
        <s:v>47100</s:v>
      </s:c>
      <s:c r="B133" s="2" t="inlineStr">
        <s:is>
          <s:t>TOYOTASERVICIOS S.A.</s:t>
        </s:is>
      </s:c>
      <s:c r="C133" s="3" t="n">
        <s:v>46061</s:v>
      </s:c>
      <s:c r="D133" s="3" t="n">
        <s:v>46059</s:v>
      </s:c>
      <s:c r="E133" s="3" t="inlineStr">
        <s:is>
          <s:t>IVA</s:t>
        </s:is>
      </s:c>
      <s:c r="F133" s="2" t="n">
        <s:v>344</s:v>
      </s:c>
      <s:c r="G133" s="2" t="n">
        <s:v>6834</s:v>
      </s:c>
      <s:c r="H133" s="2" t="n">
        <s:v>70</s:v>
      </s:c>
      <s:c r="I133" s="2" t="n">
        <s:v>2.07</s:v>
      </s:c>
      <s:c r="J133" s="2" t="n">
        <s:v>1.45</s:v>
      </s:c>
    </s:row>
    <s:row r="134">
      <s:c r="A134" s="2" t="n">
        <s:v>47101</s:v>
      </s:c>
      <s:c r="B134" s="2" t="inlineStr">
        <s:is>
          <s:t>ASO. EMPRESAS AUTOMOTRICES DEL ECUADOR</s:t>
        </s:is>
      </s:c>
      <s:c r="C134" s="3" t="n">
        <s:v>46062</s:v>
      </s:c>
      <s:c r="D134" s="3" t="n">
        <s:v>46062</s:v>
      </s:c>
      <s:c r="E134" s="3" t="inlineStr">
        <s:is>
          <s:t>IVA</s:t>
        </s:is>
      </s:c>
      <s:c r="F134" s="2" t="n">
        <s:v>344</s:v>
      </s:c>
      <s:c r="G134" s="2" t="n">
        <s:v>6770</s:v>
      </s:c>
      <s:c r="H134" s="2" t="n">
        <s:v>70</s:v>
      </s:c>
      <s:c r="I134" s="2" t="n">
        <s:v>91.5</s:v>
      </s:c>
      <s:c r="J134" s="2" t="n">
        <s:v>64.05</s:v>
      </s:c>
    </s:row>
    <s:row r="135">
      <s:c r="A135" s="2" t="n">
        <s:v>47102</s:v>
      </s:c>
      <s:c r="B135" s="2" t="inlineStr">
        <s:is>
          <s:t>MANTELCOA CIA. LTDA.</s:t>
        </s:is>
      </s:c>
      <s:c r="C135" s="3" t="n">
        <s:v>46062</s:v>
      </s:c>
      <s:c r="D135" s="3" t="n">
        <s:v>46062</s:v>
      </s:c>
      <s:c r="E135" s="3" t="inlineStr">
        <s:is>
          <s:t>IVA</s:t>
        </s:is>
      </s:c>
      <s:c r="F135" s="2" t="n">
        <s:v>344</s:v>
      </s:c>
      <s:c r="G135" s="2" t="n">
        <s:v>10912</s:v>
      </s:c>
      <s:c r="H135" s="2" t="n">
        <s:v>70</s:v>
      </s:c>
      <s:c r="I135" s="2" t="n">
        <s:v>27</s:v>
      </s:c>
      <s:c r="J135" s="2" t="n">
        <s:v>18.9</s:v>
      </s:c>
    </s:row>
    <s:row r="136">
      <s:c r="A136" s="2" t="n">
        <s:v>47102</s:v>
      </s:c>
      <s:c r="B136" s="2" t="inlineStr">
        <s:is>
          <s:t>MANTELCOA CIA. LTDA.</s:t>
        </s:is>
      </s:c>
      <s:c r="C136" s="3" t="n">
        <s:v>46062</s:v>
      </s:c>
      <s:c r="D136" s="3" t="n">
        <s:v>46062</s:v>
      </s:c>
      <s:c r="E136" s="3" t="inlineStr">
        <s:is>
          <s:t>RENTA</s:t>
        </s:is>
      </s:c>
      <s:c r="F136" s="2" t="n">
        <s:v>344</s:v>
      </s:c>
      <s:c r="G136" s="2" t="n">
        <s:v>10912</s:v>
      </s:c>
      <s:c r="H136" s="2" t="n">
        <s:v>2.75</s:v>
      </s:c>
      <s:c r="I136" s="2" t="n">
        <s:v>180</s:v>
      </s:c>
      <s:c r="J136" s="2" t="n">
        <s:v>4.95</s:v>
      </s:c>
    </s:row>
    <s:row r="137">
      <s:c r="A137" s="2" t="n">
        <s:v>47103</s:v>
      </s:c>
      <s:c r="B137" s="2" t="inlineStr">
        <s:is>
          <s:t>YANGTSE-AUTO DEL ECUADOR S.A.</s:t>
        </s:is>
      </s:c>
      <s:c r="C137" s="3" t="n">
        <s:v>46062</s:v>
      </s:c>
      <s:c r="D137" s="3" t="n">
        <s:v>46062</s:v>
      </s:c>
      <s:c r="E137" s="3" t="inlineStr">
        <s:is>
          <s:t>RENTA</s:t>
        </s:is>
      </s:c>
      <s:c r="F137" s="2" t="n">
        <s:v>312</s:v>
      </s:c>
      <s:c r="G137" s="2" t="n">
        <s:v>640</s:v>
      </s:c>
      <s:c r="H137" s="2" t="n">
        <s:v>1.75</s:v>
      </s:c>
      <s:c r="I137" s="4" t="n">
        <s:v>13980.87</s:v>
      </s:c>
      <s:c r="J137" s="2" t="n">
        <s:v>244.67</s:v>
      </s:c>
    </s:row>
    <s:row r="138">
      <s:c r="A138" s="2" t="n">
        <s:v>47103</s:v>
      </s:c>
      <s:c r="B138" s="2" t="inlineStr">
        <s:is>
          <s:t>YANGTSE-AUTO DEL ECUADOR S.A.</s:t>
        </s:is>
      </s:c>
      <s:c r="C138" s="3" t="n">
        <s:v>46062</s:v>
      </s:c>
      <s:c r="D138" s="3" t="n">
        <s:v>46062</s:v>
      </s:c>
      <s:c r="E138" s="3" t="inlineStr">
        <s:is>
          <s:t>IVA</s:t>
        </s:is>
      </s:c>
      <s:c r="F138" s="2" t="n">
        <s:v>312</s:v>
      </s:c>
      <s:c r="G138" s="2" t="n">
        <s:v>640</s:v>
      </s:c>
      <s:c r="H138" s="2" t="n">
        <s:v>30</s:v>
      </s:c>
      <s:c r="I138" s="4" t="n">
        <s:v>2097.13</s:v>
      </s:c>
      <s:c r="J138" s="2" t="n">
        <s:v>629.14</s:v>
      </s:c>
    </s:row>
    <s:row r="139">
      <s:c r="A139" s="2" t="n">
        <s:v>47104</s:v>
      </s:c>
      <s:c r="B139" s="2" t="inlineStr">
        <s:is>
          <s:t>POVEDA ALMEIDA EFRAIN ALEJANDRO</s:t>
        </s:is>
      </s:c>
      <s:c r="C139" s="3" t="n">
        <s:v>46062</s:v>
      </s:c>
      <s:c r="D139" s="3" t="n">
        <s:v>46062</s:v>
      </s:c>
      <s:c r="E139" s="3" t="inlineStr">
        <s:is>
          <s:t>RENTA</s:t>
        </s:is>
      </s:c>
      <s:c r="F139" s="2" t="n">
        <s:v>312</s:v>
      </s:c>
      <s:c r="G139" s="2" t="n">
        <s:v>55</s:v>
      </s:c>
      <s:c r="H139" s="2" t="n">
        <s:v>1.75</s:v>
      </s:c>
      <s:c r="I139" s="2" t="n">
        <s:v>70</s:v>
      </s:c>
      <s:c r="J139" s="2" t="n">
        <s:v>1.23</s:v>
      </s:c>
    </s:row>
    <s:row r="140">
      <s:c r="A140" s="2" t="n">
        <s:v>47104</s:v>
      </s:c>
      <s:c r="B140" s="2" t="inlineStr">
        <s:is>
          <s:t>POVEDA ALMEIDA EFRAIN ALEJANDRO</s:t>
        </s:is>
      </s:c>
      <s:c r="C140" s="3" t="n">
        <s:v>46062</s:v>
      </s:c>
      <s:c r="D140" s="3" t="n">
        <s:v>46062</s:v>
      </s:c>
      <s:c r="E140" s="3" t="inlineStr">
        <s:is>
          <s:t>IVA</s:t>
        </s:is>
      </s:c>
      <s:c r="F140" s="2" t="n">
        <s:v>312</s:v>
      </s:c>
      <s:c r="G140" s="2" t="n">
        <s:v>55</s:v>
      </s:c>
      <s:c r="H140" s="2" t="n">
        <s:v>30</s:v>
      </s:c>
      <s:c r="I140" s="2" t="n">
        <s:v>10.5</s:v>
      </s:c>
      <s:c r="J140" s="2" t="n">
        <s:v>3.15</s:v>
      </s:c>
    </s:row>
    <s:row r="141">
      <s:c r="A141" s="2" t="n">
        <s:v>47105</s:v>
      </s:c>
      <s:c r="B141" s="2" t="inlineStr">
        <s:is>
          <s:t>CENTRO DE SERVICIOS COMPARTIDOS GBV S.A.</s:t>
        </s:is>
      </s:c>
      <s:c r="C141" s="3" t="n">
        <s:v>46062</s:v>
      </s:c>
      <s:c r="D141" s="3" t="n">
        <s:v>46062</s:v>
      </s:c>
      <s:c r="E141" s="3" t="inlineStr">
        <s:is>
          <s:t>RENTA</s:t>
        </s:is>
      </s:c>
      <s:c r="F141" s="2" t="n">
        <s:v>303</s:v>
      </s:c>
      <s:c r="G141" s="2" t="n">
        <s:v>932</s:v>
      </s:c>
      <s:c r="H141" s="2" t="n">
        <s:v>3</s:v>
      </s:c>
      <s:c r="I141" s="4" t="n">
        <s:v>1604.29</s:v>
      </s:c>
      <s:c r="J141" s="2" t="n">
        <s:v>48.13</s:v>
      </s:c>
    </s:row>
    <s:row r="142">
      <s:c r="A142" s="2" t="n">
        <s:v>47105</s:v>
      </s:c>
      <s:c r="B142" s="2" t="inlineStr">
        <s:is>
          <s:t>CENTRO DE SERVICIOS COMPARTIDOS GBV S.A.</s:t>
        </s:is>
      </s:c>
      <s:c r="C142" s="3" t="n">
        <s:v>46062</s:v>
      </s:c>
      <s:c r="D142" s="3" t="n">
        <s:v>46062</s:v>
      </s:c>
      <s:c r="E142" s="3" t="inlineStr">
        <s:is>
          <s:t>IVA</s:t>
        </s:is>
      </s:c>
      <s:c r="F142" s="2" t="n">
        <s:v>303</s:v>
      </s:c>
      <s:c r="G142" s="2" t="n">
        <s:v>932</s:v>
      </s:c>
      <s:c r="H142" s="2" t="n">
        <s:v>20</s:v>
      </s:c>
      <s:c r="I142" s="2" t="n">
        <s:v>240.64</s:v>
      </s:c>
      <s:c r="J142" s="2" t="n">
        <s:v>48.13</s:v>
      </s:c>
    </s:row>
    <s:row r="143">
      <s:c r="A143" s="2" t="n">
        <s:v>47106</s:v>
      </s:c>
      <s:c r="B143" s="2" t="inlineStr">
        <s:is>
          <s:t>POVEDA ALMEIDA EFRAIN ALEJANDRO</s:t>
        </s:is>
      </s:c>
      <s:c r="C143" s="3" t="n">
        <s:v>46062</s:v>
      </s:c>
      <s:c r="D143" s="3" t="n">
        <s:v>46062</s:v>
      </s:c>
      <s:c r="E143" s="3" t="inlineStr">
        <s:is>
          <s:t>RENTA</s:t>
        </s:is>
      </s:c>
      <s:c r="F143" s="2" t="n">
        <s:v>307</s:v>
      </s:c>
      <s:c r="G143" s="2" t="n">
        <s:v>56</s:v>
      </s:c>
      <s:c r="H143" s="2" t="n">
        <s:v>2</s:v>
      </s:c>
      <s:c r="I143" s="2" t="n">
        <s:v>90</s:v>
      </s:c>
      <s:c r="J143" s="2" t="n">
        <s:v>1.8</s:v>
      </s:c>
    </s:row>
    <s:row r="144">
      <s:c r="A144" s="2" t="n">
        <s:v>47106</s:v>
      </s:c>
      <s:c r="B144" s="2" t="inlineStr">
        <s:is>
          <s:t>POVEDA ALMEIDA EFRAIN ALEJANDRO</s:t>
        </s:is>
      </s:c>
      <s:c r="C144" s="3" t="n">
        <s:v>46062</s:v>
      </s:c>
      <s:c r="D144" s="3" t="n">
        <s:v>46062</s:v>
      </s:c>
      <s:c r="E144" s="3" t="inlineStr">
        <s:is>
          <s:t>IVA</s:t>
        </s:is>
      </s:c>
      <s:c r="F144" s="2" t="n">
        <s:v>307</s:v>
      </s:c>
      <s:c r="G144" s="2" t="n">
        <s:v>56</s:v>
      </s:c>
      <s:c r="H144" s="2" t="n">
        <s:v>70</s:v>
      </s:c>
      <s:c r="I144" s="2" t="n">
        <s:v>13.5</s:v>
      </s:c>
      <s:c r="J144" s="2" t="n">
        <s:v>9.449999999999999</s:v>
      </s:c>
    </s:row>
    <s:row r="145">
      <s:c r="A145" s="2" t="n">
        <s:v>47107</s:v>
      </s:c>
      <s:c r="B145" s="2" t="inlineStr">
        <s:is>
          <s:t>TOYOTASERVICIOS S.A.</s:t>
        </s:is>
      </s:c>
      <s:c r="C145" s="3" t="n">
        <s:v>46063</s:v>
      </s:c>
      <s:c r="D145" s="3" t="n">
        <s:v>46063</s:v>
      </s:c>
      <s:c r="E145" s="3" t="inlineStr">
        <s:is>
          <s:t>RENTA</s:t>
        </s:is>
      </s:c>
      <s:c r="F145" s="2" t="n">
        <s:v>312</s:v>
      </s:c>
      <s:c r="G145" s="2" t="n">
        <s:v>14882</s:v>
      </s:c>
      <s:c r="H145" s="2" t="n">
        <s:v>1.75</s:v>
      </s:c>
      <s:c r="I145" s="2" t="n">
        <s:v>130</s:v>
      </s:c>
      <s:c r="J145" s="2" t="n">
        <s:v>2.28</s:v>
      </s:c>
    </s:row>
    <s:row r="146">
      <s:c r="A146" s="2" t="n">
        <s:v>47107</s:v>
      </s:c>
      <s:c r="B146" s="2" t="inlineStr">
        <s:is>
          <s:t>TOYOTASERVICIOS S.A.</s:t>
        </s:is>
      </s:c>
      <s:c r="C146" s="3" t="n">
        <s:v>46063</s:v>
      </s:c>
      <s:c r="D146" s="3" t="n">
        <s:v>46063</s:v>
      </s:c>
      <s:c r="E146" s="3" t="inlineStr">
        <s:is>
          <s:t>IVA</s:t>
        </s:is>
      </s:c>
      <s:c r="F146" s="2" t="n">
        <s:v>312</s:v>
      </s:c>
      <s:c r="G146" s="2" t="n">
        <s:v>14882</s:v>
      </s:c>
      <s:c r="H146" s="2" t="n">
        <s:v>30</s:v>
      </s:c>
      <s:c r="I146" s="2" t="n">
        <s:v>19.5</s:v>
      </s:c>
      <s:c r="J146" s="2" t="n">
        <s:v>5.85</s:v>
      </s:c>
    </s:row>
    <s:row r="147">
      <s:c r="A147" s="2" t="n">
        <s:v>47108</s:v>
      </s:c>
      <s:c r="B147" s="2" t="inlineStr">
        <s:is>
          <s:t>LAYOUT S.A.</s:t>
        </s:is>
      </s:c>
      <s:c r="C147" s="3" t="n">
        <s:v>46063</s:v>
      </s:c>
      <s:c r="D147" s="3" t="n">
        <s:v>46062</s:v>
      </s:c>
      <s:c r="E147" s="3" t="inlineStr">
        <s:is>
          <s:t>RENTA</s:t>
        </s:is>
      </s:c>
      <s:c r="F147" s="2" t="n">
        <s:v>312</s:v>
      </s:c>
      <s:c r="G147" s="2" t="n">
        <s:v>413</s:v>
      </s:c>
      <s:c r="H147" s="2" t="n">
        <s:v>1.75</s:v>
      </s:c>
      <s:c r="I147" s="4" t="n">
        <s:v>1231.3</s:v>
      </s:c>
      <s:c r="J147" s="2" t="n">
        <s:v>21.55</s:v>
      </s:c>
    </s:row>
    <s:row r="148">
      <s:c r="A148" s="2" t="n">
        <s:v>47108</s:v>
      </s:c>
      <s:c r="B148" s="2" t="inlineStr">
        <s:is>
          <s:t>LAYOUT S.A.</s:t>
        </s:is>
      </s:c>
      <s:c r="C148" s="3" t="n">
        <s:v>46063</s:v>
      </s:c>
      <s:c r="D148" s="3" t="n">
        <s:v>46062</s:v>
      </s:c>
      <s:c r="E148" s="3" t="inlineStr">
        <s:is>
          <s:t>IVA</s:t>
        </s:is>
      </s:c>
      <s:c r="F148" s="2" t="n">
        <s:v>312</s:v>
      </s:c>
      <s:c r="G148" s="2" t="n">
        <s:v>413</s:v>
      </s:c>
      <s:c r="H148" s="2" t="n">
        <s:v>30</s:v>
      </s:c>
      <s:c r="I148" s="2" t="n">
        <s:v>184.7</s:v>
      </s:c>
      <s:c r="J148" s="2" t="n">
        <s:v>55.41</s:v>
      </s:c>
    </s:row>
    <s:row r="149">
      <s:c r="A149" s="2" t="n">
        <s:v>47109</s:v>
      </s:c>
      <s:c r="B149" s="2" t="inlineStr">
        <s:is>
          <s:t>LAYOUT S.A.</s:t>
        </s:is>
      </s:c>
      <s:c r="C149" s="3" t="n">
        <s:v>46063</s:v>
      </s:c>
      <s:c r="D149" s="3" t="n">
        <s:v>46062</s:v>
      </s:c>
      <s:c r="E149" s="3" t="inlineStr">
        <s:is>
          <s:t>IVA</s:t>
        </s:is>
      </s:c>
      <s:c r="F149" s="2" t="n">
        <s:v>344</s:v>
      </s:c>
      <s:c r="G149" s="2" t="n">
        <s:v>414</s:v>
      </s:c>
      <s:c r="H149" s="2" t="n">
        <s:v>70</s:v>
      </s:c>
      <s:c r="I149" s="2" t="n">
        <s:v>19.5</s:v>
      </s:c>
      <s:c r="J149" s="2" t="n">
        <s:v>13.65</s:v>
      </s:c>
    </s:row>
    <s:row r="150">
      <s:c r="A150" s="2" t="n">
        <s:v>47109</s:v>
      </s:c>
      <s:c r="B150" s="2" t="inlineStr">
        <s:is>
          <s:t>LAYOUT S.A.</s:t>
        </s:is>
      </s:c>
      <s:c r="C150" s="3" t="n">
        <s:v>46063</s:v>
      </s:c>
      <s:c r="D150" s="3" t="n">
        <s:v>46062</s:v>
      </s:c>
      <s:c r="E150" s="3" t="inlineStr">
        <s:is>
          <s:t>RENTA</s:t>
        </s:is>
      </s:c>
      <s:c r="F150" s="2" t="n">
        <s:v>344</s:v>
      </s:c>
      <s:c r="G150" s="2" t="n">
        <s:v>414</s:v>
      </s:c>
      <s:c r="H150" s="2" t="n">
        <s:v>2.75</s:v>
      </s:c>
      <s:c r="I150" s="2" t="n">
        <s:v>130</s:v>
      </s:c>
      <s:c r="J150" s="2" t="n">
        <s:v>3.58</s:v>
      </s:c>
    </s:row>
    <s:row r="151">
      <s:c r="A151" s="2" t="n">
        <s:v>47110</s:v>
      </s:c>
      <s:c r="B151" s="2" t="inlineStr">
        <s:is>
          <s:t>MEJIA CARRASCO VICTOR LEONEL</s:t>
        </s:is>
      </s:c>
      <s:c r="C151" s="3" t="n">
        <s:v>46063</s:v>
      </s:c>
      <s:c r="D151" s="3" t="n">
        <s:v>46063</s:v>
      </s:c>
      <s:c r="E151" s="3" t="inlineStr">
        <s:is>
          <s:t>RENTA</s:t>
        </s:is>
      </s:c>
      <s:c r="F151" s="2" t="n">
        <s:v>312</s:v>
      </s:c>
      <s:c r="G151" s="2" t="n">
        <s:v>142395</s:v>
      </s:c>
      <s:c r="H151" s="2" t="n">
        <s:v>1.75</s:v>
      </s:c>
      <s:c r="I151" s="2" t="n">
        <s:v>721.74</s:v>
      </s:c>
      <s:c r="J151" s="2" t="n">
        <s:v>12.63</s:v>
      </s:c>
    </s:row>
    <s:row r="152">
      <s:c r="A152" s="2" t="n">
        <s:v>47110</s:v>
      </s:c>
      <s:c r="B152" s="2" t="inlineStr">
        <s:is>
          <s:t>MEJIA CARRASCO VICTOR LEONEL</s:t>
        </s:is>
      </s:c>
      <s:c r="C152" s="3" t="n">
        <s:v>46063</s:v>
      </s:c>
      <s:c r="D152" s="3" t="n">
        <s:v>46063</s:v>
      </s:c>
      <s:c r="E152" s="3" t="inlineStr">
        <s:is>
          <s:t>IVA</s:t>
        </s:is>
      </s:c>
      <s:c r="F152" s="2" t="n">
        <s:v>312</s:v>
      </s:c>
      <s:c r="G152" s="2" t="n">
        <s:v>142395</s:v>
      </s:c>
      <s:c r="H152" s="2" t="n">
        <s:v>10</s:v>
      </s:c>
      <s:c r="I152" s="2" t="n">
        <s:v>108.26</s:v>
      </s:c>
      <s:c r="J152" s="2" t="n">
        <s:v>10.83</s:v>
      </s:c>
    </s:row>
    <s:row r="153">
      <s:c r="A153" s="2" t="n">
        <s:v>47111</s:v>
      </s:c>
      <s:c r="B153" s="2" t="inlineStr">
        <s:is>
          <s:t>ASEGURADORA DEL SUR C.A.</s:t>
        </s:is>
      </s:c>
      <s:c r="C153" s="3" t="n">
        <s:v>46063</s:v>
      </s:c>
      <s:c r="D153" s="3" t="n">
        <s:v>46063</s:v>
      </s:c>
      <s:c r="E153" s="3" t="inlineStr">
        <s:is>
          <s:t>IVA</s:t>
        </s:is>
      </s:c>
      <s:c r="F153" s="2" t="n">
        <s:v>332</s:v>
      </s:c>
      <s:c r="G153" s="2" t="n">
        <s:v>50792</s:v>
      </s:c>
      <s:c r="H153" s="2" t="n">
        <s:v>20</s:v>
      </s:c>
      <s:c r="I153" s="2" t="n">
        <s:v>151.18</s:v>
      </s:c>
      <s:c r="J153" s="2" t="n">
        <s:v>30.24</s:v>
      </s:c>
    </s:row>
    <s:row r="154">
      <s:c r="A154" s="2" t="n">
        <s:v>47112</s:v>
      </s:c>
      <s:c r="B154" s="2" t="inlineStr">
        <s:is>
          <s:t>REINOSO SALAS YAJAIRA CAROLINA</s:t>
        </s:is>
      </s:c>
      <s:c r="C154" s="3" t="n">
        <s:v>46063</s:v>
      </s:c>
      <s:c r="D154" s="3" t="n">
        <s:v>46063</s:v>
      </s:c>
      <s:c r="E154" s="3" t="inlineStr">
        <s:is>
          <s:t>IVA</s:t>
        </s:is>
      </s:c>
      <s:c r="F154" s="2" t="n">
        <s:v>307</s:v>
      </s:c>
      <s:c r="G154" s="2" t="n">
        <s:v>134</s:v>
      </s:c>
      <s:c r="H154" s="2" t="n">
        <s:v>70</s:v>
      </s:c>
      <s:c r="I154" s="2" t="n">
        <s:v>6</s:v>
      </s:c>
      <s:c r="J154" s="2" t="n">
        <s:v>4.2</s:v>
      </s:c>
    </s:row>
    <s:row r="155">
      <s:c r="A155" s="2" t="n">
        <s:v>47112</s:v>
      </s:c>
      <s:c r="B155" s="2" t="inlineStr">
        <s:is>
          <s:t>REINOSO SALAS YAJAIRA CAROLINA</s:t>
        </s:is>
      </s:c>
      <s:c r="C155" s="3" t="n">
        <s:v>46063</s:v>
      </s:c>
      <s:c r="D155" s="3" t="n">
        <s:v>46063</s:v>
      </s:c>
      <s:c r="E155" s="3" t="inlineStr">
        <s:is>
          <s:t>RENTA</s:t>
        </s:is>
      </s:c>
      <s:c r="F155" s="2" t="n">
        <s:v>307</s:v>
      </s:c>
      <s:c r="G155" s="2" t="n">
        <s:v>134</s:v>
      </s:c>
      <s:c r="H155" s="2" t="n">
        <s:v>2</s:v>
      </s:c>
      <s:c r="I155" s="2" t="n">
        <s:v>40</s:v>
      </s:c>
      <s:c r="J155" s="2" t="n">
        <s:v>0.8</s:v>
      </s:c>
    </s:row>
    <s:row r="156">
      <s:c r="A156" s="2" t="n">
        <s:v>47113</s:v>
      </s:c>
      <s:c r="B156" s="2" t="inlineStr">
        <s:is>
          <s:t>ASEGURADORA DEL SUR C.A.</s:t>
        </s:is>
      </s:c>
      <s:c r="C156" s="3" t="n">
        <s:v>46063</s:v>
      </s:c>
      <s:c r="D156" s="3" t="n">
        <s:v>46062</s:v>
      </s:c>
      <s:c r="E156" s="3" t="inlineStr">
        <s:is>
          <s:t>IVA</s:t>
        </s:is>
      </s:c>
      <s:c r="F156" s="2" t="n">
        <s:v>332</s:v>
      </s:c>
      <s:c r="G156" s="2" t="n">
        <s:v>50774</s:v>
      </s:c>
      <s:c r="H156" s="2" t="n">
        <s:v>20</s:v>
      </s:c>
      <s:c r="I156" s="2" t="n">
        <s:v>30.26</s:v>
      </s:c>
      <s:c r="J156" s="2" t="n">
        <s:v>6.05</s:v>
      </s:c>
    </s:row>
    <s:row r="157">
      <s:c r="A157" s="2" t="n">
        <s:v>47114</s:v>
      </s:c>
      <s:c r="B157" s="2" t="inlineStr">
        <s:is>
          <s:t>TOYOTASERVICIOS S.A.</s:t>
        </s:is>
      </s:c>
      <s:c r="C157" s="3" t="n">
        <s:v>46063</s:v>
      </s:c>
      <s:c r="D157" s="3" t="n">
        <s:v>46063</s:v>
      </s:c>
      <s:c r="E157" s="3" t="inlineStr">
        <s:is>
          <s:t>RENTA</s:t>
        </s:is>
      </s:c>
      <s:c r="F157" s="2" t="n">
        <s:v>312</s:v>
      </s:c>
      <s:c r="G157" s="2" t="n">
        <s:v>14881</s:v>
      </s:c>
      <s:c r="H157" s="2" t="n">
        <s:v>1.75</s:v>
      </s:c>
      <s:c r="I157" s="2" t="n">
        <s:v>676.11</s:v>
      </s:c>
      <s:c r="J157" s="2" t="n">
        <s:v>11.83</s:v>
      </s:c>
    </s:row>
    <s:row r="158">
      <s:c r="A158" s="2" t="n">
        <s:v>47114</s:v>
      </s:c>
      <s:c r="B158" s="2" t="inlineStr">
        <s:is>
          <s:t>TOYOTASERVICIOS S.A.</s:t>
        </s:is>
      </s:c>
      <s:c r="C158" s="3" t="n">
        <s:v>46063</s:v>
      </s:c>
      <s:c r="D158" s="3" t="n">
        <s:v>46063</s:v>
      </s:c>
      <s:c r="E158" s="3" t="inlineStr">
        <s:is>
          <s:t>IVA</s:t>
        </s:is>
      </s:c>
      <s:c r="F158" s="2" t="n">
        <s:v>312</s:v>
      </s:c>
      <s:c r="G158" s="2" t="n">
        <s:v>14881</s:v>
      </s:c>
      <s:c r="H158" s="2" t="n">
        <s:v>30</s:v>
      </s:c>
      <s:c r="I158" s="2" t="n">
        <s:v>101.42</s:v>
      </s:c>
      <s:c r="J158" s="2" t="n">
        <s:v>30.43</s:v>
      </s:c>
    </s:row>
    <s:row r="159">
      <s:c r="A159" s="2" t="n">
        <s:v>47115</s:v>
      </s:c>
      <s:c r="B159" s="2" t="inlineStr">
        <s:is>
          <s:t>FIDEVAL S.A</s:t>
        </s:is>
      </s:c>
      <s:c r="C159" s="3" t="n">
        <s:v>46064</s:v>
      </s:c>
      <s:c r="D159" s="3" t="n">
        <s:v>46064</s:v>
      </s:c>
      <s:c r="E159" s="3" t="inlineStr">
        <s:is>
          <s:t>RENTA</s:t>
        </s:is>
      </s:c>
      <s:c r="F159" s="2" t="n">
        <s:v>303</s:v>
      </s:c>
      <s:c r="G159" s="2" t="n">
        <s:v>226449</s:v>
      </s:c>
      <s:c r="H159" s="2" t="n">
        <s:v>3</s:v>
      </s:c>
      <s:c r="I159" s="2" t="n">
        <s:v>139.59</s:v>
      </s:c>
      <s:c r="J159" s="2" t="n">
        <s:v>4.19</s:v>
      </s:c>
    </s:row>
    <s:row r="160">
      <s:c r="A160" s="2" t="n">
        <s:v>47115</s:v>
      </s:c>
      <s:c r="B160" s="2" t="inlineStr">
        <s:is>
          <s:t>FIDEVAL S.A</s:t>
        </s:is>
      </s:c>
      <s:c r="C160" s="3" t="n">
        <s:v>46064</s:v>
      </s:c>
      <s:c r="D160" s="3" t="n">
        <s:v>46064</s:v>
      </s:c>
      <s:c r="E160" s="3" t="inlineStr">
        <s:is>
          <s:t>IVA</s:t>
        </s:is>
      </s:c>
      <s:c r="F160" s="2" t="n">
        <s:v>303</s:v>
      </s:c>
      <s:c r="G160" s="2" t="n">
        <s:v>226449</s:v>
      </s:c>
      <s:c r="H160" s="2" t="n">
        <s:v>20</s:v>
      </s:c>
      <s:c r="I160" s="2" t="n">
        <s:v>20.94</s:v>
      </s:c>
      <s:c r="J160" s="2" t="n">
        <s:v>4.19</s:v>
      </s:c>
    </s:row>
    <s:row r="161">
      <s:c r="A161" s="2" t="n">
        <s:v>47116</s:v>
      </s:c>
      <s:c r="B161" s="2" t="inlineStr">
        <s:is>
          <s:t>FIDEVAL S.A</s:t>
        </s:is>
      </s:c>
      <s:c r="C161" s="3" t="n">
        <s:v>46064</s:v>
      </s:c>
      <s:c r="D161" s="3" t="n">
        <s:v>46064</s:v>
      </s:c>
      <s:c r="E161" s="3" t="inlineStr">
        <s:is>
          <s:t>RENTA</s:t>
        </s:is>
      </s:c>
      <s:c r="F161" s="2" t="n">
        <s:v>303</s:v>
      </s:c>
      <s:c r="G161" s="2" t="n">
        <s:v>226448</s:v>
      </s:c>
      <s:c r="H161" s="2" t="n">
        <s:v>3</s:v>
      </s:c>
      <s:c r="I161" s="2" t="n">
        <s:v>380</s:v>
      </s:c>
      <s:c r="J161" s="2" t="n">
        <s:v>11.4</s:v>
      </s:c>
    </s:row>
    <s:row r="162">
      <s:c r="A162" s="2" t="n">
        <s:v>47116</s:v>
      </s:c>
      <s:c r="B162" s="2" t="inlineStr">
        <s:is>
          <s:t>FIDEVAL S.A</s:t>
        </s:is>
      </s:c>
      <s:c r="C162" s="3" t="n">
        <s:v>46064</s:v>
      </s:c>
      <s:c r="D162" s="3" t="n">
        <s:v>46064</s:v>
      </s:c>
      <s:c r="E162" s="3" t="inlineStr">
        <s:is>
          <s:t>IVA</s:t>
        </s:is>
      </s:c>
      <s:c r="F162" s="2" t="n">
        <s:v>303</s:v>
      </s:c>
      <s:c r="G162" s="2" t="n">
        <s:v>226448</s:v>
      </s:c>
      <s:c r="H162" s="2" t="n">
        <s:v>20</s:v>
      </s:c>
      <s:c r="I162" s="2" t="n">
        <s:v>57</s:v>
      </s:c>
      <s:c r="J162" s="2" t="n">
        <s:v>11.4</s:v>
      </s:c>
    </s:row>
    <s:row r="163">
      <s:c r="A163" s="2" t="n">
        <s:v>47117</s:v>
      </s:c>
      <s:c r="B163" s="2" t="inlineStr">
        <s:is>
          <s:t>PROANDES SECURITY CIA. LTDA.</s:t>
        </s:is>
      </s:c>
      <s:c r="C163" s="3" t="n">
        <s:v>46064</s:v>
      </s:c>
      <s:c r="D163" s="3" t="n">
        <s:v>46064</s:v>
      </s:c>
      <s:c r="E163" s="3" t="inlineStr">
        <s:is>
          <s:t>IVA</s:t>
        </s:is>
      </s:c>
      <s:c r="F163" s="2" t="n">
        <s:v>344</s:v>
      </s:c>
      <s:c r="G163" s="2" t="n">
        <s:v>12507</s:v>
      </s:c>
      <s:c r="H163" s="2" t="n">
        <s:v>70</s:v>
      </s:c>
      <s:c r="I163" s="2" t="n">
        <s:v>3</s:v>
      </s:c>
      <s:c r="J163" s="2" t="n">
        <s:v>2.1</s:v>
      </s:c>
    </s:row>
    <s:row r="164">
      <s:c r="A164" s="2" t="n">
        <s:v>47117</s:v>
      </s:c>
      <s:c r="B164" s="2" t="inlineStr">
        <s:is>
          <s:t>PROANDES SECURITY CIA. LTDA.</s:t>
        </s:is>
      </s:c>
      <s:c r="C164" s="3" t="n">
        <s:v>46064</s:v>
      </s:c>
      <s:c r="D164" s="3" t="n">
        <s:v>46064</s:v>
      </s:c>
      <s:c r="E164" s="3" t="inlineStr">
        <s:is>
          <s:t>RENTA</s:t>
        </s:is>
      </s:c>
      <s:c r="F164" s="2" t="n">
        <s:v>344</s:v>
      </s:c>
      <s:c r="G164" s="2" t="n">
        <s:v>12507</s:v>
      </s:c>
      <s:c r="H164" s="2" t="n">
        <s:v>2.75</s:v>
      </s:c>
      <s:c r="I164" s="2" t="n">
        <s:v>20</s:v>
      </s:c>
      <s:c r="J164" s="2" t="n">
        <s:v>0.55</s:v>
      </s:c>
    </s:row>
    <s:row r="165">
      <s:c r="A165" s="2" t="n">
        <s:v>47118</s:v>
      </s:c>
      <s:c r="B165" s="2" t="inlineStr">
        <s:is>
          <s:t>YANGTSE-AUTO DEL ECUADOR S.A.</s:t>
        </s:is>
      </s:c>
      <s:c r="C165" s="3" t="n">
        <s:v>46065</s:v>
      </s:c>
      <s:c r="D165" s="3" t="n">
        <s:v>46065</s:v>
      </s:c>
      <s:c r="E165" s="3" t="inlineStr">
        <s:is>
          <s:t>RENTA</s:t>
        </s:is>
      </s:c>
      <s:c r="F165" s="2" t="n">
        <s:v>312</s:v>
      </s:c>
      <s:c r="G165" s="2" t="n">
        <s:v>651</s:v>
      </s:c>
      <s:c r="H165" s="2" t="n">
        <s:v>1.75</s:v>
      </s:c>
      <s:c r="I165" s="4" t="n">
        <s:v>13980.87</s:v>
      </s:c>
      <s:c r="J165" s="2" t="n">
        <s:v>244.67</s:v>
      </s:c>
    </s:row>
    <s:row r="166">
      <s:c r="A166" s="2" t="n">
        <s:v>47118</s:v>
      </s:c>
      <s:c r="B166" s="2" t="inlineStr">
        <s:is>
          <s:t>YANGTSE-AUTO DEL ECUADOR S.A.</s:t>
        </s:is>
      </s:c>
      <s:c r="C166" s="3" t="n">
        <s:v>46065</s:v>
      </s:c>
      <s:c r="D166" s="3" t="n">
        <s:v>46065</s:v>
      </s:c>
      <s:c r="E166" s="3" t="inlineStr">
        <s:is>
          <s:t>IVA</s:t>
        </s:is>
      </s:c>
      <s:c r="F166" s="2" t="n">
        <s:v>312</s:v>
      </s:c>
      <s:c r="G166" s="2" t="n">
        <s:v>651</s:v>
      </s:c>
      <s:c r="H166" s="2" t="n">
        <s:v>30</s:v>
      </s:c>
      <s:c r="I166" s="4" t="n">
        <s:v>2097.13</s:v>
      </s:c>
      <s:c r="J166" s="2" t="n">
        <s:v>629.14</s:v>
      </s:c>
    </s:row>
    <s:row r="167">
      <s:c r="A167" s="2" t="n">
        <s:v>47119</s:v>
      </s:c>
      <s:c r="B167" s="2" t="inlineStr">
        <s:is>
          <s:t>MAYORGA MAYORGA WILSON RAMIRO</s:t>
        </s:is>
      </s:c>
      <s:c r="C167" s="3" t="n">
        <s:v>46065</s:v>
      </s:c>
      <s:c r="D167" s="3" t="n">
        <s:v>46065</s:v>
      </s:c>
      <s:c r="E167" s="3" t="inlineStr">
        <s:is>
          <s:t>IVA</s:t>
        </s:is>
      </s:c>
      <s:c r="F167" s="2" t="n">
        <s:v>304</s:v>
      </s:c>
      <s:c r="G167" s="2" t="n">
        <s:v>76915</s:v>
      </s:c>
      <s:c r="H167" s="2" t="n">
        <s:v>70</s:v>
      </s:c>
      <s:c r="I167" s="2" t="n">
        <s:v>1.61</s:v>
      </s:c>
      <s:c r="J167" s="2" t="n">
        <s:v>1.13</s:v>
      </s:c>
    </s:row>
    <s:row r="168">
      <s:c r="A168" s="2" t="n">
        <s:v>47119</s:v>
      </s:c>
      <s:c r="B168" s="2" t="inlineStr">
        <s:is>
          <s:t>MAYORGA MAYORGA WILSON RAMIRO</s:t>
        </s:is>
      </s:c>
      <s:c r="C168" s="3" t="n">
        <s:v>46065</s:v>
      </s:c>
      <s:c r="D168" s="3" t="n">
        <s:v>46065</s:v>
      </s:c>
      <s:c r="E168" s="3" t="inlineStr">
        <s:is>
          <s:t>RENTA</s:t>
        </s:is>
      </s:c>
      <s:c r="F168" s="2" t="n">
        <s:v>304</s:v>
      </s:c>
      <s:c r="G168" s="2" t="n">
        <s:v>76915</s:v>
      </s:c>
      <s:c r="H168" s="2" t="n">
        <s:v>10</s:v>
      </s:c>
      <s:c r="I168" s="2" t="n">
        <s:v>10.74</s:v>
      </s:c>
      <s:c r="J168" s="2" t="n">
        <s:v>1.07</s:v>
      </s:c>
    </s:row>
    <s:row r="169">
      <s:c r="A169" s="2" t="n">
        <s:v>47120</s:v>
      </s:c>
      <s:c r="B169" s="2" t="inlineStr">
        <s:is>
          <s:t>MAYORGA MAYORGA WILSON RAMIRO</s:t>
        </s:is>
      </s:c>
      <s:c r="C169" s="3" t="n">
        <s:v>46065</s:v>
      </s:c>
      <s:c r="D169" s="3" t="n">
        <s:v>46065</s:v>
      </s:c>
      <s:c r="E169" s="3" t="inlineStr">
        <s:is>
          <s:t>IVA</s:t>
        </s:is>
      </s:c>
      <s:c r="F169" s="2" t="n">
        <s:v>304</s:v>
      </s:c>
      <s:c r="G169" s="2" t="n">
        <s:v>76914</s:v>
      </s:c>
      <s:c r="H169" s="2" t="n">
        <s:v>70</s:v>
      </s:c>
      <s:c r="I169" s="2" t="n">
        <s:v>16.42</s:v>
      </s:c>
      <s:c r="J169" s="2" t="n">
        <s:v>11.49</s:v>
      </s:c>
    </s:row>
    <s:row r="170">
      <s:c r="A170" s="2" t="n">
        <s:v>47120</s:v>
      </s:c>
      <s:c r="B170" s="2" t="inlineStr">
        <s:is>
          <s:t>MAYORGA MAYORGA WILSON RAMIRO</s:t>
        </s:is>
      </s:c>
      <s:c r="C170" s="3" t="n">
        <s:v>46065</s:v>
      </s:c>
      <s:c r="D170" s="3" t="n">
        <s:v>46065</s:v>
      </s:c>
      <s:c r="E170" s="3" t="inlineStr">
        <s:is>
          <s:t>RENTA</s:t>
        </s:is>
      </s:c>
      <s:c r="F170" s="2" t="n">
        <s:v>304</s:v>
      </s:c>
      <s:c r="G170" s="2" t="n">
        <s:v>76914</s:v>
      </s:c>
      <s:c r="H170" s="2" t="n">
        <s:v>10</s:v>
      </s:c>
      <s:c r="I170" s="2" t="n">
        <s:v>110.07</s:v>
      </s:c>
      <s:c r="J170" s="2" t="n">
        <s:v>11.01</s:v>
      </s:c>
    </s:row>
    <s:row r="171">
      <s:c r="A171" s="2" t="n">
        <s:v>47122</s:v>
      </s:c>
      <s:c r="B171" s="2" t="inlineStr">
        <s:is>
          <s:t>ASEGURADORA DEL SUR C.A.</s:t>
        </s:is>
      </s:c>
      <s:c r="C171" s="3" t="n">
        <s:v>46065</s:v>
      </s:c>
      <s:c r="D171" s="3" t="n">
        <s:v>46065</s:v>
      </s:c>
      <s:c r="E171" s="3" t="inlineStr">
        <s:is>
          <s:t>IVA</s:t>
        </s:is>
      </s:c>
      <s:c r="F171" s="2" t="n">
        <s:v>332</s:v>
      </s:c>
      <s:c r="G171" s="2" t="n">
        <s:v>17835092</s:v>
      </s:c>
      <s:c r="H171" s="2" t="n">
        <s:v>20</s:v>
      </s:c>
      <s:c r="I171" s="2" t="n">
        <s:v>246.67</s:v>
      </s:c>
      <s:c r="J171" s="2" t="n">
        <s:v>49.33</s:v>
      </s:c>
    </s:row>
    <s:row r="172">
      <s:c r="A172" s="2" t="n">
        <s:v>47123</s:v>
      </s:c>
      <s:c r="B172" s="2" t="inlineStr">
        <s:is>
          <s:t>TOYOTASERVICIOS S.A.</s:t>
        </s:is>
      </s:c>
      <s:c r="C172" s="3" t="n">
        <s:v>46065</s:v>
      </s:c>
      <s:c r="D172" s="3" t="n">
        <s:v>46065</s:v>
      </s:c>
      <s:c r="E172" s="3" t="inlineStr">
        <s:is>
          <s:t>IVA</s:t>
        </s:is>
      </s:c>
      <s:c r="F172" s="2" t="n">
        <s:v>312</s:v>
      </s:c>
      <s:c r="G172" s="2" t="n">
        <s:v>6871</s:v>
      </s:c>
      <s:c r="H172" s="2" t="n">
        <s:v>30</s:v>
      </s:c>
      <s:c r="I172" s="2" t="n">
        <s:v>18.97</s:v>
      </s:c>
      <s:c r="J172" s="2" t="n">
        <s:v>5.69</s:v>
      </s:c>
    </s:row>
    <s:row r="173">
      <s:c r="A173" s="2" t="n">
        <s:v>47123</s:v>
      </s:c>
      <s:c r="B173" s="2" t="inlineStr">
        <s:is>
          <s:t>TOYOTASERVICIOS S.A.</s:t>
        </s:is>
      </s:c>
      <s:c r="C173" s="3" t="n">
        <s:v>46065</s:v>
      </s:c>
      <s:c r="D173" s="3" t="n">
        <s:v>46065</s:v>
      </s:c>
      <s:c r="E173" s="3" t="inlineStr">
        <s:is>
          <s:t>RENTA</s:t>
        </s:is>
      </s:c>
      <s:c r="F173" s="2" t="n">
        <s:v>312</s:v>
      </s:c>
      <s:c r="G173" s="2" t="n">
        <s:v>6871</s:v>
      </s:c>
      <s:c r="H173" s="2" t="n">
        <s:v>1.75</s:v>
      </s:c>
      <s:c r="I173" s="2" t="n">
        <s:v>126.44</s:v>
      </s:c>
      <s:c r="J173" s="2" t="n">
        <s:v>2.21</s:v>
      </s:c>
    </s:row>
    <s:row r="174">
      <s:c r="A174" s="2" t="n">
        <s:v>47124</s:v>
      </s:c>
      <s:c r="B174" s="2" t="inlineStr">
        <s:is>
          <s:t>CARRO SEGURO CARSEG S.A.</s:t>
        </s:is>
      </s:c>
      <s:c r="C174" s="3" t="n">
        <s:v>46065</s:v>
      </s:c>
      <s:c r="D174" s="3" t="n">
        <s:v>46065</s:v>
      </s:c>
      <s:c r="E174" s="3" t="inlineStr">
        <s:is>
          <s:t>RENTA</s:t>
        </s:is>
      </s:c>
      <s:c r="F174" s="2" t="n">
        <s:v>312</s:v>
      </s:c>
      <s:c r="G174" s="2" t="n">
        <s:v>75049</s:v>
      </s:c>
      <s:c r="H174" s="2" t="n">
        <s:v>1.75</s:v>
      </s:c>
      <s:c r="I174" s="2" t="n">
        <s:v>280</s:v>
      </s:c>
      <s:c r="J174" s="2" t="n">
        <s:v>4.9</s:v>
      </s:c>
    </s:row>
    <s:row r="175">
      <s:c r="A175" s="2" t="n">
        <s:v>47124</s:v>
      </s:c>
      <s:c r="B175" s="2" t="inlineStr">
        <s:is>
          <s:t>CARRO SEGURO CARSEG S.A.</s:t>
        </s:is>
      </s:c>
      <s:c r="C175" s="3" t="n">
        <s:v>46065</s:v>
      </s:c>
      <s:c r="D175" s="3" t="n">
        <s:v>46065</s:v>
      </s:c>
      <s:c r="E175" s="3" t="inlineStr">
        <s:is>
          <s:t>IVA</s:t>
        </s:is>
      </s:c>
      <s:c r="F175" s="2" t="n">
        <s:v>312</s:v>
      </s:c>
      <s:c r="G175" s="2" t="n">
        <s:v>75049</s:v>
      </s:c>
      <s:c r="H175" s="2" t="n">
        <s:v>10</s:v>
      </s:c>
      <s:c r="I175" s="2" t="n">
        <s:v>42</s:v>
      </s:c>
      <s:c r="J175" s="2" t="n">
        <s:v>4.2</s:v>
      </s:c>
    </s:row>
    <s:row r="176">
      <s:c r="A176" s="2" t="n">
        <s:v>47125</s:v>
      </s:c>
      <s:c r="B176" s="2" t="inlineStr">
        <s:is>
          <s:t>LARREAUTO CIA. LTDA.</s:t>
        </s:is>
      </s:c>
      <s:c r="C176" s="3" t="n">
        <s:v>46065</s:v>
      </s:c>
      <s:c r="D176" s="3" t="n">
        <s:v>46065</s:v>
      </s:c>
      <s:c r="E176" s="3" t="inlineStr">
        <s:is>
          <s:t>IVA</s:t>
        </s:is>
      </s:c>
      <s:c r="F176" s="2" t="n">
        <s:v>344</s:v>
      </s:c>
      <s:c r="G176" s="2" t="n">
        <s:v>6283</s:v>
      </s:c>
      <s:c r="H176" s="2" t="n">
        <s:v>70</s:v>
      </s:c>
      <s:c r="I176" s="2" t="n">
        <s:v>7.5</s:v>
      </s:c>
      <s:c r="J176" s="2" t="n">
        <s:v>5.25</s:v>
      </s:c>
    </s:row>
    <s:row r="177">
      <s:c r="A177" s="2" t="n">
        <s:v>47125</s:v>
      </s:c>
      <s:c r="B177" s="2" t="inlineStr">
        <s:is>
          <s:t>LARREAUTO CIA. LTDA.</s:t>
        </s:is>
      </s:c>
      <s:c r="C177" s="3" t="n">
        <s:v>46065</s:v>
      </s:c>
      <s:c r="D177" s="3" t="n">
        <s:v>46065</s:v>
      </s:c>
      <s:c r="E177" s="3" t="inlineStr">
        <s:is>
          <s:t>RENTA</s:t>
        </s:is>
      </s:c>
      <s:c r="F177" s="2" t="n">
        <s:v>344</s:v>
      </s:c>
      <s:c r="G177" s="2" t="n">
        <s:v>6283</s:v>
      </s:c>
      <s:c r="H177" s="2" t="n">
        <s:v>2.75</s:v>
      </s:c>
      <s:c r="I177" s="2" t="n">
        <s:v>50</s:v>
      </s:c>
      <s:c r="J177" s="2" t="n">
        <s:v>1.38</s:v>
      </s:c>
    </s:row>
    <s:row r="178">
      <s:c r="A178" s="2" t="n">
        <s:v>47126</s:v>
      </s:c>
      <s:c r="B178" s="2" t="inlineStr">
        <s:is>
          <s:t>TOYOTASERVICIOS S.A.</s:t>
        </s:is>
      </s:c>
      <s:c r="C178" s="3" t="n">
        <s:v>46065</s:v>
      </s:c>
      <s:c r="D178" s="3" t="n">
        <s:v>46065</s:v>
      </s:c>
      <s:c r="E178" s="3" t="inlineStr">
        <s:is>
          <s:t>IVA</s:t>
        </s:is>
      </s:c>
      <s:c r="F178" s="2" t="n">
        <s:v>344</s:v>
      </s:c>
      <s:c r="G178" s="2" t="n">
        <s:v>6870</s:v>
      </s:c>
      <s:c r="H178" s="2" t="n">
        <s:v>70</s:v>
      </s:c>
      <s:c r="I178" s="2" t="n">
        <s:v>6.83</s:v>
      </s:c>
      <s:c r="J178" s="2" t="n">
        <s:v>4.78</s:v>
      </s:c>
    </s:row>
    <s:row r="179">
      <s:c r="A179" s="2" t="n">
        <s:v>47126</s:v>
      </s:c>
      <s:c r="B179" s="2" t="inlineStr">
        <s:is>
          <s:t>TOYOTASERVICIOS S.A.</s:t>
        </s:is>
      </s:c>
      <s:c r="C179" s="3" t="n">
        <s:v>46065</s:v>
      </s:c>
      <s:c r="D179" s="3" t="n">
        <s:v>46065</s:v>
      </s:c>
      <s:c r="E179" s="3" t="inlineStr">
        <s:is>
          <s:t>RENTA</s:t>
        </s:is>
      </s:c>
      <s:c r="F179" s="2" t="n">
        <s:v>344</s:v>
      </s:c>
      <s:c r="G179" s="2" t="n">
        <s:v>6870</s:v>
      </s:c>
      <s:c r="H179" s="2" t="n">
        <s:v>2.75</s:v>
      </s:c>
      <s:c r="I179" s="2" t="n">
        <s:v>45.5</s:v>
      </s:c>
      <s:c r="J179" s="2" t="n">
        <s:v>1.25</s:v>
      </s:c>
    </s:row>
    <s:row r="180">
      <s:c r="A180" s="2" t="n">
        <s:v>47127</s:v>
      </s:c>
      <s:c r="B180" s="2" t="inlineStr">
        <s:is>
          <s:t>MERCANTIL TORRESCO CIA. LTDA.</s:t>
        </s:is>
      </s:c>
      <s:c r="C180" s="3" t="n">
        <s:v>46065</s:v>
      </s:c>
      <s:c r="D180" s="3" t="n">
        <s:v>46065</s:v>
      </s:c>
      <s:c r="E180" s="3" t="inlineStr">
        <s:is>
          <s:t>IVA</s:t>
        </s:is>
      </s:c>
      <s:c r="F180" s="2" t="n">
        <s:v>320</s:v>
      </s:c>
      <s:c r="G180" s="2" t="n">
        <s:v>46</s:v>
      </s:c>
      <s:c r="H180" s="2" t="n">
        <s:v>70</s:v>
      </s:c>
      <s:c r="I180" s="2" t="n">
        <s:v>412.7</s:v>
      </s:c>
      <s:c r="J180" s="2" t="n">
        <s:v>288.89</s:v>
      </s:c>
    </s:row>
    <s:row r="181">
      <s:c r="A181" s="2" t="n">
        <s:v>47127</s:v>
      </s:c>
      <s:c r="B181" s="2" t="inlineStr">
        <s:is>
          <s:t>MERCANTIL TORRESCO CIA. LTDA.</s:t>
        </s:is>
      </s:c>
      <s:c r="C181" s="3" t="n">
        <s:v>46065</s:v>
      </s:c>
      <s:c r="D181" s="3" t="n">
        <s:v>46065</s:v>
      </s:c>
      <s:c r="E181" s="3" t="inlineStr">
        <s:is>
          <s:t>RENTA</s:t>
        </s:is>
      </s:c>
      <s:c r="F181" s="2" t="n">
        <s:v>320</s:v>
      </s:c>
      <s:c r="G181" s="2" t="n">
        <s:v>46</s:v>
      </s:c>
      <s:c r="H181" s="2" t="n">
        <s:v>10</s:v>
      </s:c>
      <s:c r="I181" s="4" t="n">
        <s:v>2751.32</s:v>
      </s:c>
      <s:c r="J181" s="2" t="n">
        <s:v>275.13</s:v>
      </s:c>
    </s:row>
    <s:row r="182">
      <s:c r="A182" s="2" t="n">
        <s:v>47128</s:v>
      </s:c>
      <s:c r="B182" s="2" t="inlineStr">
        <s:is>
          <s:t>SEVILLA GALARZA JOSE MANUEL</s:t>
        </s:is>
      </s:c>
      <s:c r="C182" s="3" t="n">
        <s:v>46065</s:v>
      </s:c>
      <s:c r="D182" s="3" t="n">
        <s:v>46064</s:v>
      </s:c>
      <s:c r="E182" s="3" t="inlineStr">
        <s:is>
          <s:t>RENTA</s:t>
        </s:is>
      </s:c>
      <s:c r="F182" s="2" t="n">
        <s:v>307</s:v>
      </s:c>
      <s:c r="G182" s="2" t="n">
        <s:v>7220</s:v>
      </s:c>
      <s:c r="H182" s="2" t="n">
        <s:v>2</s:v>
      </s:c>
      <s:c r="I182" s="2" t="n">
        <s:v>63.13</s:v>
      </s:c>
      <s:c r="J182" s="2" t="n">
        <s:v>1.26</s:v>
      </s:c>
    </s:row>
    <s:row r="183">
      <s:c r="A183" s="2" t="n">
        <s:v>47128</s:v>
      </s:c>
      <s:c r="B183" s="2" t="inlineStr">
        <s:is>
          <s:t>SEVILLA GALARZA JOSE MANUEL</s:t>
        </s:is>
      </s:c>
      <s:c r="C183" s="3" t="n">
        <s:v>46065</s:v>
      </s:c>
      <s:c r="D183" s="3" t="n">
        <s:v>46064</s:v>
      </s:c>
      <s:c r="E183" s="3" t="inlineStr">
        <s:is>
          <s:t>IVA</s:t>
        </s:is>
      </s:c>
      <s:c r="F183" s="2" t="n">
        <s:v>307</s:v>
      </s:c>
      <s:c r="G183" s="2" t="n">
        <s:v>7220</s:v>
      </s:c>
      <s:c r="H183" s="2" t="n">
        <s:v>70</s:v>
      </s:c>
      <s:c r="I183" s="2" t="n">
        <s:v>9.470000000000001</s:v>
      </s:c>
      <s:c r="J183" s="2" t="n">
        <s:v>6.63</s:v>
      </s:c>
    </s:row>
    <s:row r="184">
      <s:c r="A184" s="2" t="n">
        <s:v>47129</s:v>
      </s:c>
      <s:c r="B184" s="2" t="inlineStr">
        <s:is>
          <s:t>AGUAS DIAS MARCO ANTONIO</s:t>
        </s:is>
      </s:c>
      <s:c r="C184" s="3" t="n">
        <s:v>46065</s:v>
      </s:c>
      <s:c r="D184" s="3" t="n">
        <s:v>46063</s:v>
      </s:c>
      <s:c r="E184" s="3" t="inlineStr">
        <s:is>
          <s:t>IVA</s:t>
        </s:is>
      </s:c>
      <s:c r="F184" s="2" t="n">
        <s:v>307</s:v>
      </s:c>
      <s:c r="G184" s="2" t="n">
        <s:v>1550</s:v>
      </s:c>
      <s:c r="H184" s="2" t="n">
        <s:v>70</s:v>
      </s:c>
      <s:c r="I184" s="2" t="n">
        <s:v>24.79</s:v>
      </s:c>
      <s:c r="J184" s="2" t="n">
        <s:v>17.35</s:v>
      </s:c>
    </s:row>
    <s:row r="185">
      <s:c r="A185" s="2" t="n">
        <s:v>47129</s:v>
      </s:c>
      <s:c r="B185" s="2" t="inlineStr">
        <s:is>
          <s:t>AGUAS DIAS MARCO ANTONIO</s:t>
        </s:is>
      </s:c>
      <s:c r="C185" s="3" t="n">
        <s:v>46065</s:v>
      </s:c>
      <s:c r="D185" s="3" t="n">
        <s:v>46063</s:v>
      </s:c>
      <s:c r="E185" s="3" t="inlineStr">
        <s:is>
          <s:t>RENTA</s:t>
        </s:is>
      </s:c>
      <s:c r="F185" s="2" t="n">
        <s:v>307</s:v>
      </s:c>
      <s:c r="G185" s="2" t="n">
        <s:v>1550</s:v>
      </s:c>
      <s:c r="H185" s="2" t="n">
        <s:v>2</s:v>
      </s:c>
      <s:c r="I185" s="2" t="n">
        <s:v>165.24</s:v>
      </s:c>
      <s:c r="J185" s="2" t="n">
        <s:v>3.3</s:v>
      </s:c>
    </s:row>
    <s:row r="186">
      <s:c r="A186" s="2" t="n">
        <s:v>47130</s:v>
      </s:c>
      <s:c r="B186" s="2" t="inlineStr">
        <s:is>
          <s:t>SZK DEL ECUADOR S.A.</s:t>
        </s:is>
      </s:c>
      <s:c r="C186" s="3" t="n">
        <s:v>46065</s:v>
      </s:c>
      <s:c r="D186" s="3" t="n">
        <s:v>46063</s:v>
      </s:c>
      <s:c r="E186" s="3" t="inlineStr">
        <s:is>
          <s:t>IVA</s:t>
        </s:is>
      </s:c>
      <s:c r="F186" s="2" t="n">
        <s:v>312</s:v>
      </s:c>
      <s:c r="G186" s="2" t="n">
        <s:v>3182</s:v>
      </s:c>
      <s:c r="H186" s="2" t="n">
        <s:v>10</s:v>
      </s:c>
      <s:c r="I186" s="4" t="n">
        <s:v>17283.52</s:v>
      </s:c>
      <s:c r="J186" s="4" t="n">
        <s:v>1728.35</s:v>
      </s:c>
    </s:row>
    <s:row r="187">
      <s:c r="A187" s="2" t="n">
        <s:v>47131</s:v>
      </s:c>
      <s:c r="B187" s="2" t="inlineStr">
        <s:is>
          <s:t>CASABACA S.A.</s:t>
        </s:is>
      </s:c>
      <s:c r="C187" s="3" t="n">
        <s:v>46065</s:v>
      </s:c>
      <s:c r="D187" s="3" t="n">
        <s:v>46065</s:v>
      </s:c>
      <s:c r="E187" s="3" t="inlineStr">
        <s:is>
          <s:t>IVA</s:t>
        </s:is>
      </s:c>
      <s:c r="F187" s="2" t="n">
        <s:v>332</s:v>
      </s:c>
      <s:c r="G187" s="2" t="n">
        <s:v>31420</s:v>
      </s:c>
      <s:c r="H187" s="2" t="n">
        <s:v>10</s:v>
      </s:c>
      <s:c r="I187" s="2" t="n">
        <s:v>398.9</s:v>
      </s:c>
      <s:c r="J187" s="2" t="n">
        <s:v>39.89</s:v>
      </s:c>
    </s:row>
    <s:row r="188">
      <s:c r="A188" s="2" t="n">
        <s:v>47132</s:v>
      </s:c>
      <s:c r="B188" s="2" t="inlineStr">
        <s:is>
          <s:t>CASABACA S.A.</s:t>
        </s:is>
      </s:c>
      <s:c r="C188" s="3" t="n">
        <s:v>46065</s:v>
      </s:c>
      <s:c r="D188" s="3" t="n">
        <s:v>46065</s:v>
      </s:c>
      <s:c r="E188" s="3" t="inlineStr">
        <s:is>
          <s:t>IVA</s:t>
        </s:is>
      </s:c>
      <s:c r="F188" s="2" t="n">
        <s:v>332</s:v>
      </s:c>
      <s:c r="G188" s="2" t="n">
        <s:v>31419</s:v>
      </s:c>
      <s:c r="H188" s="2" t="n">
        <s:v>10</s:v>
      </s:c>
      <s:c r="I188" s="2" t="n">
        <s:v>398.9</s:v>
      </s:c>
      <s:c r="J188" s="2" t="n">
        <s:v>39.89</s:v>
      </s:c>
    </s:row>
    <s:row r="189">
      <s:c r="A189" s="2" t="n">
        <s:v>47133</s:v>
      </s:c>
      <s:c r="B189" s="2" t="inlineStr">
        <s:is>
          <s:t>CASABACA S.A.</s:t>
        </s:is>
      </s:c>
      <s:c r="C189" s="3" t="n">
        <s:v>46065</s:v>
      </s:c>
      <s:c r="D189" s="3" t="n">
        <s:v>46065</s:v>
      </s:c>
      <s:c r="E189" s="3" t="inlineStr">
        <s:is>
          <s:t>IVA</s:t>
        </s:is>
      </s:c>
      <s:c r="F189" s="2" t="n">
        <s:v>332</s:v>
      </s:c>
      <s:c r="G189" s="2" t="n">
        <s:v>31421</s:v>
      </s:c>
      <s:c r="H189" s="2" t="n">
        <s:v>10</s:v>
      </s:c>
      <s:c r="I189" s="2" t="n">
        <s:v>398.9</s:v>
      </s:c>
      <s:c r="J189" s="2" t="n">
        <s:v>39.89</s:v>
      </s:c>
    </s:row>
    <s:row r="190">
      <s:c r="A190" s="2" t="n">
        <s:v>47134</s:v>
      </s:c>
      <s:c r="B190" s="2" t="inlineStr">
        <s:is>
          <s:t>CASABACA S.A.</s:t>
        </s:is>
      </s:c>
      <s:c r="C190" s="3" t="n">
        <s:v>46066</s:v>
      </s:c>
      <s:c r="D190" s="3" t="n">
        <s:v>46066</s:v>
      </s:c>
      <s:c r="E190" s="3" t="inlineStr">
        <s:is>
          <s:t>IVA</s:t>
        </s:is>
      </s:c>
      <s:c r="F190" s="2" t="n">
        <s:v>332</s:v>
      </s:c>
      <s:c r="G190" s="2" t="n">
        <s:v>9074</s:v>
      </s:c>
      <s:c r="H190" s="2" t="n">
        <s:v>10</s:v>
      </s:c>
      <s:c r="I190" s="4" t="n">
        <s:v>23011.2</s:v>
      </s:c>
      <s:c r="J190" s="4" t="n">
        <s:v>2301.12</s:v>
      </s:c>
    </s:row>
    <s:row r="191">
      <s:c r="A191" s="2" t="n">
        <s:v>47135</s:v>
      </s:c>
      <s:c r="B191" s="2" t="inlineStr">
        <s:is>
          <s:t>YANGTSE-AUTO DEL ECUADOR S.A.</s:t>
        </s:is>
      </s:c>
      <s:c r="C191" s="3" t="n">
        <s:v>46067</s:v>
      </s:c>
      <s:c r="D191" s="3" t="n">
        <s:v>46067</s:v>
      </s:c>
      <s:c r="E191" s="3" t="inlineStr">
        <s:is>
          <s:t>IVA</s:t>
        </s:is>
      </s:c>
      <s:c r="F191" s="2" t="n">
        <s:v>312</s:v>
      </s:c>
      <s:c r="G191" s="2" t="n">
        <s:v>660</s:v>
      </s:c>
      <s:c r="H191" s="2" t="n">
        <s:v>30</s:v>
      </s:c>
      <s:c r="I191" s="4" t="n">
        <s:v>2052.82</s:v>
      </s:c>
      <s:c r="J191" s="2" t="n">
        <s:v>615.85</s:v>
      </s:c>
    </s:row>
    <s:row r="192">
      <s:c r="A192" s="2" t="n">
        <s:v>47135</s:v>
      </s:c>
      <s:c r="B192" s="2" t="inlineStr">
        <s:is>
          <s:t>YANGTSE-AUTO DEL ECUADOR S.A.</s:t>
        </s:is>
      </s:c>
      <s:c r="C192" s="3" t="n">
        <s:v>46067</s:v>
      </s:c>
      <s:c r="D192" s="3" t="n">
        <s:v>46067</s:v>
      </s:c>
      <s:c r="E192" s="3" t="inlineStr">
        <s:is>
          <s:t>RENTA</s:t>
        </s:is>
      </s:c>
      <s:c r="F192" s="2" t="n">
        <s:v>312</s:v>
      </s:c>
      <s:c r="G192" s="2" t="n">
        <s:v>660</s:v>
      </s:c>
      <s:c r="H192" s="2" t="n">
        <s:v>1.75</s:v>
      </s:c>
      <s:c r="I192" s="4" t="n">
        <s:v>13685.48</s:v>
      </s:c>
      <s:c r="J192" s="2" t="n">
        <s:v>239.5</s:v>
      </s:c>
    </s:row>
    <s:row r="193">
      <s:c r="A193" s="2" t="n">
        <s:v>47136</s:v>
      </s:c>
      <s:c r="B193" s="2" t="inlineStr">
        <s:is>
          <s:t>YANGTSE-AUTO DEL ECUADOR S.A.</s:t>
        </s:is>
      </s:c>
      <s:c r="C193" s="3" t="n">
        <s:v>46067</s:v>
      </s:c>
      <s:c r="D193" s="3" t="n">
        <s:v>46067</s:v>
      </s:c>
      <s:c r="E193" s="3" t="inlineStr">
        <s:is>
          <s:t>RENTA</s:t>
        </s:is>
      </s:c>
      <s:c r="F193" s="2" t="n">
        <s:v>312</s:v>
      </s:c>
      <s:c r="G193" s="2" t="n">
        <s:v>662</s:v>
      </s:c>
      <s:c r="H193" s="2" t="n">
        <s:v>1.75</s:v>
      </s:c>
      <s:c r="I193" s="4" t="n">
        <s:v>13685.48</s:v>
      </s:c>
      <s:c r="J193" s="2" t="n">
        <s:v>239.5</s:v>
      </s:c>
    </s:row>
    <s:row r="194">
      <s:c r="A194" s="2" t="n">
        <s:v>47136</s:v>
      </s:c>
      <s:c r="B194" s="2" t="inlineStr">
        <s:is>
          <s:t>YANGTSE-AUTO DEL ECUADOR S.A.</s:t>
        </s:is>
      </s:c>
      <s:c r="C194" s="3" t="n">
        <s:v>46067</s:v>
      </s:c>
      <s:c r="D194" s="3" t="n">
        <s:v>46067</s:v>
      </s:c>
      <s:c r="E194" s="3" t="inlineStr">
        <s:is>
          <s:t>IVA</s:t>
        </s:is>
      </s:c>
      <s:c r="F194" s="2" t="n">
        <s:v>312</s:v>
      </s:c>
      <s:c r="G194" s="2" t="n">
        <s:v>662</s:v>
      </s:c>
      <s:c r="H194" s="2" t="n">
        <s:v>30</s:v>
      </s:c>
      <s:c r="I194" s="4" t="n">
        <s:v>2052.82</s:v>
      </s:c>
      <s:c r="J194" s="2" t="n">
        <s:v>615.85</s:v>
      </s:c>
    </s:row>
    <s:row r="195">
      <s:c r="A195" s="2" t="n">
        <s:v>47137</s:v>
      </s:c>
      <s:c r="B195" s="2" t="inlineStr">
        <s:is>
          <s:t>YANGTSE-AUTO DEL ECUADOR S.A.</s:t>
        </s:is>
      </s:c>
      <s:c r="C195" s="3" t="n">
        <s:v>46067</s:v>
      </s:c>
      <s:c r="D195" s="3" t="n">
        <s:v>46067</s:v>
      </s:c>
      <s:c r="E195" s="3" t="inlineStr">
        <s:is>
          <s:t>IVA</s:t>
        </s:is>
      </s:c>
      <s:c r="F195" s="2" t="n">
        <s:v>312</s:v>
      </s:c>
      <s:c r="G195" s="2" t="n">
        <s:v>659</s:v>
      </s:c>
      <s:c r="H195" s="2" t="n">
        <s:v>30</s:v>
      </s:c>
      <s:c r="I195" s="4" t="n">
        <s:v>2052.82</s:v>
      </s:c>
      <s:c r="J195" s="2" t="n">
        <s:v>615.85</s:v>
      </s:c>
    </s:row>
    <s:row r="196">
      <s:c r="A196" s="2" t="n">
        <s:v>47137</s:v>
      </s:c>
      <s:c r="B196" s="2" t="inlineStr">
        <s:is>
          <s:t>YANGTSE-AUTO DEL ECUADOR S.A.</s:t>
        </s:is>
      </s:c>
      <s:c r="C196" s="3" t="n">
        <s:v>46067</s:v>
      </s:c>
      <s:c r="D196" s="3" t="n">
        <s:v>46067</s:v>
      </s:c>
      <s:c r="E196" s="3" t="inlineStr">
        <s:is>
          <s:t>RENTA</s:t>
        </s:is>
      </s:c>
      <s:c r="F196" s="2" t="n">
        <s:v>312</s:v>
      </s:c>
      <s:c r="G196" s="2" t="n">
        <s:v>659</s:v>
      </s:c>
      <s:c r="H196" s="2" t="n">
        <s:v>1.75</s:v>
      </s:c>
      <s:c r="I196" s="4" t="n">
        <s:v>13685.48</s:v>
      </s:c>
      <s:c r="J196" s="2" t="n">
        <s:v>239.5</s:v>
      </s:c>
    </s:row>
    <s:row r="197">
      <s:c r="A197" s="2" t="n">
        <s:v>47138</s:v>
      </s:c>
      <s:c r="B197" s="2" t="inlineStr">
        <s:is>
          <s:t>YANGTSE-AUTO DEL ECUADOR S.A.</s:t>
        </s:is>
      </s:c>
      <s:c r="C197" s="3" t="n">
        <s:v>46067</s:v>
      </s:c>
      <s:c r="D197" s="3" t="n">
        <s:v>46067</s:v>
      </s:c>
      <s:c r="E197" s="3" t="inlineStr">
        <s:is>
          <s:t>RENTA</s:t>
        </s:is>
      </s:c>
      <s:c r="F197" s="2" t="n">
        <s:v>312</s:v>
      </s:c>
      <s:c r="G197" s="2" t="n">
        <s:v>664</s:v>
      </s:c>
      <s:c r="H197" s="2" t="n">
        <s:v>1.75</s:v>
      </s:c>
      <s:c r="I197" s="4" t="n">
        <s:v>13685.48</s:v>
      </s:c>
      <s:c r="J197" s="2" t="n">
        <s:v>239.5</s:v>
      </s:c>
    </s:row>
    <s:row r="198">
      <s:c r="A198" s="2" t="n">
        <s:v>47138</s:v>
      </s:c>
      <s:c r="B198" s="2" t="inlineStr">
        <s:is>
          <s:t>YANGTSE-AUTO DEL ECUADOR S.A.</s:t>
        </s:is>
      </s:c>
      <s:c r="C198" s="3" t="n">
        <s:v>46067</s:v>
      </s:c>
      <s:c r="D198" s="3" t="n">
        <s:v>46067</s:v>
      </s:c>
      <s:c r="E198" s="3" t="inlineStr">
        <s:is>
          <s:t>IVA</s:t>
        </s:is>
      </s:c>
      <s:c r="F198" s="2" t="n">
        <s:v>312</s:v>
      </s:c>
      <s:c r="G198" s="2" t="n">
        <s:v>664</s:v>
      </s:c>
      <s:c r="H198" s="2" t="n">
        <s:v>30</s:v>
      </s:c>
      <s:c r="I198" s="4" t="n">
        <s:v>2052.82</s:v>
      </s:c>
      <s:c r="J198" s="2" t="n">
        <s:v>615.85</s:v>
      </s:c>
    </s:row>
    <s:row r="199">
      <s:c r="A199" s="2" t="n">
        <s:v>47139</s:v>
      </s:c>
      <s:c r="B199" s="2" t="inlineStr">
        <s:is>
          <s:t>YANGTSE-AUTO DEL ECUADOR S.A.</s:t>
        </s:is>
      </s:c>
      <s:c r="C199" s="3" t="n">
        <s:v>46067</s:v>
      </s:c>
      <s:c r="D199" s="3" t="n">
        <s:v>46067</s:v>
      </s:c>
      <s:c r="E199" s="3" t="inlineStr">
        <s:is>
          <s:t>RENTA</s:t>
        </s:is>
      </s:c>
      <s:c r="F199" s="2" t="n">
        <s:v>312</s:v>
      </s:c>
      <s:c r="G199" s="2" t="n">
        <s:v>661</s:v>
      </s:c>
      <s:c r="H199" s="2" t="n">
        <s:v>1.75</s:v>
      </s:c>
      <s:c r="I199" s="4" t="n">
        <s:v>13685.48</s:v>
      </s:c>
      <s:c r="J199" s="2" t="n">
        <s:v>239.5</s:v>
      </s:c>
    </s:row>
    <s:row r="200">
      <s:c r="A200" s="2" t="n">
        <s:v>47139</s:v>
      </s:c>
      <s:c r="B200" s="2" t="inlineStr">
        <s:is>
          <s:t>YANGTSE-AUTO DEL ECUADOR S.A.</s:t>
        </s:is>
      </s:c>
      <s:c r="C200" s="3" t="n">
        <s:v>46067</s:v>
      </s:c>
      <s:c r="D200" s="3" t="n">
        <s:v>46067</s:v>
      </s:c>
      <s:c r="E200" s="3" t="inlineStr">
        <s:is>
          <s:t>IVA</s:t>
        </s:is>
      </s:c>
      <s:c r="F200" s="2" t="n">
        <s:v>312</s:v>
      </s:c>
      <s:c r="G200" s="2" t="n">
        <s:v>661</s:v>
      </s:c>
      <s:c r="H200" s="2" t="n">
        <s:v>30</s:v>
      </s:c>
      <s:c r="I200" s="4" t="n">
        <s:v>2052.82</s:v>
      </s:c>
      <s:c r="J200" s="2" t="n">
        <s:v>615.85</s:v>
      </s:c>
    </s:row>
    <s:row r="201">
      <s:c r="A201" s="2" t="n">
        <s:v>47140</s:v>
      </s:c>
      <s:c r="B201" s="2" t="inlineStr">
        <s:is>
          <s:t>VALENZUELA SALAZAR JAVIER EDMUNDO</s:t>
        </s:is>
      </s:c>
      <s:c r="C201" s="3" t="n">
        <s:v>46070</s:v>
      </s:c>
      <s:c r="D201" s="3" t="n">
        <s:v>46066</s:v>
      </s:c>
      <s:c r="E201" s="3" t="inlineStr">
        <s:is>
          <s:t>IVA</s:t>
        </s:is>
      </s:c>
      <s:c r="F201" s="2" t="n">
        <s:v>304</s:v>
      </s:c>
      <s:c r="G201" s="2" t="n">
        <s:v>2</s:v>
      </s:c>
      <s:c r="H201" s="2" t="n">
        <s:v>70</s:v>
      </s:c>
      <s:c r="I201" s="2" t="n">
        <s:v>472.5</s:v>
      </s:c>
      <s:c r="J201" s="2" t="n">
        <s:v>330.75</s:v>
      </s:c>
    </s:row>
    <s:row r="202">
      <s:c r="A202" s="2" t="n">
        <s:v>47140</s:v>
      </s:c>
      <s:c r="B202" s="2" t="inlineStr">
        <s:is>
          <s:t>VALENZUELA SALAZAR JAVIER EDMUNDO</s:t>
        </s:is>
      </s:c>
      <s:c r="C202" s="3" t="n">
        <s:v>46070</s:v>
      </s:c>
      <s:c r="D202" s="3" t="n">
        <s:v>46066</s:v>
      </s:c>
      <s:c r="E202" s="3" t="inlineStr">
        <s:is>
          <s:t>RENTA</s:t>
        </s:is>
      </s:c>
      <s:c r="F202" s="2" t="n">
        <s:v>304</s:v>
      </s:c>
      <s:c r="G202" s="2" t="n">
        <s:v>2</s:v>
      </s:c>
      <s:c r="H202" s="2" t="n">
        <s:v>10</s:v>
      </s:c>
      <s:c r="I202" s="4" t="n">
        <s:v>3150</s:v>
      </s:c>
      <s:c r="J202" s="2" t="n">
        <s:v>315</s:v>
      </s:c>
    </s:row>
    <s:row r="203">
      <s:c r="A203" s="2" t="n">
        <s:v>47141</s:v>
      </s:c>
      <s:c r="B203" s="2" t="inlineStr">
        <s:is>
          <s:t>YANGTSE-AUTO DEL ECUADOR S.A.</s:t>
        </s:is>
      </s:c>
      <s:c r="C203" s="3" t="n">
        <s:v>46070</s:v>
      </s:c>
      <s:c r="D203" s="3" t="n">
        <s:v>46067</s:v>
      </s:c>
      <s:c r="E203" s="3" t="inlineStr">
        <s:is>
          <s:t>RENTA</s:t>
        </s:is>
      </s:c>
      <s:c r="F203" s="2" t="n">
        <s:v>312</s:v>
      </s:c>
      <s:c r="G203" s="2" t="n">
        <s:v>657</s:v>
      </s:c>
      <s:c r="H203" s="2" t="n">
        <s:v>1.75</s:v>
      </s:c>
      <s:c r="I203" s="4" t="n">
        <s:v>33940</s:v>
      </s:c>
      <s:c r="J203" s="2" t="n">
        <s:v>593.95</s:v>
      </s:c>
    </s:row>
    <s:row r="204">
      <s:c r="A204" s="2" t="n">
        <s:v>47142</s:v>
      </s:c>
      <s:c r="B204" s="2" t="inlineStr">
        <s:is>
          <s:t>ZEA ALTAMIRANO MARIA ELENA</s:t>
        </s:is>
      </s:c>
      <s:c r="C204" s="3" t="n">
        <s:v>46071</s:v>
      </s:c>
      <s:c r="D204" s="3" t="n">
        <s:v>46071</s:v>
      </s:c>
      <s:c r="E204" s="3" t="inlineStr">
        <s:is>
          <s:t>RENTA</s:t>
        </s:is>
      </s:c>
      <s:c r="F204" s="2" t="n">
        <s:v>304</s:v>
      </s:c>
      <s:c r="G204" s="2" t="n">
        <s:v>3</s:v>
      </s:c>
      <s:c r="H204" s="2" t="n">
        <s:v>10</s:v>
      </s:c>
      <s:c r="I204" s="4" t="n">
        <s:v>3150</s:v>
      </s:c>
      <s:c r="J204" s="2" t="n">
        <s:v>315</s:v>
      </s:c>
    </s:row>
    <s:row r="205">
      <s:c r="A205" s="2" t="n">
        <s:v>47142</s:v>
      </s:c>
      <s:c r="B205" s="2" t="inlineStr">
        <s:is>
          <s:t>ZEA ALTAMIRANO MARIA ELENA</s:t>
        </s:is>
      </s:c>
      <s:c r="C205" s="3" t="n">
        <s:v>46071</s:v>
      </s:c>
      <s:c r="D205" s="3" t="n">
        <s:v>46071</s:v>
      </s:c>
      <s:c r="E205" s="3" t="inlineStr">
        <s:is>
          <s:t>IVA</s:t>
        </s:is>
      </s:c>
      <s:c r="F205" s="2" t="n">
        <s:v>304</s:v>
      </s:c>
      <s:c r="G205" s="2" t="n">
        <s:v>3</s:v>
      </s:c>
      <s:c r="H205" s="2" t="n">
        <s:v>70</s:v>
      </s:c>
      <s:c r="I205" s="2" t="n">
        <s:v>472.5</s:v>
      </s:c>
      <s:c r="J205" s="2" t="n">
        <s:v>330.75</s:v>
      </s:c>
    </s:row>
    <s:row r="206">
      <s:c r="A206" s="2" t="n">
        <s:v>47143</s:v>
      </s:c>
      <s:c r="B206" s="2" t="inlineStr">
        <s:is>
          <s:t>CASABACA S.A.</s:t>
        </s:is>
      </s:c>
      <s:c r="C206" s="3" t="n">
        <s:v>46071</s:v>
      </s:c>
      <s:c r="D206" s="3" t="n">
        <s:v>46071</s:v>
      </s:c>
      <s:c r="E206" s="3" t="inlineStr">
        <s:is>
          <s:t>IVA</s:t>
        </s:is>
      </s:c>
      <s:c r="F206" s="2" t="n">
        <s:v>332</s:v>
      </s:c>
      <s:c r="G206" s="2" t="n">
        <s:v>9084</s:v>
      </s:c>
      <s:c r="H206" s="2" t="n">
        <s:v>10</s:v>
      </s:c>
      <s:c r="I206" s="4" t="n">
        <s:v>23556.02</s:v>
      </s:c>
      <s:c r="J206" s="4" t="n">
        <s:v>2355.6</s:v>
      </s:c>
    </s:row>
    <s:row r="207">
      <s:c r="A207" s="2" t="n">
        <s:v>47144</s:v>
      </s:c>
      <s:c r="B207" s="2" t="inlineStr">
        <s:is>
          <s:t>CARLARSERVICE CIA. LTDA</s:t>
        </s:is>
      </s:c>
      <s:c r="C207" s="3" t="n">
        <s:v>46071</s:v>
      </s:c>
      <s:c r="D207" s="3" t="n">
        <s:v>46071</s:v>
      </s:c>
      <s:c r="E207" s="3" t="inlineStr">
        <s:is>
          <s:t>RENTA</s:t>
        </s:is>
      </s:c>
      <s:c r="F207" s="2" t="n">
        <s:v>303</s:v>
      </s:c>
      <s:c r="G207" s="2" t="n">
        <s:v>451</s:v>
      </s:c>
      <s:c r="H207" s="2" t="n">
        <s:v>3</s:v>
      </s:c>
      <s:c r="I207" s="2" t="n">
        <s:v>608</s:v>
      </s:c>
      <s:c r="J207" s="2" t="n">
        <s:v>18.24</s:v>
      </s:c>
    </s:row>
    <s:row r="208">
      <s:c r="A208" s="2" t="n">
        <s:v>47144</s:v>
      </s:c>
      <s:c r="B208" s="2" t="inlineStr">
        <s:is>
          <s:t>CARLARSERVICE CIA. LTDA</s:t>
        </s:is>
      </s:c>
      <s:c r="C208" s="3" t="n">
        <s:v>46071</s:v>
      </s:c>
      <s:c r="D208" s="3" t="n">
        <s:v>46071</s:v>
      </s:c>
      <s:c r="E208" s="3" t="inlineStr">
        <s:is>
          <s:t>IVA</s:t>
        </s:is>
      </s:c>
      <s:c r="F208" s="2" t="n">
        <s:v>303</s:v>
      </s:c>
      <s:c r="G208" s="2" t="n">
        <s:v>451</s:v>
      </s:c>
      <s:c r="H208" s="2" t="n">
        <s:v>70</s:v>
      </s:c>
      <s:c r="I208" s="2" t="n">
        <s:v>91.2</s:v>
      </s:c>
      <s:c r="J208" s="2" t="n">
        <s:v>63.84</s:v>
      </s:c>
    </s:row>
    <s:row r="209">
      <s:c r="A209" s="2" t="n">
        <s:v>47145</s:v>
      </s:c>
      <s:c r="B209" s="2" t="inlineStr">
        <s:is>
          <s:t>CARLARSERVICE CIA. LTDA</s:t>
        </s:is>
      </s:c>
      <s:c r="C209" s="3" t="n">
        <s:v>46071</s:v>
      </s:c>
      <s:c r="D209" s="3" t="n">
        <s:v>46071</s:v>
      </s:c>
      <s:c r="E209" s="3" t="inlineStr">
        <s:is>
          <s:t>IVA</s:t>
        </s:is>
      </s:c>
      <s:c r="F209" s="2" t="n">
        <s:v>303</s:v>
      </s:c>
      <s:c r="G209" s="2" t="n">
        <s:v>454</s:v>
      </s:c>
      <s:c r="H209" s="2" t="n">
        <s:v>70</s:v>
      </s:c>
      <s:c r="I209" s="2" t="n">
        <s:v>68.05</s:v>
      </s:c>
      <s:c r="J209" s="2" t="n">
        <s:v>47.64</s:v>
      </s:c>
    </s:row>
    <s:row r="210">
      <s:c r="A210" s="2" t="n">
        <s:v>47145</s:v>
      </s:c>
      <s:c r="B210" s="2" t="inlineStr">
        <s:is>
          <s:t>CARLARSERVICE CIA. LTDA</s:t>
        </s:is>
      </s:c>
      <s:c r="C210" s="3" t="n">
        <s:v>46071</s:v>
      </s:c>
      <s:c r="D210" s="3" t="n">
        <s:v>46071</s:v>
      </s:c>
      <s:c r="E210" s="3" t="inlineStr">
        <s:is>
          <s:t>RENTA</s:t>
        </s:is>
      </s:c>
      <s:c r="F210" s="2" t="n">
        <s:v>303</s:v>
      </s:c>
      <s:c r="G210" s="2" t="n">
        <s:v>454</s:v>
      </s:c>
      <s:c r="H210" s="2" t="n">
        <s:v>3</s:v>
      </s:c>
      <s:c r="I210" s="2" t="n">
        <s:v>453.67</s:v>
      </s:c>
      <s:c r="J210" s="2" t="n">
        <s:v>13.61</s:v>
      </s:c>
    </s:row>
    <s:row r="211">
      <s:c r="A211" s="2" t="n">
        <s:v>47146</s:v>
      </s:c>
      <s:c r="B211" s="2" t="inlineStr">
        <s:is>
          <s:t>CARLARSERVICE CIA. LTDA</s:t>
        </s:is>
      </s:c>
      <s:c r="C211" s="3" t="n">
        <s:v>46071</s:v>
      </s:c>
      <s:c r="D211" s="3" t="n">
        <s:v>46071</s:v>
      </s:c>
      <s:c r="E211" s="3" t="inlineStr">
        <s:is>
          <s:t>IVA</s:t>
        </s:is>
      </s:c>
      <s:c r="F211" s="2" t="n">
        <s:v>303</s:v>
      </s:c>
      <s:c r="G211" s="2" t="n">
        <s:v>456</s:v>
      </s:c>
      <s:c r="H211" s="2" t="n">
        <s:v>70</s:v>
      </s:c>
      <s:c r="I211" s="2" t="n">
        <s:v>148.93</s:v>
      </s:c>
      <s:c r="J211" s="2" t="n">
        <s:v>104.25</s:v>
      </s:c>
    </s:row>
    <s:row r="212">
      <s:c r="A212" s="2" t="n">
        <s:v>47146</s:v>
      </s:c>
      <s:c r="B212" s="2" t="inlineStr">
        <s:is>
          <s:t>CARLARSERVICE CIA. LTDA</s:t>
        </s:is>
      </s:c>
      <s:c r="C212" s="3" t="n">
        <s:v>46071</s:v>
      </s:c>
      <s:c r="D212" s="3" t="n">
        <s:v>46071</s:v>
      </s:c>
      <s:c r="E212" s="3" t="inlineStr">
        <s:is>
          <s:t>RENTA</s:t>
        </s:is>
      </s:c>
      <s:c r="F212" s="2" t="n">
        <s:v>303</s:v>
      </s:c>
      <s:c r="G212" s="2" t="n">
        <s:v>456</s:v>
      </s:c>
      <s:c r="H212" s="2" t="n">
        <s:v>3</s:v>
      </s:c>
      <s:c r="I212" s="2" t="n">
        <s:v>992.85</s:v>
      </s:c>
      <s:c r="J212" s="2" t="n">
        <s:v>29.79</s:v>
      </s:c>
    </s:row>
    <s:row r="213">
      <s:c r="A213" s="2" t="n">
        <s:v>47147</s:v>
      </s:c>
      <s:c r="B213" s="2" t="inlineStr">
        <s:is>
          <s:t>REINOSO SALAS YAJAIRA CAROLINA</s:t>
        </s:is>
      </s:c>
      <s:c r="C213" s="3" t="n">
        <s:v>46071</s:v>
      </s:c>
      <s:c r="D213" s="3" t="n">
        <s:v>46065</s:v>
      </s:c>
      <s:c r="E213" s="3" t="inlineStr">
        <s:is>
          <s:t>IVA</s:t>
        </s:is>
      </s:c>
      <s:c r="F213" s="2" t="n">
        <s:v>307</s:v>
      </s:c>
      <s:c r="G213" s="2" t="n">
        <s:v>137</s:v>
      </s:c>
      <s:c r="H213" s="2" t="n">
        <s:v>70</s:v>
      </s:c>
      <s:c r="I213" s="2" t="n">
        <s:v>7.5</s:v>
      </s:c>
      <s:c r="J213" s="2" t="n">
        <s:v>5.25</s:v>
      </s:c>
    </s:row>
    <s:row r="214">
      <s:c r="A214" s="2" t="n">
        <s:v>47147</s:v>
      </s:c>
      <s:c r="B214" s="2" t="inlineStr">
        <s:is>
          <s:t>REINOSO SALAS YAJAIRA CAROLINA</s:t>
        </s:is>
      </s:c>
      <s:c r="C214" s="3" t="n">
        <s:v>46071</s:v>
      </s:c>
      <s:c r="D214" s="3" t="n">
        <s:v>46065</s:v>
      </s:c>
      <s:c r="E214" s="3" t="inlineStr">
        <s:is>
          <s:t>RENTA</s:t>
        </s:is>
      </s:c>
      <s:c r="F214" s="2" t="n">
        <s:v>307</s:v>
      </s:c>
      <s:c r="G214" s="2" t="n">
        <s:v>137</s:v>
      </s:c>
      <s:c r="H214" s="2" t="n">
        <s:v>2</s:v>
      </s:c>
      <s:c r="I214" s="2" t="n">
        <s:v>50</s:v>
      </s:c>
      <s:c r="J214" s="2" t="n">
        <s:v>1</s:v>
      </s:c>
    </s:row>
    <s:row r="215">
      <s:c r="A215" s="2" t="n">
        <s:v>47148</s:v>
      </s:c>
      <s:c r="B215" s="2" t="inlineStr">
        <s:is>
          <s:t>VAZCREDIT S.A.</s:t>
        </s:is>
      </s:c>
      <s:c r="C215" s="3" t="n">
        <s:v>46071</s:v>
      </s:c>
      <s:c r="D215" s="3" t="n">
        <s:v>46066</s:v>
      </s:c>
      <s:c r="E215" s="3" t="inlineStr">
        <s:is>
          <s:t>RENTA</s:t>
        </s:is>
      </s:c>
      <s:c r="F215" s="2" t="n">
        <s:v>344</s:v>
      </s:c>
      <s:c r="G215" s="2" t="n">
        <s:v>39</s:v>
      </s:c>
      <s:c r="H215" s="2" t="n">
        <s:v>2.75</s:v>
      </s:c>
      <s:c r="I215" s="4" t="n">
        <s:v>17113.18</s:v>
      </s:c>
      <s:c r="J215" s="2" t="n">
        <s:v>470.61</s:v>
      </s:c>
    </s:row>
    <s:row r="216">
      <s:c r="A216" s="2" t="n">
        <s:v>47149</s:v>
      </s:c>
      <s:c r="B216" s="2" t="inlineStr">
        <s:is>
          <s:t>REINOSO SALAS YAJAIRA CAROLINA</s:t>
        </s:is>
      </s:c>
      <s:c r="C216" s="3" t="n">
        <s:v>46071</s:v>
      </s:c>
      <s:c r="D216" s="3" t="n">
        <s:v>46071</s:v>
      </s:c>
      <s:c r="E216" s="3" t="inlineStr">
        <s:is>
          <s:t>IVA</s:t>
        </s:is>
      </s:c>
      <s:c r="F216" s="2" t="n">
        <s:v>307</s:v>
      </s:c>
      <s:c r="G216" s="2" t="n">
        <s:v>141</s:v>
      </s:c>
      <s:c r="H216" s="2" t="n">
        <s:v>70</s:v>
      </s:c>
      <s:c r="I216" s="2" t="n">
        <s:v>6</s:v>
      </s:c>
      <s:c r="J216" s="2" t="n">
        <s:v>4.2</s:v>
      </s:c>
    </s:row>
    <s:row r="217">
      <s:c r="A217" s="2" t="n">
        <s:v>47149</s:v>
      </s:c>
      <s:c r="B217" s="2" t="inlineStr">
        <s:is>
          <s:t>REINOSO SALAS YAJAIRA CAROLINA</s:t>
        </s:is>
      </s:c>
      <s:c r="C217" s="3" t="n">
        <s:v>46071</s:v>
      </s:c>
      <s:c r="D217" s="3" t="n">
        <s:v>46071</s:v>
      </s:c>
      <s:c r="E217" s="3" t="inlineStr">
        <s:is>
          <s:t>RENTA</s:t>
        </s:is>
      </s:c>
      <s:c r="F217" s="2" t="n">
        <s:v>307</s:v>
      </s:c>
      <s:c r="G217" s="2" t="n">
        <s:v>141</s:v>
      </s:c>
      <s:c r="H217" s="2" t="n">
        <s:v>2</s:v>
      </s:c>
      <s:c r="I217" s="2" t="n">
        <s:v>40</s:v>
      </s:c>
      <s:c r="J217" s="2" t="n">
        <s:v>0.8</s:v>
      </s:c>
    </s:row>
    <s:row r="218">
      <s:c r="A218" s="2" t="n">
        <s:v>47150</s:v>
      </s:c>
      <s:c r="B218" s="2" t="inlineStr">
        <s:is>
          <s:t>REINOSO SALAS YAJAIRA CAROLINA</s:t>
        </s:is>
      </s:c>
      <s:c r="C218" s="3" t="n">
        <s:v>46071</s:v>
      </s:c>
      <s:c r="D218" s="3" t="n">
        <s:v>46071</s:v>
      </s:c>
      <s:c r="E218" s="3" t="inlineStr">
        <s:is>
          <s:t>RENTA</s:t>
        </s:is>
      </s:c>
      <s:c r="F218" s="2" t="n">
        <s:v>307</s:v>
      </s:c>
      <s:c r="G218" s="2" t="n">
        <s:v>142</s:v>
      </s:c>
      <s:c r="H218" s="2" t="n">
        <s:v>2</s:v>
      </s:c>
      <s:c r="I218" s="2" t="n">
        <s:v>40</s:v>
      </s:c>
      <s:c r="J218" s="2" t="n">
        <s:v>0.8</s:v>
      </s:c>
    </s:row>
    <s:row r="219">
      <s:c r="A219" s="2" t="n">
        <s:v>47150</s:v>
      </s:c>
      <s:c r="B219" s="2" t="inlineStr">
        <s:is>
          <s:t>REINOSO SALAS YAJAIRA CAROLINA</s:t>
        </s:is>
      </s:c>
      <s:c r="C219" s="3" t="n">
        <s:v>46071</s:v>
      </s:c>
      <s:c r="D219" s="3" t="n">
        <s:v>46071</s:v>
      </s:c>
      <s:c r="E219" s="3" t="inlineStr">
        <s:is>
          <s:t>IVA</s:t>
        </s:is>
      </s:c>
      <s:c r="F219" s="2" t="n">
        <s:v>307</s:v>
      </s:c>
      <s:c r="G219" s="2" t="n">
        <s:v>142</s:v>
      </s:c>
      <s:c r="H219" s="2" t="n">
        <s:v>70</s:v>
      </s:c>
      <s:c r="I219" s="2" t="n">
        <s:v>6</s:v>
      </s:c>
      <s:c r="J219" s="2" t="n">
        <s:v>4.2</s:v>
      </s:c>
    </s:row>
    <s:row r="220">
      <s:c r="A220" s="2" t="n">
        <s:v>47151</s:v>
      </s:c>
      <s:c r="B220" s="2" t="inlineStr">
        <s:is>
          <s:t>REINOSO SALAS YAJAIRA CAROLINA</s:t>
        </s:is>
      </s:c>
      <s:c r="C220" s="3" t="n">
        <s:v>46071</s:v>
      </s:c>
      <s:c r="D220" s="3" t="n">
        <s:v>46071</s:v>
      </s:c>
      <s:c r="E220" s="3" t="inlineStr">
        <s:is>
          <s:t>IVA</s:t>
        </s:is>
      </s:c>
      <s:c r="F220" s="2" t="n">
        <s:v>307</s:v>
      </s:c>
      <s:c r="G220" s="2" t="n">
        <s:v>143</s:v>
      </s:c>
      <s:c r="H220" s="2" t="n">
        <s:v>70</s:v>
      </s:c>
      <s:c r="I220" s="2" t="n">
        <s:v>6</s:v>
      </s:c>
      <s:c r="J220" s="2" t="n">
        <s:v>4.2</s:v>
      </s:c>
    </s:row>
    <s:row r="221">
      <s:c r="A221" s="2" t="n">
        <s:v>47151</s:v>
      </s:c>
      <s:c r="B221" s="2" t="inlineStr">
        <s:is>
          <s:t>REINOSO SALAS YAJAIRA CAROLINA</s:t>
        </s:is>
      </s:c>
      <s:c r="C221" s="3" t="n">
        <s:v>46071</s:v>
      </s:c>
      <s:c r="D221" s="3" t="n">
        <s:v>46071</s:v>
      </s:c>
      <s:c r="E221" s="3" t="inlineStr">
        <s:is>
          <s:t>RENTA</s:t>
        </s:is>
      </s:c>
      <s:c r="F221" s="2" t="n">
        <s:v>307</s:v>
      </s:c>
      <s:c r="G221" s="2" t="n">
        <s:v>143</s:v>
      </s:c>
      <s:c r="H221" s="2" t="n">
        <s:v>2</s:v>
      </s:c>
      <s:c r="I221" s="2" t="n">
        <s:v>40</s:v>
      </s:c>
      <s:c r="J221" s="2" t="n">
        <s:v>0.8</s:v>
      </s:c>
    </s:row>
    <s:row r="222">
      <s:c r="A222" s="2" t="n">
        <s:v>47152</s:v>
      </s:c>
      <s:c r="B222" s="2" t="inlineStr">
        <s:is>
          <s:t>ETL-EC AUDITORES S.A.</s:t>
        </s:is>
      </s:c>
      <s:c r="C222" s="3" t="n">
        <s:v>46071</s:v>
      </s:c>
      <s:c r="D222" s="3" t="n">
        <s:v>46063</s:v>
      </s:c>
      <s:c r="E222" s="3" t="inlineStr">
        <s:is>
          <s:t>IVA</s:t>
        </s:is>
      </s:c>
      <s:c r="F222" s="2" t="n">
        <s:v>303</s:v>
      </s:c>
      <s:c r="G222" s="2" t="n">
        <s:v>7432</s:v>
      </s:c>
      <s:c r="H222" s="2" t="n">
        <s:v>70</s:v>
      </s:c>
      <s:c r="I222" s="2" t="n">
        <s:v>247.5</s:v>
      </s:c>
      <s:c r="J222" s="2" t="n">
        <s:v>173.25</s:v>
      </s:c>
    </s:row>
    <s:row r="223">
      <s:c r="A223" s="2" t="n">
        <s:v>47152</s:v>
      </s:c>
      <s:c r="B223" s="2" t="inlineStr">
        <s:is>
          <s:t>ETL-EC AUDITORES S.A.</s:t>
        </s:is>
      </s:c>
      <s:c r="C223" s="3" t="n">
        <s:v>46071</s:v>
      </s:c>
      <s:c r="D223" s="3" t="n">
        <s:v>46063</s:v>
      </s:c>
      <s:c r="E223" s="3" t="inlineStr">
        <s:is>
          <s:t>RENTA</s:t>
        </s:is>
      </s:c>
      <s:c r="F223" s="2" t="n">
        <s:v>303</s:v>
      </s:c>
      <s:c r="G223" s="2" t="n">
        <s:v>7432</s:v>
      </s:c>
      <s:c r="H223" s="2" t="n">
        <s:v>3</s:v>
      </s:c>
      <s:c r="I223" s="4" t="n">
        <s:v>1650</s:v>
      </s:c>
      <s:c r="J223" s="2" t="n">
        <s:v>49.5</s:v>
      </s:c>
    </s:row>
    <s:row r="224">
      <s:c r="A224" s="2" t="n">
        <s:v>47153</s:v>
      </s:c>
      <s:c r="B224" s="2" t="inlineStr">
        <s:is>
          <s:t>LOPEZ ANDRANGO SEGUNDO MANUEL</s:t>
        </s:is>
      </s:c>
      <s:c r="C224" s="3" t="n">
        <s:v>46071</s:v>
      </s:c>
      <s:c r="D224" s="3" t="n">
        <s:v>46066</s:v>
      </s:c>
      <s:c r="E224" s="3" t="inlineStr">
        <s:is>
          <s:t>RENTA</s:t>
        </s:is>
      </s:c>
      <s:c r="F224" s="2" t="n">
        <s:v>307</s:v>
      </s:c>
      <s:c r="G224" s="2" t="n">
        <s:v>550</s:v>
      </s:c>
      <s:c r="H224" s="2" t="n">
        <s:v>2</s:v>
      </s:c>
      <s:c r="I224" s="2" t="n">
        <s:v>100</s:v>
      </s:c>
      <s:c r="J224" s="2" t="n">
        <s:v>2</s:v>
      </s:c>
    </s:row>
    <s:row r="225">
      <s:c r="A225" s="2" t="n">
        <s:v>47153</s:v>
      </s:c>
      <s:c r="B225" s="2" t="inlineStr">
        <s:is>
          <s:t>LOPEZ ANDRANGO SEGUNDO MANUEL</s:t>
        </s:is>
      </s:c>
      <s:c r="C225" s="3" t="n">
        <s:v>46071</s:v>
      </s:c>
      <s:c r="D225" s="3" t="n">
        <s:v>46066</s:v>
      </s:c>
      <s:c r="E225" s="3" t="inlineStr">
        <s:is>
          <s:t>IVA</s:t>
        </s:is>
      </s:c>
      <s:c r="F225" s="2" t="n">
        <s:v>307</s:v>
      </s:c>
      <s:c r="G225" s="2" t="n">
        <s:v>550</s:v>
      </s:c>
      <s:c r="H225" s="2" t="n">
        <s:v>70</s:v>
      </s:c>
      <s:c r="I225" s="2" t="n">
        <s:v>15</s:v>
      </s:c>
      <s:c r="J225" s="2" t="n">
        <s:v>10.5</s:v>
      </s:c>
    </s:row>
    <s:row r="226">
      <s:c r="A226" s="2" t="n">
        <s:v>47154</s:v>
      </s:c>
      <s:c r="B226" s="2" t="inlineStr">
        <s:is>
          <s:t>KMSOLUTIONS S.A.</s:t>
        </s:is>
      </s:c>
      <s:c r="C226" s="3" t="n">
        <s:v>46071</s:v>
      </s:c>
      <s:c r="D226" s="3" t="n">
        <s:v>46066</s:v>
      </s:c>
      <s:c r="E226" s="3" t="inlineStr">
        <s:is>
          <s:t>RENTA</s:t>
        </s:is>
      </s:c>
      <s:c r="F226" s="2" t="n">
        <s:v>344</s:v>
      </s:c>
      <s:c r="G226" s="2" t="n">
        <s:v>29230</s:v>
      </s:c>
      <s:c r="H226" s="2" t="n">
        <s:v>2.75</s:v>
      </s:c>
      <s:c r="I226" s="2" t="n">
        <s:v>784.3200000000001</s:v>
      </s:c>
      <s:c r="J226" s="2" t="n">
        <s:v>21.57</s:v>
      </s:c>
    </s:row>
    <s:row r="227">
      <s:c r="A227" s="2" t="n">
        <s:v>47154</s:v>
      </s:c>
      <s:c r="B227" s="2" t="inlineStr">
        <s:is>
          <s:t>KMSOLUTIONS S.A.</s:t>
        </s:is>
      </s:c>
      <s:c r="C227" s="3" t="n">
        <s:v>46071</s:v>
      </s:c>
      <s:c r="D227" s="3" t="n">
        <s:v>46066</s:v>
      </s:c>
      <s:c r="E227" s="3" t="inlineStr">
        <s:is>
          <s:t>IVA</s:t>
        </s:is>
      </s:c>
      <s:c r="F227" s="2" t="n">
        <s:v>344</s:v>
      </s:c>
      <s:c r="G227" s="2" t="n">
        <s:v>29230</s:v>
      </s:c>
      <s:c r="H227" s="2" t="n">
        <s:v>20</s:v>
      </s:c>
      <s:c r="I227" s="2" t="n">
        <s:v>117.65</s:v>
      </s:c>
      <s:c r="J227" s="2" t="n">
        <s:v>23.53</s:v>
      </s:c>
    </s:row>
    <s:row r="228">
      <s:c r="A228" s="2" t="n">
        <s:v>47155</s:v>
      </s:c>
      <s:c r="B228" s="2" t="inlineStr">
        <s:is>
          <s:t>REINOSO SALAS YAJAIRA CAROLINA</s:t>
        </s:is>
      </s:c>
      <s:c r="C228" s="3" t="n">
        <s:v>46071</s:v>
      </s:c>
      <s:c r="D228" s="3" t="n">
        <s:v>46071</s:v>
      </s:c>
      <s:c r="E228" s="3" t="inlineStr">
        <s:is>
          <s:t>RENTA</s:t>
        </s:is>
      </s:c>
      <s:c r="F228" s="2" t="n">
        <s:v>307</s:v>
      </s:c>
      <s:c r="G228" s="2" t="n">
        <s:v>140</s:v>
      </s:c>
      <s:c r="H228" s="2" t="n">
        <s:v>2</s:v>
      </s:c>
      <s:c r="I228" s="2" t="n">
        <s:v>40</s:v>
      </s:c>
      <s:c r="J228" s="2" t="n">
        <s:v>0.8</s:v>
      </s:c>
    </s:row>
    <s:row r="229">
      <s:c r="A229" s="2" t="n">
        <s:v>47155</s:v>
      </s:c>
      <s:c r="B229" s="2" t="inlineStr">
        <s:is>
          <s:t>REINOSO SALAS YAJAIRA CAROLINA</s:t>
        </s:is>
      </s:c>
      <s:c r="C229" s="3" t="n">
        <s:v>46071</s:v>
      </s:c>
      <s:c r="D229" s="3" t="n">
        <s:v>46071</s:v>
      </s:c>
      <s:c r="E229" s="3" t="inlineStr">
        <s:is>
          <s:t>IVA</s:t>
        </s:is>
      </s:c>
      <s:c r="F229" s="2" t="n">
        <s:v>307</s:v>
      </s:c>
      <s:c r="G229" s="2" t="n">
        <s:v>140</s:v>
      </s:c>
      <s:c r="H229" s="2" t="n">
        <s:v>70</s:v>
      </s:c>
      <s:c r="I229" s="2" t="n">
        <s:v>6</s:v>
      </s:c>
      <s:c r="J229" s="2" t="n">
        <s:v>4.2</s:v>
      </s:c>
    </s:row>
    <s:row r="230">
      <s:c r="A230" s="2" t="n">
        <s:v>47156</s:v>
      </s:c>
      <s:c r="B230" s="2" t="inlineStr">
        <s:is>
          <s:t>LALAMA MORALES CARMEN GUADALUPE</s:t>
        </s:is>
      </s:c>
      <s:c r="C230" s="3" t="n">
        <s:v>46071</s:v>
      </s:c>
      <s:c r="D230" s="3" t="n">
        <s:v>46063</s:v>
      </s:c>
      <s:c r="E230" s="3" t="inlineStr">
        <s:is>
          <s:t>RENTA</s:t>
        </s:is>
      </s:c>
      <s:c r="F230" s="2" t="n">
        <s:v>312</s:v>
      </s:c>
      <s:c r="G230" s="2" t="n">
        <s:v>5950</s:v>
      </s:c>
      <s:c r="H230" s="2" t="n">
        <s:v>1.75</s:v>
      </s:c>
      <s:c r="I230" s="2" t="n">
        <s:v>20.54</s:v>
      </s:c>
      <s:c r="J230" s="2" t="n">
        <s:v>0.36</s:v>
      </s:c>
    </s:row>
    <s:row r="231">
      <s:c r="A231" s="2" t="n">
        <s:v>47156</s:v>
      </s:c>
      <s:c r="B231" s="2" t="inlineStr">
        <s:is>
          <s:t>LALAMA MORALES CARMEN GUADALUPE</s:t>
        </s:is>
      </s:c>
      <s:c r="C231" s="3" t="n">
        <s:v>46071</s:v>
      </s:c>
      <s:c r="D231" s="3" t="n">
        <s:v>46063</s:v>
      </s:c>
      <s:c r="E231" s="3" t="inlineStr">
        <s:is>
          <s:t>IVA</s:t>
        </s:is>
      </s:c>
      <s:c r="F231" s="2" t="n">
        <s:v>312</s:v>
      </s:c>
      <s:c r="G231" s="2" t="n">
        <s:v>5950</s:v>
      </s:c>
      <s:c r="H231" s="2" t="n">
        <s:v>30</s:v>
      </s:c>
      <s:c r="I231" s="2" t="n">
        <s:v>3.08</s:v>
      </s:c>
      <s:c r="J231" s="2" t="n">
        <s:v>0.92</s:v>
      </s:c>
    </s:row>
    <s:row r="232">
      <s:c r="A232" s="2" t="n">
        <s:v>47157</s:v>
      </s:c>
      <s:c r="B232" s="2" t="inlineStr">
        <s:is>
          <s:t>REINOSO SALAS YAJAIRA CAROLINA</s:t>
        </s:is>
      </s:c>
      <s:c r="C232" s="3" t="n">
        <s:v>46071</s:v>
      </s:c>
      <s:c r="D232" s="3" t="n">
        <s:v>46071</s:v>
      </s:c>
      <s:c r="E232" s="3" t="inlineStr">
        <s:is>
          <s:t>IVA</s:t>
        </s:is>
      </s:c>
      <s:c r="F232" s="2" t="n">
        <s:v>307</s:v>
      </s:c>
      <s:c r="G232" s="2" t="n">
        <s:v>139</s:v>
      </s:c>
      <s:c r="H232" s="2" t="n">
        <s:v>70</s:v>
      </s:c>
      <s:c r="I232" s="2" t="n">
        <s:v>6</s:v>
      </s:c>
      <s:c r="J232" s="2" t="n">
        <s:v>4.2</s:v>
      </s:c>
    </s:row>
    <s:row r="233">
      <s:c r="A233" s="2" t="n">
        <s:v>47157</s:v>
      </s:c>
      <s:c r="B233" s="2" t="inlineStr">
        <s:is>
          <s:t>REINOSO SALAS YAJAIRA CAROLINA</s:t>
        </s:is>
      </s:c>
      <s:c r="C233" s="3" t="n">
        <s:v>46071</s:v>
      </s:c>
      <s:c r="D233" s="3" t="n">
        <s:v>46071</s:v>
      </s:c>
      <s:c r="E233" s="3" t="inlineStr">
        <s:is>
          <s:t>RENTA</s:t>
        </s:is>
      </s:c>
      <s:c r="F233" s="2" t="n">
        <s:v>307</s:v>
      </s:c>
      <s:c r="G233" s="2" t="n">
        <s:v>139</s:v>
      </s:c>
      <s:c r="H233" s="2" t="n">
        <s:v>2</s:v>
      </s:c>
      <s:c r="I233" s="2" t="n">
        <s:v>40</s:v>
      </s:c>
      <s:c r="J233" s="2" t="n">
        <s:v>0.8</s:v>
      </s:c>
    </s:row>
    <s:row r="234">
      <s:c r="A234" s="2" t="n">
        <s:v>47158</s:v>
      </s:c>
      <s:c r="B234" s="2" t="inlineStr">
        <s:is>
          <s:t>PAEZ ORTIZ CHRISTIAN GONZALO</s:t>
        </s:is>
      </s:c>
      <s:c r="C234" s="3" t="n">
        <s:v>46071</s:v>
      </s:c>
      <s:c r="D234" s="3" t="n">
        <s:v>46067</s:v>
      </s:c>
      <s:c r="E234" s="3" t="inlineStr">
        <s:is>
          <s:t>RENTA</s:t>
        </s:is>
      </s:c>
      <s:c r="F234" s="2" t="n">
        <s:v>312</s:v>
      </s:c>
      <s:c r="G234" s="2" t="n">
        <s:v>3630</s:v>
      </s:c>
      <s:c r="H234" s="2" t="n">
        <s:v>1.75</s:v>
      </s:c>
      <s:c r="I234" s="2" t="n">
        <s:v>92.5</s:v>
      </s:c>
      <s:c r="J234" s="2" t="n">
        <s:v>1.62</s:v>
      </s:c>
    </s:row>
    <s:row r="235">
      <s:c r="A235" s="2" t="n">
        <s:v>47158</s:v>
      </s:c>
      <s:c r="B235" s="2" t="inlineStr">
        <s:is>
          <s:t>PAEZ ORTIZ CHRISTIAN GONZALO</s:t>
        </s:is>
      </s:c>
      <s:c r="C235" s="3" t="n">
        <s:v>46071</s:v>
      </s:c>
      <s:c r="D235" s="3" t="n">
        <s:v>46067</s:v>
      </s:c>
      <s:c r="E235" s="3" t="inlineStr">
        <s:is>
          <s:t>IVA</s:t>
        </s:is>
      </s:c>
      <s:c r="F235" s="2" t="n">
        <s:v>312</s:v>
      </s:c>
      <s:c r="G235" s="2" t="n">
        <s:v>3630</s:v>
      </s:c>
      <s:c r="H235" s="2" t="n">
        <s:v>30</s:v>
      </s:c>
      <s:c r="I235" s="2" t="n">
        <s:v>13.88</s:v>
      </s:c>
      <s:c r="J235" s="2" t="n">
        <s:v>4.16</s:v>
      </s:c>
    </s:row>
    <s:row r="236">
      <s:c r="A236" s="2" t="n">
        <s:v>47159</s:v>
      </s:c>
      <s:c r="B236" s="2" t="inlineStr">
        <s:is>
          <s:t>ASTUDILLO RIVADENEIRA CRISTOPHER DANIEL</s:t>
        </s:is>
      </s:c>
      <s:c r="C236" s="3" t="n">
        <s:v>46071</s:v>
      </s:c>
      <s:c r="D236" s="3" t="n">
        <s:v>46066</s:v>
      </s:c>
      <s:c r="E236" s="3" t="inlineStr">
        <s:is>
          <s:t>IVA</s:t>
        </s:is>
      </s:c>
      <s:c r="F236" s="2" t="n">
        <s:v>307</s:v>
      </s:c>
      <s:c r="G236" s="2" t="n">
        <s:v>1114</s:v>
      </s:c>
      <s:c r="H236" s="2" t="n">
        <s:v>70</s:v>
      </s:c>
      <s:c r="I236" s="2" t="n">
        <s:v>285</s:v>
      </s:c>
      <s:c r="J236" s="2" t="n">
        <s:v>199.5</s:v>
      </s:c>
    </s:row>
    <s:row r="237">
      <s:c r="A237" s="2" t="n">
        <s:v>47159</s:v>
      </s:c>
      <s:c r="B237" s="2" t="inlineStr">
        <s:is>
          <s:t>ASTUDILLO RIVADENEIRA CRISTOPHER DANIEL</s:t>
        </s:is>
      </s:c>
      <s:c r="C237" s="3" t="n">
        <s:v>46071</s:v>
      </s:c>
      <s:c r="D237" s="3" t="n">
        <s:v>46066</s:v>
      </s:c>
      <s:c r="E237" s="3" t="inlineStr">
        <s:is>
          <s:t>RENTA</s:t>
        </s:is>
      </s:c>
      <s:c r="F237" s="2" t="n">
        <s:v>307</s:v>
      </s:c>
      <s:c r="G237" s="2" t="n">
        <s:v>1114</s:v>
      </s:c>
      <s:c r="H237" s="2" t="n">
        <s:v>2</s:v>
      </s:c>
      <s:c r="I237" s="4" t="n">
        <s:v>1900</s:v>
      </s:c>
      <s:c r="J237" s="2" t="n">
        <s:v>38</s:v>
      </s:c>
    </s:row>
    <s:row r="238">
      <s:c r="A238" s="2" t="n">
        <s:v>47160</s:v>
      </s:c>
      <s:c r="B238" s="2" t="inlineStr">
        <s:is>
          <s:t>PAEZ ORTIZ CHRISTIAN GONZALO</s:t>
        </s:is>
      </s:c>
      <s:c r="C238" s="3" t="n">
        <s:v>46071</s:v>
      </s:c>
      <s:c r="D238" s="3" t="n">
        <s:v>46067</s:v>
      </s:c>
      <s:c r="E238" s="3" t="inlineStr">
        <s:is>
          <s:t>RENTA</s:t>
        </s:is>
      </s:c>
      <s:c r="F238" s="2" t="n">
        <s:v>312</s:v>
      </s:c>
      <s:c r="G238" s="2" t="n">
        <s:v>3631</s:v>
      </s:c>
      <s:c r="H238" s="2" t="n">
        <s:v>1.75</s:v>
      </s:c>
      <s:c r="I238" s="2" t="n">
        <s:v>232.4</s:v>
      </s:c>
      <s:c r="J238" s="2" t="n">
        <s:v>4.07</s:v>
      </s:c>
    </s:row>
    <s:row r="239">
      <s:c r="A239" s="2" t="n">
        <s:v>47160</s:v>
      </s:c>
      <s:c r="B239" s="2" t="inlineStr">
        <s:is>
          <s:t>PAEZ ORTIZ CHRISTIAN GONZALO</s:t>
        </s:is>
      </s:c>
      <s:c r="C239" s="3" t="n">
        <s:v>46071</s:v>
      </s:c>
      <s:c r="D239" s="3" t="n">
        <s:v>46067</s:v>
      </s:c>
      <s:c r="E239" s="3" t="inlineStr">
        <s:is>
          <s:t>IVA</s:t>
        </s:is>
      </s:c>
      <s:c r="F239" s="2" t="n">
        <s:v>312</s:v>
      </s:c>
      <s:c r="G239" s="2" t="n">
        <s:v>3631</s:v>
      </s:c>
      <s:c r="H239" s="2" t="n">
        <s:v>30</s:v>
      </s:c>
      <s:c r="I239" s="2" t="n">
        <s:v>34.86</s:v>
      </s:c>
      <s:c r="J239" s="2" t="n">
        <s:v>10.46</s:v>
      </s:c>
    </s:row>
    <s:row r="240">
      <s:c r="A240" s="2" t="n">
        <s:v>47161</s:v>
      </s:c>
      <s:c r="B240" s="2" t="inlineStr">
        <s:is>
          <s:t>PAEZ ORTIZ CHRISTIAN GONZALO</s:t>
        </s:is>
      </s:c>
      <s:c r="C240" s="3" t="n">
        <s:v>46071</s:v>
      </s:c>
      <s:c r="D240" s="3" t="n">
        <s:v>46067</s:v>
      </s:c>
      <s:c r="E240" s="3" t="inlineStr">
        <s:is>
          <s:t>IVA</s:t>
        </s:is>
      </s:c>
      <s:c r="F240" s="2" t="n">
        <s:v>312</s:v>
      </s:c>
      <s:c r="G240" s="2" t="n">
        <s:v>3633</s:v>
      </s:c>
      <s:c r="H240" s="2" t="n">
        <s:v>30</s:v>
      </s:c>
      <s:c r="I240" s="2" t="n">
        <s:v>19.2</s:v>
      </s:c>
      <s:c r="J240" s="2" t="n">
        <s:v>5.76</s:v>
      </s:c>
    </s:row>
    <s:row r="241">
      <s:c r="A241" s="2" t="n">
        <s:v>47161</s:v>
      </s:c>
      <s:c r="B241" s="2" t="inlineStr">
        <s:is>
          <s:t>PAEZ ORTIZ CHRISTIAN GONZALO</s:t>
        </s:is>
      </s:c>
      <s:c r="C241" s="3" t="n">
        <s:v>46071</s:v>
      </s:c>
      <s:c r="D241" s="3" t="n">
        <s:v>46067</s:v>
      </s:c>
      <s:c r="E241" s="3" t="inlineStr">
        <s:is>
          <s:t>RENTA</s:t>
        </s:is>
      </s:c>
      <s:c r="F241" s="2" t="n">
        <s:v>312</s:v>
      </s:c>
      <s:c r="G241" s="2" t="n">
        <s:v>3633</s:v>
      </s:c>
      <s:c r="H241" s="2" t="n">
        <s:v>1.75</s:v>
      </s:c>
      <s:c r="I241" s="2" t="n">
        <s:v>128</s:v>
      </s:c>
      <s:c r="J241" s="2" t="n">
        <s:v>2.24</s:v>
      </s:c>
    </s:row>
    <s:row r="242">
      <s:c r="A242" s="2" t="n">
        <s:v>47162</s:v>
      </s:c>
      <s:c r="B242" s="2" t="inlineStr">
        <s:is>
          <s:t>PAEZ ORTIZ CHRISTIAN GONZALO</s:t>
        </s:is>
      </s:c>
      <s:c r="C242" s="3" t="n">
        <s:v>46071</s:v>
      </s:c>
      <s:c r="D242" s="3" t="n">
        <s:v>46067</s:v>
      </s:c>
      <s:c r="E242" s="3" t="inlineStr">
        <s:is>
          <s:t>IVA</s:t>
        </s:is>
      </s:c>
      <s:c r="F242" s="2" t="n">
        <s:v>312</s:v>
      </s:c>
      <s:c r="G242" s="2" t="n">
        <s:v>3634</s:v>
      </s:c>
      <s:c r="H242" s="2" t="n">
        <s:v>30</s:v>
      </s:c>
      <s:c r="I242" s="2" t="n">
        <s:v>34.56</s:v>
      </s:c>
      <s:c r="J242" s="2" t="n">
        <s:v>10.37</s:v>
      </s:c>
    </s:row>
    <s:row r="243">
      <s:c r="A243" s="2" t="n">
        <s:v>47162</s:v>
      </s:c>
      <s:c r="B243" s="2" t="inlineStr">
        <s:is>
          <s:t>PAEZ ORTIZ CHRISTIAN GONZALO</s:t>
        </s:is>
      </s:c>
      <s:c r="C243" s="3" t="n">
        <s:v>46071</s:v>
      </s:c>
      <s:c r="D243" s="3" t="n">
        <s:v>46067</s:v>
      </s:c>
      <s:c r="E243" s="3" t="inlineStr">
        <s:is>
          <s:t>RENTA</s:t>
        </s:is>
      </s:c>
      <s:c r="F243" s="2" t="n">
        <s:v>312</s:v>
      </s:c>
      <s:c r="G243" s="2" t="n">
        <s:v>3634</s:v>
      </s:c>
      <s:c r="H243" s="2" t="n">
        <s:v>1.75</s:v>
      </s:c>
      <s:c r="I243" s="2" t="n">
        <s:v>230.4</s:v>
      </s:c>
      <s:c r="J243" s="2" t="n">
        <s:v>4.03</s:v>
      </s:c>
    </s:row>
    <s:row r="244">
      <s:c r="A244" s="2" t="n">
        <s:v>47163</s:v>
      </s:c>
      <s:c r="B244" s="2" t="inlineStr">
        <s:is>
          <s:t>PAEZ ORTIZ CHRISTIAN GONZALO</s:t>
        </s:is>
      </s:c>
      <s:c r="C244" s="3" t="n">
        <s:v>46071</s:v>
      </s:c>
      <s:c r="D244" s="3" t="n">
        <s:v>46065</s:v>
      </s:c>
      <s:c r="E244" s="3" t="inlineStr">
        <s:is>
          <s:t>IVA</s:t>
        </s:is>
      </s:c>
      <s:c r="F244" s="2" t="n">
        <s:v>312</s:v>
      </s:c>
      <s:c r="G244" s="2" t="n">
        <s:v>3622</s:v>
      </s:c>
      <s:c r="H244" s="2" t="n">
        <s:v>30</s:v>
      </s:c>
      <s:c r="I244" s="2" t="n">
        <s:v>10.5</s:v>
      </s:c>
      <s:c r="J244" s="2" t="n">
        <s:v>3.15</s:v>
      </s:c>
    </s:row>
    <s:row r="245">
      <s:c r="A245" s="2" t="n">
        <s:v>47163</s:v>
      </s:c>
      <s:c r="B245" s="2" t="inlineStr">
        <s:is>
          <s:t>PAEZ ORTIZ CHRISTIAN GONZALO</s:t>
        </s:is>
      </s:c>
      <s:c r="C245" s="3" t="n">
        <s:v>46071</s:v>
      </s:c>
      <s:c r="D245" s="3" t="n">
        <s:v>46065</s:v>
      </s:c>
      <s:c r="E245" s="3" t="inlineStr">
        <s:is>
          <s:t>RENTA</s:t>
        </s:is>
      </s:c>
      <s:c r="F245" s="2" t="n">
        <s:v>312</s:v>
      </s:c>
      <s:c r="G245" s="2" t="n">
        <s:v>3622</s:v>
      </s:c>
      <s:c r="H245" s="2" t="n">
        <s:v>1.75</s:v>
      </s:c>
      <s:c r="I245" s="2" t="n">
        <s:v>70</s:v>
      </s:c>
      <s:c r="J245" s="2" t="n">
        <s:v>1.23</s:v>
      </s:c>
    </s:row>
    <s:row r="246">
      <s:c r="A246" s="2" t="n">
        <s:v>47164</s:v>
      </s:c>
      <s:c r="B246" s="2" t="inlineStr">
        <s:is>
          <s:t>ASTUDILLO RIVADENEIRA CRISTOPHER DANIEL</s:t>
        </s:is>
      </s:c>
      <s:c r="C246" s="3" t="n">
        <s:v>46071</s:v>
      </s:c>
      <s:c r="D246" s="3" t="n">
        <s:v>46066</s:v>
      </s:c>
      <s:c r="E246" s="3" t="inlineStr">
        <s:is>
          <s:t>IVA</s:t>
        </s:is>
      </s:c>
      <s:c r="F246" s="2" t="n">
        <s:v>307</s:v>
      </s:c>
      <s:c r="G246" s="2" t="n">
        <s:v>1113</s:v>
      </s:c>
      <s:c r="H246" s="2" t="n">
        <s:v>70</s:v>
      </s:c>
      <s:c r="I246" s="2" t="n">
        <s:v>285</s:v>
      </s:c>
      <s:c r="J246" s="2" t="n">
        <s:v>199.5</s:v>
      </s:c>
    </s:row>
    <s:row r="247">
      <s:c r="A247" s="2" t="n">
        <s:v>47164</s:v>
      </s:c>
      <s:c r="B247" s="2" t="inlineStr">
        <s:is>
          <s:t>ASTUDILLO RIVADENEIRA CRISTOPHER DANIEL</s:t>
        </s:is>
      </s:c>
      <s:c r="C247" s="3" t="n">
        <s:v>46071</s:v>
      </s:c>
      <s:c r="D247" s="3" t="n">
        <s:v>46066</s:v>
      </s:c>
      <s:c r="E247" s="3" t="inlineStr">
        <s:is>
          <s:t>RENTA</s:t>
        </s:is>
      </s:c>
      <s:c r="F247" s="2" t="n">
        <s:v>307</s:v>
      </s:c>
      <s:c r="G247" s="2" t="n">
        <s:v>1113</s:v>
      </s:c>
      <s:c r="H247" s="2" t="n">
        <s:v>2</s:v>
      </s:c>
      <s:c r="I247" s="4" t="n">
        <s:v>1900</s:v>
      </s:c>
      <s:c r="J247" s="2" t="n">
        <s:v>38</s:v>
      </s:c>
    </s:row>
    <s:row r="248">
      <s:c r="A248" s="2" t="n">
        <s:v>47165</s:v>
      </s:c>
      <s:c r="B248" s="2" t="inlineStr">
        <s:is>
          <s:t>PAEZ ORTIZ CHRISTIAN GONZALO</s:t>
        </s:is>
      </s:c>
      <s:c r="C248" s="3" t="n">
        <s:v>46071</s:v>
      </s:c>
      <s:c r="D248" s="3" t="n">
        <s:v>46067</s:v>
      </s:c>
      <s:c r="E248" s="3" t="inlineStr">
        <s:is>
          <s:t>RENTA</s:t>
        </s:is>
      </s:c>
      <s:c r="F248" s="2" t="n">
        <s:v>312</s:v>
      </s:c>
      <s:c r="G248" s="2" t="n">
        <s:v>3632</s:v>
      </s:c>
      <s:c r="H248" s="2" t="n">
        <s:v>1.75</s:v>
      </s:c>
      <s:c r="I248" s="2" t="n">
        <s:v>299</s:v>
      </s:c>
      <s:c r="J248" s="2" t="n">
        <s:v>5.23</s:v>
      </s:c>
    </s:row>
    <s:row r="249">
      <s:c r="A249" s="2" t="n">
        <s:v>47165</s:v>
      </s:c>
      <s:c r="B249" s="2" t="inlineStr">
        <s:is>
          <s:t>PAEZ ORTIZ CHRISTIAN GONZALO</s:t>
        </s:is>
      </s:c>
      <s:c r="C249" s="3" t="n">
        <s:v>46071</s:v>
      </s:c>
      <s:c r="D249" s="3" t="n">
        <s:v>46067</s:v>
      </s:c>
      <s:c r="E249" s="3" t="inlineStr">
        <s:is>
          <s:t>IVA</s:t>
        </s:is>
      </s:c>
      <s:c r="F249" s="2" t="n">
        <s:v>312</s:v>
      </s:c>
      <s:c r="G249" s="2" t="n">
        <s:v>3632</s:v>
      </s:c>
      <s:c r="H249" s="2" t="n">
        <s:v>30</s:v>
      </s:c>
      <s:c r="I249" s="2" t="n">
        <s:v>44.85</s:v>
      </s:c>
      <s:c r="J249" s="2" t="n">
        <s:v>13.46</s:v>
      </s:c>
    </s:row>
    <s:row r="250">
      <s:c r="A250" s="2" t="n">
        <s:v>47166</s:v>
      </s:c>
      <s:c r="B250" s="2" t="inlineStr">
        <s:is>
          <s:t>PAEZ ORTIZ CHRISTIAN GONZALO</s:t>
        </s:is>
      </s:c>
      <s:c r="C250" s="3" t="n">
        <s:v>46071</s:v>
      </s:c>
      <s:c r="D250" s="3" t="n">
        <s:v>46067</s:v>
      </s:c>
      <s:c r="E250" s="3" t="inlineStr">
        <s:is>
          <s:t>RENTA</s:t>
        </s:is>
      </s:c>
      <s:c r="F250" s="2" t="n">
        <s:v>307</s:v>
      </s:c>
      <s:c r="G250" s="2" t="n">
        <s:v>3635</s:v>
      </s:c>
      <s:c r="H250" s="2" t="n">
        <s:v>2</s:v>
      </s:c>
      <s:c r="I250" s="2" t="n">
        <s:v>487</s:v>
      </s:c>
      <s:c r="J250" s="2" t="n">
        <s:v>9.74</s:v>
      </s:c>
    </s:row>
    <s:row r="251">
      <s:c r="A251" s="2" t="n">
        <s:v>47166</s:v>
      </s:c>
      <s:c r="B251" s="2" t="inlineStr">
        <s:is>
          <s:t>PAEZ ORTIZ CHRISTIAN GONZALO</s:t>
        </s:is>
      </s:c>
      <s:c r="C251" s="3" t="n">
        <s:v>46071</s:v>
      </s:c>
      <s:c r="D251" s="3" t="n">
        <s:v>46067</s:v>
      </s:c>
      <s:c r="E251" s="3" t="inlineStr">
        <s:is>
          <s:t>IVA</s:t>
        </s:is>
      </s:c>
      <s:c r="F251" s="2" t="n">
        <s:v>307</s:v>
      </s:c>
      <s:c r="G251" s="2" t="n">
        <s:v>3635</s:v>
      </s:c>
      <s:c r="H251" s="2" t="n">
        <s:v>70</s:v>
      </s:c>
      <s:c r="I251" s="2" t="n">
        <s:v>73.05</s:v>
      </s:c>
      <s:c r="J251" s="2" t="n">
        <s:v>51.14</s:v>
      </s:c>
    </s:row>
    <s:row r="252">
      <s:c r="A252" s="2" t="n">
        <s:v>47167</s:v>
      </s:c>
      <s:c r="B252" s="2" t="inlineStr">
        <s:is>
          <s:t>TOYOTASERVICIOS S.A.</s:t>
        </s:is>
      </s:c>
      <s:c r="C252" s="3" t="n">
        <s:v>46071</s:v>
      </s:c>
      <s:c r="D252" s="3" t="n">
        <s:v>46071</s:v>
      </s:c>
      <s:c r="E252" s="3" t="inlineStr">
        <s:is>
          <s:t>RENTA</s:t>
        </s:is>
      </s:c>
      <s:c r="F252" s="2" t="n">
        <s:v>344</s:v>
      </s:c>
      <s:c r="G252" s="2" t="n">
        <s:v>6895</s:v>
      </s:c>
      <s:c r="H252" s="2" t="n">
        <s:v>2.75</s:v>
      </s:c>
      <s:c r="I252" s="2" t="n">
        <s:v>21.63</s:v>
      </s:c>
      <s:c r="J252" s="2" t="n">
        <s:v>0.59</s:v>
      </s:c>
    </s:row>
    <s:row r="253">
      <s:c r="A253" s="2" t="n">
        <s:v>47167</s:v>
      </s:c>
      <s:c r="B253" s="2" t="inlineStr">
        <s:is>
          <s:t>TOYOTASERVICIOS S.A.</s:t>
        </s:is>
      </s:c>
      <s:c r="C253" s="3" t="n">
        <s:v>46071</s:v>
      </s:c>
      <s:c r="D253" s="3" t="n">
        <s:v>46071</s:v>
      </s:c>
      <s:c r="E253" s="3" t="inlineStr">
        <s:is>
          <s:t>IVA</s:t>
        </s:is>
      </s:c>
      <s:c r="F253" s="2" t="n">
        <s:v>344</s:v>
      </s:c>
      <s:c r="G253" s="2" t="n">
        <s:v>6895</s:v>
      </s:c>
      <s:c r="H253" s="2" t="n">
        <s:v>70</s:v>
      </s:c>
      <s:c r="I253" s="2" t="n">
        <s:v>3.24</s:v>
      </s:c>
      <s:c r="J253" s="2" t="n">
        <s:v>2.27</s:v>
      </s:c>
    </s:row>
    <s:row r="254">
      <s:c r="A254" s="2" t="n">
        <s:v>47168</s:v>
      </s:c>
      <s:c r="B254" s="2" t="inlineStr">
        <s:is>
          <s:t>TOYOTASERVICIOS S.A.</s:t>
        </s:is>
      </s:c>
      <s:c r="C254" s="3" t="n">
        <s:v>46071</s:v>
      </s:c>
      <s:c r="D254" s="3" t="n">
        <s:v>46071</s:v>
      </s:c>
      <s:c r="E254" s="3" t="inlineStr">
        <s:is>
          <s:t>RENTA</s:t>
        </s:is>
      </s:c>
      <s:c r="F254" s="2" t="n">
        <s:v>312</s:v>
      </s:c>
      <s:c r="G254" s="2" t="n">
        <s:v>6894</s:v>
      </s:c>
      <s:c r="H254" s="2" t="n">
        <s:v>1.75</s:v>
      </s:c>
      <s:c r="I254" s="2" t="n">
        <s:v>29.89</s:v>
      </s:c>
      <s:c r="J254" s="2" t="n">
        <s:v>0.52</s:v>
      </s:c>
    </s:row>
    <s:row r="255">
      <s:c r="A255" s="2" t="n">
        <s:v>47168</s:v>
      </s:c>
      <s:c r="B255" s="2" t="inlineStr">
        <s:is>
          <s:t>TOYOTASERVICIOS S.A.</s:t>
        </s:is>
      </s:c>
      <s:c r="C255" s="3" t="n">
        <s:v>46071</s:v>
      </s:c>
      <s:c r="D255" s="3" t="n">
        <s:v>46071</s:v>
      </s:c>
      <s:c r="E255" s="3" t="inlineStr">
        <s:is>
          <s:t>IVA</s:t>
        </s:is>
      </s:c>
      <s:c r="F255" s="2" t="n">
        <s:v>312</s:v>
      </s:c>
      <s:c r="G255" s="2" t="n">
        <s:v>6894</s:v>
      </s:c>
      <s:c r="H255" s="2" t="n">
        <s:v>30</s:v>
      </s:c>
      <s:c r="I255" s="2" t="n">
        <s:v>4.48</s:v>
      </s:c>
      <s:c r="J255" s="2" t="n">
        <s:v>1.34</s:v>
      </s:c>
    </s:row>
    <s:row r="256">
      <s:c r="A256" s="2" t="n">
        <s:v>47169</s:v>
      </s:c>
      <s:c r="B256" s="2" t="inlineStr">
        <s:is>
          <s:t>GARCES REA JAVIER ALEJANDRO</s:t>
        </s:is>
      </s:c>
      <s:c r="C256" s="3" t="n">
        <s:v>46071</s:v>
      </s:c>
      <s:c r="D256" s="3" t="n">
        <s:v>46071</s:v>
      </s:c>
      <s:c r="E256" s="3" t="inlineStr">
        <s:is>
          <s:t>RENTA</s:t>
        </s:is>
      </s:c>
      <s:c r="F256" s="2" t="n">
        <s:v>312</s:v>
      </s:c>
      <s:c r="G256" s="2" t="n">
        <s:v>1096</s:v>
      </s:c>
      <s:c r="H256" s="2" t="n">
        <s:v>1.75</s:v>
      </s:c>
      <s:c r="I256" s="4" t="n">
        <s:v>1000</s:v>
      </s:c>
      <s:c r="J256" s="2" t="n">
        <s:v>17.5</s:v>
      </s:c>
    </s:row>
    <s:row r="257">
      <s:c r="A257" s="2" t="n">
        <s:v>47169</s:v>
      </s:c>
      <s:c r="B257" s="2" t="inlineStr">
        <s:is>
          <s:t>GARCES REA JAVIER ALEJANDRO</s:t>
        </s:is>
      </s:c>
      <s:c r="C257" s="3" t="n">
        <s:v>46071</s:v>
      </s:c>
      <s:c r="D257" s="3" t="n">
        <s:v>46071</s:v>
      </s:c>
      <s:c r="E257" s="3" t="inlineStr">
        <s:is>
          <s:t>IVA</s:t>
        </s:is>
      </s:c>
      <s:c r="F257" s="2" t="n">
        <s:v>312</s:v>
      </s:c>
      <s:c r="G257" s="2" t="n">
        <s:v>1096</s:v>
      </s:c>
      <s:c r="H257" s="2" t="n">
        <s:v>30</s:v>
      </s:c>
      <s:c r="I257" s="2" t="n">
        <s:v>150</s:v>
      </s:c>
      <s:c r="J257" s="2" t="n">
        <s:v>45</s:v>
      </s:c>
    </s:row>
    <s:row r="258">
      <s:c r="A258" s="2" t="n">
        <s:v>47170</s:v>
      </s:c>
      <s:c r="B258" s="2" t="inlineStr">
        <s:is>
          <s:t>TOYOTASERVICIOS S.A.</s:t>
        </s:is>
      </s:c>
      <s:c r="C258" s="3" t="n">
        <s:v>46071</s:v>
      </s:c>
      <s:c r="D258" s="3" t="n">
        <s:v>46071</s:v>
      </s:c>
      <s:c r="E258" s="3" t="inlineStr">
        <s:is>
          <s:t>RENTA</s:t>
        </s:is>
      </s:c>
      <s:c r="F258" s="2" t="n">
        <s:v>312</s:v>
      </s:c>
      <s:c r="G258" s="2" t="n">
        <s:v>14894</s:v>
      </s:c>
      <s:c r="H258" s="2" t="n">
        <s:v>1.75</s:v>
      </s:c>
      <s:c r="I258" s="2" t="n">
        <s:v>682.3</s:v>
      </s:c>
      <s:c r="J258" s="2" t="n">
        <s:v>11.94</s:v>
      </s:c>
    </s:row>
    <s:row r="259">
      <s:c r="A259" s="2" t="n">
        <s:v>47170</s:v>
      </s:c>
      <s:c r="B259" s="2" t="inlineStr">
        <s:is>
          <s:t>TOYOTASERVICIOS S.A.</s:t>
        </s:is>
      </s:c>
      <s:c r="C259" s="3" t="n">
        <s:v>46071</s:v>
      </s:c>
      <s:c r="D259" s="3" t="n">
        <s:v>46071</s:v>
      </s:c>
      <s:c r="E259" s="3" t="inlineStr">
        <s:is>
          <s:t>IVA</s:t>
        </s:is>
      </s:c>
      <s:c r="F259" s="2" t="n">
        <s:v>312</s:v>
      </s:c>
      <s:c r="G259" s="2" t="n">
        <s:v>14894</s:v>
      </s:c>
      <s:c r="H259" s="2" t="n">
        <s:v>30</s:v>
      </s:c>
      <s:c r="I259" s="2" t="n">
        <s:v>102.35</s:v>
      </s:c>
      <s:c r="J259" s="2" t="n">
        <s:v>30.71</s:v>
      </s:c>
    </s:row>
    <s:row r="260">
      <s:c r="A260" s="2" t="n">
        <s:v>47171</s:v>
      </s:c>
      <s:c r="B260" s="2" t="inlineStr">
        <s:is>
          <s:t>TOYOTASERVICIOS S.A.</s:t>
        </s:is>
      </s:c>
      <s:c r="C260" s="3" t="n">
        <s:v>46071</s:v>
      </s:c>
      <s:c r="D260" s="3" t="n">
        <s:v>46071</s:v>
      </s:c>
      <s:c r="E260" s="3" t="inlineStr">
        <s:is>
          <s:t>RENTA</s:t>
        </s:is>
      </s:c>
      <s:c r="F260" s="2" t="n">
        <s:v>312</s:v>
      </s:c>
      <s:c r="G260" s="2" t="n">
        <s:v>14895</s:v>
      </s:c>
      <s:c r="H260" s="2" t="n">
        <s:v>1.75</s:v>
      </s:c>
      <s:c r="I260" s="2" t="n">
        <s:v>220</s:v>
      </s:c>
      <s:c r="J260" s="2" t="n">
        <s:v>3.85</s:v>
      </s:c>
    </s:row>
    <s:row r="261">
      <s:c r="A261" s="2" t="n">
        <s:v>47171</s:v>
      </s:c>
      <s:c r="B261" s="2" t="inlineStr">
        <s:is>
          <s:t>TOYOTASERVICIOS S.A.</s:t>
        </s:is>
      </s:c>
      <s:c r="C261" s="3" t="n">
        <s:v>46071</s:v>
      </s:c>
      <s:c r="D261" s="3" t="n">
        <s:v>46071</s:v>
      </s:c>
      <s:c r="E261" s="3" t="inlineStr">
        <s:is>
          <s:t>IVA</s:t>
        </s:is>
      </s:c>
      <s:c r="F261" s="2" t="n">
        <s:v>312</s:v>
      </s:c>
      <s:c r="G261" s="2" t="n">
        <s:v>14895</s:v>
      </s:c>
      <s:c r="H261" s="2" t="n">
        <s:v>30</s:v>
      </s:c>
      <s:c r="I261" s="2" t="n">
        <s:v>33</s:v>
      </s:c>
      <s:c r="J261" s="2" t="n">
        <s:v>9.9</s:v>
      </s:c>
    </s:row>
    <s:row r="262">
      <s:c r="A262" s="2" t="n">
        <s:v>47172</s:v>
      </s:c>
      <s:c r="B262" s="2" t="inlineStr">
        <s:is>
          <s:t>CABRERA ROJAS DORIS MARIA</s:t>
        </s:is>
      </s:c>
      <s:c r="C262" s="3" t="n">
        <s:v>46072</s:v>
      </s:c>
      <s:c r="D262" s="3" t="n">
        <s:v>46072</s:v>
      </s:c>
      <s:c r="E262" s="3" t="inlineStr">
        <s:is>
          <s:t>RENTA</s:t>
        </s:is>
      </s:c>
      <s:c r="F262" s="2" t="n">
        <s:v>304</s:v>
      </s:c>
      <s:c r="G262" s="2" t="n">
        <s:v>193539</s:v>
      </s:c>
      <s:c r="H262" s="2" t="n">
        <s:v>10</s:v>
      </s:c>
      <s:c r="I262" s="2" t="n">
        <s:v>74.69</s:v>
      </s:c>
      <s:c r="J262" s="2" t="n">
        <s:v>7.47</s:v>
      </s:c>
    </s:row>
    <s:row r="263">
      <s:c r="A263" s="2" t="n">
        <s:v>47172</s:v>
      </s:c>
      <s:c r="B263" s="2" t="inlineStr">
        <s:is>
          <s:t>CABRERA ROJAS DORIS MARIA</s:t>
        </s:is>
      </s:c>
      <s:c r="C263" s="3" t="n">
        <s:v>46072</s:v>
      </s:c>
      <s:c r="D263" s="3" t="n">
        <s:v>46072</s:v>
      </s:c>
      <s:c r="E263" s="3" t="inlineStr">
        <s:is>
          <s:t>IVA</s:t>
        </s:is>
      </s:c>
      <s:c r="F263" s="2" t="n">
        <s:v>304</s:v>
      </s:c>
      <s:c r="G263" s="2" t="n">
        <s:v>193539</s:v>
      </s:c>
      <s:c r="H263" s="2" t="n">
        <s:v>70</s:v>
      </s:c>
      <s:c r="I263" s="2" t="n">
        <s:v>11.11</s:v>
      </s:c>
      <s:c r="J263" s="2" t="n">
        <s:v>7.78</s:v>
      </s:c>
    </s:row>
    <s:row r="264">
      <s:c r="A264" s="2" t="n">
        <s:v>47173</s:v>
      </s:c>
      <s:c r="B264" s="2" t="inlineStr">
        <s:is>
          <s:t>SZK DEL ECUADOR S.A.</s:t>
        </s:is>
      </s:c>
      <s:c r="C264" s="3" t="n">
        <s:v>46072</s:v>
      </s:c>
      <s:c r="D264" s="3" t="n">
        <s:v>46072</s:v>
      </s:c>
      <s:c r="E264" s="3" t="inlineStr">
        <s:is>
          <s:t>IVA</s:t>
        </s:is>
      </s:c>
      <s:c r="F264" s="2" t="n">
        <s:v>312</s:v>
      </s:c>
      <s:c r="G264" s="2" t="n">
        <s:v>3183</s:v>
      </s:c>
      <s:c r="H264" s="2" t="n">
        <s:v>10</s:v>
      </s:c>
      <s:c r="I264" s="4" t="n">
        <s:v>15525.44</s:v>
      </s:c>
      <s:c r="J264" s="4" t="n">
        <s:v>1552.54</s:v>
      </s:c>
    </s:row>
    <s:row r="265">
      <s:c r="A265" s="2" t="n">
        <s:v>47174</s:v>
      </s:c>
      <s:c r="B265" s="2" t="inlineStr">
        <s:is>
          <s:t>YANGTSE-AUTO DEL ECUADOR S.A.</s:t>
        </s:is>
      </s:c>
      <s:c r="C265" s="3" t="n">
        <s:v>46072</s:v>
      </s:c>
      <s:c r="D265" s="3" t="n">
        <s:v>46072</s:v>
      </s:c>
      <s:c r="E265" s="3" t="inlineStr">
        <s:is>
          <s:t>RENTA</s:t>
        </s:is>
      </s:c>
      <s:c r="F265" s="2" t="n">
        <s:v>312</s:v>
      </s:c>
      <s:c r="G265" s="2" t="n">
        <s:v>545</s:v>
      </s:c>
      <s:c r="H265" s="2" t="n">
        <s:v>1.75</s:v>
      </s:c>
      <s:c r="I265" s="2" t="n">
        <s:v>396.08</s:v>
      </s:c>
      <s:c r="J265" s="2" t="n">
        <s:v>6.93</s:v>
      </s:c>
    </s:row>
    <s:row r="266">
      <s:c r="A266" s="2" t="n">
        <s:v>47174</s:v>
      </s:c>
      <s:c r="B266" s="2" t="inlineStr">
        <s:is>
          <s:t>YANGTSE-AUTO DEL ECUADOR S.A.</s:t>
        </s:is>
      </s:c>
      <s:c r="C266" s="3" t="n">
        <s:v>46072</s:v>
      </s:c>
      <s:c r="D266" s="3" t="n">
        <s:v>46072</s:v>
      </s:c>
      <s:c r="E266" s="3" t="inlineStr">
        <s:is>
          <s:t>IVA</s:t>
        </s:is>
      </s:c>
      <s:c r="F266" s="2" t="n">
        <s:v>312</s:v>
      </s:c>
      <s:c r="G266" s="2" t="n">
        <s:v>545</s:v>
      </s:c>
      <s:c r="H266" s="2" t="n">
        <s:v>30</s:v>
      </s:c>
      <s:c r="I266" s="2" t="n">
        <s:v>3.91</s:v>
      </s:c>
      <s:c r="J266" s="2" t="n">
        <s:v>1.17</s:v>
      </s:c>
    </s:row>
    <s:row r="267">
      <s:c r="A267" s="2" t="n">
        <s:v>47175</s:v>
      </s:c>
      <s:c r="B267" s="2" t="inlineStr">
        <s:is>
          <s:t>SZK DEL ECUADOR S.A.</s:t>
        </s:is>
      </s:c>
      <s:c r="C267" s="3" t="n">
        <s:v>46073</s:v>
      </s:c>
      <s:c r="D267" s="3" t="n">
        <s:v>46073</s:v>
      </s:c>
      <s:c r="E267" s="3" t="inlineStr">
        <s:is>
          <s:t>IVA</s:t>
        </s:is>
      </s:c>
      <s:c r="F267" s="2" t="n">
        <s:v>312</s:v>
      </s:c>
      <s:c r="G267" s="2" t="n">
        <s:v>3184</s:v>
      </s:c>
      <s:c r="H267" s="2" t="n">
        <s:v>10</s:v>
      </s:c>
      <s:c r="I267" s="4" t="n">
        <s:v>9688.940000000001</s:v>
      </s:c>
      <s:c r="J267" s="2" t="n">
        <s:v>968.89</s:v>
      </s:c>
    </s:row>
    <s:row r="268">
      <s:c r="A268" s="2" t="n">
        <s:v>47176</s:v>
      </s:c>
      <s:c r="B268" s="2" t="inlineStr">
        <s:is>
          <s:t>COUSIN VALLEJO BYRON IVAN</s:t>
        </s:is>
      </s:c>
      <s:c r="C268" s="3" t="n">
        <s:v>46075</s:v>
      </s:c>
      <s:c r="D268" s="3" t="n">
        <s:v>46072</s:v>
      </s:c>
      <s:c r="E268" s="3" t="inlineStr">
        <s:is>
          <s:t>RENTA</s:t>
        </s:is>
      </s:c>
      <s:c r="F268" s="2" t="n">
        <s:v>307</s:v>
      </s:c>
      <s:c r="G268" s="2" t="n">
        <s:v>314</s:v>
      </s:c>
      <s:c r="H268" s="2" t="n">
        <s:v>2</s:v>
      </s:c>
      <s:c r="I268" s="2" t="n">
        <s:v>60</s:v>
      </s:c>
      <s:c r="J268" s="2" t="n">
        <s:v>1.2</s:v>
      </s:c>
    </s:row>
    <s:row r="269">
      <s:c r="A269" s="2" t="n">
        <s:v>47177</s:v>
      </s:c>
      <s:c r="B269" s="2" t="inlineStr">
        <s:is>
          <s:t>FILLIPPO SANCHEZ ALEXANDER</s:t>
        </s:is>
      </s:c>
      <s:c r="C269" s="3" t="n">
        <s:v>46075</s:v>
      </s:c>
      <s:c r="D269" s="3" t="n">
        <s:v>46072</s:v>
      </s:c>
      <s:c r="E269" s="3" t="inlineStr">
        <s:is>
          <s:t>RENTA</s:t>
        </s:is>
      </s:c>
      <s:c r="F269" s="2" t="n">
        <s:v>312</s:v>
      </s:c>
      <s:c r="G269" s="2" t="n">
        <s:v>178</s:v>
      </s:c>
      <s:c r="H269" s="2" t="n">
        <s:v>1.75</s:v>
      </s:c>
      <s:c r="I269" s="4" t="n">
        <s:v>11016.09</s:v>
      </s:c>
      <s:c r="J269" s="2" t="n">
        <s:v>192.78</s:v>
      </s:c>
    </s:row>
    <s:row r="270">
      <s:c r="A270" s="2" t="n">
        <s:v>47177</s:v>
      </s:c>
      <s:c r="B270" s="2" t="inlineStr">
        <s:is>
          <s:t>FILLIPPO SANCHEZ ALEXANDER</s:t>
        </s:is>
      </s:c>
      <s:c r="C270" s="3" t="n">
        <s:v>46075</s:v>
      </s:c>
      <s:c r="D270" s="3" t="n">
        <s:v>46072</s:v>
      </s:c>
      <s:c r="E270" s="3" t="inlineStr">
        <s:is>
          <s:t>IVA</s:t>
        </s:is>
      </s:c>
      <s:c r="F270" s="2" t="n">
        <s:v>312</s:v>
      </s:c>
      <s:c r="G270" s="2" t="n">
        <s:v>178</s:v>
      </s:c>
      <s:c r="H270" s="2" t="n">
        <s:v>30</s:v>
      </s:c>
      <s:c r="I270" s="4" t="n">
        <s:v>1652.41</s:v>
      </s:c>
      <s:c r="J270" s="2" t="n">
        <s:v>495.72</s:v>
      </s:c>
    </s:row>
    <s:row r="271">
      <s:c r="A271" s="2" t="n">
        <s:v>47178</s:v>
      </s:c>
      <s:c r="B271" s="2" t="inlineStr">
        <s:is>
          <s:t>FILLIPPO SANCHEZ ALEXANDER</s:t>
        </s:is>
      </s:c>
      <s:c r="C271" s="3" t="n">
        <s:v>46075</s:v>
      </s:c>
      <s:c r="D271" s="3" t="n">
        <s:v>46072</s:v>
      </s:c>
      <s:c r="E271" s="3" t="inlineStr">
        <s:is>
          <s:t>IVA</s:t>
        </s:is>
      </s:c>
      <s:c r="F271" s="2" t="n">
        <s:v>307</s:v>
      </s:c>
      <s:c r="G271" s="2" t="n">
        <s:v>177</s:v>
      </s:c>
      <s:c r="H271" s="2" t="n">
        <s:v>70</s:v>
      </s:c>
      <s:c r="I271" s="4" t="n">
        <s:v>2945.53</s:v>
      </s:c>
      <s:c r="J271" s="4" t="n">
        <s:v>2061.87</s:v>
      </s:c>
    </s:row>
    <s:row r="272">
      <s:c r="A272" s="2" t="n">
        <s:v>47178</s:v>
      </s:c>
      <s:c r="B272" s="2" t="inlineStr">
        <s:is>
          <s:t>FILLIPPO SANCHEZ ALEXANDER</s:t>
        </s:is>
      </s:c>
      <s:c r="C272" s="3" t="n">
        <s:v>46075</s:v>
      </s:c>
      <s:c r="D272" s="3" t="n">
        <s:v>46072</s:v>
      </s:c>
      <s:c r="E272" s="3" t="inlineStr">
        <s:is>
          <s:t>RENTA</s:t>
        </s:is>
      </s:c>
      <s:c r="F272" s="2" t="n">
        <s:v>307</s:v>
      </s:c>
      <s:c r="G272" s="2" t="n">
        <s:v>177</s:v>
      </s:c>
      <s:c r="H272" s="2" t="n">
        <s:v>2</s:v>
      </s:c>
      <s:c r="I272" s="4" t="n">
        <s:v>19636.88</s:v>
      </s:c>
      <s:c r="J272" s="2" t="n">
        <s:v>392.74</s:v>
      </s:c>
    </s:row>
    <s:row r="273">
      <s:c r="A273" s="2" t="n">
        <s:v>47179</s:v>
      </s:c>
      <s:c r="B273" s="2" t="inlineStr">
        <s:is>
          <s:t>INDUSTRIAL Y COMERCIAL CASTRO OJEDA I.C.C.O. S.A.</s:t>
        </s:is>
      </s:c>
      <s:c r="C273" s="3" t="n">
        <s:v>46075</s:v>
      </s:c>
      <s:c r="D273" s="3" t="n">
        <s:v>46071</s:v>
      </s:c>
      <s:c r="E273" s="3" t="inlineStr">
        <s:is>
          <s:t>RENTA</s:t>
        </s:is>
      </s:c>
      <s:c r="F273" s="2" t="n">
        <s:v>312</s:v>
      </s:c>
      <s:c r="G273" s="2" t="n">
        <s:v>239005</s:v>
      </s:c>
      <s:c r="H273" s="2" t="n">
        <s:v>1.75</s:v>
      </s:c>
      <s:c r="I273" s="2" t="n">
        <s:v>162.49</s:v>
      </s:c>
      <s:c r="J273" s="2" t="n">
        <s:v>2.84</s:v>
      </s:c>
    </s:row>
    <s:row r="274">
      <s:c r="A274" s="2" t="n">
        <s:v>47179</s:v>
      </s:c>
      <s:c r="B274" s="2" t="inlineStr">
        <s:is>
          <s:t>INDUSTRIAL Y COMERCIAL CASTRO OJEDA I.C.C.O. S.A.</s:t>
        </s:is>
      </s:c>
      <s:c r="C274" s="3" t="n">
        <s:v>46075</s:v>
      </s:c>
      <s:c r="D274" s="3" t="n">
        <s:v>46071</s:v>
      </s:c>
      <s:c r="E274" s="3" t="inlineStr">
        <s:is>
          <s:t>IVA</s:t>
        </s:is>
      </s:c>
      <s:c r="F274" s="2" t="n">
        <s:v>312</s:v>
      </s:c>
      <s:c r="G274" s="2" t="n">
        <s:v>239005</s:v>
      </s:c>
      <s:c r="H274" s="2" t="n">
        <s:v>10</s:v>
      </s:c>
      <s:c r="I274" s="2" t="n">
        <s:v>24.37</s:v>
      </s:c>
      <s:c r="J274" s="2" t="n">
        <s:v>2.44</s:v>
      </s:c>
    </s:row>
    <s:row r="275">
      <s:c r="A275" s="2" t="n">
        <s:v>47180</s:v>
      </s:c>
      <s:c r="B275" s="2" t="inlineStr">
        <s:is>
          <s:t>INDUSTRIAL Y COMERCIAL CASTRO OJEDA I.C.C.O. S.A.</s:t>
        </s:is>
      </s:c>
      <s:c r="C275" s="3" t="n">
        <s:v>46075</s:v>
      </s:c>
      <s:c r="D275" s="3" t="n">
        <s:v>46071</s:v>
      </s:c>
      <s:c r="E275" s="3" t="inlineStr">
        <s:is>
          <s:t>IVA</s:t>
        </s:is>
      </s:c>
      <s:c r="F275" s="2" t="n">
        <s:v>312</s:v>
      </s:c>
      <s:c r="G275" s="2" t="n">
        <s:v>239006</s:v>
      </s:c>
      <s:c r="H275" s="2" t="n">
        <s:v>10</s:v>
      </s:c>
      <s:c r="I275" s="2" t="n">
        <s:v>24.88</s:v>
      </s:c>
      <s:c r="J275" s="2" t="n">
        <s:v>2.49</s:v>
      </s:c>
    </s:row>
    <s:row r="276">
      <s:c r="A276" s="2" t="n">
        <s:v>47180</s:v>
      </s:c>
      <s:c r="B276" s="2" t="inlineStr">
        <s:is>
          <s:t>INDUSTRIAL Y COMERCIAL CASTRO OJEDA I.C.C.O. S.A.</s:t>
        </s:is>
      </s:c>
      <s:c r="C276" s="3" t="n">
        <s:v>46075</s:v>
      </s:c>
      <s:c r="D276" s="3" t="n">
        <s:v>46071</s:v>
      </s:c>
      <s:c r="E276" s="3" t="inlineStr">
        <s:is>
          <s:t>RENTA</s:t>
        </s:is>
      </s:c>
      <s:c r="F276" s="2" t="n">
        <s:v>312</s:v>
      </s:c>
      <s:c r="G276" s="2" t="n">
        <s:v>239006</s:v>
      </s:c>
      <s:c r="H276" s="2" t="n">
        <s:v>1.75</s:v>
      </s:c>
      <s:c r="I276" s="2" t="n">
        <s:v>165.89</s:v>
      </s:c>
      <s:c r="J276" s="2" t="n">
        <s:v>2.9</s:v>
      </s:c>
    </s:row>
    <s:row r="277">
      <s:c r="A277" s="2" t="n">
        <s:v>47181</s:v>
      </s:c>
      <s:c r="B277" s="2" t="inlineStr">
        <s:is>
          <s:t>CAMARA DE COMERCIO DE AMBATO</s:t>
        </s:is>
      </s:c>
      <s:c r="C277" s="3" t="n">
        <s:v>46075</s:v>
      </s:c>
      <s:c r="D277" s="3" t="n">
        <s:v>46072</s:v>
      </s:c>
      <s:c r="E277" s="3" t="inlineStr">
        <s:is>
          <s:t>IVA</s:t>
        </s:is>
      </s:c>
      <s:c r="F277" s="2" t="n">
        <s:v>320</s:v>
      </s:c>
      <s:c r="G277" s="2" t="n">
        <s:v>21000</s:v>
      </s:c>
      <s:c r="H277" s="2" t="n">
        <s:v>70</s:v>
      </s:c>
      <s:c r="I277" s="2" t="n">
        <s:v>16.31</s:v>
      </s:c>
      <s:c r="J277" s="2" t="n">
        <s:v>11.42</s:v>
      </s:c>
    </s:row>
    <s:row r="278">
      <s:c r="A278" s="2" t="n">
        <s:v>47182</s:v>
      </s:c>
      <s:c r="B278" s="2" t="inlineStr">
        <s:is>
          <s:t>CARRERA KUMMERFELD MANUEL FABIAN</s:t>
        </s:is>
      </s:c>
      <s:c r="C278" s="3" t="n">
        <s:v>46075</s:v>
      </s:c>
      <s:c r="D278" s="3" t="n">
        <s:v>46071</s:v>
      </s:c>
      <s:c r="E278" s="3" t="inlineStr">
        <s:is>
          <s:t>RENTA</s:t>
        </s:is>
      </s:c>
      <s:c r="F278" s="2" t="n">
        <s:v>307</s:v>
      </s:c>
      <s:c r="G278" s="2" t="n">
        <s:v>538</s:v>
      </s:c>
      <s:c r="H278" s="2" t="n">
        <s:v>2</s:v>
      </s:c>
      <s:c r="I278" s="2" t="n">
        <s:v>175</s:v>
      </s:c>
      <s:c r="J278" s="2" t="n">
        <s:v>3.5</s:v>
      </s:c>
    </s:row>
    <s:row r="279">
      <s:c r="A279" s="2" t="n">
        <s:v>47182</s:v>
      </s:c>
      <s:c r="B279" s="2" t="inlineStr">
        <s:is>
          <s:t>CARRERA KUMMERFELD MANUEL FABIAN</s:t>
        </s:is>
      </s:c>
      <s:c r="C279" s="3" t="n">
        <s:v>46075</s:v>
      </s:c>
      <s:c r="D279" s="3" t="n">
        <s:v>46071</s:v>
      </s:c>
      <s:c r="E279" s="3" t="inlineStr">
        <s:is>
          <s:t>IVA</s:t>
        </s:is>
      </s:c>
      <s:c r="F279" s="2" t="n">
        <s:v>307</s:v>
      </s:c>
      <s:c r="G279" s="2" t="n">
        <s:v>538</s:v>
      </s:c>
      <s:c r="H279" s="2" t="n">
        <s:v>70</s:v>
      </s:c>
      <s:c r="I279" s="2" t="n">
        <s:v>26.25</s:v>
      </s:c>
      <s:c r="J279" s="2" t="n">
        <s:v>18.38</s:v>
      </s:c>
    </s:row>
    <s:row r="280">
      <s:c r="A280" s="2" t="n">
        <s:v>47183</s:v>
      </s:c>
      <s:c r="B280" s="2" t="inlineStr">
        <s:is>
          <s:t>FABARA VILLACIS MANOLO ROBERTO</s:t>
        </s:is>
      </s:c>
      <s:c r="C280" s="3" t="n">
        <s:v>46075</s:v>
      </s:c>
      <s:c r="D280" s="3" t="n">
        <s:v>46073</s:v>
      </s:c>
      <s:c r="E280" s="3" t="inlineStr">
        <s:is>
          <s:t>RENTA</s:t>
        </s:is>
      </s:c>
      <s:c r="F280" s="2" t="n">
        <s:v>320</s:v>
      </s:c>
      <s:c r="G280" s="2" t="n">
        <s:v>11</s:v>
      </s:c>
      <s:c r="H280" s="2" t="n">
        <s:v>10</s:v>
      </s:c>
      <s:c r="I280" s="4" t="n">
        <s:v>1200</s:v>
      </s:c>
      <s:c r="J280" s="2" t="n">
        <s:v>120</s:v>
      </s:c>
    </s:row>
    <s:row r="281">
      <s:c r="A281" s="2" t="n">
        <s:v>47184</s:v>
      </s:c>
      <s:c r="B281" s="2" t="inlineStr">
        <s:is>
          <s:t>INDUSTRIAL Y COMERCIAL CASTRO OJEDA I.C.C.O. S.A.</s:t>
        </s:is>
      </s:c>
      <s:c r="C281" s="3" t="n">
        <s:v>46075</s:v>
      </s:c>
      <s:c r="D281" s="3" t="n">
        <s:v>46071</s:v>
      </s:c>
      <s:c r="E281" s="3" t="inlineStr">
        <s:is>
          <s:t>RENTA</s:t>
        </s:is>
      </s:c>
      <s:c r="F281" s="2" t="n">
        <s:v>312</s:v>
      </s:c>
      <s:c r="G281" s="2" t="n">
        <s:v>239004</s:v>
      </s:c>
      <s:c r="H281" s="2" t="n">
        <s:v>1.75</s:v>
      </s:c>
      <s:c r="I281" s="2" t="n">
        <s:v>335.63</s:v>
      </s:c>
      <s:c r="J281" s="2" t="n">
        <s:v>5.87</s:v>
      </s:c>
    </s:row>
    <s:row r="282">
      <s:c r="A282" s="2" t="n">
        <s:v>47184</s:v>
      </s:c>
      <s:c r="B282" s="2" t="inlineStr">
        <s:is>
          <s:t>INDUSTRIAL Y COMERCIAL CASTRO OJEDA I.C.C.O. S.A.</s:t>
        </s:is>
      </s:c>
      <s:c r="C282" s="3" t="n">
        <s:v>46075</s:v>
      </s:c>
      <s:c r="D282" s="3" t="n">
        <s:v>46071</s:v>
      </s:c>
      <s:c r="E282" s="3" t="inlineStr">
        <s:is>
          <s:t>IVA</s:t>
        </s:is>
      </s:c>
      <s:c r="F282" s="2" t="n">
        <s:v>312</s:v>
      </s:c>
      <s:c r="G282" s="2" t="n">
        <s:v>239004</s:v>
      </s:c>
      <s:c r="H282" s="2" t="n">
        <s:v>10</s:v>
      </s:c>
      <s:c r="I282" s="2" t="n">
        <s:v>50.34</s:v>
      </s:c>
      <s:c r="J282" s="2" t="n">
        <s:v>5.03</s:v>
      </s:c>
    </s:row>
    <s:row r="283">
      <s:c r="A283" s="2" t="n">
        <s:v>47185</s:v>
      </s:c>
      <s:c r="B283" s="2" t="inlineStr">
        <s:is>
          <s:t>SUAREZ JACOME DOLORES FERNANDA</s:t>
        </s:is>
      </s:c>
      <s:c r="C283" s="3" t="n">
        <s:v>46075</s:v>
      </s:c>
      <s:c r="D283" s="3" t="n">
        <s:v>46072</s:v>
      </s:c>
      <s:c r="E283" s="3" t="inlineStr">
        <s:is>
          <s:t>RENTA</s:t>
        </s:is>
      </s:c>
      <s:c r="F283" s="2" t="n">
        <s:v>312</s:v>
      </s:c>
      <s:c r="G283" s="2" t="n">
        <s:v>5599</s:v>
      </s:c>
      <s:c r="H283" s="2" t="n">
        <s:v>1.75</s:v>
      </s:c>
      <s:c r="I283" s="2" t="n">
        <s:v>179.2</s:v>
      </s:c>
      <s:c r="J283" s="2" t="n">
        <s:v>3.14</s:v>
      </s:c>
    </s:row>
    <s:row r="284">
      <s:c r="A284" s="2" t="n">
        <s:v>47185</s:v>
      </s:c>
      <s:c r="B284" s="2" t="inlineStr">
        <s:is>
          <s:t>SUAREZ JACOME DOLORES FERNANDA</s:t>
        </s:is>
      </s:c>
      <s:c r="C284" s="3" t="n">
        <s:v>46075</s:v>
      </s:c>
      <s:c r="D284" s="3" t="n">
        <s:v>46072</s:v>
      </s:c>
      <s:c r="E284" s="3" t="inlineStr">
        <s:is>
          <s:t>IVA</s:t>
        </s:is>
      </s:c>
      <s:c r="F284" s="2" t="n">
        <s:v>312</s:v>
      </s:c>
      <s:c r="G284" s="2" t="n">
        <s:v>5599</s:v>
      </s:c>
      <s:c r="H284" s="2" t="n">
        <s:v>30</s:v>
      </s:c>
      <s:c r="I284" s="2" t="n">
        <s:v>8.130000000000001</s:v>
      </s:c>
      <s:c r="J284" s="2" t="n">
        <s:v>2.44</s:v>
      </s:c>
    </s:row>
    <s:row r="285">
      <s:c r="A285" s="2" t="n">
        <s:v>47186</s:v>
      </s:c>
      <s:c r="B285" s="2" t="inlineStr">
        <s:is>
          <s:t>SUAREZ JACOME DOLORES FERNANDA</s:t>
        </s:is>
      </s:c>
      <s:c r="C285" s="3" t="n">
        <s:v>46075</s:v>
      </s:c>
      <s:c r="D285" s="3" t="n">
        <s:v>46072</s:v>
      </s:c>
      <s:c r="E285" s="3" t="inlineStr">
        <s:is>
          <s:t>RENTA</s:t>
        </s:is>
      </s:c>
      <s:c r="F285" s="2" t="n">
        <s:v>312</s:v>
      </s:c>
      <s:c r="G285" s="2" t="n">
        <s:v>5600</s:v>
      </s:c>
      <s:c r="H285" s="2" t="n">
        <s:v>1.75</s:v>
      </s:c>
      <s:c r="I285" s="2" t="n">
        <s:v>86.56999999999999</s:v>
      </s:c>
      <s:c r="J285" s="2" t="n">
        <s:v>1.51</s:v>
      </s:c>
    </s:row>
    <s:row r="286">
      <s:c r="A286" s="2" t="n">
        <s:v>47186</s:v>
      </s:c>
      <s:c r="B286" s="2" t="inlineStr">
        <s:is>
          <s:t>SUAREZ JACOME DOLORES FERNANDA</s:t>
        </s:is>
      </s:c>
      <s:c r="C286" s="3" t="n">
        <s:v>46075</s:v>
      </s:c>
      <s:c r="D286" s="3" t="n">
        <s:v>46072</s:v>
      </s:c>
      <s:c r="E286" s="3" t="inlineStr">
        <s:is>
          <s:t>IVA</s:t>
        </s:is>
      </s:c>
      <s:c r="F286" s="2" t="n">
        <s:v>312</s:v>
      </s:c>
      <s:c r="G286" s="2" t="n">
        <s:v>5600</s:v>
      </s:c>
      <s:c r="H286" s="2" t="n">
        <s:v>30</s:v>
      </s:c>
      <s:c r="I286" s="2" t="n">
        <s:v>5.49</s:v>
      </s:c>
      <s:c r="J286" s="2" t="n">
        <s:v>1.65</s:v>
      </s:c>
    </s:row>
    <s:row r="287">
      <s:c r="A287" s="2" t="n">
        <s:v>47187</s:v>
      </s:c>
      <s:c r="B287" s="2" t="inlineStr">
        <s:is>
          <s:t>SUAREZ JACOME DOLORES FERNANDA</s:t>
        </s:is>
      </s:c>
      <s:c r="C287" s="3" t="n">
        <s:v>46075</s:v>
      </s:c>
      <s:c r="D287" s="3" t="n">
        <s:v>46072</s:v>
      </s:c>
      <s:c r="E287" s="3" t="inlineStr">
        <s:is>
          <s:t>RENTA</s:t>
        </s:is>
      </s:c>
      <s:c r="F287" s="2" t="n">
        <s:v>312</s:v>
      </s:c>
      <s:c r="G287" s="2" t="n">
        <s:v>5602</s:v>
      </s:c>
      <s:c r="H287" s="2" t="n">
        <s:v>1.75</s:v>
      </s:c>
      <s:c r="I287" s="2" t="n">
        <s:v>55.19</s:v>
      </s:c>
      <s:c r="J287" s="2" t="n">
        <s:v>0.97</s:v>
      </s:c>
    </s:row>
    <s:row r="288">
      <s:c r="A288" s="2" t="n">
        <s:v>47187</s:v>
      </s:c>
      <s:c r="B288" s="2" t="inlineStr">
        <s:is>
          <s:t>SUAREZ JACOME DOLORES FERNANDA</s:t>
        </s:is>
      </s:c>
      <s:c r="C288" s="3" t="n">
        <s:v>46075</s:v>
      </s:c>
      <s:c r="D288" s="3" t="n">
        <s:v>46072</s:v>
      </s:c>
      <s:c r="E288" s="3" t="inlineStr">
        <s:is>
          <s:t>IVA</s:t>
        </s:is>
      </s:c>
      <s:c r="F288" s="2" t="n">
        <s:v>312</s:v>
      </s:c>
      <s:c r="G288" s="2" t="n">
        <s:v>5602</s:v>
      </s:c>
      <s:c r="H288" s="2" t="n">
        <s:v>30</s:v>
      </s:c>
      <s:c r="I288" s="2" t="n">
        <s:v>4.53</s:v>
      </s:c>
      <s:c r="J288" s="2" t="n">
        <s:v>1.36</s:v>
      </s:c>
    </s:row>
    <s:row r="289">
      <s:c r="A289" s="2" t="n">
        <s:v>47188</s:v>
      </s:c>
      <s:c r="B289" s="2" t="inlineStr">
        <s:is>
          <s:t>CASTRO MORALES OMAR VLADIMIR</s:t>
        </s:is>
      </s:c>
      <s:c r="C289" s="3" t="n">
        <s:v>46075</s:v>
      </s:c>
      <s:c r="D289" s="3" t="n">
        <s:v>46073</s:v>
      </s:c>
      <s:c r="E289" s="3" t="inlineStr">
        <s:is>
          <s:t>RENTA</s:t>
        </s:is>
      </s:c>
      <s:c r="F289" s="2" t="n">
        <s:v>307</s:v>
      </s:c>
      <s:c r="G289" s="2" t="n">
        <s:v>2706</s:v>
      </s:c>
      <s:c r="H289" s="2" t="n">
        <s:v>2</s:v>
      </s:c>
      <s:c r="I289" s="2" t="n">
        <s:v>24.35</s:v>
      </s:c>
      <s:c r="J289" s="2" t="n">
        <s:v>0.49</s:v>
      </s:c>
    </s:row>
    <s:row r="290">
      <s:c r="A290" s="2" t="n">
        <s:v>47188</s:v>
      </s:c>
      <s:c r="B290" s="2" t="inlineStr">
        <s:is>
          <s:t>CASTRO MORALES OMAR VLADIMIR</s:t>
        </s:is>
      </s:c>
      <s:c r="C290" s="3" t="n">
        <s:v>46075</s:v>
      </s:c>
      <s:c r="D290" s="3" t="n">
        <s:v>46073</s:v>
      </s:c>
      <s:c r="E290" s="3" t="inlineStr">
        <s:is>
          <s:t>IVA</s:t>
        </s:is>
      </s:c>
      <s:c r="F290" s="2" t="n">
        <s:v>307</s:v>
      </s:c>
      <s:c r="G290" s="2" t="n">
        <s:v>2706</s:v>
      </s:c>
      <s:c r="H290" s="2" t="n">
        <s:v>70</s:v>
      </s:c>
      <s:c r="I290" s="2" t="n">
        <s:v>3.65</s:v>
      </s:c>
      <s:c r="J290" s="2" t="n">
        <s:v>2.56</s:v>
      </s:c>
    </s:row>
    <s:row r="291">
      <s:c r="A291" s="2" t="n">
        <s:v>47189</s:v>
      </s:c>
      <s:c r="B291" s="2" t="inlineStr">
        <s:is>
          <s:t>SUAREZ JACOME DOLORES FERNANDA</s:t>
        </s:is>
      </s:c>
      <s:c r="C291" s="3" t="n">
        <s:v>46075</s:v>
      </s:c>
      <s:c r="D291" s="3" t="n">
        <s:v>46072</s:v>
      </s:c>
      <s:c r="E291" s="3" t="inlineStr">
        <s:is>
          <s:t>RENTA</s:t>
        </s:is>
      </s:c>
      <s:c r="F291" s="2" t="n">
        <s:v>312</s:v>
      </s:c>
      <s:c r="G291" s="2" t="n">
        <s:v>5606</s:v>
      </s:c>
      <s:c r="H291" s="2" t="n">
        <s:v>1.75</s:v>
      </s:c>
      <s:c r="I291" s="2" t="n">
        <s:v>144.27</s:v>
      </s:c>
      <s:c r="J291" s="2" t="n">
        <s:v>2.52</s:v>
      </s:c>
    </s:row>
    <s:row r="292">
      <s:c r="A292" s="2" t="n">
        <s:v>47189</s:v>
      </s:c>
      <s:c r="B292" s="2" t="inlineStr">
        <s:is>
          <s:t>SUAREZ JACOME DOLORES FERNANDA</s:t>
        </s:is>
      </s:c>
      <s:c r="C292" s="3" t="n">
        <s:v>46075</s:v>
      </s:c>
      <s:c r="D292" s="3" t="n">
        <s:v>46072</s:v>
      </s:c>
      <s:c r="E292" s="3" t="inlineStr">
        <s:is>
          <s:t>IVA</s:t>
        </s:is>
      </s:c>
      <s:c r="F292" s="2" t="n">
        <s:v>312</s:v>
      </s:c>
      <s:c r="G292" s="2" t="n">
        <s:v>5606</s:v>
      </s:c>
      <s:c r="H292" s="2" t="n">
        <s:v>30</s:v>
      </s:c>
      <s:c r="I292" s="2" t="n">
        <s:v>14.14</s:v>
      </s:c>
      <s:c r="J292" s="2" t="n">
        <s:v>4.24</s:v>
      </s:c>
    </s:row>
    <s:row r="293">
      <s:c r="A293" s="2" t="n">
        <s:v>47190</s:v>
      </s:c>
      <s:c r="B293" s="2" t="inlineStr">
        <s:is>
          <s:t>SUAREZ JACOME DOLORES FERNANDA</s:t>
        </s:is>
      </s:c>
      <s:c r="C293" s="3" t="n">
        <s:v>46075</s:v>
      </s:c>
      <s:c r="D293" s="3" t="n">
        <s:v>46072</s:v>
      </s:c>
      <s:c r="E293" s="3" t="inlineStr">
        <s:is>
          <s:t>RENTA</s:t>
        </s:is>
      </s:c>
      <s:c r="F293" s="2" t="n">
        <s:v>312</s:v>
      </s:c>
      <s:c r="G293" s="2" t="n">
        <s:v>5603</s:v>
      </s:c>
      <s:c r="H293" s="2" t="n">
        <s:v>1.75</s:v>
      </s:c>
      <s:c r="I293" s="2" t="n">
        <s:v>85.95999999999999</s:v>
      </s:c>
      <s:c r="J293" s="2" t="n">
        <s:v>1.5</s:v>
      </s:c>
    </s:row>
    <s:row r="294">
      <s:c r="A294" s="2" t="n">
        <s:v>47190</s:v>
      </s:c>
      <s:c r="B294" s="2" t="inlineStr">
        <s:is>
          <s:t>SUAREZ JACOME DOLORES FERNANDA</s:t>
        </s:is>
      </s:c>
      <s:c r="C294" s="3" t="n">
        <s:v>46075</s:v>
      </s:c>
      <s:c r="D294" s="3" t="n">
        <s:v>46072</s:v>
      </s:c>
      <s:c r="E294" s="3" t="inlineStr">
        <s:is>
          <s:t>IVA</s:t>
        </s:is>
      </s:c>
      <s:c r="F294" s="2" t="n">
        <s:v>312</s:v>
      </s:c>
      <s:c r="G294" s="2" t="n">
        <s:v>5603</s:v>
      </s:c>
      <s:c r="H294" s="2" t="n">
        <s:v>30</s:v>
      </s:c>
      <s:c r="I294" s="2" t="n">
        <s:v>9.140000000000001</s:v>
      </s:c>
      <s:c r="J294" s="2" t="n">
        <s:v>2.74</s:v>
      </s:c>
    </s:row>
    <s:row r="295">
      <s:c r="A295" s="2" t="n">
        <s:v>47191</s:v>
      </s:c>
      <s:c r="B295" s="2" t="inlineStr">
        <s:is>
          <s:t>CASTRO MORALES OMAR VLADIMIR</s:t>
        </s:is>
      </s:c>
      <s:c r="C295" s="3" t="n">
        <s:v>46075</s:v>
      </s:c>
      <s:c r="D295" s="3" t="n">
        <s:v>46073</s:v>
      </s:c>
      <s:c r="E295" s="3" t="inlineStr">
        <s:is>
          <s:t>RENTA</s:t>
        </s:is>
      </s:c>
      <s:c r="F295" s="2" t="n">
        <s:v>307</s:v>
      </s:c>
      <s:c r="G295" s="2" t="n">
        <s:v>2699</s:v>
      </s:c>
      <s:c r="H295" s="2" t="n">
        <s:v>2</s:v>
      </s:c>
      <s:c r="I295" s="2" t="n">
        <s:v>24.35</s:v>
      </s:c>
      <s:c r="J295" s="2" t="n">
        <s:v>0.49</s:v>
      </s:c>
    </s:row>
    <s:row r="296">
      <s:c r="A296" s="2" t="n">
        <s:v>47191</s:v>
      </s:c>
      <s:c r="B296" s="2" t="inlineStr">
        <s:is>
          <s:t>CASTRO MORALES OMAR VLADIMIR</s:t>
        </s:is>
      </s:c>
      <s:c r="C296" s="3" t="n">
        <s:v>46075</s:v>
      </s:c>
      <s:c r="D296" s="3" t="n">
        <s:v>46073</s:v>
      </s:c>
      <s:c r="E296" s="3" t="inlineStr">
        <s:is>
          <s:t>IVA</s:t>
        </s:is>
      </s:c>
      <s:c r="F296" s="2" t="n">
        <s:v>307</s:v>
      </s:c>
      <s:c r="G296" s="2" t="n">
        <s:v>2699</s:v>
      </s:c>
      <s:c r="H296" s="2" t="n">
        <s:v>70</s:v>
      </s:c>
      <s:c r="I296" s="2" t="n">
        <s:v>3.65</s:v>
      </s:c>
      <s:c r="J296" s="2" t="n">
        <s:v>2.56</s:v>
      </s:c>
    </s:row>
    <s:row r="297">
      <s:c r="A297" s="2" t="n">
        <s:v>47192</s:v>
      </s:c>
      <s:c r="B297" s="2" t="inlineStr">
        <s:is>
          <s:t>SUAREZ JACOME DOLORES FERNANDA</s:t>
        </s:is>
      </s:c>
      <s:c r="C297" s="3" t="n">
        <s:v>46075</s:v>
      </s:c>
      <s:c r="D297" s="3" t="n">
        <s:v>46072</s:v>
      </s:c>
      <s:c r="E297" s="3" t="inlineStr">
        <s:is>
          <s:t>RENTA</s:t>
        </s:is>
      </s:c>
      <s:c r="F297" s="2" t="n">
        <s:v>312</s:v>
      </s:c>
      <s:c r="G297" s="2" t="n">
        <s:v>5607</s:v>
      </s:c>
      <s:c r="H297" s="2" t="n">
        <s:v>1.75</s:v>
      </s:c>
      <s:c r="I297" s="2" t="n">
        <s:v>45.72</s:v>
      </s:c>
      <s:c r="J297" s="2" t="n">
        <s:v>0.8</s:v>
      </s:c>
    </s:row>
    <s:row r="298">
      <s:c r="A298" s="2" t="n">
        <s:v>47192</s:v>
      </s:c>
      <s:c r="B298" s="2" t="inlineStr">
        <s:is>
          <s:t>SUAREZ JACOME DOLORES FERNANDA</s:t>
        </s:is>
      </s:c>
      <s:c r="C298" s="3" t="n">
        <s:v>46075</s:v>
      </s:c>
      <s:c r="D298" s="3" t="n">
        <s:v>46072</s:v>
      </s:c>
      <s:c r="E298" s="3" t="inlineStr">
        <s:is>
          <s:t>IVA</s:t>
        </s:is>
      </s:c>
      <s:c r="F298" s="2" t="n">
        <s:v>312</s:v>
      </s:c>
      <s:c r="G298" s="2" t="n">
        <s:v>5607</s:v>
      </s:c>
      <s:c r="H298" s="2" t="n">
        <s:v>30</s:v>
      </s:c>
      <s:c r="I298" s="2" t="n">
        <s:v>3.11</s:v>
      </s:c>
      <s:c r="J298" s="2" t="n">
        <s:v>0.93</s:v>
      </s:c>
    </s:row>
    <s:row r="299">
      <s:c r="A299" s="2" t="n">
        <s:v>47193</s:v>
      </s:c>
      <s:c r="B299" s="2" t="inlineStr">
        <s:is>
          <s:t>CASTRO MORALES OMAR VLADIMIR</s:t>
        </s:is>
      </s:c>
      <s:c r="C299" s="3" t="n">
        <s:v>46075</s:v>
      </s:c>
      <s:c r="D299" s="3" t="n">
        <s:v>46073</s:v>
      </s:c>
      <s:c r="E299" s="3" t="inlineStr">
        <s:is>
          <s:t>RENTA</s:t>
        </s:is>
      </s:c>
      <s:c r="F299" s="2" t="n">
        <s:v>307</s:v>
      </s:c>
      <s:c r="G299" s="2" t="n">
        <s:v>2690</s:v>
      </s:c>
      <s:c r="H299" s="2" t="n">
        <s:v>2</s:v>
      </s:c>
      <s:c r="I299" s="2" t="n">
        <s:v>24.35</s:v>
      </s:c>
      <s:c r="J299" s="2" t="n">
        <s:v>0.49</s:v>
      </s:c>
    </s:row>
    <s:row r="300">
      <s:c r="A300" s="2" t="n">
        <s:v>47193</s:v>
      </s:c>
      <s:c r="B300" s="2" t="inlineStr">
        <s:is>
          <s:t>CASTRO MORALES OMAR VLADIMIR</s:t>
        </s:is>
      </s:c>
      <s:c r="C300" s="3" t="n">
        <s:v>46075</s:v>
      </s:c>
      <s:c r="D300" s="3" t="n">
        <s:v>46073</s:v>
      </s:c>
      <s:c r="E300" s="3" t="inlineStr">
        <s:is>
          <s:t>IVA</s:t>
        </s:is>
      </s:c>
      <s:c r="F300" s="2" t="n">
        <s:v>307</s:v>
      </s:c>
      <s:c r="G300" s="2" t="n">
        <s:v>2690</s:v>
      </s:c>
      <s:c r="H300" s="2" t="n">
        <s:v>70</s:v>
      </s:c>
      <s:c r="I300" s="2" t="n">
        <s:v>3.65</s:v>
      </s:c>
      <s:c r="J300" s="2" t="n">
        <s:v>2.56</s:v>
      </s:c>
    </s:row>
    <s:row r="301">
      <s:c r="A301" s="2" t="n">
        <s:v>47194</s:v>
      </s:c>
      <s:c r="B301" s="2" t="inlineStr">
        <s:is>
          <s:t>CASTRO MORALES OMAR VLADIMIR</s:t>
        </s:is>
      </s:c>
      <s:c r="C301" s="3" t="n">
        <s:v>46075</s:v>
      </s:c>
      <s:c r="D301" s="3" t="n">
        <s:v>46073</s:v>
      </s:c>
      <s:c r="E301" s="3" t="inlineStr">
        <s:is>
          <s:t>IVA</s:t>
        </s:is>
      </s:c>
      <s:c r="F301" s="2" t="n">
        <s:v>307</s:v>
      </s:c>
      <s:c r="G301" s="2" t="n">
        <s:v>2708</s:v>
      </s:c>
      <s:c r="H301" s="2" t="n">
        <s:v>70</s:v>
      </s:c>
      <s:c r="I301" s="2" t="n">
        <s:v>3.65</s:v>
      </s:c>
      <s:c r="J301" s="2" t="n">
        <s:v>2.56</s:v>
      </s:c>
    </s:row>
    <s:row r="302">
      <s:c r="A302" s="2" t="n">
        <s:v>47194</s:v>
      </s:c>
      <s:c r="B302" s="2" t="inlineStr">
        <s:is>
          <s:t>CASTRO MORALES OMAR VLADIMIR</s:t>
        </s:is>
      </s:c>
      <s:c r="C302" s="3" t="n">
        <s:v>46075</s:v>
      </s:c>
      <s:c r="D302" s="3" t="n">
        <s:v>46073</s:v>
      </s:c>
      <s:c r="E302" s="3" t="inlineStr">
        <s:is>
          <s:t>RENTA</s:t>
        </s:is>
      </s:c>
      <s:c r="F302" s="2" t="n">
        <s:v>307</s:v>
      </s:c>
      <s:c r="G302" s="2" t="n">
        <s:v>2708</s:v>
      </s:c>
      <s:c r="H302" s="2" t="n">
        <s:v>2</s:v>
      </s:c>
      <s:c r="I302" s="2" t="n">
        <s:v>24.35</s:v>
      </s:c>
      <s:c r="J302" s="2" t="n">
        <s:v>0.49</s:v>
      </s:c>
    </s:row>
    <s:row r="303">
      <s:c r="A303" s="2" t="n">
        <s:v>47195</s:v>
      </s:c>
      <s:c r="B303" s="2" t="inlineStr">
        <s:is>
          <s:t>GOMEZ CORDOVA EDWIN ROLANDO</s:t>
        </s:is>
      </s:c>
      <s:c r="C303" s="3" t="n">
        <s:v>46075</s:v>
      </s:c>
      <s:c r="D303" s="3" t="n">
        <s:v>46072</s:v>
      </s:c>
      <s:c r="E303" s="3" t="inlineStr">
        <s:is>
          <s:t>RENTA</s:t>
        </s:is>
      </s:c>
      <s:c r="F303" s="2" t="n">
        <s:v>343</s:v>
      </s:c>
      <s:c r="G303" s="2" t="n">
        <s:v>637</s:v>
      </s:c>
      <s:c r="H303" s="2" t="n">
        <s:v>1</s:v>
      </s:c>
      <s:c r="I303" s="2" t="n">
        <s:v>126.06</s:v>
      </s:c>
      <s:c r="J303" s="2" t="n">
        <s:v>1.26</s:v>
      </s:c>
    </s:row>
    <s:row r="304">
      <s:c r="A304" s="2" t="n">
        <s:v>47196</s:v>
      </s:c>
      <s:c r="B304" s="2" t="inlineStr">
        <s:is>
          <s:t>SERVICIOS DE RADIO Y TELEVISION RODALFE CIA LTDA</s:t>
        </s:is>
      </s:c>
      <s:c r="C304" s="3" t="n">
        <s:v>46075</s:v>
      </s:c>
      <s:c r="D304" s="3" t="n">
        <s:v>46073</s:v>
      </s:c>
      <s:c r="E304" s="3" t="inlineStr">
        <s:is>
          <s:t>RENTA</s:t>
        </s:is>
      </s:c>
      <s:c r="F304" s="2" t="n">
        <s:v>309</s:v>
      </s:c>
      <s:c r="G304" s="2" t="n">
        <s:v>2993</s:v>
      </s:c>
      <s:c r="H304" s="2" t="n">
        <s:v>2.75</s:v>
      </s:c>
      <s:c r="I304" s="2" t="n">
        <s:v>400</s:v>
      </s:c>
      <s:c r="J304" s="2" t="n">
        <s:v>11</s:v>
      </s:c>
    </s:row>
    <s:row r="305">
      <s:c r="A305" s="2" t="n">
        <s:v>47196</s:v>
      </s:c>
      <s:c r="B305" s="2" t="inlineStr">
        <s:is>
          <s:t>SERVICIOS DE RADIO Y TELEVISION RODALFE CIA LTDA</s:t>
        </s:is>
      </s:c>
      <s:c r="C305" s="3" t="n">
        <s:v>46075</s:v>
      </s:c>
      <s:c r="D305" s="3" t="n">
        <s:v>46073</s:v>
      </s:c>
      <s:c r="E305" s="3" t="inlineStr">
        <s:is>
          <s:t>IVA</s:t>
        </s:is>
      </s:c>
      <s:c r="F305" s="2" t="n">
        <s:v>309</s:v>
      </s:c>
      <s:c r="G305" s="2" t="n">
        <s:v>2993</s:v>
      </s:c>
      <s:c r="H305" s="2" t="n">
        <s:v>70</s:v>
      </s:c>
      <s:c r="I305" s="2" t="n">
        <s:v>60</s:v>
      </s:c>
      <s:c r="J305" s="2" t="n">
        <s:v>42</s:v>
      </s:c>
    </s:row>
    <s:row r="306">
      <s:c r="A306" s="2" t="n">
        <s:v>47197</s:v>
      </s:c>
      <s:c r="B306" s="2" t="inlineStr">
        <s:is>
          <s:t>CARASAYO ASHCA ANGEL GUSTAVO</s:t>
        </s:is>
      </s:c>
      <s:c r="C306" s="3" t="n">
        <s:v>46075</s:v>
      </s:c>
      <s:c r="D306" s="3" t="n">
        <s:v>46073</s:v>
      </s:c>
      <s:c r="E306" s="3" t="inlineStr">
        <s:is>
          <s:t>RENTA</s:t>
        </s:is>
      </s:c>
      <s:c r="F306" s="2" t="n">
        <s:v>332</s:v>
      </s:c>
      <s:c r="G306" s="2" t="n">
        <s:v>812</s:v>
      </s:c>
      <s:c r="H306" s="2" t="n">
        <s:v>0</s:v>
      </s:c>
      <s:c r="I306" s="2" t="n">
        <s:v>60</s:v>
      </s:c>
      <s:c r="J306" s="2" t="n">
        <s:v>0</s:v>
      </s:c>
    </s:row>
    <s:row r="307">
      <s:c r="A307" s="2" t="n">
        <s:v>47198</s:v>
      </s:c>
      <s:c r="B307" s="2" t="inlineStr">
        <s:is>
          <s:t>TOYOTASERVICIOS S.A.</s:t>
        </s:is>
      </s:c>
      <s:c r="C307" s="3" t="n">
        <s:v>46075</s:v>
      </s:c>
      <s:c r="D307" s="3" t="n">
        <s:v>46073</s:v>
      </s:c>
      <s:c r="E307" s="3" t="inlineStr">
        <s:is>
          <s:t>RENTA</s:t>
        </s:is>
      </s:c>
      <s:c r="F307" s="2" t="n">
        <s:v>344</s:v>
      </s:c>
      <s:c r="G307" s="2" t="n">
        <s:v>1442</s:v>
      </s:c>
      <s:c r="H307" s="2" t="n">
        <s:v>2.75</s:v>
      </s:c>
      <s:c r="I307" s="2" t="n">
        <s:v>412.88</s:v>
      </s:c>
      <s:c r="J307" s="2" t="n">
        <s:v>11.35</s:v>
      </s:c>
    </s:row>
    <s:row r="308">
      <s:c r="A308" s="2" t="n">
        <s:v>47198</s:v>
      </s:c>
      <s:c r="B308" s="2" t="inlineStr">
        <s:is>
          <s:t>TOYOTASERVICIOS S.A.</s:t>
        </s:is>
      </s:c>
      <s:c r="C308" s="3" t="n">
        <s:v>46075</s:v>
      </s:c>
      <s:c r="D308" s="3" t="n">
        <s:v>46073</s:v>
      </s:c>
      <s:c r="E308" s="3" t="inlineStr">
        <s:is>
          <s:t>IVA</s:t>
        </s:is>
      </s:c>
      <s:c r="F308" s="2" t="n">
        <s:v>344</s:v>
      </s:c>
      <s:c r="G308" s="2" t="n">
        <s:v>1442</s:v>
      </s:c>
      <s:c r="H308" s="2" t="n">
        <s:v>70</s:v>
      </s:c>
      <s:c r="I308" s="2" t="n">
        <s:v>61.93</s:v>
      </s:c>
      <s:c r="J308" s="2" t="n">
        <s:v>43.35</s:v>
      </s:c>
    </s:row>
    <s:row r="309">
      <s:c r="A309" s="2" t="n">
        <s:v>47199</s:v>
      </s:c>
      <s:c r="B309" s="2" t="inlineStr">
        <s:is>
          <s:t>PANTERA DE SEGURIDAD PHANTERSEG COMPAÑIA LIMITADA</s:t>
        </s:is>
      </s:c>
      <s:c r="C309" s="3" t="n">
        <s:v>46075</s:v>
      </s:c>
      <s:c r="D309" s="3" t="n">
        <s:v>46073</s:v>
      </s:c>
      <s:c r="E309" s="3" t="inlineStr">
        <s:is>
          <s:t>RENTA</s:t>
        </s:is>
      </s:c>
      <s:c r="F309" s="2" t="n">
        <s:v>344</s:v>
      </s:c>
      <s:c r="G309" s="2" t="n">
        <s:v>3768</s:v>
      </s:c>
      <s:c r="H309" s="2" t="n">
        <s:v>2.75</s:v>
      </s:c>
      <s:c r="I309" s="4" t="n">
        <s:v>2671.04</s:v>
      </s:c>
      <s:c r="J309" s="2" t="n">
        <s:v>73.45</s:v>
      </s:c>
    </s:row>
    <s:row r="310">
      <s:c r="A310" s="2" t="n">
        <s:v>47199</s:v>
      </s:c>
      <s:c r="B310" s="2" t="inlineStr">
        <s:is>
          <s:t>PANTERA DE SEGURIDAD PHANTERSEG COMPAÑIA LIMITADA</s:t>
        </s:is>
      </s:c>
      <s:c r="C310" s="3" t="n">
        <s:v>46075</s:v>
      </s:c>
      <s:c r="D310" s="3" t="n">
        <s:v>46073</s:v>
      </s:c>
      <s:c r="E310" s="3" t="inlineStr">
        <s:is>
          <s:t>IVA</s:t>
        </s:is>
      </s:c>
      <s:c r="F310" s="2" t="n">
        <s:v>344</s:v>
      </s:c>
      <s:c r="G310" s="2" t="n">
        <s:v>3768</s:v>
      </s:c>
      <s:c r="H310" s="2" t="n">
        <s:v>70</s:v>
      </s:c>
      <s:c r="I310" s="2" t="n">
        <s:v>400.66</s:v>
      </s:c>
      <s:c r="J310" s="2" t="n">
        <s:v>280.46</s:v>
      </s:c>
    </s:row>
    <s:row r="311">
      <s:c r="A311" s="2" t="n">
        <s:v>47200</s:v>
      </s:c>
      <s:c r="B311" s="2" t="inlineStr">
        <s:is>
          <s:t>TOYOTASERVICIOS S.A.</s:t>
        </s:is>
      </s:c>
      <s:c r="C311" s="3" t="n">
        <s:v>46075</s:v>
      </s:c>
      <s:c r="D311" s="3" t="n">
        <s:v>46073</s:v>
      </s:c>
      <s:c r="E311" s="3" t="inlineStr">
        <s:is>
          <s:t>RENTA</s:t>
        </s:is>
      </s:c>
      <s:c r="F311" s="2" t="n">
        <s:v>344</s:v>
      </s:c>
      <s:c r="G311" s="2" t="n">
        <s:v>7753</s:v>
      </s:c>
      <s:c r="H311" s="2" t="n">
        <s:v>2.75</s:v>
      </s:c>
      <s:c r="I311" s="2" t="n">
        <s:v>91.92</s:v>
      </s:c>
      <s:c r="J311" s="2" t="n">
        <s:v>2.53</s:v>
      </s:c>
    </s:row>
    <s:row r="312">
      <s:c r="A312" s="2" t="n">
        <s:v>47200</s:v>
      </s:c>
      <s:c r="B312" s="2" t="inlineStr">
        <s:is>
          <s:t>TOYOTASERVICIOS S.A.</s:t>
        </s:is>
      </s:c>
      <s:c r="C312" s="3" t="n">
        <s:v>46075</s:v>
      </s:c>
      <s:c r="D312" s="3" t="n">
        <s:v>46073</s:v>
      </s:c>
      <s:c r="E312" s="3" t="inlineStr">
        <s:is>
          <s:t>IVA</s:t>
        </s:is>
      </s:c>
      <s:c r="F312" s="2" t="n">
        <s:v>344</s:v>
      </s:c>
      <s:c r="G312" s="2" t="n">
        <s:v>7753</s:v>
      </s:c>
      <s:c r="H312" s="2" t="n">
        <s:v>70</s:v>
      </s:c>
      <s:c r="I312" s="2" t="n">
        <s:v>13.79</s:v>
      </s:c>
      <s:c r="J312" s="2" t="n">
        <s:v>9.65</s:v>
      </s:c>
    </s:row>
    <s:row r="313">
      <s:c r="A313" s="2" t="n">
        <s:v>47201</s:v>
      </s:c>
      <s:c r="B313" s="2" t="inlineStr">
        <s:is>
          <s:t>TOYOTASERVICIOS S.A.</s:t>
        </s:is>
      </s:c>
      <s:c r="C313" s="3" t="n">
        <s:v>46075</s:v>
      </s:c>
      <s:c r="D313" s="3" t="n">
        <s:v>46072</s:v>
      </s:c>
      <s:c r="E313" s="3" t="inlineStr">
        <s:is>
          <s:t>IVA</s:t>
        </s:is>
      </s:c>
      <s:c r="F313" s="2" t="n">
        <s:v>312</s:v>
      </s:c>
      <s:c r="G313" s="2" t="n">
        <s:v>6915</s:v>
      </s:c>
      <s:c r="H313" s="2" t="n">
        <s:v>30</s:v>
      </s:c>
      <s:c r="I313" s="2" t="n">
        <s:v>39</s:v>
      </s:c>
      <s:c r="J313" s="2" t="n">
        <s:v>11.7</s:v>
      </s:c>
    </s:row>
    <s:row r="314">
      <s:c r="A314" s="2" t="n">
        <s:v>47201</s:v>
      </s:c>
      <s:c r="B314" s="2" t="inlineStr">
        <s:is>
          <s:t>TOYOTASERVICIOS S.A.</s:t>
        </s:is>
      </s:c>
      <s:c r="C314" s="3" t="n">
        <s:v>46075</s:v>
      </s:c>
      <s:c r="D314" s="3" t="n">
        <s:v>46072</s:v>
      </s:c>
      <s:c r="E314" s="3" t="inlineStr">
        <s:is>
          <s:t>RENTA</s:t>
        </s:is>
      </s:c>
      <s:c r="F314" s="2" t="n">
        <s:v>312</s:v>
      </s:c>
      <s:c r="G314" s="2" t="n">
        <s:v>6915</s:v>
      </s:c>
      <s:c r="H314" s="2" t="n">
        <s:v>1.75</s:v>
      </s:c>
      <s:c r="I314" s="2" t="n">
        <s:v>260</s:v>
      </s:c>
      <s:c r="J314" s="2" t="n">
        <s:v>4.55</s:v>
      </s:c>
    </s:row>
    <s:row r="315">
      <s:c r="A315" s="2" t="n">
        <s:v>47202</s:v>
      </s:c>
      <s:c r="B315" s="2" t="inlineStr">
        <s:is>
          <s:t>TOYOTASERVICIOS S.A.</s:t>
        </s:is>
      </s:c>
      <s:c r="C315" s="3" t="n">
        <s:v>46075</s:v>
      </s:c>
      <s:c r="D315" s="3" t="n">
        <s:v>46073</s:v>
      </s:c>
      <s:c r="E315" s="3" t="inlineStr">
        <s:is>
          <s:t>IVA</s:t>
        </s:is>
      </s:c>
      <s:c r="F315" s="2" t="n">
        <s:v>312</s:v>
      </s:c>
      <s:c r="G315" s="2" t="n">
        <s:v>1443</s:v>
      </s:c>
      <s:c r="H315" s="2" t="n">
        <s:v>30</s:v>
      </s:c>
      <s:c r="I315" s="2" t="n">
        <s:v>74.92</s:v>
      </s:c>
      <s:c r="J315" s="2" t="n">
        <s:v>22.48</s:v>
      </s:c>
    </s:row>
    <s:row r="316">
      <s:c r="A316" s="2" t="n">
        <s:v>47202</s:v>
      </s:c>
      <s:c r="B316" s="2" t="inlineStr">
        <s:is>
          <s:t>TOYOTASERVICIOS S.A.</s:t>
        </s:is>
      </s:c>
      <s:c r="C316" s="3" t="n">
        <s:v>46075</s:v>
      </s:c>
      <s:c r="D316" s="3" t="n">
        <s:v>46073</s:v>
      </s:c>
      <s:c r="E316" s="3" t="inlineStr">
        <s:is>
          <s:t>RENTA</s:t>
        </s:is>
      </s:c>
      <s:c r="F316" s="2" t="n">
        <s:v>312</s:v>
      </s:c>
      <s:c r="G316" s="2" t="n">
        <s:v>1443</s:v>
      </s:c>
      <s:c r="H316" s="2" t="n">
        <s:v>1.75</s:v>
      </s:c>
      <s:c r="I316" s="2" t="n">
        <s:v>499.44</s:v>
      </s:c>
      <s:c r="J316" s="2" t="n">
        <s:v>8.74</s:v>
      </s:c>
    </s:row>
    <s:row r="317">
      <s:c r="A317" s="2" t="n">
        <s:v>47203</s:v>
      </s:c>
      <s:c r="B317" s="2" t="inlineStr">
        <s:is>
          <s:t>TOYOTASERVICIOS S.A.</s:t>
        </s:is>
      </s:c>
      <s:c r="C317" s="3" t="n">
        <s:v>46075</s:v>
      </s:c>
      <s:c r="D317" s="3" t="n">
        <s:v>46072</s:v>
      </s:c>
      <s:c r="E317" s="3" t="inlineStr">
        <s:is>
          <s:t>RENTA</s:t>
        </s:is>
      </s:c>
      <s:c r="F317" s="2" t="n">
        <s:v>344</s:v>
      </s:c>
      <s:c r="G317" s="2" t="n">
        <s:v>6916</s:v>
      </s:c>
      <s:c r="H317" s="2" t="n">
        <s:v>2.75</s:v>
      </s:c>
      <s:c r="I317" s="2" t="n">
        <s:v>14.3</s:v>
      </s:c>
      <s:c r="J317" s="2" t="n">
        <s:v>0.39</s:v>
      </s:c>
    </s:row>
    <s:row r="318">
      <s:c r="A318" s="2" t="n">
        <s:v>47203</s:v>
      </s:c>
      <s:c r="B318" s="2" t="inlineStr">
        <s:is>
          <s:t>TOYOTASERVICIOS S.A.</s:t>
        </s:is>
      </s:c>
      <s:c r="C318" s="3" t="n">
        <s:v>46075</s:v>
      </s:c>
      <s:c r="D318" s="3" t="n">
        <s:v>46072</s:v>
      </s:c>
      <s:c r="E318" s="3" t="inlineStr">
        <s:is>
          <s:t>IVA</s:t>
        </s:is>
      </s:c>
      <s:c r="F318" s="2" t="n">
        <s:v>344</s:v>
      </s:c>
      <s:c r="G318" s="2" t="n">
        <s:v>6916</s:v>
      </s:c>
      <s:c r="H318" s="2" t="n">
        <s:v>70</s:v>
      </s:c>
      <s:c r="I318" s="2" t="n">
        <s:v>2.15</s:v>
      </s:c>
      <s:c r="J318" s="2" t="n">
        <s:v>1.51</s:v>
      </s:c>
    </s:row>
    <s:row r="319">
      <s:c r="A319" s="2" t="n">
        <s:v>47204</s:v>
      </s:c>
      <s:c r="B319" s="2" t="inlineStr">
        <s:is>
          <s:t>ARELLANO YEPEZ ANDRES FERNANDO</s:t>
        </s:is>
      </s:c>
      <s:c r="C319" s="3" t="n">
        <s:v>46075</s:v>
      </s:c>
      <s:c r="D319" s="3" t="n">
        <s:v>46073</s:v>
      </s:c>
      <s:c r="E319" s="3" t="inlineStr">
        <s:is>
          <s:t>IVA</s:t>
        </s:is>
      </s:c>
      <s:c r="F319" s="2" t="n">
        <s:v>312</s:v>
      </s:c>
      <s:c r="G319" s="2" t="n">
        <s:v>7371</s:v>
      </s:c>
      <s:c r="H319" s="2" t="n">
        <s:v>30</s:v>
      </s:c>
      <s:c r="I319" s="2" t="n">
        <s:v>31.5</s:v>
      </s:c>
      <s:c r="J319" s="2" t="n">
        <s:v>9.449999999999999</s:v>
      </s:c>
    </s:row>
    <s:row r="320">
      <s:c r="A320" s="2" t="n">
        <s:v>47204</s:v>
      </s:c>
      <s:c r="B320" s="2" t="inlineStr">
        <s:is>
          <s:t>ARELLANO YEPEZ ANDRES FERNANDO</s:t>
        </s:is>
      </s:c>
      <s:c r="C320" s="3" t="n">
        <s:v>46075</s:v>
      </s:c>
      <s:c r="D320" s="3" t="n">
        <s:v>46073</s:v>
      </s:c>
      <s:c r="E320" s="3" t="inlineStr">
        <s:is>
          <s:t>RENTA</s:t>
        </s:is>
      </s:c>
      <s:c r="F320" s="2" t="n">
        <s:v>312</s:v>
      </s:c>
      <s:c r="G320" s="2" t="n">
        <s:v>7371</s:v>
      </s:c>
      <s:c r="H320" s="2" t="n">
        <s:v>1.75</s:v>
      </s:c>
      <s:c r="I320" s="2" t="n">
        <s:v>210</s:v>
      </s:c>
      <s:c r="J320" s="2" t="n">
        <s:v>3.68</s:v>
      </s:c>
    </s:row>
    <s:row r="321">
      <s:c r="A321" s="2" t="n">
        <s:v>47205</s:v>
      </s:c>
      <s:c r="B321" s="2" t="inlineStr">
        <s:is>
          <s:t>TOYOTASERVICIOS S.A.</s:t>
        </s:is>
      </s:c>
      <s:c r="C321" s="3" t="n">
        <s:v>46075</s:v>
      </s:c>
      <s:c r="D321" s="3" t="n">
        <s:v>46073</s:v>
      </s:c>
      <s:c r="E321" s="3" t="inlineStr">
        <s:is>
          <s:t>RENTA</s:t>
        </s:is>
      </s:c>
      <s:c r="F321" s="2" t="n">
        <s:v>312</s:v>
      </s:c>
      <s:c r="G321" s="2" t="n">
        <s:v>7752</s:v>
      </s:c>
      <s:c r="H321" s="2" t="n">
        <s:v>1.75</s:v>
      </s:c>
      <s:c r="I321" s="2" t="n">
        <s:v>349.58</s:v>
      </s:c>
      <s:c r="J321" s="2" t="n">
        <s:v>6.12</s:v>
      </s:c>
    </s:row>
    <s:row r="322">
      <s:c r="A322" s="2" t="n">
        <s:v>47205</s:v>
      </s:c>
      <s:c r="B322" s="2" t="inlineStr">
        <s:is>
          <s:t>TOYOTASERVICIOS S.A.</s:t>
        </s:is>
      </s:c>
      <s:c r="C322" s="3" t="n">
        <s:v>46075</s:v>
      </s:c>
      <s:c r="D322" s="3" t="n">
        <s:v>46073</s:v>
      </s:c>
      <s:c r="E322" s="3" t="inlineStr">
        <s:is>
          <s:t>IVA</s:t>
        </s:is>
      </s:c>
      <s:c r="F322" s="2" t="n">
        <s:v>312</s:v>
      </s:c>
      <s:c r="G322" s="2" t="n">
        <s:v>7752</s:v>
      </s:c>
      <s:c r="H322" s="2" t="n">
        <s:v>30</s:v>
      </s:c>
      <s:c r="I322" s="2" t="n">
        <s:v>52.44</s:v>
      </s:c>
      <s:c r="J322" s="2" t="n">
        <s:v>15.73</s:v>
      </s:c>
    </s:row>
    <s:row r="323">
      <s:c r="A323" s="2" t="n">
        <s:v>47206</s:v>
      </s:c>
      <s:c r="B323" s="2" t="inlineStr">
        <s:is>
          <s:t>SERVIENTREGA ECUADOR S.A.</s:t>
        </s:is>
      </s:c>
      <s:c r="C323" s="3" t="n">
        <s:v>46075</s:v>
      </s:c>
      <s:c r="D323" s="3" t="n">
        <s:v>46073</s:v>
      </s:c>
      <s:c r="E323" s="3" t="inlineStr">
        <s:is>
          <s:t>IVA</s:t>
        </s:is>
      </s:c>
      <s:c r="F323" s="2" t="n">
        <s:v>332</s:v>
      </s:c>
      <s:c r="G323" s="2" t="n">
        <s:v>131697</s:v>
      </s:c>
      <s:c r="H323" s="2" t="n">
        <s:v>20</s:v>
      </s:c>
      <s:c r="I323" s="2" t="n">
        <s:v>36.97</s:v>
      </s:c>
      <s:c r="J323" s="2" t="n">
        <s:v>7.39</s:v>
      </s:c>
    </s:row>
    <s:row r="324">
      <s:c r="A324" s="2" t="n">
        <s:v>47207</s:v>
      </s:c>
      <s:c r="B324" s="2" t="inlineStr">
        <s:is>
          <s:t>COOPERATIVA DE AHORRO Y CREDITO CREDIAMBATO LTDA</s:t>
        </s:is>
      </s:c>
      <s:c r="C324" s="3" t="n">
        <s:v>46075</s:v>
      </s:c>
      <s:c r="D324" s="3" t="n">
        <s:v>46073</s:v>
      </s:c>
      <s:c r="E324" s="3" t="inlineStr">
        <s:is>
          <s:t>RENTA</s:t>
        </s:is>
      </s:c>
      <s:c r="F324" s="2" t="n">
        <s:v>344</s:v>
      </s:c>
      <s:c r="G324" s="2" t="n">
        <s:v>24668</s:v>
      </s:c>
      <s:c r="H324" s="2" t="n">
        <s:v>2.75</s:v>
      </s:c>
      <s:c r="I324" s="4" t="n">
        <s:v>5993.64</s:v>
      </s:c>
      <s:c r="J324" s="2" t="n">
        <s:v>164.83</s:v>
      </s:c>
    </s:row>
    <s:row r="325">
      <s:c r="A325" s="2" t="n">
        <s:v>47208</s:v>
      </s:c>
      <s:c r="B325" s="2" t="inlineStr">
        <s:is>
          <s:t>YANGTSE-AUTO DEL ECUADOR S.A.</s:t>
        </s:is>
      </s:c>
      <s:c r="C325" s="3" t="n">
        <s:v>46076</s:v>
      </s:c>
      <s:c r="D325" s="3" t="n">
        <s:v>46076</s:v>
      </s:c>
      <s:c r="E325" s="3" t="inlineStr">
        <s:is>
          <s:t>IVA</s:t>
        </s:is>
      </s:c>
      <s:c r="F325" s="2" t="n">
        <s:v>312</s:v>
      </s:c>
      <s:c r="G325" s="2" t="n">
        <s:v>684</s:v>
      </s:c>
      <s:c r="H325" s="2" t="n">
        <s:v>30</s:v>
      </s:c>
      <s:c r="I325" s="4" t="n">
        <s:v>3066.62</s:v>
      </s:c>
      <s:c r="J325" s="2" t="n">
        <s:v>919.99</s:v>
      </s:c>
    </s:row>
    <s:row r="326">
      <s:c r="A326" s="2" t="n">
        <s:v>47208</s:v>
      </s:c>
      <s:c r="B326" s="2" t="inlineStr">
        <s:is>
          <s:t>YANGTSE-AUTO DEL ECUADOR S.A.</s:t>
        </s:is>
      </s:c>
      <s:c r="C326" s="3" t="n">
        <s:v>46076</s:v>
      </s:c>
      <s:c r="D326" s="3" t="n">
        <s:v>46076</s:v>
      </s:c>
      <s:c r="E326" s="3" t="inlineStr">
        <s:is>
          <s:t>RENTA</s:t>
        </s:is>
      </s:c>
      <s:c r="F326" s="2" t="n">
        <s:v>312</s:v>
      </s:c>
      <s:c r="G326" s="2" t="n">
        <s:v>684</s:v>
      </s:c>
      <s:c r="H326" s="2" t="n">
        <s:v>1.75</s:v>
      </s:c>
      <s:c r="I326" s="4" t="n">
        <s:v>20444.13</s:v>
      </s:c>
      <s:c r="J326" s="2" t="n">
        <s:v>357.77</s:v>
      </s:c>
    </s:row>
    <s:row r="327">
      <s:c r="A327" s="2" t="n">
        <s:v>47209</s:v>
      </s:c>
      <s:c r="B327" s="2" t="inlineStr">
        <s:is>
          <s:t>FIDEVAL S.A</s:t>
        </s:is>
      </s:c>
      <s:c r="C327" s="3" t="n">
        <s:v>46076</s:v>
      </s:c>
      <s:c r="D327" s="3" t="n">
        <s:v>46076</s:v>
      </s:c>
      <s:c r="E327" s="3" t="inlineStr">
        <s:is>
          <s:t>IVA</s:t>
        </s:is>
      </s:c>
      <s:c r="F327" s="2" t="n">
        <s:v>303</s:v>
      </s:c>
      <s:c r="G327" s="2" t="n">
        <s:v>227571</s:v>
      </s:c>
      <s:c r="H327" s="2" t="n">
        <s:v>20</s:v>
      </s:c>
      <s:c r="I327" s="2" t="n">
        <s:v>20.94</s:v>
      </s:c>
      <s:c r="J327" s="2" t="n">
        <s:v>4.19</s:v>
      </s:c>
    </s:row>
    <s:row r="328">
      <s:c r="A328" s="2" t="n">
        <s:v>47209</s:v>
      </s:c>
      <s:c r="B328" s="2" t="inlineStr">
        <s:is>
          <s:t>FIDEVAL S.A</s:t>
        </s:is>
      </s:c>
      <s:c r="C328" s="3" t="n">
        <s:v>46076</s:v>
      </s:c>
      <s:c r="D328" s="3" t="n">
        <s:v>46076</s:v>
      </s:c>
      <s:c r="E328" s="3" t="inlineStr">
        <s:is>
          <s:t>RENTA</s:t>
        </s:is>
      </s:c>
      <s:c r="F328" s="2" t="n">
        <s:v>303</s:v>
      </s:c>
      <s:c r="G328" s="2" t="n">
        <s:v>227571</s:v>
      </s:c>
      <s:c r="H328" s="2" t="n">
        <s:v>3</s:v>
      </s:c>
      <s:c r="I328" s="2" t="n">
        <s:v>139.59</s:v>
      </s:c>
      <s:c r="J328" s="2" t="n">
        <s:v>4.19</s:v>
      </s:c>
    </s:row>
    <s:row r="329">
      <s:c r="A329" s="2" t="n">
        <s:v>47210</s:v>
      </s:c>
      <s:c r="B329" s="2" t="inlineStr">
        <s:is>
          <s:t>FIDEVAL S.A</s:t>
        </s:is>
      </s:c>
      <s:c r="C329" s="3" t="n">
        <s:v>46076</s:v>
      </s:c>
      <s:c r="D329" s="3" t="n">
        <s:v>46076</s:v>
      </s:c>
      <s:c r="E329" s="3" t="inlineStr">
        <s:is>
          <s:t>IVA</s:t>
        </s:is>
      </s:c>
      <s:c r="F329" s="2" t="n">
        <s:v>303</s:v>
      </s:c>
      <s:c r="G329" s="2" t="n">
        <s:v>227570</s:v>
      </s:c>
      <s:c r="H329" s="2" t="n">
        <s:v>20</s:v>
      </s:c>
      <s:c r="I329" s="2" t="n">
        <s:v>21</s:v>
      </s:c>
      <s:c r="J329" s="2" t="n">
        <s:v>4.2</s:v>
      </s:c>
    </s:row>
    <s:row r="330">
      <s:c r="A330" s="2" t="n">
        <s:v>47210</s:v>
      </s:c>
      <s:c r="B330" s="2" t="inlineStr">
        <s:is>
          <s:t>FIDEVAL S.A</s:t>
        </s:is>
      </s:c>
      <s:c r="C330" s="3" t="n">
        <s:v>46076</s:v>
      </s:c>
      <s:c r="D330" s="3" t="n">
        <s:v>46076</s:v>
      </s:c>
      <s:c r="E330" s="3" t="inlineStr">
        <s:is>
          <s:t>RENTA</s:t>
        </s:is>
      </s:c>
      <s:c r="F330" s="2" t="n">
        <s:v>303</s:v>
      </s:c>
      <s:c r="G330" s="2" t="n">
        <s:v>227570</s:v>
      </s:c>
      <s:c r="H330" s="2" t="n">
        <s:v>3</s:v>
      </s:c>
      <s:c r="I330" s="2" t="n">
        <s:v>140</s:v>
      </s:c>
      <s:c r="J330" s="2" t="n">
        <s:v>4.2</s:v>
      </s:c>
    </s:row>
    <s:row r="331">
      <s:c r="A331" s="2" t="n">
        <s:v>47211</s:v>
      </s:c>
      <s:c r="B331" s="2" t="inlineStr">
        <s:is>
          <s:t>TOYOTASERVICIOS S.A.</s:t>
        </s:is>
      </s:c>
      <s:c r="C331" s="3" t="n">
        <s:v>46076</s:v>
      </s:c>
      <s:c r="D331" s="3" t="n">
        <s:v>46076</s:v>
      </s:c>
      <s:c r="E331" s="3" t="inlineStr">
        <s:is>
          <s:t>RENTA</s:t>
        </s:is>
      </s:c>
      <s:c r="F331" s="2" t="n">
        <s:v>312</s:v>
      </s:c>
      <s:c r="G331" s="2" t="n">
        <s:v>14906</s:v>
      </s:c>
      <s:c r="H331" s="2" t="n">
        <s:v>1.75</s:v>
      </s:c>
      <s:c r="I331" s="2" t="n">
        <s:v>220</s:v>
      </s:c>
      <s:c r="J331" s="2" t="n">
        <s:v>3.85</s:v>
      </s:c>
    </s:row>
    <s:row r="332">
      <s:c r="A332" s="2" t="n">
        <s:v>47211</s:v>
      </s:c>
      <s:c r="B332" s="2" t="inlineStr">
        <s:is>
          <s:t>TOYOTASERVICIOS S.A.</s:t>
        </s:is>
      </s:c>
      <s:c r="C332" s="3" t="n">
        <s:v>46076</s:v>
      </s:c>
      <s:c r="D332" s="3" t="n">
        <s:v>46076</s:v>
      </s:c>
      <s:c r="E332" s="3" t="inlineStr">
        <s:is>
          <s:t>IVA</s:t>
        </s:is>
      </s:c>
      <s:c r="F332" s="2" t="n">
        <s:v>312</s:v>
      </s:c>
      <s:c r="G332" s="2" t="n">
        <s:v>14906</s:v>
      </s:c>
      <s:c r="H332" s="2" t="n">
        <s:v>30</s:v>
      </s:c>
      <s:c r="I332" s="2" t="n">
        <s:v>33</s:v>
      </s:c>
      <s:c r="J332" s="2" t="n">
        <s:v>9.9</s:v>
      </s:c>
    </s:row>
    <s:row r="333">
      <s:c r="A333" s="2" t="n">
        <s:v>47212</s:v>
      </s:c>
      <s:c r="B333" s="2" t="inlineStr">
        <s:is>
          <s:t>YANGTSE-AUTO DEL ECUADOR S.A.</s:t>
        </s:is>
      </s:c>
      <s:c r="C333" s="3" t="n">
        <s:v>46076</s:v>
      </s:c>
      <s:c r="D333" s="3" t="n">
        <s:v>46076</s:v>
      </s:c>
      <s:c r="E333" s="3" t="inlineStr">
        <s:is>
          <s:t>RENTA</s:t>
        </s:is>
      </s:c>
      <s:c r="F333" s="2" t="n">
        <s:v>312</s:v>
      </s:c>
      <s:c r="G333" s="2" t="n">
        <s:v>561</s:v>
      </s:c>
      <s:c r="H333" s="2" t="n">
        <s:v>1.75</s:v>
      </s:c>
      <s:c r="I333" s="2" t="n">
        <s:v>246.08</s:v>
      </s:c>
      <s:c r="J333" s="2" t="n">
        <s:v>4.31</s:v>
      </s:c>
    </s:row>
    <s:row r="334">
      <s:c r="A334" s="2" t="n">
        <s:v>47212</s:v>
      </s:c>
      <s:c r="B334" s="2" t="inlineStr">
        <s:is>
          <s:t>YANGTSE-AUTO DEL ECUADOR S.A.</s:t>
        </s:is>
      </s:c>
      <s:c r="C334" s="3" t="n">
        <s:v>46076</s:v>
      </s:c>
      <s:c r="D334" s="3" t="n">
        <s:v>46076</s:v>
      </s:c>
      <s:c r="E334" s="3" t="inlineStr">
        <s:is>
          <s:t>IVA</s:t>
        </s:is>
      </s:c>
      <s:c r="F334" s="2" t="n">
        <s:v>312</s:v>
      </s:c>
      <s:c r="G334" s="2" t="n">
        <s:v>561</s:v>
      </s:c>
      <s:c r="H334" s="2" t="n">
        <s:v>30</s:v>
      </s:c>
      <s:c r="I334" s="2" t="n">
        <s:v>3.91</s:v>
      </s:c>
      <s:c r="J334" s="2" t="n">
        <s:v>1.17</s:v>
      </s:c>
    </s:row>
    <s:row r="335">
      <s:c r="A335" s="2" t="n">
        <s:v>47213</s:v>
      </s:c>
      <s:c r="B335" s="2" t="inlineStr">
        <s:is>
          <s:t>SZK DEL ECUADOR S.A.</s:t>
        </s:is>
      </s:c>
      <s:c r="C335" s="3" t="n">
        <s:v>46077</s:v>
      </s:c>
      <s:c r="D335" s="3" t="n">
        <s:v>46077</s:v>
      </s:c>
      <s:c r="E335" s="3" t="inlineStr">
        <s:is>
          <s:t>IVA</s:t>
        </s:is>
      </s:c>
      <s:c r="F335" s="2" t="n">
        <s:v>312</s:v>
      </s:c>
      <s:c r="G335" s="2" t="n">
        <s:v>3190</s:v>
      </s:c>
      <s:c r="H335" s="2" t="n">
        <s:v>10</s:v>
      </s:c>
      <s:c r="I335" s="4" t="n">
        <s:v>2212.53</s:v>
      </s:c>
      <s:c r="J335" s="2" t="n">
        <s:v>221.25</s:v>
      </s:c>
    </s:row>
    <s:row r="336">
      <s:c r="A336" s="2" t="n">
        <s:v>47214</s:v>
      </s:c>
      <s:c r="B336" s="2" t="inlineStr">
        <s:is>
          <s:t>SZK DEL ECUADOR S.A.</s:t>
        </s:is>
      </s:c>
      <s:c r="C336" s="3" t="n">
        <s:v>46077</s:v>
      </s:c>
      <s:c r="D336" s="3" t="n">
        <s:v>46077</s:v>
      </s:c>
      <s:c r="E336" s="3" t="inlineStr">
        <s:is>
          <s:t>IVA</s:t>
        </s:is>
      </s:c>
      <s:c r="F336" s="2" t="n">
        <s:v>312</s:v>
      </s:c>
      <s:c r="G336" s="2" t="n">
        <s:v>3188</s:v>
      </s:c>
      <s:c r="H336" s="2" t="n">
        <s:v>10</s:v>
      </s:c>
      <s:c r="I336" s="4" t="n">
        <s:v>6637.59</s:v>
      </s:c>
      <s:c r="J336" s="2" t="n">
        <s:v>663.76</s:v>
      </s:c>
    </s:row>
    <s:row r="337">
      <s:c r="A337" s="2" t="n">
        <s:v>47215</s:v>
      </s:c>
      <s:c r="B337" s="2" t="inlineStr">
        <s:is>
          <s:t>SZK DEL ECUADOR S.A.</s:t>
        </s:is>
      </s:c>
      <s:c r="C337" s="3" t="n">
        <s:v>46077</s:v>
      </s:c>
      <s:c r="D337" s="3" t="n">
        <s:v>46077</s:v>
      </s:c>
      <s:c r="E337" s="3" t="inlineStr">
        <s:is>
          <s:t>IVA</s:t>
        </s:is>
      </s:c>
      <s:c r="F337" s="2" t="n">
        <s:v>312</s:v>
      </s:c>
      <s:c r="G337" s="2" t="n">
        <s:v>3185</s:v>
      </s:c>
      <s:c r="H337" s="2" t="n">
        <s:v>10</s:v>
      </s:c>
      <s:c r="I337" s="4" t="n">
        <s:v>15788.05</s:v>
      </s:c>
      <s:c r="J337" s="4" t="n">
        <s:v>1578.81</s:v>
      </s:c>
    </s:row>
    <s:row r="338">
      <s:c r="A338" s="2" t="n">
        <s:v>47216</s:v>
      </s:c>
      <s:c r="B338" s="2" t="inlineStr">
        <s:is>
          <s:t>SZK DEL ECUADOR S.A.</s:t>
        </s:is>
      </s:c>
      <s:c r="C338" s="3" t="n">
        <s:v>46077</s:v>
      </s:c>
      <s:c r="D338" s="3" t="n">
        <s:v>46077</s:v>
      </s:c>
      <s:c r="E338" s="3" t="inlineStr">
        <s:is>
          <s:t>IVA</s:t>
        </s:is>
      </s:c>
      <s:c r="F338" s="2" t="n">
        <s:v>312</s:v>
      </s:c>
      <s:c r="G338" s="2" t="n">
        <s:v>3189</s:v>
      </s:c>
      <s:c r="H338" s="2" t="n">
        <s:v>10</s:v>
      </s:c>
      <s:c r="I338" s="4" t="n">
        <s:v>2631.34</s:v>
      </s:c>
      <s:c r="J338" s="2" t="n">
        <s:v>263.13</s:v>
      </s:c>
    </s:row>
    <s:row r="339">
      <s:c r="A339" s="2" t="n">
        <s:v>47217</s:v>
      </s:c>
      <s:c r="B339" s="2" t="inlineStr">
        <s:is>
          <s:t>SZK DEL ECUADOR S.A.</s:t>
        </s:is>
      </s:c>
      <s:c r="C339" s="3" t="n">
        <s:v>46077</s:v>
      </s:c>
      <s:c r="D339" s="3" t="n">
        <s:v>46077</s:v>
      </s:c>
      <s:c r="E339" s="3" t="inlineStr">
        <s:is>
          <s:t>IVA</s:t>
        </s:is>
      </s:c>
      <s:c r="F339" s="2" t="n">
        <s:v>312</s:v>
      </s:c>
      <s:c r="G339" s="2" t="n">
        <s:v>3187</s:v>
      </s:c>
      <s:c r="H339" s="2" t="n">
        <s:v>10</s:v>
      </s:c>
      <s:c r="I339" s="4" t="n">
        <s:v>10525.37</s:v>
      </s:c>
      <s:c r="J339" s="4" t="n">
        <s:v>1052.54</s:v>
      </s:c>
    </s:row>
    <s:row r="340">
      <s:c r="A340" s="2" t="n">
        <s:v>47218</s:v>
      </s:c>
      <s:c r="B340" s="2" t="inlineStr">
        <s:is>
          <s:t>SZK DEL ECUADOR S.A.</s:t>
        </s:is>
      </s:c>
      <s:c r="C340" s="3" t="n">
        <s:v>46077</s:v>
      </s:c>
      <s:c r="D340" s="3" t="n">
        <s:v>46077</s:v>
      </s:c>
      <s:c r="E340" s="3" t="inlineStr">
        <s:is>
          <s:t>IVA</s:t>
        </s:is>
      </s:c>
      <s:c r="F340" s="2" t="n">
        <s:v>312</s:v>
      </s:c>
      <s:c r="G340" s="2" t="n">
        <s:v>3186</s:v>
      </s:c>
      <s:c r="H340" s="2" t="n">
        <s:v>10</s:v>
      </s:c>
      <s:c r="I340" s="4" t="n">
        <s:v>15788.05</s:v>
      </s:c>
      <s:c r="J340" s="4" t="n">
        <s:v>1578.81</s:v>
      </s:c>
    </s:row>
    <s:row r="341">
      <s:c r="A341" s="2" t="n">
        <s:v>47219</s:v>
      </s:c>
      <s:c r="B341" s="2" t="inlineStr">
        <s:is>
          <s:t>PALACIOS DAVALOS MARCELO EDUARDO</s:t>
        </s:is>
      </s:c>
      <s:c r="C341" s="3" t="n">
        <s:v>46077</s:v>
      </s:c>
      <s:c r="D341" s="3" t="n">
        <s:v>46073</s:v>
      </s:c>
      <s:c r="E341" s="3" t="inlineStr">
        <s:is>
          <s:t>RENTA</s:t>
        </s:is>
      </s:c>
      <s:c r="F341" s="2" t="n">
        <s:v>307</s:v>
      </s:c>
      <s:c r="G341" s="2" t="n">
        <s:v>628</s:v>
      </s:c>
      <s:c r="H341" s="2" t="n">
        <s:v>2</s:v>
      </s:c>
      <s:c r="I341" s="2" t="n">
        <s:v>35</s:v>
      </s:c>
      <s:c r="J341" s="2" t="n">
        <s:v>0.7</s:v>
      </s:c>
    </s:row>
    <s:row r="342">
      <s:c r="A342" s="2" t="n">
        <s:v>47219</s:v>
      </s:c>
      <s:c r="B342" s="2" t="inlineStr">
        <s:is>
          <s:t>PALACIOS DAVALOS MARCELO EDUARDO</s:t>
        </s:is>
      </s:c>
      <s:c r="C342" s="3" t="n">
        <s:v>46077</s:v>
      </s:c>
      <s:c r="D342" s="3" t="n">
        <s:v>46073</s:v>
      </s:c>
      <s:c r="E342" s="3" t="inlineStr">
        <s:is>
          <s:t>IVA</s:t>
        </s:is>
      </s:c>
      <s:c r="F342" s="2" t="n">
        <s:v>307</s:v>
      </s:c>
      <s:c r="G342" s="2" t="n">
        <s:v>628</s:v>
      </s:c>
      <s:c r="H342" s="2" t="n">
        <s:v>70</s:v>
      </s:c>
      <s:c r="I342" s="2" t="n">
        <s:v>5.25</s:v>
      </s:c>
      <s:c r="J342" s="2" t="n">
        <s:v>3.68</s:v>
      </s:c>
    </s:row>
    <s:row r="343">
      <s:c r="A343" s="2" t="n">
        <s:v>47220</s:v>
      </s:c>
      <s:c r="B343" s="2" t="inlineStr">
        <s:is>
          <s:t>PALACIOS DAVALOS MARCELO EDUARDO</s:t>
        </s:is>
      </s:c>
      <s:c r="C343" s="3" t="n">
        <s:v>46077</s:v>
      </s:c>
      <s:c r="D343" s="3" t="n">
        <s:v>46073</s:v>
      </s:c>
      <s:c r="E343" s="3" t="inlineStr">
        <s:is>
          <s:t>RENTA</s:t>
        </s:is>
      </s:c>
      <s:c r="F343" s="2" t="n">
        <s:v>312</s:v>
      </s:c>
      <s:c r="G343" s="2" t="n">
        <s:v>629</s:v>
      </s:c>
      <s:c r="H343" s="2" t="n">
        <s:v>1.75</s:v>
      </s:c>
      <s:c r="I343" s="2" t="n">
        <s:v>15</s:v>
      </s:c>
      <s:c r="J343" s="2" t="n">
        <s:v>0.26</s:v>
      </s:c>
    </s:row>
    <s:row r="344">
      <s:c r="A344" s="2" t="n">
        <s:v>47220</s:v>
      </s:c>
      <s:c r="B344" s="2" t="inlineStr">
        <s:is>
          <s:t>PALACIOS DAVALOS MARCELO EDUARDO</s:t>
        </s:is>
      </s:c>
      <s:c r="C344" s="3" t="n">
        <s:v>46077</s:v>
      </s:c>
      <s:c r="D344" s="3" t="n">
        <s:v>46073</s:v>
      </s:c>
      <s:c r="E344" s="3" t="inlineStr">
        <s:is>
          <s:t>IVA</s:t>
        </s:is>
      </s:c>
      <s:c r="F344" s="2" t="n">
        <s:v>312</s:v>
      </s:c>
      <s:c r="G344" s="2" t="n">
        <s:v>629</s:v>
      </s:c>
      <s:c r="H344" s="2" t="n">
        <s:v>30</s:v>
      </s:c>
      <s:c r="I344" s="2" t="n">
        <s:v>2.25</s:v>
      </s:c>
      <s:c r="J344" s="2" t="n">
        <s:v>0.67</s:v>
      </s:c>
    </s:row>
    <s:row r="345">
      <s:c r="A345" s="2" t="n">
        <s:v>47221</s:v>
      </s:c>
      <s:c r="B345" s="2" t="inlineStr">
        <s:is>
          <s:t>TOYOTASERVICIOS S.A.</s:t>
        </s:is>
      </s:c>
      <s:c r="C345" s="3" t="n">
        <s:v>46077</s:v>
      </s:c>
      <s:c r="D345" s="3" t="n">
        <s:v>46076</s:v>
      </s:c>
      <s:c r="E345" s="3" t="inlineStr">
        <s:is>
          <s:t>IVA</s:t>
        </s:is>
      </s:c>
      <s:c r="F345" s="2" t="n">
        <s:v>344</s:v>
      </s:c>
      <s:c r="G345" s="2" t="n">
        <s:v>7760</s:v>
      </s:c>
      <s:c r="H345" s="2" t="n">
        <s:v>70</s:v>
      </s:c>
      <s:c r="I345" s="2" t="n">
        <s:v>9</s:v>
      </s:c>
      <s:c r="J345" s="2" t="n">
        <s:v>6.3</s:v>
      </s:c>
    </s:row>
    <s:row r="346">
      <s:c r="A346" s="2" t="n">
        <s:v>47221</s:v>
      </s:c>
      <s:c r="B346" s="2" t="inlineStr">
        <s:is>
          <s:t>TOYOTASERVICIOS S.A.</s:t>
        </s:is>
      </s:c>
      <s:c r="C346" s="3" t="n">
        <s:v>46077</s:v>
      </s:c>
      <s:c r="D346" s="3" t="n">
        <s:v>46076</s:v>
      </s:c>
      <s:c r="E346" s="3" t="inlineStr">
        <s:is>
          <s:t>RENTA</s:t>
        </s:is>
      </s:c>
      <s:c r="F346" s="2" t="n">
        <s:v>344</s:v>
      </s:c>
      <s:c r="G346" s="2" t="n">
        <s:v>7760</s:v>
      </s:c>
      <s:c r="H346" s="2" t="n">
        <s:v>2.75</s:v>
      </s:c>
      <s:c r="I346" s="2" t="n">
        <s:v>60</s:v>
      </s:c>
      <s:c r="J346" s="2" t="n">
        <s:v>1.65</s:v>
      </s:c>
    </s:row>
    <s:row r="347">
      <s:c r="A347" s="2" t="n">
        <s:v>47222</s:v>
      </s:c>
      <s:c r="B347" s="2" t="inlineStr">
        <s:is>
          <s:t>TOYOTASERVICIOS S.A.</s:t>
        </s:is>
      </s:c>
      <s:c r="C347" s="3" t="n">
        <s:v>46077</s:v>
      </s:c>
      <s:c r="D347" s="3" t="n">
        <s:v>46076</s:v>
      </s:c>
      <s:c r="E347" s="3" t="inlineStr">
        <s:is>
          <s:t>IVA</s:t>
        </s:is>
      </s:c>
      <s:c r="F347" s="2" t="n">
        <s:v>344</s:v>
      </s:c>
      <s:c r="G347" s="2" t="n">
        <s:v>7758</s:v>
      </s:c>
      <s:c r="H347" s="2" t="n">
        <s:v>70</s:v>
      </s:c>
      <s:c r="I347" s="2" t="n">
        <s:v>21</s:v>
      </s:c>
      <s:c r="J347" s="2" t="n">
        <s:v>14.7</s:v>
      </s:c>
    </s:row>
    <s:row r="348">
      <s:c r="A348" s="2" t="n">
        <s:v>47222</s:v>
      </s:c>
      <s:c r="B348" s="2" t="inlineStr">
        <s:is>
          <s:t>TOYOTASERVICIOS S.A.</s:t>
        </s:is>
      </s:c>
      <s:c r="C348" s="3" t="n">
        <s:v>46077</s:v>
      </s:c>
      <s:c r="D348" s="3" t="n">
        <s:v>46076</s:v>
      </s:c>
      <s:c r="E348" s="3" t="inlineStr">
        <s:is>
          <s:t>RENTA</s:t>
        </s:is>
      </s:c>
      <s:c r="F348" s="2" t="n">
        <s:v>344</s:v>
      </s:c>
      <s:c r="G348" s="2" t="n">
        <s:v>7758</s:v>
      </s:c>
      <s:c r="H348" s="2" t="n">
        <s:v>2.75</s:v>
      </s:c>
      <s:c r="I348" s="2" t="n">
        <s:v>140</s:v>
      </s:c>
      <s:c r="J348" s="2" t="n">
        <s:v>3.85</s:v>
      </s:c>
    </s:row>
    <s:row r="349">
      <s:c r="A349" s="2" t="n">
        <s:v>47223</s:v>
      </s:c>
      <s:c r="B349" s="2" t="inlineStr">
        <s:is>
          <s:t>TOYOTASERVICIOS S.A.</s:t>
        </s:is>
      </s:c>
      <s:c r="C349" s="3" t="n">
        <s:v>46077</s:v>
      </s:c>
      <s:c r="D349" s="3" t="n">
        <s:v>46076</s:v>
      </s:c>
      <s:c r="E349" s="3" t="inlineStr">
        <s:is>
          <s:t>IVA</s:t>
        </s:is>
      </s:c>
      <s:c r="F349" s="2" t="n">
        <s:v>344</s:v>
      </s:c>
      <s:c r="G349" s="2" t="n">
        <s:v>7761</s:v>
      </s:c>
      <s:c r="H349" s="2" t="n">
        <s:v>70</s:v>
      </s:c>
      <s:c r="I349" s="2" t="n">
        <s:v>9</s:v>
      </s:c>
      <s:c r="J349" s="2" t="n">
        <s:v>6.3</s:v>
      </s:c>
    </s:row>
    <s:row r="350">
      <s:c r="A350" s="2" t="n">
        <s:v>47223</s:v>
      </s:c>
      <s:c r="B350" s="2" t="inlineStr">
        <s:is>
          <s:t>TOYOTASERVICIOS S.A.</s:t>
        </s:is>
      </s:c>
      <s:c r="C350" s="3" t="n">
        <s:v>46077</s:v>
      </s:c>
      <s:c r="D350" s="3" t="n">
        <s:v>46076</s:v>
      </s:c>
      <s:c r="E350" s="3" t="inlineStr">
        <s:is>
          <s:t>RENTA</s:t>
        </s:is>
      </s:c>
      <s:c r="F350" s="2" t="n">
        <s:v>344</s:v>
      </s:c>
      <s:c r="G350" s="2" t="n">
        <s:v>7761</s:v>
      </s:c>
      <s:c r="H350" s="2" t="n">
        <s:v>2.75</s:v>
      </s:c>
      <s:c r="I350" s="2" t="n">
        <s:v>60</s:v>
      </s:c>
      <s:c r="J350" s="2" t="n">
        <s:v>1.65</s:v>
      </s:c>
    </s:row>
    <s:row r="351">
      <s:c r="A351" s="2" t="n">
        <s:v>47224</s:v>
      </s:c>
      <s:c r="B351" s="2" t="inlineStr">
        <s:is>
          <s:t>TOYOTASERVICIOS S.A.</s:t>
        </s:is>
      </s:c>
      <s:c r="C351" s="3" t="n">
        <s:v>46077</s:v>
      </s:c>
      <s:c r="D351" s="3" t="n">
        <s:v>46076</s:v>
      </s:c>
      <s:c r="E351" s="3" t="inlineStr">
        <s:is>
          <s:t>IVA</s:t>
        </s:is>
      </s:c>
      <s:c r="F351" s="2" t="n">
        <s:v>344</s:v>
      </s:c>
      <s:c r="G351" s="2" t="n">
        <s:v>7759</s:v>
      </s:c>
      <s:c r="H351" s="2" t="n">
        <s:v>70</s:v>
      </s:c>
      <s:c r="I351" s="2" t="n">
        <s:v>56.25</s:v>
      </s:c>
      <s:c r="J351" s="2" t="n">
        <s:v>39.38</s:v>
      </s:c>
    </s:row>
    <s:row r="352">
      <s:c r="A352" s="2" t="n">
        <s:v>47224</s:v>
      </s:c>
      <s:c r="B352" s="2" t="inlineStr">
        <s:is>
          <s:t>TOYOTASERVICIOS S.A.</s:t>
        </s:is>
      </s:c>
      <s:c r="C352" s="3" t="n">
        <s:v>46077</s:v>
      </s:c>
      <s:c r="D352" s="3" t="n">
        <s:v>46076</s:v>
      </s:c>
      <s:c r="E352" s="3" t="inlineStr">
        <s:is>
          <s:t>RENTA</s:t>
        </s:is>
      </s:c>
      <s:c r="F352" s="2" t="n">
        <s:v>344</s:v>
      </s:c>
      <s:c r="G352" s="2" t="n">
        <s:v>7759</s:v>
      </s:c>
      <s:c r="H352" s="2" t="n">
        <s:v>2.75</s:v>
      </s:c>
      <s:c r="I352" s="2" t="n">
        <s:v>375</s:v>
      </s:c>
      <s:c r="J352" s="2" t="n">
        <s:v>10.31</s:v>
      </s:c>
    </s:row>
    <s:row r="353">
      <s:c r="A353" s="2" t="n">
        <s:v>47225</s:v>
      </s:c>
      <s:c r="B353" s="2" t="inlineStr">
        <s:is>
          <s:t>TOYOTASERVICIOS S.A.</s:t>
        </s:is>
      </s:c>
      <s:c r="C353" s="3" t="n">
        <s:v>46077</s:v>
      </s:c>
      <s:c r="D353" s="3" t="n">
        <s:v>46076</s:v>
      </s:c>
      <s:c r="E353" s="3" t="inlineStr">
        <s:is>
          <s:t>IVA</s:t>
        </s:is>
      </s:c>
      <s:c r="F353" s="2" t="n">
        <s:v>344</s:v>
      </s:c>
      <s:c r="G353" s="2" t="n">
        <s:v>7757</s:v>
      </s:c>
      <s:c r="H353" s="2" t="n">
        <s:v>70</s:v>
      </s:c>
      <s:c r="I353" s="2" t="n">
        <s:v>7.5</s:v>
      </s:c>
      <s:c r="J353" s="2" t="n">
        <s:v>5.25</s:v>
      </s:c>
    </s:row>
    <s:row r="354">
      <s:c r="A354" s="2" t="n">
        <s:v>47225</s:v>
      </s:c>
      <s:c r="B354" s="2" t="inlineStr">
        <s:is>
          <s:t>TOYOTASERVICIOS S.A.</s:t>
        </s:is>
      </s:c>
      <s:c r="C354" s="3" t="n">
        <s:v>46077</s:v>
      </s:c>
      <s:c r="D354" s="3" t="n">
        <s:v>46076</s:v>
      </s:c>
      <s:c r="E354" s="3" t="inlineStr">
        <s:is>
          <s:t>RENTA</s:t>
        </s:is>
      </s:c>
      <s:c r="F354" s="2" t="n">
        <s:v>344</s:v>
      </s:c>
      <s:c r="G354" s="2" t="n">
        <s:v>7757</s:v>
      </s:c>
      <s:c r="H354" s="2" t="n">
        <s:v>2.75</s:v>
      </s:c>
      <s:c r="I354" s="2" t="n">
        <s:v>50</s:v>
      </s:c>
      <s:c r="J354" s="2" t="n">
        <s:v>1.38</s:v>
      </s:c>
    </s:row>
    <s:row r="355">
      <s:c r="A355" s="2" t="n">
        <s:v>47226</s:v>
      </s:c>
      <s:c r="B355" s="2" t="inlineStr">
        <s:is>
          <s:t>SZK DEL ECUADOR S.A.</s:t>
        </s:is>
      </s:c>
      <s:c r="C355" s="3" t="n">
        <s:v>46077</s:v>
      </s:c>
      <s:c r="D355" s="3" t="n">
        <s:v>46077</s:v>
      </s:c>
      <s:c r="E355" s="3" t="inlineStr">
        <s:is>
          <s:t>IVA</s:t>
        </s:is>
      </s:c>
      <s:c r="F355" s="2" t="n">
        <s:v>332</s:v>
      </s:c>
      <s:c r="G355" s="2" t="n">
        <s:v>1519</s:v>
      </s:c>
      <s:c r="H355" s="2" t="n">
        <s:v>10</s:v>
      </s:c>
      <s:c r="I355" s="2" t="n">
        <s:v>100.33</s:v>
      </s:c>
      <s:c r="J355" s="2" t="n">
        <s:v>10.03</s:v>
      </s:c>
    </s:row>
    <s:row r="356">
      <s:c r="A356" s="2" t="n">
        <s:v>47227</s:v>
      </s:c>
      <s:c r="B356" s="2" t="inlineStr">
        <s:is>
          <s:t>TOYOTASERVICIOS S.A.</s:t>
        </s:is>
      </s:c>
      <s:c r="C356" s="3" t="n">
        <s:v>46077</s:v>
      </s:c>
      <s:c r="D356" s="3" t="n">
        <s:v>46077</s:v>
      </s:c>
      <s:c r="E356" s="3" t="inlineStr">
        <s:is>
          <s:t>IVA</s:t>
        </s:is>
      </s:c>
      <s:c r="F356" s="2" t="n">
        <s:v>312</s:v>
      </s:c>
      <s:c r="G356" s="2" t="n">
        <s:v>14907</s:v>
      </s:c>
      <s:c r="H356" s="2" t="n">
        <s:v>30</s:v>
      </s:c>
      <s:c r="I356" s="2" t="n">
        <s:v>16.02</s:v>
      </s:c>
      <s:c r="J356" s="2" t="n">
        <s:v>4.81</s:v>
      </s:c>
    </s:row>
    <s:row r="357">
      <s:c r="A357" s="2" t="n">
        <s:v>47227</s:v>
      </s:c>
      <s:c r="B357" s="2" t="inlineStr">
        <s:is>
          <s:t>TOYOTASERVICIOS S.A.</s:t>
        </s:is>
      </s:c>
      <s:c r="C357" s="3" t="n">
        <s:v>46077</s:v>
      </s:c>
      <s:c r="D357" s="3" t="n">
        <s:v>46077</s:v>
      </s:c>
      <s:c r="E357" s="3" t="inlineStr">
        <s:is>
          <s:t>RENTA</s:t>
        </s:is>
      </s:c>
      <s:c r="F357" s="2" t="n">
        <s:v>312</s:v>
      </s:c>
      <s:c r="G357" s="2" t="n">
        <s:v>14907</s:v>
      </s:c>
      <s:c r="H357" s="2" t="n">
        <s:v>1.75</s:v>
      </s:c>
      <s:c r="I357" s="2" t="n">
        <s:v>106.8</s:v>
      </s:c>
      <s:c r="J357" s="2" t="n">
        <s:v>1.87</s:v>
      </s:c>
    </s:row>
    <s:row r="358">
      <s:c r="A358" s="2" t="n">
        <s:v>47228</s:v>
      </s:c>
      <s:c r="B358" s="2" t="inlineStr">
        <s:is>
          <s:t>SZK DEL ECUADOR S.A.</s:t>
        </s:is>
      </s:c>
      <s:c r="C358" s="3" t="n">
        <s:v>46078</s:v>
      </s:c>
      <s:c r="D358" s="3" t="n">
        <s:v>46078</s:v>
      </s:c>
      <s:c r="E358" s="3" t="inlineStr">
        <s:is>
          <s:t>IVA</s:t>
        </s:is>
      </s:c>
      <s:c r="F358" s="2" t="n">
        <s:v>332</s:v>
      </s:c>
      <s:c r="G358" s="2" t="n">
        <s:v>1521</s:v>
      </s:c>
      <s:c r="H358" s="2" t="n">
        <s:v>10</s:v>
      </s:c>
      <s:c r="I358" s="2" t="n">
        <s:v>100.33</s:v>
      </s:c>
      <s:c r="J358" s="2" t="n">
        <s:v>10.03</s:v>
      </s:c>
    </s:row>
    <s:row r="359">
      <s:c r="A359" s="2" t="n">
        <s:v>47229</s:v>
      </s:c>
      <s:c r="B359" s="2" t="inlineStr">
        <s:is>
          <s:t>TOYOTASERVICIOS S.A.</s:t>
        </s:is>
      </s:c>
      <s:c r="C359" s="3" t="n">
        <s:v>46078</s:v>
      </s:c>
      <s:c r="D359" s="3" t="n">
        <s:v>46078</s:v>
      </s:c>
      <s:c r="E359" s="3" t="inlineStr">
        <s:is>
          <s:t>RENTA</s:t>
        </s:is>
      </s:c>
      <s:c r="F359" s="2" t="n">
        <s:v>312</s:v>
      </s:c>
      <s:c r="G359" s="2" t="n">
        <s:v>6942</s:v>
      </s:c>
      <s:c r="H359" s="2" t="n">
        <s:v>1.75</s:v>
      </s:c>
      <s:c r="I359" s="2" t="n">
        <s:v>546</s:v>
      </s:c>
      <s:c r="J359" s="2" t="n">
        <s:v>9.56</s:v>
      </s:c>
    </s:row>
    <s:row r="360">
      <s:c r="A360" s="2" t="n">
        <s:v>47229</s:v>
      </s:c>
      <s:c r="B360" s="2" t="inlineStr">
        <s:is>
          <s:t>TOYOTASERVICIOS S.A.</s:t>
        </s:is>
      </s:c>
      <s:c r="C360" s="3" t="n">
        <s:v>46078</s:v>
      </s:c>
      <s:c r="D360" s="3" t="n">
        <s:v>46078</s:v>
      </s:c>
      <s:c r="E360" s="3" t="inlineStr">
        <s:is>
          <s:t>IVA</s:t>
        </s:is>
      </s:c>
      <s:c r="F360" s="2" t="n">
        <s:v>312</s:v>
      </s:c>
      <s:c r="G360" s="2" t="n">
        <s:v>6942</s:v>
      </s:c>
      <s:c r="H360" s="2" t="n">
        <s:v>30</s:v>
      </s:c>
      <s:c r="I360" s="2" t="n">
        <s:v>81.90000000000001</s:v>
      </s:c>
      <s:c r="J360" s="2" t="n">
        <s:v>24.57</s:v>
      </s:c>
    </s:row>
    <s:row r="361">
      <s:c r="A361" s="2" t="n">
        <s:v>47230</s:v>
      </s:c>
      <s:c r="B361" s="2" t="inlineStr">
        <s:is>
          <s:t>CASABACA S.A.</s:t>
        </s:is>
      </s:c>
      <s:c r="C361" s="3" t="n">
        <s:v>46078</s:v>
      </s:c>
      <s:c r="D361" s="3" t="n">
        <s:v>46078</s:v>
      </s:c>
      <s:c r="E361" s="3" t="inlineStr">
        <s:is>
          <s:t>IVA</s:t>
        </s:is>
      </s:c>
      <s:c r="F361" s="2" t="n">
        <s:v>332</s:v>
      </s:c>
      <s:c r="G361" s="2" t="n">
        <s:v>31451</s:v>
      </s:c>
      <s:c r="H361" s="2" t="n">
        <s:v>10</s:v>
      </s:c>
      <s:c r="I361" s="2" t="n">
        <s:v>329.88</s:v>
      </s:c>
      <s:c r="J361" s="2" t="n">
        <s:v>32.99</s:v>
      </s:c>
    </s:row>
    <s:row r="362">
      <s:c r="A362" s="2" t="n">
        <s:v>47231</s:v>
      </s:c>
      <s:c r="B362" s="2" t="inlineStr">
        <s:is>
          <s:t>TOYOTASERVICIOS S.A.</s:t>
        </s:is>
      </s:c>
      <s:c r="C362" s="3" t="n">
        <s:v>46078</s:v>
      </s:c>
      <s:c r="D362" s="3" t="n">
        <s:v>46078</s:v>
      </s:c>
      <s:c r="E362" s="3" t="inlineStr">
        <s:is>
          <s:t>RENTA</s:t>
        </s:is>
      </s:c>
      <s:c r="F362" s="2" t="n">
        <s:v>312</s:v>
      </s:c>
      <s:c r="G362" s="2" t="n">
        <s:v>14919</s:v>
      </s:c>
      <s:c r="H362" s="2" t="n">
        <s:v>1.75</s:v>
      </s:c>
      <s:c r="I362" s="2" t="n">
        <s:v>767.52</s:v>
      </s:c>
      <s:c r="J362" s="2" t="n">
        <s:v>13.43</s:v>
      </s:c>
    </s:row>
    <s:row r="363">
      <s:c r="A363" s="2" t="n">
        <s:v>47231</s:v>
      </s:c>
      <s:c r="B363" s="2" t="inlineStr">
        <s:is>
          <s:t>TOYOTASERVICIOS S.A.</s:t>
        </s:is>
      </s:c>
      <s:c r="C363" s="3" t="n">
        <s:v>46078</s:v>
      </s:c>
      <s:c r="D363" s="3" t="n">
        <s:v>46078</s:v>
      </s:c>
      <s:c r="E363" s="3" t="inlineStr">
        <s:is>
          <s:t>IVA</s:t>
        </s:is>
      </s:c>
      <s:c r="F363" s="2" t="n">
        <s:v>312</s:v>
      </s:c>
      <s:c r="G363" s="2" t="n">
        <s:v>14919</s:v>
      </s:c>
      <s:c r="H363" s="2" t="n">
        <s:v>30</s:v>
      </s:c>
      <s:c r="I363" s="2" t="n">
        <s:v>115.13</s:v>
      </s:c>
      <s:c r="J363" s="2" t="n">
        <s:v>34.54</s:v>
      </s:c>
    </s:row>
    <s:row r="364">
      <s:c r="A364" s="2" t="n">
        <s:v>47232</s:v>
      </s:c>
      <s:c r="B364" s="2" t="inlineStr">
        <s:is>
          <s:t>SZK DEL ECUADOR S.A.</s:t>
        </s:is>
      </s:c>
      <s:c r="C364" s="3" t="n">
        <s:v>46078</s:v>
      </s:c>
      <s:c r="D364" s="3" t="n">
        <s:v>46078</s:v>
      </s:c>
      <s:c r="E364" s="3" t="inlineStr">
        <s:is>
          <s:t>IVA</s:t>
        </s:is>
      </s:c>
      <s:c r="F364" s="2" t="n">
        <s:v>312</s:v>
      </s:c>
      <s:c r="G364" s="2" t="n">
        <s:v>3196</s:v>
      </s:c>
      <s:c r="H364" s="2" t="n">
        <s:v>10</s:v>
      </s:c>
      <s:c r="I364" s="4" t="n">
        <s:v>10855.08</s:v>
      </s:c>
      <s:c r="J364" s="4" t="n">
        <s:v>1085.51</s:v>
      </s:c>
    </s:row>
    <s:row r="365">
      <s:c r="A365" s="2" t="n">
        <s:v>47233</s:v>
      </s:c>
      <s:c r="B365" s="2" t="inlineStr">
        <s:is>
          <s:t>SZK DEL ECUADOR S.A.</s:t>
        </s:is>
      </s:c>
      <s:c r="C365" s="3" t="n">
        <s:v>46078</s:v>
      </s:c>
      <s:c r="D365" s="3" t="n">
        <s:v>46078</s:v>
      </s:c>
      <s:c r="E365" s="3" t="inlineStr">
        <s:is>
          <s:t>IVA</s:t>
        </s:is>
      </s:c>
      <s:c r="F365" s="2" t="n">
        <s:v>312</s:v>
      </s:c>
      <s:c r="G365" s="2" t="n">
        <s:v>3191</s:v>
      </s:c>
      <s:c r="H365" s="2" t="n">
        <s:v>10</s:v>
      </s:c>
      <s:c r="I365" s="4" t="n">
        <s:v>2212.53</s:v>
      </s:c>
      <s:c r="J365" s="2" t="n">
        <s:v>221.25</s:v>
      </s:c>
    </s:row>
    <s:row r="366">
      <s:c r="A366" s="2" t="n">
        <s:v>47234</s:v>
      </s:c>
      <s:c r="B366" s="2" t="inlineStr">
        <s:is>
          <s:t>SZK DEL ECUADOR S.A.</s:t>
        </s:is>
      </s:c>
      <s:c r="C366" s="3" t="n">
        <s:v>46078</s:v>
      </s:c>
      <s:c r="D366" s="3" t="n">
        <s:v>46078</s:v>
      </s:c>
      <s:c r="E366" s="3" t="inlineStr">
        <s:is>
          <s:t>IVA</s:t>
        </s:is>
      </s:c>
      <s:c r="F366" s="2" t="n">
        <s:v>312</s:v>
      </s:c>
      <s:c r="G366" s="2" t="n">
        <s:v>3193</s:v>
      </s:c>
      <s:c r="H366" s="2" t="n">
        <s:v>10</s:v>
      </s:c>
      <s:c r="I366" s="4" t="n">
        <s:v>13156.71</s:v>
      </s:c>
      <s:c r="J366" s="4" t="n">
        <s:v>1315.67</s:v>
      </s:c>
    </s:row>
    <s:row r="367">
      <s:c r="A367" s="2" t="n">
        <s:v>47235</s:v>
      </s:c>
      <s:c r="B367" s="2" t="inlineStr">
        <s:is>
          <s:t>CASABACA S.A.</s:t>
        </s:is>
      </s:c>
      <s:c r="C367" s="3" t="n">
        <s:v>46078</s:v>
      </s:c>
      <s:c r="D367" s="3" t="n">
        <s:v>46078</s:v>
      </s:c>
      <s:c r="E367" s="3" t="inlineStr">
        <s:is>
          <s:t>IVA</s:t>
        </s:is>
      </s:c>
      <s:c r="F367" s="2" t="n">
        <s:v>332</s:v>
      </s:c>
      <s:c r="G367" s="2" t="n">
        <s:v>9109</s:v>
      </s:c>
      <s:c r="H367" s="2" t="n">
        <s:v>10</s:v>
      </s:c>
      <s:c r="I367" s="4" t="n">
        <s:v>27673.52</s:v>
      </s:c>
      <s:c r="J367" s="4" t="n">
        <s:v>2767.35</s:v>
      </s:c>
    </s:row>
    <s:row r="368">
      <s:c r="A368" s="2" t="n">
        <s:v>47236</s:v>
      </s:c>
      <s:c r="B368" s="2" t="inlineStr">
        <s:is>
          <s:t>SZK DEL ECUADOR S.A.</s:t>
        </s:is>
      </s:c>
      <s:c r="C368" s="3" t="n">
        <s:v>46078</s:v>
      </s:c>
      <s:c r="D368" s="3" t="n">
        <s:v>46078</s:v>
      </s:c>
      <s:c r="E368" s="3" t="inlineStr">
        <s:is>
          <s:t>IVA</s:t>
        </s:is>
      </s:c>
      <s:c r="F368" s="2" t="n">
        <s:v>312</s:v>
      </s:c>
      <s:c r="G368" s="2" t="n">
        <s:v>3195</s:v>
      </s:c>
      <s:c r="H368" s="2" t="n">
        <s:v>10</s:v>
      </s:c>
      <s:c r="I368" s="4" t="n">
        <s:v>8850.120000000001</s:v>
      </s:c>
      <s:c r="J368" s="2" t="n">
        <s:v>885.01</s:v>
      </s:c>
    </s:row>
    <s:row r="369">
      <s:c r="A369" s="2" t="n">
        <s:v>47237</s:v>
      </s:c>
      <s:c r="B369" s="2" t="inlineStr">
        <s:is>
          <s:t>SZK DEL ECUADOR S.A.</s:t>
        </s:is>
      </s:c>
      <s:c r="C369" s="3" t="n">
        <s:v>46078</s:v>
      </s:c>
      <s:c r="D369" s="3" t="n">
        <s:v>46078</s:v>
      </s:c>
      <s:c r="E369" s="3" t="inlineStr">
        <s:is>
          <s:t>IVA</s:t>
        </s:is>
      </s:c>
      <s:c r="F369" s="2" t="n">
        <s:v>332</s:v>
      </s:c>
      <s:c r="G369" s="2" t="n">
        <s:v>1522</s:v>
      </s:c>
      <s:c r="H369" s="2" t="n">
        <s:v>10</s:v>
      </s:c>
      <s:c r="I369" s="2" t="n">
        <s:v>665.22</s:v>
      </s:c>
      <s:c r="J369" s="2" t="n">
        <s:v>66.52</s:v>
      </s:c>
    </s:row>
    <s:row r="370">
      <s:c r="A370" s="2" t="n">
        <s:v>47238</s:v>
      </s:c>
      <s:c r="B370" s="2" t="inlineStr">
        <s:is>
          <s:t>TOYOTASERVICIOS S.A.</s:t>
        </s:is>
      </s:c>
      <s:c r="C370" s="3" t="n">
        <s:v>46078</s:v>
      </s:c>
      <s:c r="D370" s="3" t="n">
        <s:v>46078</s:v>
      </s:c>
      <s:c r="E370" s="3" t="inlineStr">
        <s:is>
          <s:t>RENTA</s:t>
        </s:is>
      </s:c>
      <s:c r="F370" s="2" t="n">
        <s:v>312</s:v>
      </s:c>
      <s:c r="G370" s="2" t="n">
        <s:v>14918</s:v>
      </s:c>
      <s:c r="H370" s="2" t="n">
        <s:v>1.75</s:v>
      </s:c>
      <s:c r="I370" s="2" t="n">
        <s:v>682.3</s:v>
      </s:c>
      <s:c r="J370" s="2" t="n">
        <s:v>11.94</s:v>
      </s:c>
    </s:row>
    <s:row r="371">
      <s:c r="A371" s="2" t="n">
        <s:v>47238</s:v>
      </s:c>
      <s:c r="B371" s="2" t="inlineStr">
        <s:is>
          <s:t>TOYOTASERVICIOS S.A.</s:t>
        </s:is>
      </s:c>
      <s:c r="C371" s="3" t="n">
        <s:v>46078</s:v>
      </s:c>
      <s:c r="D371" s="3" t="n">
        <s:v>46078</s:v>
      </s:c>
      <s:c r="E371" s="3" t="inlineStr">
        <s:is>
          <s:t>IVA</s:t>
        </s:is>
      </s:c>
      <s:c r="F371" s="2" t="n">
        <s:v>312</s:v>
      </s:c>
      <s:c r="G371" s="2" t="n">
        <s:v>14918</s:v>
      </s:c>
      <s:c r="H371" s="2" t="n">
        <s:v>30</s:v>
      </s:c>
      <s:c r="I371" s="2" t="n">
        <s:v>102.35</s:v>
      </s:c>
      <s:c r="J371" s="2" t="n">
        <s:v>30.71</s:v>
      </s:c>
    </s:row>
    <s:row r="372">
      <s:c r="A372" s="2" t="n">
        <s:v>47239</s:v>
      </s:c>
      <s:c r="B372" s="2" t="inlineStr">
        <s:is>
          <s:t>SZK DEL ECUADOR S.A.</s:t>
        </s:is>
      </s:c>
      <s:c r="C372" s="3" t="n">
        <s:v>46078</s:v>
      </s:c>
      <s:c r="D372" s="3" t="n">
        <s:v>46078</s:v>
      </s:c>
      <s:c r="E372" s="3" t="inlineStr">
        <s:is>
          <s:t>IVA</s:t>
        </s:is>
      </s:c>
      <s:c r="F372" s="2" t="n">
        <s:v>312</s:v>
      </s:c>
      <s:c r="G372" s="2" t="n">
        <s:v>3194</s:v>
      </s:c>
      <s:c r="H372" s="2" t="n">
        <s:v>10</s:v>
      </s:c>
      <s:c r="I372" s="4" t="n">
        <s:v>13156.71</s:v>
      </s:c>
      <s:c r="J372" s="4" t="n">
        <s:v>1315.67</s:v>
      </s:c>
    </s:row>
    <s:row r="373">
      <s:c r="A373" s="2" t="n">
        <s:v>47240</s:v>
      </s:c>
      <s:c r="B373" s="2" t="inlineStr">
        <s:is>
          <s:t>SZK DEL ECUADOR S.A.</s:t>
        </s:is>
      </s:c>
      <s:c r="C373" s="3" t="n">
        <s:v>46078</s:v>
      </s:c>
      <s:c r="D373" s="3" t="n">
        <s:v>46078</s:v>
      </s:c>
      <s:c r="E373" s="3" t="inlineStr">
        <s:is>
          <s:t>IVA</s:t>
        </s:is>
      </s:c>
      <s:c r="F373" s="2" t="n">
        <s:v>332</s:v>
      </s:c>
      <s:c r="G373" s="2" t="n">
        <s:v>1520</s:v>
      </s:c>
      <s:c r="H373" s="2" t="n">
        <s:v>10</s:v>
      </s:c>
      <s:c r="I373" s="2" t="n">
        <s:v>365.21</s:v>
      </s:c>
      <s:c r="J373" s="2" t="n">
        <s:v>36.52</s:v>
      </s:c>
    </s:row>
    <s:row r="374">
      <s:c r="A374" s="2" t="n">
        <s:v>47241</s:v>
      </s:c>
      <s:c r="B374" s="2" t="inlineStr">
        <s:is>
          <s:t>SZK DEL ECUADOR S.A.</s:t>
        </s:is>
      </s:c>
      <s:c r="C374" s="3" t="n">
        <s:v>46078</s:v>
      </s:c>
      <s:c r="D374" s="3" t="n">
        <s:v>46078</s:v>
      </s:c>
      <s:c r="E374" s="3" t="inlineStr">
        <s:is>
          <s:t>IVA</s:t>
        </s:is>
      </s:c>
      <s:c r="F374" s="2" t="n">
        <s:v>312</s:v>
      </s:c>
      <s:c r="G374" s="2" t="n">
        <s:v>3192</s:v>
      </s:c>
      <s:c r="H374" s="2" t="n">
        <s:v>10</s:v>
      </s:c>
      <s:c r="I374" s="4" t="n">
        <s:v>18419.39</s:v>
      </s:c>
      <s:c r="J374" s="4" t="n">
        <s:v>1841.94</s:v>
      </s:c>
    </s:row>
    <s:row r="375">
      <s:c r="A375" s="2" t="n">
        <s:v>47242</s:v>
      </s:c>
      <s:c r="B375" s="2" t="inlineStr">
        <s:is>
          <s:t>TOYOTASERVICIOS S.A.</s:t>
        </s:is>
      </s:c>
      <s:c r="C375" s="3" t="n">
        <s:v>46078</s:v>
      </s:c>
      <s:c r="D375" s="3" t="n">
        <s:v>46078</s:v>
      </s:c>
      <s:c r="E375" s="3" t="inlineStr">
        <s:is>
          <s:t>RENTA</s:t>
        </s:is>
      </s:c>
      <s:c r="F375" s="2" t="n">
        <s:v>312</s:v>
      </s:c>
      <s:c r="G375" s="2" t="n">
        <s:v>14912</s:v>
      </s:c>
      <s:c r="H375" s="2" t="n">
        <s:v>1.75</s:v>
      </s:c>
      <s:c r="I375" s="2" t="n">
        <s:v>106.8</s:v>
      </s:c>
      <s:c r="J375" s="2" t="n">
        <s:v>1.87</s:v>
      </s:c>
    </s:row>
    <s:row r="376">
      <s:c r="A376" s="2" t="n">
        <s:v>47242</s:v>
      </s:c>
      <s:c r="B376" s="2" t="inlineStr">
        <s:is>
          <s:t>TOYOTASERVICIOS S.A.</s:t>
        </s:is>
      </s:c>
      <s:c r="C376" s="3" t="n">
        <s:v>46078</s:v>
      </s:c>
      <s:c r="D376" s="3" t="n">
        <s:v>46078</s:v>
      </s:c>
      <s:c r="E376" s="3" t="inlineStr">
        <s:is>
          <s:t>IVA</s:t>
        </s:is>
      </s:c>
      <s:c r="F376" s="2" t="n">
        <s:v>312</s:v>
      </s:c>
      <s:c r="G376" s="2" t="n">
        <s:v>14912</s:v>
      </s:c>
      <s:c r="H376" s="2" t="n">
        <s:v>30</s:v>
      </s:c>
      <s:c r="I376" s="2" t="n">
        <s:v>16.02</s:v>
      </s:c>
      <s:c r="J376" s="2" t="n">
        <s:v>4.81</s:v>
      </s:c>
    </s:row>
    <s:row r="377">
      <s:c r="A377" s="2" t="n">
        <s:v>47243</s:v>
      </s:c>
      <s:c r="B377" s="2" t="inlineStr">
        <s:is>
          <s:t>CASABACA S.A.</s:t>
        </s:is>
      </s:c>
      <s:c r="C377" s="3" t="n">
        <s:v>46078</s:v>
      </s:c>
      <s:c r="D377" s="3" t="n">
        <s:v>46078</s:v>
      </s:c>
      <s:c r="E377" s="3" t="inlineStr">
        <s:is>
          <s:t>IVA</s:t>
        </s:is>
      </s:c>
      <s:c r="F377" s="2" t="n">
        <s:v>332</s:v>
      </s:c>
      <s:c r="G377" s="2" t="n">
        <s:v>31450</s:v>
      </s:c>
      <s:c r="H377" s="2" t="n">
        <s:v>10</s:v>
      </s:c>
      <s:c r="I377" s="2" t="n">
        <s:v>398.9</s:v>
      </s:c>
      <s:c r="J377" s="2" t="n">
        <s:v>39.89</s:v>
      </s:c>
    </s:row>
    <s:row r="378">
      <s:c r="A378" s="2" t="n">
        <s:v>47244</s:v>
      </s:c>
      <s:c r="B378" s="2" t="inlineStr">
        <s:is>
          <s:t>YANGTSE-AUTO DEL ECUADOR S.A.</s:t>
        </s:is>
      </s:c>
      <s:c r="C378" s="3" t="n">
        <s:v>46079</s:v>
      </s:c>
      <s:c r="D378" s="3" t="n">
        <s:v>46079</s:v>
      </s:c>
      <s:c r="E378" s="3" t="inlineStr">
        <s:is>
          <s:t>IVA</s:t>
        </s:is>
      </s:c>
      <s:c r="F378" s="2" t="n">
        <s:v>312</s:v>
      </s:c>
      <s:c r="G378" s="2" t="n">
        <s:v>697</s:v>
      </s:c>
      <s:c r="H378" s="2" t="n">
        <s:v>30</s:v>
      </s:c>
      <s:c r="I378" s="4" t="n">
        <s:v>4396.02</s:v>
      </s:c>
      <s:c r="J378" s="4" t="n">
        <s:v>1318.81</s:v>
      </s:c>
    </s:row>
    <s:row r="379">
      <s:c r="A379" s="2" t="n">
        <s:v>47244</s:v>
      </s:c>
      <s:c r="B379" s="2" t="inlineStr">
        <s:is>
          <s:t>YANGTSE-AUTO DEL ECUADOR S.A.</s:t>
        </s:is>
      </s:c>
      <s:c r="C379" s="3" t="n">
        <s:v>46079</s:v>
      </s:c>
      <s:c r="D379" s="3" t="n">
        <s:v>46079</s:v>
      </s:c>
      <s:c r="E379" s="3" t="inlineStr">
        <s:is>
          <s:t>RENTA</s:t>
        </s:is>
      </s:c>
      <s:c r="F379" s="2" t="n">
        <s:v>312</s:v>
      </s:c>
      <s:c r="G379" s="2" t="n">
        <s:v>697</s:v>
      </s:c>
      <s:c r="H379" s="2" t="n">
        <s:v>1.75</s:v>
      </s:c>
      <s:c r="I379" s="4" t="n">
        <s:v>29306.8</s:v>
      </s:c>
      <s:c r="J379" s="2" t="n">
        <s:v>512.87</s:v>
      </s:c>
    </s:row>
    <s:row r="380">
      <s:c r="A380" s="2" t="n">
        <s:v>47245</s:v>
      </s:c>
      <s:c r="B380" s="2" t="inlineStr">
        <s:is>
          <s:t>SZK DEL ECUADOR S.A.</s:t>
        </s:is>
      </s:c>
      <s:c r="C380" s="3" t="n">
        <s:v>46079</s:v>
      </s:c>
      <s:c r="D380" s="3" t="n">
        <s:v>46079</s:v>
      </s:c>
      <s:c r="E380" s="3" t="inlineStr">
        <s:is>
          <s:t>IVA</s:t>
        </s:is>
      </s:c>
      <s:c r="F380" s="2" t="n">
        <s:v>312</s:v>
      </s:c>
      <s:c r="G380" s="2" t="n">
        <s:v>3199</s:v>
      </s:c>
      <s:c r="H380" s="2" t="n">
        <s:v>10</s:v>
      </s:c>
      <s:c r="I380" s="4" t="n">
        <s:v>15788.05</s:v>
      </s:c>
      <s:c r="J380" s="4" t="n">
        <s:v>1578.81</s:v>
      </s:c>
    </s:row>
    <s:row r="381">
      <s:c r="A381" s="2" t="n">
        <s:v>47246</s:v>
      </s:c>
      <s:c r="B381" s="2" t="inlineStr">
        <s:is>
          <s:t>CASABACA S.A.</s:t>
        </s:is>
      </s:c>
      <s:c r="C381" s="3" t="n">
        <s:v>46079</s:v>
      </s:c>
      <s:c r="D381" s="3" t="n">
        <s:v>46079</s:v>
      </s:c>
      <s:c r="E381" s="3" t="inlineStr">
        <s:is>
          <s:t>IVA</s:t>
        </s:is>
      </s:c>
      <s:c r="F381" s="2" t="n">
        <s:v>332</s:v>
      </s:c>
      <s:c r="G381" s="2" t="n">
        <s:v>9120</s:v>
      </s:c>
      <s:c r="H381" s="2" t="n">
        <s:v>10</s:v>
      </s:c>
      <s:c r="I381" s="4" t="n">
        <s:v>23377.32</s:v>
      </s:c>
      <s:c r="J381" s="4" t="n">
        <s:v>2337.73</s:v>
      </s:c>
    </s:row>
    <s:row r="382">
      <s:c r="A382" s="2" t="n">
        <s:v>47247</s:v>
      </s:c>
      <s:c r="B382" s="2" t="inlineStr">
        <s:is>
          <s:t>CODEX</s:t>
        </s:is>
      </s:c>
      <s:c r="C382" s="3" t="n">
        <s:v>46079</s:v>
      </s:c>
      <s:c r="D382" s="3" t="n">
        <s:v>46079</s:v>
      </s:c>
      <s:c r="E382" s="3" t="inlineStr">
        <s:is>
          <s:t>RENTA</s:t>
        </s:is>
      </s:c>
      <s:c r="F382" s="2" t="n">
        <s:v>344</s:v>
      </s:c>
      <s:c r="G382" s="2" t="n">
        <s:v>11919</s:v>
      </s:c>
      <s:c r="H382" s="2" t="n">
        <s:v>2.75</s:v>
      </s:c>
      <s:c r="I382" s="2" t="n">
        <s:v>195.65</s:v>
      </s:c>
      <s:c r="J382" s="2" t="n">
        <s:v>5.38</s:v>
      </s:c>
    </s:row>
    <s:row r="383">
      <s:c r="A383" s="2" t="n">
        <s:v>47247</s:v>
      </s:c>
      <s:c r="B383" s="2" t="inlineStr">
        <s:is>
          <s:t>CODEX</s:t>
        </s:is>
      </s:c>
      <s:c r="C383" s="3" t="n">
        <s:v>46079</s:v>
      </s:c>
      <s:c r="D383" s="3" t="n">
        <s:v>46079</s:v>
      </s:c>
      <s:c r="E383" s="3" t="inlineStr">
        <s:is>
          <s:t>IVA</s:t>
        </s:is>
      </s:c>
      <s:c r="F383" s="2" t="n">
        <s:v>344</s:v>
      </s:c>
      <s:c r="G383" s="2" t="n">
        <s:v>11919</s:v>
      </s:c>
      <s:c r="H383" s="2" t="n">
        <s:v>70</s:v>
      </s:c>
      <s:c r="I383" s="2" t="n">
        <s:v>29.35</s:v>
      </s:c>
      <s:c r="J383" s="2" t="n">
        <s:v>20.55</s:v>
      </s:c>
    </s:row>
    <s:row r="384">
      <s:c r="A384" s="2" t="n">
        <s:v>47248</s:v>
      </s:c>
      <s:c r="B384" s="2" t="inlineStr">
        <s:is>
          <s:t>SZK DEL ECUADOR S.A.</s:t>
        </s:is>
      </s:c>
      <s:c r="C384" s="3" t="n">
        <s:v>46079</s:v>
      </s:c>
      <s:c r="D384" s="3" t="n">
        <s:v>46079</s:v>
      </s:c>
      <s:c r="E384" s="3" t="inlineStr">
        <s:is>
          <s:t>IVA</s:t>
        </s:is>
      </s:c>
      <s:c r="F384" s="2" t="n">
        <s:v>312</s:v>
      </s:c>
      <s:c r="G384" s="2" t="n">
        <s:v>3197</s:v>
      </s:c>
      <s:c r="H384" s="2" t="n">
        <s:v>10</s:v>
      </s:c>
      <s:c r="I384" s="4" t="n">
        <s:v>2870.66</s:v>
      </s:c>
      <s:c r="J384" s="2" t="n">
        <s:v>287.07</s:v>
      </s:c>
    </s:row>
    <s:row r="385">
      <s:c r="A385" s="2" t="n">
        <s:v>47249</s:v>
      </s:c>
      <s:c r="B385" s="2" t="inlineStr">
        <s:is>
          <s:t>SZK DEL ECUADOR S.A.</s:t>
        </s:is>
      </s:c>
      <s:c r="C385" s="3" t="n">
        <s:v>46079</s:v>
      </s:c>
      <s:c r="D385" s="3" t="n">
        <s:v>46079</s:v>
      </s:c>
      <s:c r="E385" s="3" t="inlineStr">
        <s:is>
          <s:t>IVA</s:t>
        </s:is>
      </s:c>
      <s:c r="F385" s="2" t="n">
        <s:v>312</s:v>
      </s:c>
      <s:c r="G385" s="2" t="n">
        <s:v>3198</s:v>
      </s:c>
      <s:c r="H385" s="2" t="n">
        <s:v>10</s:v>
      </s:c>
      <s:c r="I385" s="4" t="n">
        <s:v>15788.05</s:v>
      </s:c>
      <s:c r="J385" s="4" t="n">
        <s:v>1578.81</s:v>
      </s:c>
    </s:row>
    <s:row r="386">
      <s:c r="A386" s="2" t="n">
        <s:v>47250</s:v>
      </s:c>
      <s:c r="B386" s="2" t="inlineStr">
        <s:is>
          <s:t>SZK DEL ECUADOR S.A.</s:t>
        </s:is>
      </s:c>
      <s:c r="C386" s="3" t="n">
        <s:v>46079</s:v>
      </s:c>
      <s:c r="D386" s="3" t="n">
        <s:v>46079</s:v>
      </s:c>
      <s:c r="E386" s="3" t="inlineStr">
        <s:is>
          <s:t>IVA</s:t>
        </s:is>
      </s:c>
      <s:c r="F386" s="2" t="n">
        <s:v>312</s:v>
      </s:c>
      <s:c r="G386" s="2" t="n">
        <s:v>3200</s:v>
      </s:c>
      <s:c r="H386" s="2" t="n">
        <s:v>10</s:v>
      </s:c>
      <s:c r="I386" s="4" t="n">
        <s:v>3917.87</s:v>
      </s:c>
      <s:c r="J386" s="2" t="n">
        <s:v>391.79</s:v>
      </s:c>
    </s:row>
    <s:row r="387">
      <s:c r="A387" s="2" t="n">
        <s:v>47251</s:v>
      </s:c>
      <s:c r="B387" s="2" t="inlineStr">
        <s:is>
          <s:t>TOYOTASERVICIOS S.A.</s:t>
        </s:is>
      </s:c>
      <s:c r="C387" s="3" t="n">
        <s:v>46079</s:v>
      </s:c>
      <s:c r="D387" s="3" t="n">
        <s:v>46079</s:v>
      </s:c>
      <s:c r="E387" s="3" t="inlineStr">
        <s:is>
          <s:t>IVA</s:t>
        </s:is>
      </s:c>
      <s:c r="F387" s="2" t="n">
        <s:v>344</s:v>
      </s:c>
      <s:c r="G387" s="2" t="n">
        <s:v>7769</s:v>
      </s:c>
      <s:c r="H387" s="2" t="n">
        <s:v>70</s:v>
      </s:c>
      <s:c r="I387" s="2" t="n">
        <s:v>9</s:v>
      </s:c>
      <s:c r="J387" s="2" t="n">
        <s:v>6.3</s:v>
      </s:c>
    </s:row>
    <s:row r="388">
      <s:c r="A388" s="2" t="n">
        <s:v>47251</s:v>
      </s:c>
      <s:c r="B388" s="2" t="inlineStr">
        <s:is>
          <s:t>TOYOTASERVICIOS S.A.</s:t>
        </s:is>
      </s:c>
      <s:c r="C388" s="3" t="n">
        <s:v>46079</s:v>
      </s:c>
      <s:c r="D388" s="3" t="n">
        <s:v>46079</s:v>
      </s:c>
      <s:c r="E388" s="3" t="inlineStr">
        <s:is>
          <s:t>RENTA</s:t>
        </s:is>
      </s:c>
      <s:c r="F388" s="2" t="n">
        <s:v>344</s:v>
      </s:c>
      <s:c r="G388" s="2" t="n">
        <s:v>7769</s:v>
      </s:c>
      <s:c r="H388" s="2" t="n">
        <s:v>2.75</s:v>
      </s:c>
      <s:c r="I388" s="2" t="n">
        <s:v>60</s:v>
      </s:c>
      <s:c r="J388" s="2" t="n">
        <s:v>1.65</s:v>
      </s:c>
    </s:row>
    <s:row r="389">
      <s:c r="A389" s="2" t="n">
        <s:v>47252</s:v>
      </s:c>
      <s:c r="B389" s="2" t="inlineStr">
        <s:is>
          <s:t>CONSORCIO DEL PICHINCHA S.A CONDELPI</s:t>
        </s:is>
      </s:c>
      <s:c r="C389" s="3" t="n">
        <s:v>46079</s:v>
      </s:c>
      <s:c r="D389" s="3" t="n">
        <s:v>46078</s:v>
      </s:c>
      <s:c r="E389" s="3" t="inlineStr">
        <s:is>
          <s:t>IVA</s:t>
        </s:is>
      </s:c>
      <s:c r="F389" s="2" t="n">
        <s:v>332</s:v>
      </s:c>
      <s:c r="G389" s="2" t="n">
        <s:v>101390</s:v>
      </s:c>
      <s:c r="H389" s="2" t="n">
        <s:v>10</s:v>
      </s:c>
      <s:c r="I389" s="4" t="n">
        <s:v>1695.65</s:v>
      </s:c>
      <s:c r="J389" s="2" t="n">
        <s:v>169.57</s:v>
      </s:c>
    </s:row>
    <s:row r="390">
      <s:c r="A390" s="2" t="n">
        <s:v>47253</s:v>
      </s:c>
      <s:c r="B390" s="2" t="inlineStr">
        <s:is>
          <s:t>NOBOA CABRERA GALO HERNAN</s:t>
        </s:is>
      </s:c>
      <s:c r="C390" s="3" t="n">
        <s:v>46079</s:v>
      </s:c>
      <s:c r="D390" s="3" t="n">
        <s:v>46079</s:v>
      </s:c>
      <s:c r="E390" s="3" t="inlineStr">
        <s:is>
          <s:t>RENTA</s:t>
        </s:is>
      </s:c>
      <s:c r="F390" s="2" t="n">
        <s:v>343</s:v>
      </s:c>
      <s:c r="G390" s="2" t="n">
        <s:v>914</s:v>
      </s:c>
      <s:c r="H390" s="2" t="n">
        <s:v>1</s:v>
      </s:c>
      <s:c r="I390" s="2" t="n">
        <s:v>15</s:v>
      </s:c>
      <s:c r="J390" s="2" t="n">
        <s:v>0.15</s:v>
      </s:c>
    </s:row>
    <s:row r="391">
      <s:c r="A391" s="2" t="n">
        <s:v>47253</s:v>
      </s:c>
      <s:c r="B391" s="2" t="inlineStr">
        <s:is>
          <s:t>NOBOA CABRERA GALO HERNAN</s:t>
        </s:is>
      </s:c>
      <s:c r="C391" s="3" t="n">
        <s:v>46079</s:v>
      </s:c>
      <s:c r="D391" s="3" t="n">
        <s:v>46079</s:v>
      </s:c>
      <s:c r="E391" s="3" t="inlineStr">
        <s:is>
          <s:t>IVA</s:t>
        </s:is>
      </s:c>
      <s:c r="F391" s="2" t="n">
        <s:v>343</s:v>
      </s:c>
      <s:c r="G391" s="2" t="n">
        <s:v>914</s:v>
      </s:c>
      <s:c r="H391" s="2" t="n">
        <s:v>70</s:v>
      </s:c>
      <s:c r="I391" s="2" t="n">
        <s:v>2.25</s:v>
      </s:c>
      <s:c r="J391" s="2" t="n">
        <s:v>1.58</s:v>
      </s:c>
    </s:row>
    <s:row r="392">
      <s:c r="A392" s="2" t="n">
        <s:v>47254</s:v>
      </s:c>
      <s:c r="B392" s="2" t="inlineStr">
        <s:is>
          <s:t>TOYOTASERVICIOS S.A.</s:t>
        </s:is>
      </s:c>
      <s:c r="C392" s="3" t="n">
        <s:v>46079</s:v>
      </s:c>
      <s:c r="D392" s="3" t="n">
        <s:v>46079</s:v>
      </s:c>
      <s:c r="E392" s="3" t="inlineStr">
        <s:is>
          <s:t>RENTA</s:t>
        </s:is>
      </s:c>
      <s:c r="F392" s="2" t="n">
        <s:v>344</s:v>
      </s:c>
      <s:c r="G392" s="2" t="n">
        <s:v>7770</s:v>
      </s:c>
      <s:c r="H392" s="2" t="n">
        <s:v>2.75</s:v>
      </s:c>
      <s:c r="I392" s="2" t="n">
        <s:v>60</s:v>
      </s:c>
      <s:c r="J392" s="2" t="n">
        <s:v>1.65</s:v>
      </s:c>
    </s:row>
    <s:row r="393">
      <s:c r="A393" s="2" t="n">
        <s:v>47254</s:v>
      </s:c>
      <s:c r="B393" s="2" t="inlineStr">
        <s:is>
          <s:t>TOYOTASERVICIOS S.A.</s:t>
        </s:is>
      </s:c>
      <s:c r="C393" s="3" t="n">
        <s:v>46079</s:v>
      </s:c>
      <s:c r="D393" s="3" t="n">
        <s:v>46079</s:v>
      </s:c>
      <s:c r="E393" s="3" t="inlineStr">
        <s:is>
          <s:t>IVA</s:t>
        </s:is>
      </s:c>
      <s:c r="F393" s="2" t="n">
        <s:v>344</s:v>
      </s:c>
      <s:c r="G393" s="2" t="n">
        <s:v>7770</s:v>
      </s:c>
      <s:c r="H393" s="2" t="n">
        <s:v>70</s:v>
      </s:c>
      <s:c r="I393" s="2" t="n">
        <s:v>9</s:v>
      </s:c>
      <s:c r="J393" s="2" t="n">
        <s:v>6.3</s:v>
      </s:c>
    </s:row>
    <s:row r="394">
      <s:c r="A394" s="2" t="n">
        <s:v>47255</s:v>
      </s:c>
      <s:c r="B394" s="2" t="inlineStr">
        <s:is>
          <s:t>GONZALEZ VEGA EL MOTOR CIA LTDA</s:t>
        </s:is>
      </s:c>
      <s:c r="C394" s="3" t="n">
        <s:v>46079</s:v>
      </s:c>
      <s:c r="D394" s="3" t="n">
        <s:v>46078</s:v>
      </s:c>
      <s:c r="E394" s="3" t="inlineStr">
        <s:is>
          <s:t>RENTA</s:t>
        </s:is>
      </s:c>
      <s:c r="F394" s="2" t="n">
        <s:v>312</s:v>
      </s:c>
      <s:c r="G394" s="2" t="n">
        <s:v>125851</s:v>
      </s:c>
      <s:c r="H394" s="2" t="n">
        <s:v>1.75</s:v>
      </s:c>
      <s:c r="I394" s="2" t="n">
        <s:v>57.35</s:v>
      </s:c>
      <s:c r="J394" s="2" t="n">
        <s:v>1</s:v>
      </s:c>
    </s:row>
    <s:row r="395">
      <s:c r="A395" s="2" t="n">
        <s:v>47255</s:v>
      </s:c>
      <s:c r="B395" s="2" t="inlineStr">
        <s:is>
          <s:t>GONZALEZ VEGA EL MOTOR CIA LTDA</s:t>
        </s:is>
      </s:c>
      <s:c r="C395" s="3" t="n">
        <s:v>46079</s:v>
      </s:c>
      <s:c r="D395" s="3" t="n">
        <s:v>46078</s:v>
      </s:c>
      <s:c r="E395" s="3" t="inlineStr">
        <s:is>
          <s:t>IVA</s:t>
        </s:is>
      </s:c>
      <s:c r="F395" s="2" t="n">
        <s:v>312</s:v>
      </s:c>
      <s:c r="G395" s="2" t="n">
        <s:v>125851</s:v>
      </s:c>
      <s:c r="H395" s="2" t="n">
        <s:v>30</s:v>
      </s:c>
      <s:c r="I395" s="2" t="n">
        <s:v>8.6</s:v>
      </s:c>
      <s:c r="J395" s="2" t="n">
        <s:v>2.58</s:v>
      </s:c>
    </s:row>
    <s:row r="396">
      <s:c r="A396" s="2" t="n">
        <s:v>47256</s:v>
      </s:c>
      <s:c r="B396" s="2" t="inlineStr">
        <s:is>
          <s:t>CONSORCIO DEL PICHINCHA S.A CONDELPI</s:t>
        </s:is>
      </s:c>
      <s:c r="C396" s="3" t="n">
        <s:v>46079</s:v>
      </s:c>
      <s:c r="D396" s="3" t="n">
        <s:v>46078</s:v>
      </s:c>
      <s:c r="E396" s="3" t="inlineStr">
        <s:is>
          <s:t>IVA</s:t>
        </s:is>
      </s:c>
      <s:c r="F396" s="2" t="n">
        <s:v>332</s:v>
      </s:c>
      <s:c r="G396" s="2" t="n">
        <s:v>101391</s:v>
      </s:c>
      <s:c r="H396" s="2" t="n">
        <s:v>20</s:v>
      </s:c>
      <s:c r="I396" s="2" t="n">
        <s:v>16.31</s:v>
      </s:c>
      <s:c r="J396" s="2" t="n">
        <s:v>3.26</s:v>
      </s:c>
    </s:row>
    <s:row r="397">
      <s:c r="A397" s="2" t="n">
        <s:v>47257</s:v>
      </s:c>
      <s:c r="B397" s="2" t="inlineStr">
        <s:is>
          <s:t>TOYOTASERVICIOS S.A.</s:t>
        </s:is>
      </s:c>
      <s:c r="C397" s="3" t="n">
        <s:v>46079</s:v>
      </s:c>
      <s:c r="D397" s="3" t="n">
        <s:v>46079</s:v>
      </s:c>
      <s:c r="E397" s="3" t="inlineStr">
        <s:is>
          <s:t>RENTA</s:t>
        </s:is>
      </s:c>
      <s:c r="F397" s="2" t="n">
        <s:v>344</s:v>
      </s:c>
      <s:c r="G397" s="2" t="n">
        <s:v>7768</s:v>
      </s:c>
      <s:c r="H397" s="2" t="n">
        <s:v>2.75</s:v>
      </s:c>
      <s:c r="I397" s="2" t="n">
        <s:v>60</s:v>
      </s:c>
      <s:c r="J397" s="2" t="n">
        <s:v>1.65</s:v>
      </s:c>
    </s:row>
    <s:row r="398">
      <s:c r="A398" s="2" t="n">
        <s:v>47257</s:v>
      </s:c>
      <s:c r="B398" s="2" t="inlineStr">
        <s:is>
          <s:t>TOYOTASERVICIOS S.A.</s:t>
        </s:is>
      </s:c>
      <s:c r="C398" s="3" t="n">
        <s:v>46079</s:v>
      </s:c>
      <s:c r="D398" s="3" t="n">
        <s:v>46079</s:v>
      </s:c>
      <s:c r="E398" s="3" t="inlineStr">
        <s:is>
          <s:t>IVA</s:t>
        </s:is>
      </s:c>
      <s:c r="F398" s="2" t="n">
        <s:v>344</s:v>
      </s:c>
      <s:c r="G398" s="2" t="n">
        <s:v>7768</s:v>
      </s:c>
      <s:c r="H398" s="2" t="n">
        <s:v>70</s:v>
      </s:c>
      <s:c r="I398" s="2" t="n">
        <s:v>9</s:v>
      </s:c>
      <s:c r="J398" s="2" t="n">
        <s:v>6.3</s:v>
      </s:c>
    </s:row>
    <s:row r="399">
      <s:c r="A399" s="2" t="n">
        <s:v>47258</s:v>
      </s:c>
      <s:c r="B399" s="2" t="inlineStr">
        <s:is>
          <s:t>CONSORCIO DEL PICHINCHA S.A CONDELPI</s:t>
        </s:is>
      </s:c>
      <s:c r="C399" s="3" t="n">
        <s:v>46079</s:v>
      </s:c>
      <s:c r="D399" s="3" t="n">
        <s:v>46078</s:v>
      </s:c>
      <s:c r="E399" s="3" t="inlineStr">
        <s:is>
          <s:t>IVA</s:t>
        </s:is>
      </s:c>
      <s:c r="F399" s="2" t="n">
        <s:v>332</s:v>
      </s:c>
      <s:c r="G399" s="2" t="n">
        <s:v>101400</s:v>
      </s:c>
      <s:c r="H399" s="2" t="n">
        <s:v>20</s:v>
      </s:c>
      <s:c r="I399" s="2" t="n">
        <s:v>16.31</s:v>
      </s:c>
      <s:c r="J399" s="2" t="n">
        <s:v>3.26</s:v>
      </s:c>
    </s:row>
    <s:row r="400">
      <s:c r="A400" s="2" t="n">
        <s:v>47259</s:v>
      </s:c>
      <s:c r="B400" s="2" t="inlineStr">
        <s:is>
          <s:t>CONSORCIO DEL PICHINCHA S.A CONDELPI</s:t>
        </s:is>
      </s:c>
      <s:c r="C400" s="3" t="n">
        <s:v>46079</s:v>
      </s:c>
      <s:c r="D400" s="3" t="n">
        <s:v>46078</s:v>
      </s:c>
      <s:c r="E400" s="3" t="inlineStr">
        <s:is>
          <s:t>IVA</s:t>
        </s:is>
      </s:c>
      <s:c r="F400" s="2" t="n">
        <s:v>332</s:v>
      </s:c>
      <s:c r="G400" s="2" t="n">
        <s:v>101399</s:v>
      </s:c>
      <s:c r="H400" s="2" t="n">
        <s:v>10</s:v>
      </s:c>
      <s:c r="I400" s="2" t="n">
        <s:v>978.26</s:v>
      </s:c>
      <s:c r="J400" s="2" t="n">
        <s:v>97.83</s:v>
      </s:c>
    </s:row>
    <s:row r="401">
      <s:c r="A401" s="2" t="n">
        <s:v>47260</s:v>
      </s:c>
      <s:c r="B401" s="2" t="inlineStr">
        <s:is>
          <s:t>CASABACA S.A.</s:t>
        </s:is>
      </s:c>
      <s:c r="C401" s="3" t="n">
        <s:v>46079</s:v>
      </s:c>
      <s:c r="D401" s="3" t="n">
        <s:v>46079</s:v>
      </s:c>
      <s:c r="E401" s="3" t="inlineStr">
        <s:is>
          <s:t>IVA</s:t>
        </s:is>
      </s:c>
      <s:c r="F401" s="2" t="n">
        <s:v>332</s:v>
      </s:c>
      <s:c r="G401" s="2" t="n">
        <s:v>31458</s:v>
      </s:c>
      <s:c r="H401" s="2" t="n">
        <s:v>10</s:v>
      </s:c>
      <s:c r="I401" s="2" t="n">
        <s:v>340.14</s:v>
      </s:c>
      <s:c r="J401" s="2" t="n">
        <s:v>34.01</s:v>
      </s:c>
    </s:row>
    <s:row r="402">
      <s:c r="A402" s="2" t="n">
        <s:v>47261</s:v>
      </s:c>
      <s:c r="B402" s="2" t="inlineStr">
        <s:is>
          <s:t>CASABACA S.A.</s:t>
        </s:is>
      </s:c>
      <s:c r="C402" s="3" t="n">
        <s:v>46079</s:v>
      </s:c>
      <s:c r="D402" s="3" t="n">
        <s:v>46079</s:v>
      </s:c>
      <s:c r="E402" s="3" t="inlineStr">
        <s:is>
          <s:t>IVA</s:t>
        </s:is>
      </s:c>
      <s:c r="F402" s="2" t="n">
        <s:v>332</s:v>
      </s:c>
      <s:c r="G402" s="2" t="n">
        <s:v>31461</s:v>
      </s:c>
      <s:c r="H402" s="2" t="n">
        <s:v>10</s:v>
      </s:c>
      <s:c r="I402" s="2" t="n">
        <s:v>340.14</s:v>
      </s:c>
      <s:c r="J402" s="2" t="n">
        <s:v>34.01</s:v>
      </s:c>
    </s:row>
    <s:row r="403">
      <s:c r="A403" s="2" t="n">
        <s:v>47262</s:v>
      </s:c>
      <s:c r="B403" s="2" t="inlineStr">
        <s:is>
          <s:t>SZK DEL ECUADOR S.A.</s:t>
        </s:is>
      </s:c>
      <s:c r="C403" s="3" t="n">
        <s:v>46079</s:v>
      </s:c>
      <s:c r="D403" s="3" t="n">
        <s:v>46079</s:v>
      </s:c>
      <s:c r="E403" s="3" t="inlineStr">
        <s:is>
          <s:t>IVA</s:t>
        </s:is>
      </s:c>
      <s:c r="F403" s="2" t="n">
        <s:v>332</s:v>
      </s:c>
      <s:c r="G403" s="2" t="n">
        <s:v>1523</s:v>
      </s:c>
      <s:c r="H403" s="2" t="n">
        <s:v>10</s:v>
      </s:c>
      <s:c r="I403" s="2" t="n">
        <s:v>221.74</s:v>
      </s:c>
      <s:c r="J403" s="2" t="n">
        <s:v>22.17</s:v>
      </s:c>
    </s:row>
    <s:row r="404">
      <s:c r="A404" s="2" t="n">
        <s:v>47263</s:v>
      </s:c>
      <s:c r="B404" s="2" t="inlineStr">
        <s:is>
          <s:t>CASABACA S.A.</s:t>
        </s:is>
      </s:c>
      <s:c r="C404" s="3" t="n">
        <s:v>46079</s:v>
      </s:c>
      <s:c r="D404" s="3" t="n">
        <s:v>46079</s:v>
      </s:c>
      <s:c r="E404" s="3" t="inlineStr">
        <s:is>
          <s:t>IVA</s:t>
        </s:is>
      </s:c>
      <s:c r="F404" s="2" t="n">
        <s:v>332</s:v>
      </s:c>
      <s:c r="G404" s="2" t="n">
        <s:v>31459</s:v>
      </s:c>
      <s:c r="H404" s="2" t="n">
        <s:v>10</s:v>
      </s:c>
      <s:c r="I404" s="2" t="n">
        <s:v>340.14</s:v>
      </s:c>
      <s:c r="J404" s="2" t="n">
        <s:v>34.01</s:v>
      </s:c>
    </s:row>
    <s:row r="405">
      <s:c r="A405" s="2" t="n">
        <s:v>47264</s:v>
      </s:c>
      <s:c r="B405" s="2" t="inlineStr">
        <s:is>
          <s:t>CASABACA S.A.</s:t>
        </s:is>
      </s:c>
      <s:c r="C405" s="3" t="n">
        <s:v>46079</s:v>
      </s:c>
      <s:c r="D405" s="3" t="n">
        <s:v>46079</s:v>
      </s:c>
      <s:c r="E405" s="3" t="inlineStr">
        <s:is>
          <s:t>IVA</s:t>
        </s:is>
      </s:c>
      <s:c r="F405" s="2" t="n">
        <s:v>332</s:v>
      </s:c>
      <s:c r="G405" s="2" t="n">
        <s:v>31462</s:v>
      </s:c>
      <s:c r="H405" s="2" t="n">
        <s:v>10</s:v>
      </s:c>
      <s:c r="I405" s="2" t="n">
        <s:v>340.14</s:v>
      </s:c>
      <s:c r="J405" s="2" t="n">
        <s:v>34.01</s:v>
      </s:c>
    </s:row>
    <s:row r="406">
      <s:c r="A406" s="2" t="n">
        <s:v>47265</s:v>
      </s:c>
      <s:c r="B406" s="2" t="inlineStr">
        <s:is>
          <s:t>YANGTSE-AUTO DEL ECUADOR S.A.</s:t>
        </s:is>
      </s:c>
      <s:c r="C406" s="3" t="n">
        <s:v>46079</s:v>
      </s:c>
      <s:c r="D406" s="3" t="n">
        <s:v>46079</s:v>
      </s:c>
      <s:c r="E406" s="3" t="inlineStr">
        <s:is>
          <s:t>RENTA</s:t>
        </s:is>
      </s:c>
      <s:c r="F406" s="2" t="n">
        <s:v>312</s:v>
      </s:c>
      <s:c r="G406" s="2" t="n">
        <s:v>573</s:v>
      </s:c>
      <s:c r="H406" s="2" t="n">
        <s:v>1.75</s:v>
      </s:c>
      <s:c r="I406" s="2" t="n">
        <s:v>396.08</s:v>
      </s:c>
      <s:c r="J406" s="2" t="n">
        <s:v>6.93</s:v>
      </s:c>
    </s:row>
    <s:row r="407">
      <s:c r="A407" s="2" t="n">
        <s:v>47265</s:v>
      </s:c>
      <s:c r="B407" s="2" t="inlineStr">
        <s:is>
          <s:t>YANGTSE-AUTO DEL ECUADOR S.A.</s:t>
        </s:is>
      </s:c>
      <s:c r="C407" s="3" t="n">
        <s:v>46079</s:v>
      </s:c>
      <s:c r="D407" s="3" t="n">
        <s:v>46079</s:v>
      </s:c>
      <s:c r="E407" s="3" t="inlineStr">
        <s:is>
          <s:t>IVA</s:t>
        </s:is>
      </s:c>
      <s:c r="F407" s="2" t="n">
        <s:v>312</s:v>
      </s:c>
      <s:c r="G407" s="2" t="n">
        <s:v>573</s:v>
      </s:c>
      <s:c r="H407" s="2" t="n">
        <s:v>30</s:v>
      </s:c>
      <s:c r="I407" s="2" t="n">
        <s:v>3.91</s:v>
      </s:c>
      <s:c r="J407" s="2" t="n">
        <s:v>1.17</s:v>
      </s:c>
    </s:row>
    <s:row r="408">
      <s:c r="A408" s="2" t="n">
        <s:v>47266</s:v>
      </s:c>
      <s:c r="B408" s="2" t="inlineStr">
        <s:is>
          <s:t>CASABACA S.A.</s:t>
        </s:is>
      </s:c>
      <s:c r="C408" s="3" t="n">
        <s:v>46079</s:v>
      </s:c>
      <s:c r="D408" s="3" t="n">
        <s:v>46079</s:v>
      </s:c>
      <s:c r="E408" s="3" t="inlineStr">
        <s:is>
          <s:t>IVA</s:t>
        </s:is>
      </s:c>
      <s:c r="F408" s="2" t="n">
        <s:v>332</s:v>
      </s:c>
      <s:c r="G408" s="2" t="n">
        <s:v>31460</s:v>
      </s:c>
      <s:c r="H408" s="2" t="n">
        <s:v>10</s:v>
      </s:c>
      <s:c r="I408" s="2" t="n">
        <s:v>340.14</s:v>
      </s:c>
      <s:c r="J408" s="2" t="n">
        <s:v>34.01</s:v>
      </s:c>
    </s:row>
    <s:row r="409">
      <s:c r="A409" s="2" t="n">
        <s:v>47267</s:v>
      </s:c>
      <s:c r="B409" s="2" t="inlineStr">
        <s:is>
          <s:t>SZK DEL ECUADOR S.A.</s:t>
        </s:is>
      </s:c>
      <s:c r="C409" s="3" t="n">
        <s:v>46080</s:v>
      </s:c>
      <s:c r="D409" s="3" t="n">
        <s:v>46080</s:v>
      </s:c>
      <s:c r="E409" s="3" t="inlineStr">
        <s:is>
          <s:t>IVA</s:t>
        </s:is>
      </s:c>
      <s:c r="F409" s="2" t="n">
        <s:v>312</s:v>
      </s:c>
      <s:c r="G409" s="2" t="n">
        <s:v>3205</s:v>
      </s:c>
      <s:c r="H409" s="2" t="n">
        <s:v>10</s:v>
      </s:c>
      <s:c r="I409" s="4" t="n">
        <s:v>3917.87</s:v>
      </s:c>
      <s:c r="J409" s="2" t="n">
        <s:v>391.79</s:v>
      </s:c>
    </s:row>
    <s:row r="410">
      <s:c r="A410" s="2" t="n">
        <s:v>47268</s:v>
      </s:c>
      <s:c r="B410" s="2" t="inlineStr">
        <s:is>
          <s:t>SZK DEL ECUADOR S.A.</s:t>
        </s:is>
      </s:c>
      <s:c r="C410" s="3" t="n">
        <s:v>46080</s:v>
      </s:c>
      <s:c r="D410" s="3" t="n">
        <s:v>46080</s:v>
      </s:c>
      <s:c r="E410" s="3" t="inlineStr">
        <s:is>
          <s:t>IVA</s:t>
        </s:is>
      </s:c>
      <s:c r="F410" s="2" t="n">
        <s:v>312</s:v>
      </s:c>
      <s:c r="G410" s="2" t="n">
        <s:v>3203</s:v>
      </s:c>
      <s:c r="H410" s="2" t="n">
        <s:v>10</s:v>
      </s:c>
      <s:c r="I410" s="4" t="n">
        <s:v>15487.71</s:v>
      </s:c>
      <s:c r="J410" s="4" t="n">
        <s:v>1548.77</s:v>
      </s:c>
    </s:row>
    <s:row r="411">
      <s:c r="A411" s="2" t="n">
        <s:v>47269</s:v>
      </s:c>
      <s:c r="B411" s="2" t="inlineStr">
        <s:is>
          <s:t>TOYOTASERVICIOS S.A.</s:t>
        </s:is>
      </s:c>
      <s:c r="C411" s="3" t="n">
        <s:v>46080</s:v>
      </s:c>
      <s:c r="D411" s="3" t="n">
        <s:v>46080</s:v>
      </s:c>
      <s:c r="E411" s="3" t="inlineStr">
        <s:is>
          <s:t>RENTA</s:t>
        </s:is>
      </s:c>
      <s:c r="F411" s="2" t="n">
        <s:v>312</s:v>
      </s:c>
      <s:c r="G411" s="2" t="n">
        <s:v>14923</s:v>
      </s:c>
      <s:c r="H411" s="2" t="n">
        <s:v>1.75</s:v>
      </s:c>
      <s:c r="I411" s="2" t="n">
        <s:v>621.11</s:v>
      </s:c>
      <s:c r="J411" s="2" t="n">
        <s:v>10.87</s:v>
      </s:c>
    </s:row>
    <s:row r="412">
      <s:c r="A412" s="2" t="n">
        <s:v>47269</s:v>
      </s:c>
      <s:c r="B412" s="2" t="inlineStr">
        <s:is>
          <s:t>TOYOTASERVICIOS S.A.</s:t>
        </s:is>
      </s:c>
      <s:c r="C412" s="3" t="n">
        <s:v>46080</s:v>
      </s:c>
      <s:c r="D412" s="3" t="n">
        <s:v>46080</s:v>
      </s:c>
      <s:c r="E412" s="3" t="inlineStr">
        <s:is>
          <s:t>IVA</s:t>
        </s:is>
      </s:c>
      <s:c r="F412" s="2" t="n">
        <s:v>312</s:v>
      </s:c>
      <s:c r="G412" s="2" t="n">
        <s:v>14923</s:v>
      </s:c>
      <s:c r="H412" s="2" t="n">
        <s:v>30</s:v>
      </s:c>
      <s:c r="I412" s="2" t="n">
        <s:v>93.17</s:v>
      </s:c>
      <s:c r="J412" s="2" t="n">
        <s:v>27.95</s:v>
      </s:c>
    </s:row>
    <s:row r="413">
      <s:c r="A413" s="2" t="n">
        <s:v>47270</s:v>
      </s:c>
      <s:c r="B413" s="2" t="inlineStr">
        <s:is>
          <s:t>SZK DEL ECUADOR S.A.</s:t>
        </s:is>
      </s:c>
      <s:c r="C413" s="3" t="n">
        <s:v>46080</s:v>
      </s:c>
      <s:c r="D413" s="3" t="n">
        <s:v>46080</s:v>
      </s:c>
      <s:c r="E413" s="3" t="inlineStr">
        <s:is>
          <s:t>IVA</s:t>
        </s:is>
      </s:c>
      <s:c r="F413" s="2" t="n">
        <s:v>312</s:v>
      </s:c>
      <s:c r="G413" s="2" t="n">
        <s:v>3202</s:v>
      </s:c>
      <s:c r="H413" s="2" t="n">
        <s:v>10</s:v>
      </s:c>
      <s:c r="I413" s="4" t="n">
        <s:v>13275.18</s:v>
      </s:c>
      <s:c r="J413" s="4" t="n">
        <s:v>1327.52</s:v>
      </s:c>
    </s:row>
    <s:row r="414">
      <s:c r="A414" s="2" t="n">
        <s:v>47271</s:v>
      </s:c>
      <s:c r="B414" s="2" t="inlineStr">
        <s:is>
          <s:t>SZK DEL ECUADOR S.A.</s:t>
        </s:is>
      </s:c>
      <s:c r="C414" s="3" t="n">
        <s:v>46080</s:v>
      </s:c>
      <s:c r="D414" s="3" t="n">
        <s:v>46080</s:v>
      </s:c>
      <s:c r="E414" s="3" t="inlineStr">
        <s:is>
          <s:t>IVA</s:t>
        </s:is>
      </s:c>
      <s:c r="F414" s="2" t="n">
        <s:v>312</s:v>
      </s:c>
      <s:c r="G414" s="2" t="n">
        <s:v>3201</s:v>
      </s:c>
      <s:c r="H414" s="2" t="n">
        <s:v>10</s:v>
      </s:c>
      <s:c r="I414" s="4" t="n">
        <s:v>13156.71</s:v>
      </s:c>
      <s:c r="J414" s="4" t="n">
        <s:v>1315.67</s:v>
      </s:c>
    </s:row>
    <s:row r="415">
      <s:c r="A415" s="2" t="n">
        <s:v>47272</s:v>
      </s:c>
      <s:c r="B415" s="2" t="inlineStr">
        <s:is>
          <s:t>TOYOTASERVICIOS S.A.</s:t>
        </s:is>
      </s:c>
      <s:c r="C415" s="3" t="n">
        <s:v>46080</s:v>
      </s:c>
      <s:c r="D415" s="3" t="n">
        <s:v>46080</s:v>
      </s:c>
      <s:c r="E415" s="3" t="inlineStr">
        <s:is>
          <s:t>IVA</s:t>
        </s:is>
      </s:c>
      <s:c r="F415" s="2" t="n">
        <s:v>312</s:v>
      </s:c>
      <s:c r="G415" s="2" t="n">
        <s:v>14926</s:v>
      </s:c>
      <s:c r="H415" s="2" t="n">
        <s:v>30</s:v>
      </s:c>
      <s:c r="I415" s="2" t="n">
        <s:v>93.17</s:v>
      </s:c>
      <s:c r="J415" s="2" t="n">
        <s:v>27.95</s:v>
      </s:c>
    </s:row>
    <s:row r="416">
      <s:c r="A416" s="2" t="n">
        <s:v>47272</s:v>
      </s:c>
      <s:c r="B416" s="2" t="inlineStr">
        <s:is>
          <s:t>TOYOTASERVICIOS S.A.</s:t>
        </s:is>
      </s:c>
      <s:c r="C416" s="3" t="n">
        <s:v>46080</s:v>
      </s:c>
      <s:c r="D416" s="3" t="n">
        <s:v>46080</s:v>
      </s:c>
      <s:c r="E416" s="3" t="inlineStr">
        <s:is>
          <s:t>RENTA</s:t>
        </s:is>
      </s:c>
      <s:c r="F416" s="2" t="n">
        <s:v>312</s:v>
      </s:c>
      <s:c r="G416" s="2" t="n">
        <s:v>14926</s:v>
      </s:c>
      <s:c r="H416" s="2" t="n">
        <s:v>1.75</s:v>
      </s:c>
      <s:c r="I416" s="2" t="n">
        <s:v>621.11</s:v>
      </s:c>
      <s:c r="J416" s="2" t="n">
        <s:v>10.87</s:v>
      </s:c>
    </s:row>
    <s:row r="417">
      <s:c r="A417" s="2" t="n">
        <s:v>47273</s:v>
      </s:c>
      <s:c r="B417" s="2" t="inlineStr">
        <s:is>
          <s:t>TOYOTASERVICIOS S.A.</s:t>
        </s:is>
      </s:c>
      <s:c r="C417" s="3" t="n">
        <s:v>46080</s:v>
      </s:c>
      <s:c r="D417" s="3" t="n">
        <s:v>46080</s:v>
      </s:c>
      <s:c r="E417" s="3" t="inlineStr">
        <s:is>
          <s:t>IVA</s:t>
        </s:is>
      </s:c>
      <s:c r="F417" s="2" t="n">
        <s:v>312</s:v>
      </s:c>
      <s:c r="G417" s="2" t="n">
        <s:v>14925</s:v>
      </s:c>
      <s:c r="H417" s="2" t="n">
        <s:v>30</s:v>
      </s:c>
      <s:c r="I417" s="2" t="n">
        <s:v>93.17</s:v>
      </s:c>
      <s:c r="J417" s="2" t="n">
        <s:v>27.95</s:v>
      </s:c>
    </s:row>
    <s:row r="418">
      <s:c r="A418" s="2" t="n">
        <s:v>47273</s:v>
      </s:c>
      <s:c r="B418" s="2" t="inlineStr">
        <s:is>
          <s:t>TOYOTASERVICIOS S.A.</s:t>
        </s:is>
      </s:c>
      <s:c r="C418" s="3" t="n">
        <s:v>46080</s:v>
      </s:c>
      <s:c r="D418" s="3" t="n">
        <s:v>46080</s:v>
      </s:c>
      <s:c r="E418" s="3" t="inlineStr">
        <s:is>
          <s:t>RENTA</s:t>
        </s:is>
      </s:c>
      <s:c r="F418" s="2" t="n">
        <s:v>312</s:v>
      </s:c>
      <s:c r="G418" s="2" t="n">
        <s:v>14925</s:v>
      </s:c>
      <s:c r="H418" s="2" t="n">
        <s:v>1.75</s:v>
      </s:c>
      <s:c r="I418" s="2" t="n">
        <s:v>621.11</s:v>
      </s:c>
      <s:c r="J418" s="2" t="n">
        <s:v>10.87</s:v>
      </s:c>
    </s:row>
    <s:row r="419">
      <s:c r="A419" s="2" t="n">
        <s:v>47274</s:v>
      </s:c>
      <s:c r="B419" s="2" t="inlineStr">
        <s:is>
          <s:t>SZK DEL ECUADOR S.A.</s:t>
        </s:is>
      </s:c>
      <s:c r="C419" s="3" t="n">
        <s:v>46080</s:v>
      </s:c>
      <s:c r="D419" s="3" t="n">
        <s:v>46080</s:v>
      </s:c>
      <s:c r="E419" s="3" t="inlineStr">
        <s:is>
          <s:t>IVA</s:t>
        </s:is>
      </s:c>
      <s:c r="F419" s="2" t="n">
        <s:v>332</s:v>
      </s:c>
      <s:c r="G419" s="2" t="n">
        <s:v>385</s:v>
      </s:c>
      <s:c r="H419" s="2" t="n">
        <s:v>10</s:v>
      </s:c>
      <s:c r="I419" s="2" t="n">
        <s:v>238.5</s:v>
      </s:c>
      <s:c r="J419" s="2" t="n">
        <s:v>23.85</s:v>
      </s:c>
    </s:row>
    <s:row r="420">
      <s:c r="A420" s="2" t="n">
        <s:v>47275</s:v>
      </s:c>
      <s:c r="B420" s="2" t="inlineStr">
        <s:is>
          <s:t>TOYOTASERVICIOS S.A.</s:t>
        </s:is>
      </s:c>
      <s:c r="C420" s="3" t="n">
        <s:v>46080</s:v>
      </s:c>
      <s:c r="D420" s="3" t="n">
        <s:v>46080</s:v>
      </s:c>
      <s:c r="E420" s="3" t="inlineStr">
        <s:is>
          <s:t>RENTA</s:t>
        </s:is>
      </s:c>
      <s:c r="F420" s="2" t="n">
        <s:v>312</s:v>
      </s:c>
      <s:c r="G420" s="2" t="n">
        <s:v>14927</s:v>
      </s:c>
      <s:c r="H420" s="2" t="n">
        <s:v>1.75</s:v>
      </s:c>
      <s:c r="I420" s="2" t="n">
        <s:v>621.11</s:v>
      </s:c>
      <s:c r="J420" s="2" t="n">
        <s:v>10.87</s:v>
      </s:c>
    </s:row>
    <s:row r="421">
      <s:c r="A421" s="2" t="n">
        <s:v>47275</s:v>
      </s:c>
      <s:c r="B421" s="2" t="inlineStr">
        <s:is>
          <s:t>TOYOTASERVICIOS S.A.</s:t>
        </s:is>
      </s:c>
      <s:c r="C421" s="3" t="n">
        <s:v>46080</s:v>
      </s:c>
      <s:c r="D421" s="3" t="n">
        <s:v>46080</s:v>
      </s:c>
      <s:c r="E421" s="3" t="inlineStr">
        <s:is>
          <s:t>IVA</s:t>
        </s:is>
      </s:c>
      <s:c r="F421" s="2" t="n">
        <s:v>312</s:v>
      </s:c>
      <s:c r="G421" s="2" t="n">
        <s:v>14927</s:v>
      </s:c>
      <s:c r="H421" s="2" t="n">
        <s:v>30</s:v>
      </s:c>
      <s:c r="I421" s="2" t="n">
        <s:v>93.17</s:v>
      </s:c>
      <s:c r="J421" s="2" t="n">
        <s:v>27.95</s:v>
      </s:c>
    </s:row>
    <s:row r="422">
      <s:c r="A422" s="2" t="n">
        <s:v>47276</s:v>
      </s:c>
      <s:c r="B422" s="2" t="inlineStr">
        <s:is>
          <s:t>TOYOTASERVICIOS S.A.</s:t>
        </s:is>
      </s:c>
      <s:c r="C422" s="3" t="n">
        <s:v>46080</s:v>
      </s:c>
      <s:c r="D422" s="3" t="n">
        <s:v>46080</s:v>
      </s:c>
      <s:c r="E422" s="3" t="inlineStr">
        <s:is>
          <s:t>RENTA</s:t>
        </s:is>
      </s:c>
      <s:c r="F422" s="2" t="n">
        <s:v>312</s:v>
      </s:c>
      <s:c r="G422" s="2" t="n">
        <s:v>14924</s:v>
      </s:c>
      <s:c r="H422" s="2" t="n">
        <s:v>1.75</s:v>
      </s:c>
      <s:c r="I422" s="2" t="n">
        <s:v>621.11</s:v>
      </s:c>
      <s:c r="J422" s="2" t="n">
        <s:v>10.87</s:v>
      </s:c>
    </s:row>
    <s:row r="423">
      <s:c r="A423" s="2" t="n">
        <s:v>47276</s:v>
      </s:c>
      <s:c r="B423" s="2" t="inlineStr">
        <s:is>
          <s:t>TOYOTASERVICIOS S.A.</s:t>
        </s:is>
      </s:c>
      <s:c r="C423" s="3" t="n">
        <s:v>46080</s:v>
      </s:c>
      <s:c r="D423" s="3" t="n">
        <s:v>46080</s:v>
      </s:c>
      <s:c r="E423" s="3" t="inlineStr">
        <s:is>
          <s:t>IVA</s:t>
        </s:is>
      </s:c>
      <s:c r="F423" s="2" t="n">
        <s:v>312</s:v>
      </s:c>
      <s:c r="G423" s="2" t="n">
        <s:v>14924</s:v>
      </s:c>
      <s:c r="H423" s="2" t="n">
        <s:v>30</s:v>
      </s:c>
      <s:c r="I423" s="2" t="n">
        <s:v>93.17</s:v>
      </s:c>
      <s:c r="J423" s="2" t="n">
        <s:v>27.95</s:v>
      </s:c>
    </s:row>
    <s:row r="424">
      <s:c r="A424" s="2" t="n">
        <s:v>47277</s:v>
      </s:c>
      <s:c r="B424" s="2" t="inlineStr">
        <s:is>
          <s:t>SZK DEL ECUADOR S.A.</s:t>
        </s:is>
      </s:c>
      <s:c r="C424" s="3" t="n">
        <s:v>46080</s:v>
      </s:c>
      <s:c r="D424" s="3" t="n">
        <s:v>46080</s:v>
      </s:c>
      <s:c r="E424" s="3" t="inlineStr">
        <s:is>
          <s:t>IVA</s:t>
        </s:is>
      </s:c>
      <s:c r="F424" s="2" t="n">
        <s:v>312</s:v>
      </s:c>
      <s:c r="G424" s="2" t="n">
        <s:v>3204</s:v>
      </s:c>
      <s:c r="H424" s="2" t="n">
        <s:v>10</s:v>
      </s:c>
      <s:c r="I424" s="4" t="n">
        <s:v>3618.36</s:v>
      </s:c>
      <s:c r="J424" s="2" t="n">
        <s:v>361.84</s:v>
      </s:c>
    </s:row>
    <s:row r="425">
      <s:c r="A425" s="2" t="n">
        <s:v>47278</s:v>
      </s:c>
      <s:c r="B425" s="2" t="inlineStr">
        <s:is>
          <s:t>SZK DEL ECUADOR S.A.</s:t>
        </s:is>
      </s:c>
      <s:c r="C425" s="3" t="n">
        <s:v>46080</s:v>
      </s:c>
      <s:c r="D425" s="3" t="n">
        <s:v>46080</s:v>
      </s:c>
      <s:c r="E425" s="3" t="inlineStr">
        <s:is>
          <s:t>IVA</s:t>
        </s:is>
      </s:c>
      <s:c r="F425" s="2" t="n">
        <s:v>332</s:v>
      </s:c>
      <s:c r="G425" s="2" t="n">
        <s:v>1524</s:v>
      </s:c>
      <s:c r="H425" s="2" t="n">
        <s:v>10</s:v>
      </s:c>
      <s:c r="I425" s="2" t="n">
        <s:v>311.03</s:v>
      </s:c>
      <s:c r="J425" s="2" t="n">
        <s:v>31.1</s:v>
      </s:c>
    </s:row>
    <s:row r="426">
      <s:c r="A426" s="2" t="n">
        <s:v>47279</s:v>
      </s:c>
      <s:c r="B426" s="2" t="inlineStr">
        <s:is>
          <s:t>SZK DEL ECUADOR S.A.</s:t>
        </s:is>
      </s:c>
      <s:c r="C426" s="3" t="n">
        <s:v>46080</s:v>
      </s:c>
      <s:c r="D426" s="3" t="n">
        <s:v>46080</s:v>
      </s:c>
      <s:c r="E426" s="3" t="inlineStr">
        <s:is>
          <s:t>IVA</s:t>
        </s:is>
      </s:c>
      <s:c r="F426" s="2" t="n">
        <s:v>332</s:v>
      </s:c>
      <s:c r="G426" s="2" t="n">
        <s:v>1525</s:v>
      </s:c>
      <s:c r="H426" s="2" t="n">
        <s:v>10</s:v>
      </s:c>
      <s:c r="I426" s="2" t="n">
        <s:v>221.74</s:v>
      </s:c>
      <s:c r="J426" s="2" t="n">
        <s:v>22.17</s:v>
      </s:c>
    </s:row>
    <s:row r="427">
      <s:c r="A427" s="2" t="n">
        <s:v>47280</s:v>
      </s:c>
      <s:c r="B427" s="2" t="inlineStr">
        <s:is>
          <s:t>SZK DEL ECUADOR S.A.</s:t>
        </s:is>
      </s:c>
      <s:c r="C427" s="3" t="n">
        <s:v>46080</s:v>
      </s:c>
      <s:c r="D427" s="3" t="n">
        <s:v>46080</s:v>
      </s:c>
      <s:c r="E427" s="3" t="inlineStr">
        <s:is>
          <s:t>IVA</s:t>
        </s:is>
      </s:c>
      <s:c r="F427" s="2" t="n">
        <s:v>332</s:v>
      </s:c>
      <s:c r="G427" s="2" t="n">
        <s:v>1526</s:v>
      </s:c>
      <s:c r="H427" s="2" t="n">
        <s:v>10</s:v>
      </s:c>
      <s:c r="I427" s="2" t="n">
        <s:v>221.74</s:v>
      </s:c>
      <s:c r="J427" s="2" t="n">
        <s:v>22.17</s:v>
      </s:c>
    </s:row>
    <s:row r="428">
      <s:c r="A428" s="2" t="n">
        <s:v>47281</s:v>
      </s:c>
      <s:c r="B428" s="2" t="inlineStr">
        <s:is>
          <s:t>TOYOTASERVICIOS S.A.</s:t>
        </s:is>
      </s:c>
      <s:c r="C428" s="3" t="n">
        <s:v>46080</s:v>
      </s:c>
      <s:c r="D428" s="3" t="n">
        <s:v>46080</s:v>
      </s:c>
      <s:c r="E428" s="3" t="inlineStr">
        <s:is>
          <s:t>IVA</s:t>
        </s:is>
      </s:c>
      <s:c r="F428" s="2" t="n">
        <s:v>312</s:v>
      </s:c>
      <s:c r="G428" s="2" t="n">
        <s:v>14932</s:v>
      </s:c>
      <s:c r="H428" s="2" t="n">
        <s:v>30</s:v>
      </s:c>
      <s:c r="I428" s="2" t="n">
        <s:v>93.17</s:v>
      </s:c>
      <s:c r="J428" s="2" t="n">
        <s:v>27.95</s:v>
      </s:c>
    </s:row>
    <s:row r="429">
      <s:c r="A429" s="2" t="n">
        <s:v>47281</s:v>
      </s:c>
      <s:c r="B429" s="2" t="inlineStr">
        <s:is>
          <s:t>TOYOTASERVICIOS S.A.</s:t>
        </s:is>
      </s:c>
      <s:c r="C429" s="3" t="n">
        <s:v>46080</s:v>
      </s:c>
      <s:c r="D429" s="3" t="n">
        <s:v>46080</s:v>
      </s:c>
      <s:c r="E429" s="3" t="inlineStr">
        <s:is>
          <s:t>RENTA</s:t>
        </s:is>
      </s:c>
      <s:c r="F429" s="2" t="n">
        <s:v>312</s:v>
      </s:c>
      <s:c r="G429" s="2" t="n">
        <s:v>14932</s:v>
      </s:c>
      <s:c r="H429" s="2" t="n">
        <s:v>1.75</s:v>
      </s:c>
      <s:c r="I429" s="2" t="n">
        <s:v>621.11</s:v>
      </s:c>
      <s:c r="J429" s="2" t="n">
        <s:v>10.87</s:v>
      </s:c>
    </s:row>
    <s:row r="430">
      <s:c r="A430" s="2" t="n">
        <s:v>47282</s:v>
      </s:c>
      <s:c r="B430" s="2" t="inlineStr">
        <s:is>
          <s:t>TOYOTASERVICIOS S.A.</s:t>
        </s:is>
      </s:c>
      <s:c r="C430" s="3" t="n">
        <s:v>46080</s:v>
      </s:c>
      <s:c r="D430" s="3" t="n">
        <s:v>46080</s:v>
      </s:c>
      <s:c r="E430" s="3" t="inlineStr">
        <s:is>
          <s:t>RENTA</s:t>
        </s:is>
      </s:c>
      <s:c r="F430" s="2" t="n">
        <s:v>312</s:v>
      </s:c>
      <s:c r="G430" s="2" t="n">
        <s:v>14931</s:v>
      </s:c>
      <s:c r="H430" s="2" t="n">
        <s:v>1.75</s:v>
      </s:c>
      <s:c r="I430" s="2" t="n">
        <s:v>621.11</s:v>
      </s:c>
      <s:c r="J430" s="2" t="n">
        <s:v>10.87</s:v>
      </s:c>
    </s:row>
    <s:row r="431">
      <s:c r="A431" s="2" t="n">
        <s:v>47282</s:v>
      </s:c>
      <s:c r="B431" s="2" t="inlineStr">
        <s:is>
          <s:t>TOYOTASERVICIOS S.A.</s:t>
        </s:is>
      </s:c>
      <s:c r="C431" s="3" t="n">
        <s:v>46080</s:v>
      </s:c>
      <s:c r="D431" s="3" t="n">
        <s:v>46080</s:v>
      </s:c>
      <s:c r="E431" s="3" t="inlineStr">
        <s:is>
          <s:t>IVA</s:t>
        </s:is>
      </s:c>
      <s:c r="F431" s="2" t="n">
        <s:v>312</s:v>
      </s:c>
      <s:c r="G431" s="2" t="n">
        <s:v>14931</s:v>
      </s:c>
      <s:c r="H431" s="2" t="n">
        <s:v>30</s:v>
      </s:c>
      <s:c r="I431" s="2" t="n">
        <s:v>93.17</s:v>
      </s:c>
      <s:c r="J431" s="2" t="n">
        <s:v>27.95</s:v>
      </s:c>
    </s:row>
    <s:row r="432">
      <s:c r="A432" s="2" t="n">
        <s:v>47283</s:v>
      </s:c>
      <s:c r="B432" s="2" t="inlineStr">
        <s:is>
          <s:t>CASABACA S.A.</s:t>
        </s:is>
      </s:c>
      <s:c r="C432" s="3" t="n">
        <s:v>46081</s:v>
      </s:c>
      <s:c r="D432" s="3" t="n">
        <s:v>46081</s:v>
      </s:c>
      <s:c r="E432" s="3" t="inlineStr">
        <s:is>
          <s:t>IVA</s:t>
        </s:is>
      </s:c>
      <s:c r="F432" s="2" t="n">
        <s:v>332</s:v>
      </s:c>
      <s:c r="G432" s="2" t="n">
        <s:v>9140</s:v>
      </s:c>
      <s:c r="H432" s="2" t="n">
        <s:v>10</s:v>
      </s:c>
      <s:c r="I432" s="4" t="n">
        <s:v>39491.7</s:v>
      </s:c>
      <s:c r="J432" s="4" t="n">
        <s:v>3949.17</s:v>
      </s:c>
    </s:row>
    <s:row r="433">
      <s:c r="A433" s="2" t="n">
        <s:v>47284</s:v>
      </s:c>
      <s:c r="B433" s="2" t="inlineStr">
        <s:is>
          <s:t>CASABACA S.A.</s:t>
        </s:is>
      </s:c>
      <s:c r="C433" s="3" t="n">
        <s:v>46081</s:v>
      </s:c>
      <s:c r="D433" s="3" t="n">
        <s:v>46081</s:v>
      </s:c>
      <s:c r="E433" s="3" t="inlineStr">
        <s:is>
          <s:t>IVA</s:t>
        </s:is>
      </s:c>
      <s:c r="F433" s="2" t="n">
        <s:v>332</s:v>
      </s:c>
      <s:c r="G433" s="2" t="n">
        <s:v>31488</s:v>
      </s:c>
      <s:c r="H433" s="2" t="n">
        <s:v>10</s:v>
      </s:c>
      <s:c r="I433" s="2" t="n">
        <s:v>398.9</s:v>
      </s:c>
      <s:c r="J433" s="2" t="n">
        <s:v>39.89</s:v>
      </s:c>
    </s:row>
    <s:row r="434">
      <s:c r="A434" s="2" t="n">
        <s:v>47285</s:v>
      </s:c>
      <s:c r="B434" s="2" t="inlineStr">
        <s:is>
          <s:t>CASABACA S.A.</s:t>
        </s:is>
      </s:c>
      <s:c r="C434" s="3" t="n">
        <s:v>46081</s:v>
      </s:c>
      <s:c r="D434" s="3" t="n">
        <s:v>46081</s:v>
      </s:c>
      <s:c r="E434" s="3" t="inlineStr">
        <s:is>
          <s:t>IVA</s:t>
        </s:is>
      </s:c>
      <s:c r="F434" s="2" t="n">
        <s:v>332</s:v>
      </s:c>
      <s:c r="G434" s="2" t="n">
        <s:v>31485</s:v>
      </s:c>
      <s:c r="H434" s="2" t="n">
        <s:v>10</s:v>
      </s:c>
      <s:c r="I434" s="2" t="n">
        <s:v>357.16</s:v>
      </s:c>
      <s:c r="J434" s="2" t="n">
        <s:v>35.72</s:v>
      </s:c>
    </s:row>
    <s:row r="435">
      <s:c r="A435" s="2" t="n">
        <s:v>47286</s:v>
      </s:c>
      <s:c r="B435" s="2" t="inlineStr">
        <s:is>
          <s:t>YANGTSE-AUTO DEL ECUADOR S.A.</s:t>
        </s:is>
      </s:c>
      <s:c r="C435" s="3" t="n">
        <s:v>46081</s:v>
      </s:c>
      <s:c r="D435" s="3" t="n">
        <s:v>46081</s:v>
      </s:c>
      <s:c r="E435" s="3" t="inlineStr">
        <s:is>
          <s:t>RENTA</s:t>
        </s:is>
      </s:c>
      <s:c r="F435" s="2" t="n">
        <s:v>312</s:v>
      </s:c>
      <s:c r="G435" s="2" t="n">
        <s:v>714</s:v>
      </s:c>
      <s:c r="H435" s="2" t="n">
        <s:v>1.75</s:v>
      </s:c>
      <s:c r="I435" s="4" t="n">
        <s:v>13685.48</s:v>
      </s:c>
      <s:c r="J435" s="2" t="n">
        <s:v>239.5</s:v>
      </s:c>
    </s:row>
    <s:row r="436">
      <s:c r="A436" s="2" t="n">
        <s:v>47286</s:v>
      </s:c>
      <s:c r="B436" s="2" t="inlineStr">
        <s:is>
          <s:t>YANGTSE-AUTO DEL ECUADOR S.A.</s:t>
        </s:is>
      </s:c>
      <s:c r="C436" s="3" t="n">
        <s:v>46081</s:v>
      </s:c>
      <s:c r="D436" s="3" t="n">
        <s:v>46081</s:v>
      </s:c>
      <s:c r="E436" s="3" t="inlineStr">
        <s:is>
          <s:t>IVA</s:t>
        </s:is>
      </s:c>
      <s:c r="F436" s="2" t="n">
        <s:v>312</s:v>
      </s:c>
      <s:c r="G436" s="2" t="n">
        <s:v>714</s:v>
      </s:c>
      <s:c r="H436" s="2" t="n">
        <s:v>30</s:v>
      </s:c>
      <s:c r="I436" s="4" t="n">
        <s:v>2052.82</s:v>
      </s:c>
      <s:c r="J436" s="2" t="n">
        <s:v>615.85</s:v>
      </s:c>
    </s:row>
    <s:row r="437">
      <s:c r="A437" s="2" t="n">
        <s:v>47287</s:v>
      </s:c>
      <s:c r="B437" s="2" t="inlineStr">
        <s:is>
          <s:t>CASABACA S.A.</s:t>
        </s:is>
      </s:c>
      <s:c r="C437" s="3" t="n">
        <s:v>46081</s:v>
      </s:c>
      <s:c r="D437" s="3" t="n">
        <s:v>46081</s:v>
      </s:c>
      <s:c r="E437" s="3" t="inlineStr">
        <s:is>
          <s:t>IVA</s:t>
        </s:is>
      </s:c>
      <s:c r="F437" s="2" t="n">
        <s:v>332</s:v>
      </s:c>
      <s:c r="G437" s="2" t="n">
        <s:v>31486</s:v>
      </s:c>
      <s:c r="H437" s="2" t="n">
        <s:v>10</s:v>
      </s:c>
      <s:c r="I437" s="2" t="n">
        <s:v>340.14</s:v>
      </s:c>
      <s:c r="J437" s="2" t="n">
        <s:v>34.01</s:v>
      </s:c>
    </s:row>
    <s:row r="438">
      <s:c r="A438" s="2" t="n">
        <s:v>47288</s:v>
      </s:c>
      <s:c r="B438" s="2" t="inlineStr">
        <s:is>
          <s:t>CASABACA S.A.</s:t>
        </s:is>
      </s:c>
      <s:c r="C438" s="3" t="n">
        <s:v>46081</s:v>
      </s:c>
      <s:c r="D438" s="3" t="n">
        <s:v>46081</s:v>
      </s:c>
      <s:c r="E438" s="3" t="inlineStr">
        <s:is>
          <s:t>IVA</s:t>
        </s:is>
      </s:c>
      <s:c r="F438" s="2" t="n">
        <s:v>332</s:v>
      </s:c>
      <s:c r="G438" s="2" t="n">
        <s:v>31487</s:v>
      </s:c>
      <s:c r="H438" s="2" t="n">
        <s:v>10</s:v>
      </s:c>
      <s:c r="I438" s="2" t="n">
        <s:v>329.88</s:v>
      </s:c>
      <s:c r="J438" s="2" t="n">
        <s:v>32.99</s:v>
      </s:c>
    </s:row>
    <s:row r="439">
      <s:c r="A439" s="2" t="n">
        <s:v>47289</s:v>
      </s:c>
      <s:c r="B439" s="2" t="inlineStr">
        <s:is>
          <s:t>CASABACA S.A.</s:t>
        </s:is>
      </s:c>
      <s:c r="C439" s="3" t="n">
        <s:v>46081</s:v>
      </s:c>
      <s:c r="D439" s="3" t="n">
        <s:v>46081</s:v>
      </s:c>
      <s:c r="E439" s="3" t="inlineStr">
        <s:is>
          <s:t>IVA</s:t>
        </s:is>
      </s:c>
      <s:c r="F439" s="2" t="n">
        <s:v>332</s:v>
      </s:c>
      <s:c r="G439" s="2" t="n">
        <s:v>9141</s:v>
      </s:c>
      <s:c r="H439" s="2" t="n">
        <s:v>10</s:v>
      </s:c>
      <s:c r="I439" s="4" t="n">
        <s:v>11121.4</s:v>
      </s:c>
      <s:c r="J439" s="4" t="n">
        <s:v>1112.14</s:v>
      </s:c>
    </s:row>
    <s:row r="440">
      <s:c r="A440" s="2" t="n">
        <s:v>47290</s:v>
      </s:c>
      <s:c r="B440" s="2" t="inlineStr">
        <s:is>
          <s:t>YANGTSE-AUTO DEL ECUADOR S.A.</s:t>
        </s:is>
      </s:c>
      <s:c r="C440" s="3" t="n">
        <s:v>46081</s:v>
      </s:c>
      <s:c r="D440" s="3" t="n">
        <s:v>46081</s:v>
      </s:c>
      <s:c r="E440" s="3" t="inlineStr">
        <s:is>
          <s:t>IVA</s:t>
        </s:is>
      </s:c>
      <s:c r="F440" s="2" t="n">
        <s:v>312</s:v>
      </s:c>
      <s:c r="G440" s="2" t="n">
        <s:v>716</s:v>
      </s:c>
      <s:c r="H440" s="2" t="n">
        <s:v>30</s:v>
      </s:c>
      <s:c r="I440" s="4" t="n">
        <s:v>2966.76</s:v>
      </s:c>
      <s:c r="J440" s="2" t="n">
        <s:v>890.03</s:v>
      </s:c>
    </s:row>
    <s:row r="441">
      <s:c r="A441" s="2" t="n">
        <s:v>47290</s:v>
      </s:c>
      <s:c r="B441" s="2" t="inlineStr">
        <s:is>
          <s:t>YANGTSE-AUTO DEL ECUADOR S.A.</s:t>
        </s:is>
      </s:c>
      <s:c r="C441" s="3" t="n">
        <s:v>46081</s:v>
      </s:c>
      <s:c r="D441" s="3" t="n">
        <s:v>46081</s:v>
      </s:c>
      <s:c r="E441" s="3" t="inlineStr">
        <s:is>
          <s:t>RENTA</s:t>
        </s:is>
      </s:c>
      <s:c r="F441" s="2" t="n">
        <s:v>312</s:v>
      </s:c>
      <s:c r="G441" s="2" t="n">
        <s:v>716</s:v>
      </s:c>
      <s:c r="H441" s="2" t="n">
        <s:v>1.75</s:v>
      </s:c>
      <s:c r="I441" s="4" t="n">
        <s:v>19778.43</s:v>
      </s:c>
      <s:c r="J441" s="2" t="n">
        <s:v>346.12</s:v>
      </s:c>
    </s:row>
    <s:row r="442">
      <s:c r="A442" s="2" t="n">
        <s:v>47291</s:v>
      </s:c>
      <s:c r="B442" s="2" t="inlineStr">
        <s:is>
          <s:t>CASABACA S.A.</s:t>
        </s:is>
      </s:c>
      <s:c r="C442" s="3" t="n">
        <s:v>46081</s:v>
      </s:c>
      <s:c r="D442" s="3" t="n">
        <s:v>46081</s:v>
      </s:c>
      <s:c r="E442" s="3" t="inlineStr">
        <s:is>
          <s:t>IVA</s:t>
        </s:is>
      </s:c>
      <s:c r="F442" s="2" t="n">
        <s:v>332</s:v>
      </s:c>
      <s:c r="G442" s="2" t="n">
        <s:v>31483</s:v>
      </s:c>
      <s:c r="H442" s="2" t="n">
        <s:v>10</s:v>
      </s:c>
      <s:c r="I442" s="2" t="n">
        <s:v>340.14</s:v>
      </s:c>
      <s:c r="J442" s="2" t="n">
        <s:v>34.01</s:v>
      </s:c>
    </s:row>
    <s:row r="443">
      <s:c r="A443" s="2" t="n">
        <s:v>47292</s:v>
      </s:c>
      <s:c r="B443" s="2" t="inlineStr">
        <s:is>
          <s:t>CASABACA S.A.</s:t>
        </s:is>
      </s:c>
      <s:c r="C443" s="3" t="n">
        <s:v>46081</s:v>
      </s:c>
      <s:c r="D443" s="3" t="n">
        <s:v>46081</s:v>
      </s:c>
      <s:c r="E443" s="3" t="inlineStr">
        <s:is>
          <s:t>IVA</s:t>
        </s:is>
      </s:c>
      <s:c r="F443" s="2" t="n">
        <s:v>332</s:v>
      </s:c>
      <s:c r="G443" s="2" t="n">
        <s:v>31484</s:v>
      </s:c>
      <s:c r="H443" s="2" t="n">
        <s:v>10</s:v>
      </s:c>
      <s:c r="I443" s="2" t="n">
        <s:v>329.88</s:v>
      </s:c>
      <s:c r="J443" s="2" t="n">
        <s:v>32.99</s:v>
      </s:c>
    </s:row>
    <s:row r="444">
      <s:c r="A444" s="2" t="n">
        <s:v>47293</s:v>
      </s:c>
      <s:c r="B444" s="2" t="inlineStr">
        <s:is>
          <s:t>CONSORCIO DEL PICHINCHA S.A CONDELPI</s:t>
        </s:is>
      </s:c>
      <s:c r="C444" s="3" t="n">
        <s:v>46081</s:v>
      </s:c>
      <s:c r="D444" s="3" t="n">
        <s:v>46078</s:v>
      </s:c>
      <s:c r="E444" s="3" t="inlineStr">
        <s:is>
          <s:t>IVA</s:t>
        </s:is>
      </s:c>
      <s:c r="F444" s="2" t="n">
        <s:v>332</s:v>
      </s:c>
      <s:c r="G444" s="2" t="n">
        <s:v>101383</s:v>
      </s:c>
      <s:c r="H444" s="2" t="n">
        <s:v>20</s:v>
      </s:c>
      <s:c r="I444" s="2" t="n">
        <s:v>16.31</s:v>
      </s:c>
      <s:c r="J444" s="2" t="n">
        <s:v>3.26</s:v>
      </s:c>
    </s:row>
    <s:row r="445">
      <s:c r="A445" s="2" t="n">
        <s:v>47294</s:v>
      </s:c>
      <s:c r="B445" s="2" t="inlineStr">
        <s:is>
          <s:t>CONSORCIO DEL PICHINCHA S.A CONDELPI</s:t>
        </s:is>
      </s:c>
      <s:c r="C445" s="3" t="n">
        <s:v>46081</s:v>
      </s:c>
      <s:c r="D445" s="3" t="n">
        <s:v>46079</s:v>
      </s:c>
      <s:c r="E445" s="3" t="inlineStr">
        <s:is>
          <s:t>IVA</s:t>
        </s:is>
      </s:c>
      <s:c r="F445" s="2" t="n">
        <s:v>332</s:v>
      </s:c>
      <s:c r="G445" s="2" t="n">
        <s:v>101422</s:v>
      </s:c>
      <s:c r="H445" s="2" t="n">
        <s:v>10</s:v>
      </s:c>
      <s:c r="I445" s="2" t="n">
        <s:v>978.26</s:v>
      </s:c>
      <s:c r="J445" s="2" t="n">
        <s:v>97.83</s:v>
      </s:c>
    </s:row>
    <s:row r="446">
      <s:c r="A446" s="2" t="n">
        <s:v>47295</s:v>
      </s:c>
      <s:c r="B446" s="2" t="inlineStr">
        <s:is>
          <s:t>CONSORCIO DEL PICHINCHA S.A CONDELPI</s:t>
        </s:is>
      </s:c>
      <s:c r="C446" s="3" t="n">
        <s:v>46081</s:v>
      </s:c>
      <s:c r="D446" s="3" t="n">
        <s:v>46079</s:v>
      </s:c>
      <s:c r="E446" s="3" t="inlineStr">
        <s:is>
          <s:t>IVA</s:t>
        </s:is>
      </s:c>
      <s:c r="F446" s="2" t="n">
        <s:v>332</s:v>
      </s:c>
      <s:c r="G446" s="2" t="n">
        <s:v>101421</s:v>
      </s:c>
      <s:c r="H446" s="2" t="n">
        <s:v>20</s:v>
      </s:c>
      <s:c r="I446" s="2" t="n">
        <s:v>16.31</s:v>
      </s:c>
      <s:c r="J446" s="2" t="n">
        <s:v>3.26</s:v>
      </s:c>
    </s:row>
    <s:row r="447">
      <s:c r="A447" s="2" t="n">
        <s:v>47296</s:v>
      </s:c>
      <s:c r="B447" s="2" t="inlineStr">
        <s:is>
          <s:t>CONSORCIO DEL PICHINCHA S.A CONDELPI</s:t>
        </s:is>
      </s:c>
      <s:c r="C447" s="3" t="n">
        <s:v>46081</s:v>
      </s:c>
      <s:c r="D447" s="3" t="n">
        <s:v>46079</s:v>
      </s:c>
      <s:c r="E447" s="3" t="inlineStr">
        <s:is>
          <s:t>IVA</s:t>
        </s:is>
      </s:c>
      <s:c r="F447" s="2" t="n">
        <s:v>332</s:v>
      </s:c>
      <s:c r="G447" s="2" t="n">
        <s:v>101419</s:v>
      </s:c>
      <s:c r="H447" s="2" t="n">
        <s:v>20</s:v>
      </s:c>
      <s:c r="I447" s="2" t="n">
        <s:v>16.31</s:v>
      </s:c>
      <s:c r="J447" s="2" t="n">
        <s:v>3.26</s:v>
      </s:c>
    </s:row>
    <s:row r="448">
      <s:c r="A448" s="2" t="n">
        <s:v>47297</s:v>
      </s:c>
      <s:c r="B448" s="2" t="inlineStr">
        <s:is>
          <s:t>CONSORCIO DEL PICHINCHA S.A CONDELPI</s:t>
        </s:is>
      </s:c>
      <s:c r="C448" s="3" t="n">
        <s:v>46081</s:v>
      </s:c>
      <s:c r="D448" s="3" t="n">
        <s:v>46079</s:v>
      </s:c>
      <s:c r="E448" s="3" t="inlineStr">
        <s:is>
          <s:t>IVA</s:t>
        </s:is>
      </s:c>
      <s:c r="F448" s="2" t="n">
        <s:v>332</s:v>
      </s:c>
      <s:c r="G448" s="2" t="n">
        <s:v>101423</s:v>
      </s:c>
      <s:c r="H448" s="2" t="n">
        <s:v>20</s:v>
      </s:c>
      <s:c r="I448" s="2" t="n">
        <s:v>16.31</s:v>
      </s:c>
      <s:c r="J448" s="2" t="n">
        <s:v>3.26</s:v>
      </s:c>
    </s:row>
    <s:row r="449">
      <s:c r="A449" s="2" t="n">
        <s:v>47298</s:v>
      </s:c>
      <s:c r="B449" s="2" t="inlineStr">
        <s:is>
          <s:t>CONSORCIO DEL PICHINCHA S.A CONDELPI</s:t>
        </s:is>
      </s:c>
      <s:c r="C449" s="3" t="n">
        <s:v>46081</s:v>
      </s:c>
      <s:c r="D449" s="3" t="n">
        <s:v>46078</s:v>
      </s:c>
      <s:c r="E449" s="3" t="inlineStr">
        <s:is>
          <s:t>IVA</s:t>
        </s:is>
      </s:c>
      <s:c r="F449" s="2" t="n">
        <s:v>332</s:v>
      </s:c>
      <s:c r="G449" s="2" t="n">
        <s:v>101380</s:v>
      </s:c>
      <s:c r="H449" s="2" t="n">
        <s:v>10</s:v>
      </s:c>
      <s:c r="I449" s="4" t="n">
        <s:v>1695.65</s:v>
      </s:c>
      <s:c r="J449" s="2" t="n">
        <s:v>169.57</s:v>
      </s:c>
    </s:row>
    <s:row r="450">
      <s:c r="A450" s="2" t="n">
        <s:v>47299</s:v>
      </s:c>
      <s:c r="B450" s="2" t="inlineStr">
        <s:is>
          <s:t>CONSORCIO DEL PICHINCHA S.A CONDELPI</s:t>
        </s:is>
      </s:c>
      <s:c r="C450" s="3" t="n">
        <s:v>46081</s:v>
      </s:c>
      <s:c r="D450" s="3" t="n">
        <s:v>46078</s:v>
      </s:c>
      <s:c r="E450" s="3" t="inlineStr">
        <s:is>
          <s:t>IVA</s:t>
        </s:is>
      </s:c>
      <s:c r="F450" s="2" t="n">
        <s:v>332</s:v>
      </s:c>
      <s:c r="G450" s="2" t="n">
        <s:v>101382</s:v>
      </s:c>
      <s:c r="H450" s="2" t="n">
        <s:v>10</s:v>
      </s:c>
      <s:c r="I450" s="4" t="n">
        <s:v>1695.65</s:v>
      </s:c>
      <s:c r="J450" s="2" t="n">
        <s:v>169.57</s:v>
      </s:c>
    </s:row>
    <s:row r="451">
      <s:c r="A451" s="2" t="n">
        <s:v>47300</s:v>
      </s:c>
      <s:c r="B451" s="2" t="inlineStr">
        <s:is>
          <s:t>CONSORCIO DEL PICHINCHA S.A CONDELPI</s:t>
        </s:is>
      </s:c>
      <s:c r="C451" s="3" t="n">
        <s:v>46081</s:v>
      </s:c>
      <s:c r="D451" s="3" t="n">
        <s:v>46078</s:v>
      </s:c>
      <s:c r="E451" s="3" t="inlineStr">
        <s:is>
          <s:t>IVA</s:t>
        </s:is>
      </s:c>
      <s:c r="F451" s="2" t="n">
        <s:v>332</s:v>
      </s:c>
      <s:c r="G451" s="2" t="n">
        <s:v>101401</s:v>
      </s:c>
      <s:c r="H451" s="2" t="n">
        <s:v>10</s:v>
      </s:c>
      <s:c r="I451" s="2" t="n">
        <s:v>978.26</s:v>
      </s:c>
      <s:c r="J451" s="2" t="n">
        <s:v>97.83</s:v>
      </s:c>
    </s:row>
    <s:row r="452">
      <s:c r="A452" s="2" t="n">
        <s:v>47301</s:v>
      </s:c>
      <s:c r="B452" s="2" t="inlineStr">
        <s:is>
          <s:t>CONSORCIO DEL PICHINCHA S.A CONDELPI</s:t>
        </s:is>
      </s:c>
      <s:c r="C452" s="3" t="n">
        <s:v>46081</s:v>
      </s:c>
      <s:c r="D452" s="3" t="n">
        <s:v>46078</s:v>
      </s:c>
      <s:c r="E452" s="3" t="inlineStr">
        <s:is>
          <s:t>IVA</s:t>
        </s:is>
      </s:c>
      <s:c r="F452" s="2" t="n">
        <s:v>332</s:v>
      </s:c>
      <s:c r="G452" s="2" t="n">
        <s:v>101385</s:v>
      </s:c>
      <s:c r="H452" s="2" t="n">
        <s:v>20</s:v>
      </s:c>
      <s:c r="I452" s="2" t="n">
        <s:v>16.31</s:v>
      </s:c>
      <s:c r="J452" s="2" t="n">
        <s:v>3.26</s:v>
      </s:c>
    </s:row>
    <s:row r="453">
      <s:c r="A453" s="2" t="n">
        <s:v>47302</s:v>
      </s:c>
      <s:c r="B453" s="2" t="inlineStr">
        <s:is>
          <s:t>CONSORCIO DEL PICHINCHA S.A CONDELPI</s:t>
        </s:is>
      </s:c>
      <s:c r="C453" s="3" t="n">
        <s:v>46081</s:v>
      </s:c>
      <s:c r="D453" s="3" t="n">
        <s:v>46079</s:v>
      </s:c>
      <s:c r="E453" s="3" t="inlineStr">
        <s:is>
          <s:t>IVA</s:t>
        </s:is>
      </s:c>
      <s:c r="F453" s="2" t="n">
        <s:v>332</s:v>
      </s:c>
      <s:c r="G453" s="2" t="n">
        <s:v>101425</s:v>
      </s:c>
      <s:c r="H453" s="2" t="n">
        <s:v>20</s:v>
      </s:c>
      <s:c r="I453" s="2" t="n">
        <s:v>16.31</s:v>
      </s:c>
      <s:c r="J453" s="2" t="n">
        <s:v>3.26</s:v>
      </s:c>
    </s:row>
    <s:row r="454">
      <s:c r="A454" s="2" t="n">
        <s:v>47303</s:v>
      </s:c>
      <s:c r="B454" s="2" t="inlineStr">
        <s:is>
          <s:t>TOYOTASERVICIOS S.A.</s:t>
        </s:is>
      </s:c>
      <s:c r="C454" s="3" t="n">
        <s:v>46081</s:v>
      </s:c>
      <s:c r="D454" s="3" t="n">
        <s:v>46080</s:v>
      </s:c>
      <s:c r="E454" s="3" t="inlineStr">
        <s:is>
          <s:t>IVA</s:t>
        </s:is>
      </s:c>
      <s:c r="F454" s="2" t="n">
        <s:v>312</s:v>
      </s:c>
      <s:c r="G454" s="2" t="n">
        <s:v>53045</s:v>
      </s:c>
      <s:c r="H454" s="2" t="n">
        <s:v>30</s:v>
      </s:c>
      <s:c r="I454" s="2" t="n">
        <s:v>0.75</s:v>
      </s:c>
      <s:c r="J454" s="2" t="n">
        <s:v>0.23</s:v>
      </s:c>
    </s:row>
    <s:row r="455">
      <s:c r="A455" s="2" t="n">
        <s:v>47303</s:v>
      </s:c>
      <s:c r="B455" s="2" t="inlineStr">
        <s:is>
          <s:t>TOYOTASERVICIOS S.A.</s:t>
        </s:is>
      </s:c>
      <s:c r="C455" s="3" t="n">
        <s:v>46081</s:v>
      </s:c>
      <s:c r="D455" s="3" t="n">
        <s:v>46080</s:v>
      </s:c>
      <s:c r="E455" s="3" t="inlineStr">
        <s:is>
          <s:t>RENTA</s:t>
        </s:is>
      </s:c>
      <s:c r="F455" s="2" t="n">
        <s:v>312</s:v>
      </s:c>
      <s:c r="G455" s="2" t="n">
        <s:v>53045</s:v>
      </s:c>
      <s:c r="H455" s="2" t="n">
        <s:v>1.75</s:v>
      </s:c>
      <s:c r="I455" s="2" t="n">
        <s:v>5</s:v>
      </s:c>
      <s:c r="J455" s="2" t="n">
        <s:v>0.09</s:v>
      </s:c>
    </s:row>
    <s:row r="456">
      <s:c r="A456" s="2" t="n">
        <s:v>47304</s:v>
      </s:c>
      <s:c r="B456" s="2" t="inlineStr">
        <s:is>
          <s:t>CONSORCIO DEL PICHINCHA S.A CONDELPI</s:t>
        </s:is>
      </s:c>
      <s:c r="C456" s="3" t="n">
        <s:v>46081</s:v>
      </s:c>
      <s:c r="D456" s="3" t="n">
        <s:v>46078</s:v>
      </s:c>
      <s:c r="E456" s="3" t="inlineStr">
        <s:is>
          <s:t>IVA</s:t>
        </s:is>
      </s:c>
      <s:c r="F456" s="2" t="n">
        <s:v>332</s:v>
      </s:c>
      <s:c r="G456" s="2" t="n">
        <s:v>101381</s:v>
      </s:c>
      <s:c r="H456" s="2" t="n">
        <s:v>20</s:v>
      </s:c>
      <s:c r="I456" s="2" t="n">
        <s:v>16.31</s:v>
      </s:c>
      <s:c r="J456" s="2" t="n">
        <s:v>3.26</s:v>
      </s:c>
    </s:row>
    <s:row r="457">
      <s:c r="A457" s="2" t="n">
        <s:v>47305</s:v>
      </s:c>
      <s:c r="B457" s="2" t="inlineStr">
        <s:is>
          <s:t>CONSORCIO DEL PICHINCHA S.A CONDELPI</s:t>
        </s:is>
      </s:c>
      <s:c r="C457" s="3" t="n">
        <s:v>46081</s:v>
      </s:c>
      <s:c r="D457" s="3" t="n">
        <s:v>46078</s:v>
      </s:c>
      <s:c r="E457" s="3" t="inlineStr">
        <s:is>
          <s:t>IVA</s:t>
        </s:is>
      </s:c>
      <s:c r="F457" s="2" t="n">
        <s:v>332</s:v>
      </s:c>
      <s:c r="G457" s="2" t="n">
        <s:v>101388</s:v>
      </s:c>
      <s:c r="H457" s="2" t="n">
        <s:v>10</s:v>
      </s:c>
      <s:c r="I457" s="4" t="n">
        <s:v>1695.65</s:v>
      </s:c>
      <s:c r="J457" s="2" t="n">
        <s:v>169.57</s:v>
      </s:c>
    </s:row>
    <s:row r="458">
      <s:c r="A458" s="2" t="n">
        <s:v>47306</s:v>
      </s:c>
      <s:c r="B458" s="2" t="inlineStr">
        <s:is>
          <s:t>CONSORCIO DEL PICHINCHA S.A CONDELPI</s:t>
        </s:is>
      </s:c>
      <s:c r="C458" s="3" t="n">
        <s:v>46081</s:v>
      </s:c>
      <s:c r="D458" s="3" t="n">
        <s:v>46078</s:v>
      </s:c>
      <s:c r="E458" s="3" t="inlineStr">
        <s:is>
          <s:t>IVA</s:t>
        </s:is>
      </s:c>
      <s:c r="F458" s="2" t="n">
        <s:v>332</s:v>
      </s:c>
      <s:c r="G458" s="2" t="n">
        <s:v>101386</s:v>
      </s:c>
      <s:c r="H458" s="2" t="n">
        <s:v>10</s:v>
      </s:c>
      <s:c r="I458" s="4" t="n">
        <s:v>1695.65</s:v>
      </s:c>
      <s:c r="J458" s="2" t="n">
        <s:v>169.57</s:v>
      </s:c>
    </s:row>
    <s:row r="459">
      <s:c r="A459" s="2" t="n">
        <s:v>47307</s:v>
      </s:c>
      <s:c r="B459" s="2" t="inlineStr">
        <s:is>
          <s:t>CONSORCIO DEL PICHINCHA S.A CONDELPI</s:t>
        </s:is>
      </s:c>
      <s:c r="C459" s="3" t="n">
        <s:v>46081</s:v>
      </s:c>
      <s:c r="D459" s="3" t="n">
        <s:v>46078</s:v>
      </s:c>
      <s:c r="E459" s="3" t="inlineStr">
        <s:is>
          <s:t>IVA</s:t>
        </s:is>
      </s:c>
      <s:c r="F459" s="2" t="n">
        <s:v>332</s:v>
      </s:c>
      <s:c r="G459" s="2" t="n">
        <s:v>101387</s:v>
      </s:c>
      <s:c r="H459" s="2" t="n">
        <s:v>20</s:v>
      </s:c>
      <s:c r="I459" s="2" t="n">
        <s:v>16.31</s:v>
      </s:c>
      <s:c r="J459" s="2" t="n">
        <s:v>3.26</s:v>
      </s:c>
    </s:row>
    <s:row r="460">
      <s:c r="A460" s="2" t="n">
        <s:v>47308</s:v>
      </s:c>
      <s:c r="B460" s="2" t="inlineStr">
        <s:is>
          <s:t>CONSORCIO DEL PICHINCHA S.A CONDELPI</s:t>
        </s:is>
      </s:c>
      <s:c r="C460" s="3" t="n">
        <s:v>46081</s:v>
      </s:c>
      <s:c r="D460" s="3" t="n">
        <s:v>46079</s:v>
      </s:c>
      <s:c r="E460" s="3" t="inlineStr">
        <s:is>
          <s:t>IVA</s:t>
        </s:is>
      </s:c>
      <s:c r="F460" s="2" t="n">
        <s:v>332</s:v>
      </s:c>
      <s:c r="G460" s="2" t="n">
        <s:v>101420</s:v>
      </s:c>
      <s:c r="H460" s="2" t="n">
        <s:v>10</s:v>
      </s:c>
      <s:c r="I460" s="2" t="n">
        <s:v>978.26</s:v>
      </s:c>
      <s:c r="J460" s="2" t="n">
        <s:v>97.83</s:v>
      </s:c>
    </s:row>
    <s:row r="461">
      <s:c r="A461" s="2" t="n">
        <s:v>47309</s:v>
      </s:c>
      <s:c r="B461" s="2" t="inlineStr">
        <s:is>
          <s:t>TOYOTASERVICIOS S.A.</s:t>
        </s:is>
      </s:c>
      <s:c r="C461" s="3" t="n">
        <s:v>46081</s:v>
      </s:c>
      <s:c r="D461" s="3" t="n">
        <s:v>46080</s:v>
      </s:c>
      <s:c r="E461" s="3" t="inlineStr">
        <s:is>
          <s:t>RENTA</s:t>
        </s:is>
      </s:c>
      <s:c r="F461" s="2" t="n">
        <s:v>312</s:v>
      </s:c>
      <s:c r="G461" s="2" t="n">
        <s:v>867</s:v>
      </s:c>
      <s:c r="H461" s="2" t="n">
        <s:v>1.75</s:v>
      </s:c>
      <s:c r="I461" s="2" t="n">
        <s:v>938.85</s:v>
      </s:c>
      <s:c r="J461" s="2" t="n">
        <s:v>16.43</s:v>
      </s:c>
    </s:row>
    <s:row r="462">
      <s:c r="A462" s="2" t="n">
        <s:v>47309</s:v>
      </s:c>
      <s:c r="B462" s="2" t="inlineStr">
        <s:is>
          <s:t>TOYOTASERVICIOS S.A.</s:t>
        </s:is>
      </s:c>
      <s:c r="C462" s="3" t="n">
        <s:v>46081</s:v>
      </s:c>
      <s:c r="D462" s="3" t="n">
        <s:v>46080</s:v>
      </s:c>
      <s:c r="E462" s="3" t="inlineStr">
        <s:is>
          <s:t>IVA</s:t>
        </s:is>
      </s:c>
      <s:c r="F462" s="2" t="n">
        <s:v>312</s:v>
      </s:c>
      <s:c r="G462" s="2" t="n">
        <s:v>867</s:v>
      </s:c>
      <s:c r="H462" s="2" t="n">
        <s:v>30</s:v>
      </s:c>
      <s:c r="I462" s="2" t="n">
        <s:v>140.83</s:v>
      </s:c>
      <s:c r="J462" s="2" t="n">
        <s:v>42.25</s:v>
      </s:c>
    </s:row>
    <s:row r="463">
      <s:c r="A463" s="2" t="n">
        <s:v>47310</s:v>
      </s:c>
      <s:c r="B463" s="2" t="inlineStr">
        <s:is>
          <s:t>CONSORCIO DEL PICHINCHA S.A CONDELPI</s:t>
        </s:is>
      </s:c>
      <s:c r="C463" s="3" t="n">
        <s:v>46081</s:v>
      </s:c>
      <s:c r="D463" s="3" t="n">
        <s:v>46078</s:v>
      </s:c>
      <s:c r="E463" s="3" t="inlineStr">
        <s:is>
          <s:t>IVA</s:t>
        </s:is>
      </s:c>
      <s:c r="F463" s="2" t="n">
        <s:v>332</s:v>
      </s:c>
      <s:c r="G463" s="2" t="n">
        <s:v>101378</s:v>
      </s:c>
      <s:c r="H463" s="2" t="n">
        <s:v>10</s:v>
      </s:c>
      <s:c r="I463" s="4" t="n">
        <s:v>1695.65</s:v>
      </s:c>
      <s:c r="J463" s="2" t="n">
        <s:v>169.57</s:v>
      </s:c>
    </s:row>
    <s:row r="464">
      <s:c r="A464" s="2" t="n">
        <s:v>47311</s:v>
      </s:c>
      <s:c r="B464" s="2" t="inlineStr">
        <s:is>
          <s:t>CONSORCIO DEL PICHINCHA S.A CONDELPI</s:t>
        </s:is>
      </s:c>
      <s:c r="C464" s="3" t="n">
        <s:v>46081</s:v>
      </s:c>
      <s:c r="D464" s="3" t="n">
        <s:v>46078</s:v>
      </s:c>
      <s:c r="E464" s="3" t="inlineStr">
        <s:is>
          <s:t>IVA</s:t>
        </s:is>
      </s:c>
      <s:c r="F464" s="2" t="n">
        <s:v>332</s:v>
      </s:c>
      <s:c r="G464" s="2" t="n">
        <s:v>101395</s:v>
      </s:c>
      <s:c r="H464" s="2" t="n">
        <s:v>20</s:v>
      </s:c>
      <s:c r="I464" s="2" t="n">
        <s:v>16.31</s:v>
      </s:c>
      <s:c r="J464" s="2" t="n">
        <s:v>3.26</s:v>
      </s:c>
    </s:row>
    <s:row r="465">
      <s:c r="A465" s="2" t="n">
        <s:v>47312</s:v>
      </s:c>
      <s:c r="B465" s="2" t="inlineStr">
        <s:is>
          <s:t>CONSORCIO DEL PICHINCHA S.A CONDELPI</s:t>
        </s:is>
      </s:c>
      <s:c r="C465" s="3" t="n">
        <s:v>46081</s:v>
      </s:c>
      <s:c r="D465" s="3" t="n">
        <s:v>46078</s:v>
      </s:c>
      <s:c r="E465" s="3" t="inlineStr">
        <s:is>
          <s:t>IVA</s:t>
        </s:is>
      </s:c>
      <s:c r="F465" s="2" t="n">
        <s:v>332</s:v>
      </s:c>
      <s:c r="G465" s="2" t="n">
        <s:v>101404</s:v>
      </s:c>
      <s:c r="H465" s="2" t="n">
        <s:v>20</s:v>
      </s:c>
      <s:c r="I465" s="2" t="n">
        <s:v>16.31</s:v>
      </s:c>
      <s:c r="J465" s="2" t="n">
        <s:v>3.26</s:v>
      </s:c>
    </s:row>
    <s:row r="466">
      <s:c r="A466" s="2" t="n">
        <s:v>47313</s:v>
      </s:c>
      <s:c r="B466" s="2" t="inlineStr">
        <s:is>
          <s:t>CONSORCIO DEL PICHINCHA S.A CONDELPI</s:t>
        </s:is>
      </s:c>
      <s:c r="C466" s="3" t="n">
        <s:v>46081</s:v>
      </s:c>
      <s:c r="D466" s="3" t="n">
        <s:v>46079</s:v>
      </s:c>
      <s:c r="E466" s="3" t="inlineStr">
        <s:is>
          <s:t>IVA</s:t>
        </s:is>
      </s:c>
      <s:c r="F466" s="2" t="n">
        <s:v>332</s:v>
      </s:c>
      <s:c r="G466" s="2" t="n">
        <s:v>101413</s:v>
      </s:c>
      <s:c r="H466" s="2" t="n">
        <s:v>20</s:v>
      </s:c>
      <s:c r="I466" s="2" t="n">
        <s:v>16.31</s:v>
      </s:c>
      <s:c r="J466" s="2" t="n">
        <s:v>3.26</s:v>
      </s:c>
    </s:row>
    <s:row r="467">
      <s:c r="A467" s="2" t="n">
        <s:v>47314</s:v>
      </s:c>
      <s:c r="B467" s="2" t="inlineStr">
        <s:is>
          <s:t>CONSORCIO DEL PICHINCHA S.A CONDELPI</s:t>
        </s:is>
      </s:c>
      <s:c r="C467" s="3" t="n">
        <s:v>46081</s:v>
      </s:c>
      <s:c r="D467" s="3" t="n">
        <s:v>46079</s:v>
      </s:c>
      <s:c r="E467" s="3" t="inlineStr">
        <s:is>
          <s:t>IVA</s:t>
        </s:is>
      </s:c>
      <s:c r="F467" s="2" t="n">
        <s:v>332</s:v>
      </s:c>
      <s:c r="G467" s="2" t="n">
        <s:v>101416</s:v>
      </s:c>
      <s:c r="H467" s="2" t="n">
        <s:v>10</s:v>
      </s:c>
      <s:c r="I467" s="4" t="n">
        <s:v>1173.91</s:v>
      </s:c>
      <s:c r="J467" s="2" t="n">
        <s:v>117.39</s:v>
      </s:c>
    </s:row>
    <s:row r="468">
      <s:c r="A468" s="2" t="n">
        <s:v>47315</s:v>
      </s:c>
      <s:c r="B468" s="2" t="inlineStr">
        <s:is>
          <s:t>CONSORCIO DEL PICHINCHA S.A CONDELPI</s:t>
        </s:is>
      </s:c>
      <s:c r="C468" s="3" t="n">
        <s:v>46081</s:v>
      </s:c>
      <s:c r="D468" s="3" t="n">
        <s:v>46079</s:v>
      </s:c>
      <s:c r="E468" s="3" t="inlineStr">
        <s:is>
          <s:t>IVA</s:t>
        </s:is>
      </s:c>
      <s:c r="F468" s="2" t="n">
        <s:v>332</s:v>
      </s:c>
      <s:c r="G468" s="2" t="n">
        <s:v>101424</s:v>
      </s:c>
      <s:c r="H468" s="2" t="n">
        <s:v>10</s:v>
      </s:c>
      <s:c r="I468" s="2" t="n">
        <s:v>978.26</s:v>
      </s:c>
      <s:c r="J468" s="2" t="n">
        <s:v>97.83</s:v>
      </s:c>
    </s:row>
    <s:row r="469">
      <s:c r="A469" s="2" t="n">
        <s:v>47316</s:v>
      </s:c>
      <s:c r="B469" s="2" t="inlineStr">
        <s:is>
          <s:t>CONSORCIO DEL PICHINCHA S.A CONDELPI</s:t>
        </s:is>
      </s:c>
      <s:c r="C469" s="3" t="n">
        <s:v>46081</s:v>
      </s:c>
      <s:c r="D469" s="3" t="n">
        <s:v>46079</s:v>
      </s:c>
      <s:c r="E469" s="3" t="inlineStr">
        <s:is>
          <s:t>IVA</s:t>
        </s:is>
      </s:c>
      <s:c r="F469" s="2" t="n">
        <s:v>332</s:v>
      </s:c>
      <s:c r="G469" s="2" t="n">
        <s:v>101415</s:v>
      </s:c>
      <s:c r="H469" s="2" t="n">
        <s:v>20</s:v>
      </s:c>
      <s:c r="I469" s="2" t="n">
        <s:v>16.31</s:v>
      </s:c>
      <s:c r="J469" s="2" t="n">
        <s:v>3.26</s:v>
      </s:c>
    </s:row>
    <s:row r="470">
      <s:c r="A470" s="2" t="n">
        <s:v>47317</s:v>
      </s:c>
      <s:c r="B470" s="2" t="inlineStr">
        <s:is>
          <s:t>CONSORCIO DEL PICHINCHA S.A CONDELPI</s:t>
        </s:is>
      </s:c>
      <s:c r="C470" s="3" t="n">
        <s:v>46081</s:v>
      </s:c>
      <s:c r="D470" s="3" t="n">
        <s:v>46078</s:v>
      </s:c>
      <s:c r="E470" s="3" t="inlineStr">
        <s:is>
          <s:t>IVA</s:t>
        </s:is>
      </s:c>
      <s:c r="F470" s="2" t="n">
        <s:v>332</s:v>
      </s:c>
      <s:c r="G470" s="2" t="n">
        <s:v>101379</s:v>
      </s:c>
      <s:c r="H470" s="2" t="n">
        <s:v>20</s:v>
      </s:c>
      <s:c r="I470" s="2" t="n">
        <s:v>16.31</s:v>
      </s:c>
      <s:c r="J470" s="2" t="n">
        <s:v>3.26</s:v>
      </s:c>
    </s:row>
    <s:row r="471">
      <s:c r="A471" s="2" t="n">
        <s:v>47318</s:v>
      </s:c>
      <s:c r="B471" s="2" t="inlineStr">
        <s:is>
          <s:t>CONSORCIO DEL PICHINCHA S.A CONDELPI</s:t>
        </s:is>
      </s:c>
      <s:c r="C471" s="3" t="n">
        <s:v>46081</s:v>
      </s:c>
      <s:c r="D471" s="3" t="n">
        <s:v>46078</s:v>
      </s:c>
      <s:c r="E471" s="3" t="inlineStr">
        <s:is>
          <s:t>IVA</s:t>
        </s:is>
      </s:c>
      <s:c r="F471" s="2" t="n">
        <s:v>332</s:v>
      </s:c>
      <s:c r="G471" s="2" t="n">
        <s:v>101403</s:v>
      </s:c>
      <s:c r="H471" s="2" t="n">
        <s:v>10</s:v>
      </s:c>
      <s:c r="I471" s="2" t="n">
        <s:v>978.26</s:v>
      </s:c>
      <s:c r="J471" s="2" t="n">
        <s:v>97.83</s:v>
      </s:c>
    </s:row>
    <s:row r="472">
      <s:c r="A472" s="2" t="n">
        <s:v>47319</s:v>
      </s:c>
      <s:c r="B472" s="2" t="inlineStr">
        <s:is>
          <s:t>CONSORCIO DEL PICHINCHA S.A CONDELPI</s:t>
        </s:is>
      </s:c>
      <s:c r="C472" s="3" t="n">
        <s:v>46081</s:v>
      </s:c>
      <s:c r="D472" s="3" t="n">
        <s:v>46078</s:v>
      </s:c>
      <s:c r="E472" s="3" t="inlineStr">
        <s:is>
          <s:t>IVA</s:t>
        </s:is>
      </s:c>
      <s:c r="F472" s="2" t="n">
        <s:v>332</s:v>
      </s:c>
      <s:c r="G472" s="2" t="n">
        <s:v>101408</s:v>
      </s:c>
      <s:c r="H472" s="2" t="n">
        <s:v>20</s:v>
      </s:c>
      <s:c r="I472" s="2" t="n">
        <s:v>16.31</s:v>
      </s:c>
      <s:c r="J472" s="2" t="n">
        <s:v>3.26</s:v>
      </s:c>
    </s:row>
    <s:row r="473">
      <s:c r="A473" s="2" t="n">
        <s:v>47320</s:v>
      </s:c>
      <s:c r="B473" s="2" t="inlineStr">
        <s:is>
          <s:t>CONSORCIO DEL PICHINCHA S.A CONDELPI</s:t>
        </s:is>
      </s:c>
      <s:c r="C473" s="3" t="n">
        <s:v>46081</s:v>
      </s:c>
      <s:c r="D473" s="3" t="n">
        <s:v>46079</s:v>
      </s:c>
      <s:c r="E473" s="3" t="inlineStr">
        <s:is>
          <s:t>IVA</s:t>
        </s:is>
      </s:c>
      <s:c r="F473" s="2" t="n">
        <s:v>332</s:v>
      </s:c>
      <s:c r="G473" s="2" t="n">
        <s:v>101410</s:v>
      </s:c>
      <s:c r="H473" s="2" t="n">
        <s:v>10</s:v>
      </s:c>
      <s:c r="I473" s="4" t="n">
        <s:v>1695.65</s:v>
      </s:c>
      <s:c r="J473" s="2" t="n">
        <s:v>169.57</s:v>
      </s:c>
    </s:row>
    <s:row r="474">
      <s:c r="A474" s="2" t="n">
        <s:v>47321</s:v>
      </s:c>
      <s:c r="B474" s="2" t="inlineStr">
        <s:is>
          <s:t>CONSORCIO DEL PICHINCHA S.A CONDELPI</s:t>
        </s:is>
      </s:c>
      <s:c r="C474" s="3" t="n">
        <s:v>46081</s:v>
      </s:c>
      <s:c r="D474" s="3" t="n">
        <s:v>46078</s:v>
      </s:c>
      <s:c r="E474" s="3" t="inlineStr">
        <s:is>
          <s:t>IVA</s:t>
        </s:is>
      </s:c>
      <s:c r="F474" s="2" t="n">
        <s:v>332</s:v>
      </s:c>
      <s:c r="G474" s="2" t="n">
        <s:v>101394</s:v>
      </s:c>
      <s:c r="H474" s="2" t="n">
        <s:v>10</s:v>
      </s:c>
      <s:c r="I474" s="2" t="n">
        <s:v>978.26</s:v>
      </s:c>
      <s:c r="J474" s="2" t="n">
        <s:v>97.83</s:v>
      </s:c>
    </s:row>
    <s:row r="475">
      <s:c r="A475" s="2" t="n">
        <s:v>47322</s:v>
      </s:c>
      <s:c r="B475" s="2" t="inlineStr">
        <s:is>
          <s:t>CONSORCIO DEL PICHINCHA S.A CONDELPI</s:t>
        </s:is>
      </s:c>
      <s:c r="C475" s="3" t="n">
        <s:v>46081</s:v>
      </s:c>
      <s:c r="D475" s="3" t="n">
        <s:v>46078</s:v>
      </s:c>
      <s:c r="E475" s="3" t="inlineStr">
        <s:is>
          <s:t>IVA</s:t>
        </s:is>
      </s:c>
      <s:c r="F475" s="2" t="n">
        <s:v>332</s:v>
      </s:c>
      <s:c r="G475" s="2" t="n">
        <s:v>101392</s:v>
      </s:c>
      <s:c r="H475" s="2" t="n">
        <s:v>10</s:v>
      </s:c>
      <s:c r="I475" s="2" t="n">
        <s:v>978.26</s:v>
      </s:c>
      <s:c r="J475" s="2" t="n">
        <s:v>97.83</s:v>
      </s:c>
    </s:row>
    <s:row r="476">
      <s:c r="A476" s="2" t="n">
        <s:v>47323</s:v>
      </s:c>
      <s:c r="B476" s="2" t="inlineStr">
        <s:is>
          <s:t>CONSORCIO DEL PICHINCHA S.A CONDELPI</s:t>
        </s:is>
      </s:c>
      <s:c r="C476" s="3" t="n">
        <s:v>46081</s:v>
      </s:c>
      <s:c r="D476" s="3" t="n">
        <s:v>46078</s:v>
      </s:c>
      <s:c r="E476" s="3" t="inlineStr">
        <s:is>
          <s:t>IVA</s:t>
        </s:is>
      </s:c>
      <s:c r="F476" s="2" t="n">
        <s:v>332</s:v>
      </s:c>
      <s:c r="G476" s="2" t="n">
        <s:v>101405</s:v>
      </s:c>
      <s:c r="H476" s="2" t="n">
        <s:v>10</s:v>
      </s:c>
      <s:c r="I476" s="2" t="n">
        <s:v>978.26</s:v>
      </s:c>
      <s:c r="J476" s="2" t="n">
        <s:v>97.83</s:v>
      </s:c>
    </s:row>
    <s:row r="477">
      <s:c r="A477" s="2" t="n">
        <s:v>47324</s:v>
      </s:c>
      <s:c r="B477" s="2" t="inlineStr">
        <s:is>
          <s:t>CONSORCIO DEL PICHINCHA S.A CONDELPI</s:t>
        </s:is>
      </s:c>
      <s:c r="C477" s="3" t="n">
        <s:v>46081</s:v>
      </s:c>
      <s:c r="D477" s="3" t="n">
        <s:v>46078</s:v>
      </s:c>
      <s:c r="E477" s="3" t="inlineStr">
        <s:is>
          <s:t>IVA</s:t>
        </s:is>
      </s:c>
      <s:c r="F477" s="2" t="n">
        <s:v>332</s:v>
      </s:c>
      <s:c r="G477" s="2" t="n">
        <s:v>101407</s:v>
      </s:c>
      <s:c r="H477" s="2" t="n">
        <s:v>10</s:v>
      </s:c>
      <s:c r="I477" s="2" t="n">
        <s:v>978.26</s:v>
      </s:c>
      <s:c r="J477" s="2" t="n">
        <s:v>97.83</s:v>
      </s:c>
    </s:row>
    <s:row r="478">
      <s:c r="A478" s="2" t="n">
        <s:v>47325</s:v>
      </s:c>
      <s:c r="B478" s="2" t="inlineStr">
        <s:is>
          <s:t>CONSORCIO DEL PICHINCHA S.A CONDELPI</s:t>
        </s:is>
      </s:c>
      <s:c r="C478" s="3" t="n">
        <s:v>46081</s:v>
      </s:c>
      <s:c r="D478" s="3" t="n">
        <s:v>46079</s:v>
      </s:c>
      <s:c r="E478" s="3" t="inlineStr">
        <s:is>
          <s:t>IVA</s:t>
        </s:is>
      </s:c>
      <s:c r="F478" s="2" t="n">
        <s:v>332</s:v>
      </s:c>
      <s:c r="G478" s="2" t="n">
        <s:v>101411</s:v>
      </s:c>
      <s:c r="H478" s="2" t="n">
        <s:v>20</s:v>
      </s:c>
      <s:c r="I478" s="2" t="n">
        <s:v>16.31</s:v>
      </s:c>
      <s:c r="J478" s="2" t="n">
        <s:v>3.26</s:v>
      </s:c>
    </s:row>
    <s:row r="479">
      <s:c r="A479" s="2" t="n">
        <s:v>47326</s:v>
      </s:c>
      <s:c r="B479" s="2" t="inlineStr">
        <s:is>
          <s:t>CONSORCIO DEL PICHINCHA S.A CONDELPI</s:t>
        </s:is>
      </s:c>
      <s:c r="C479" s="3" t="n">
        <s:v>46081</s:v>
      </s:c>
      <s:c r="D479" s="3" t="n">
        <s:v>46079</s:v>
      </s:c>
      <s:c r="E479" s="3" t="inlineStr">
        <s:is>
          <s:t>IVA</s:t>
        </s:is>
      </s:c>
      <s:c r="F479" s="2" t="n">
        <s:v>332</s:v>
      </s:c>
      <s:c r="G479" s="2" t="n">
        <s:v>101418</s:v>
      </s:c>
      <s:c r="H479" s="2" t="n">
        <s:v>10</s:v>
      </s:c>
      <s:c r="I479" s="4" t="n">
        <s:v>1173.91</s:v>
      </s:c>
      <s:c r="J479" s="2" t="n">
        <s:v>117.39</s:v>
      </s:c>
    </s:row>
    <s:row r="480">
      <s:c r="A480" s="2" t="n">
        <s:v>47327</s:v>
      </s:c>
      <s:c r="B480" s="2" t="inlineStr">
        <s:is>
          <s:t>CONSORCIO DEL PICHINCHA S.A CONDELPI</s:t>
        </s:is>
      </s:c>
      <s:c r="C480" s="3" t="n">
        <s:v>46081</s:v>
      </s:c>
      <s:c r="D480" s="3" t="n">
        <s:v>46079</s:v>
      </s:c>
      <s:c r="E480" s="3" t="inlineStr">
        <s:is>
          <s:t>IVA</s:t>
        </s:is>
      </s:c>
      <s:c r="F480" s="2" t="n">
        <s:v>332</s:v>
      </s:c>
      <s:c r="G480" s="2" t="n">
        <s:v>101417</s:v>
      </s:c>
      <s:c r="H480" s="2" t="n">
        <s:v>20</s:v>
      </s:c>
      <s:c r="I480" s="2" t="n">
        <s:v>16.31</s:v>
      </s:c>
      <s:c r="J480" s="2" t="n">
        <s:v>3.26</s:v>
      </s:c>
    </s:row>
    <s:row r="481">
      <s:c r="A481" s="2" t="n">
        <s:v>47328</s:v>
      </s:c>
      <s:c r="B481" s="2" t="inlineStr">
        <s:is>
          <s:t>TOYOTASERVICIOS S.A.</s:t>
        </s:is>
      </s:c>
      <s:c r="C481" s="3" t="n">
        <s:v>46081</s:v>
      </s:c>
      <s:c r="D481" s="3" t="n">
        <s:v>46080</s:v>
      </s:c>
      <s:c r="E481" s="3" t="inlineStr">
        <s:is>
          <s:t>RENTA</s:t>
        </s:is>
      </s:c>
      <s:c r="F481" s="2" t="n">
        <s:v>312</s:v>
      </s:c>
      <s:c r="G481" s="2" t="n">
        <s:v>866</s:v>
      </s:c>
      <s:c r="H481" s="2" t="n">
        <s:v>1.75</s:v>
      </s:c>
      <s:c r="I481" s="4" t="n">
        <s:v>4598.9</s:v>
      </s:c>
      <s:c r="J481" s="2" t="n">
        <s:v>80.48</s:v>
      </s:c>
    </s:row>
    <s:row r="482">
      <s:c r="A482" s="2" t="n">
        <s:v>47328</s:v>
      </s:c>
      <s:c r="B482" s="2" t="inlineStr">
        <s:is>
          <s:t>TOYOTASERVICIOS S.A.</s:t>
        </s:is>
      </s:c>
      <s:c r="C482" s="3" t="n">
        <s:v>46081</s:v>
      </s:c>
      <s:c r="D482" s="3" t="n">
        <s:v>46080</s:v>
      </s:c>
      <s:c r="E482" s="3" t="inlineStr">
        <s:is>
          <s:t>IVA</s:t>
        </s:is>
      </s:c>
      <s:c r="F482" s="2" t="n">
        <s:v>312</s:v>
      </s:c>
      <s:c r="G482" s="2" t="n">
        <s:v>866</s:v>
      </s:c>
      <s:c r="H482" s="2" t="n">
        <s:v>30</s:v>
      </s:c>
      <s:c r="I482" s="2" t="n">
        <s:v>689.84</s:v>
      </s:c>
      <s:c r="J482" s="2" t="n">
        <s:v>206.95</s:v>
      </s:c>
    </s:row>
    <s:row r="483">
      <s:c r="A483" s="2" t="n">
        <s:v>47329</s:v>
      </s:c>
      <s:c r="B483" s="2" t="inlineStr">
        <s:is>
          <s:t>CONSORCIO DEL PICHINCHA S.A CONDELPI</s:t>
        </s:is>
      </s:c>
      <s:c r="C483" s="3" t="n">
        <s:v>46081</s:v>
      </s:c>
      <s:c r="D483" s="3" t="n">
        <s:v>46078</s:v>
      </s:c>
      <s:c r="E483" s="3" t="inlineStr">
        <s:is>
          <s:t>IVA</s:t>
        </s:is>
      </s:c>
      <s:c r="F483" s="2" t="n">
        <s:v>332</s:v>
      </s:c>
      <s:c r="G483" s="2" t="n">
        <s:v>101389</s:v>
      </s:c>
      <s:c r="H483" s="2" t="n">
        <s:v>20</s:v>
      </s:c>
      <s:c r="I483" s="2" t="n">
        <s:v>16.31</s:v>
      </s:c>
      <s:c r="J483" s="2" t="n">
        <s:v>3.26</s:v>
      </s:c>
    </s:row>
    <s:row r="484">
      <s:c r="A484" s="2" t="n">
        <s:v>47330</s:v>
      </s:c>
      <s:c r="B484" s="2" t="inlineStr">
        <s:is>
          <s:t>CONSORCIO DEL PICHINCHA S.A CONDELPI</s:t>
        </s:is>
      </s:c>
      <s:c r="C484" s="3" t="n">
        <s:v>46081</s:v>
      </s:c>
      <s:c r="D484" s="3" t="n">
        <s:v>46078</s:v>
      </s:c>
      <s:c r="E484" s="3" t="inlineStr">
        <s:is>
          <s:t>IVA</s:t>
        </s:is>
      </s:c>
      <s:c r="F484" s="2" t="n">
        <s:v>332</s:v>
      </s:c>
      <s:c r="G484" s="2" t="n">
        <s:v>101402</s:v>
      </s:c>
      <s:c r="H484" s="2" t="n">
        <s:v>20</s:v>
      </s:c>
      <s:c r="I484" s="2" t="n">
        <s:v>16.31</s:v>
      </s:c>
      <s:c r="J484" s="2" t="n">
        <s:v>3.26</s:v>
      </s:c>
    </s:row>
    <s:row r="485">
      <s:c r="A485" s="2" t="n">
        <s:v>47331</s:v>
      </s:c>
      <s:c r="B485" s="2" t="inlineStr">
        <s:is>
          <s:t>CONSORCIO DEL PICHINCHA S.A CONDELPI</s:t>
        </s:is>
      </s:c>
      <s:c r="C485" s="3" t="n">
        <s:v>46081</s:v>
      </s:c>
      <s:c r="D485" s="3" t="n">
        <s:v>46078</s:v>
      </s:c>
      <s:c r="E485" s="3" t="inlineStr">
        <s:is>
          <s:t>IVA</s:t>
        </s:is>
      </s:c>
      <s:c r="F485" s="2" t="n">
        <s:v>332</s:v>
      </s:c>
      <s:c r="G485" s="2" t="n">
        <s:v>101393</s:v>
      </s:c>
      <s:c r="H485" s="2" t="n">
        <s:v>20</s:v>
      </s:c>
      <s:c r="I485" s="2" t="n">
        <s:v>16.31</s:v>
      </s:c>
      <s:c r="J485" s="2" t="n">
        <s:v>3.26</s:v>
      </s:c>
    </s:row>
    <s:row r="486">
      <s:c r="A486" s="2" t="n">
        <s:v>47332</s:v>
      </s:c>
      <s:c r="B486" s="2" t="inlineStr">
        <s:is>
          <s:t>CONSORCIO DEL PICHINCHA S.A CONDELPI</s:t>
        </s:is>
      </s:c>
      <s:c r="C486" s="3" t="n">
        <s:v>46081</s:v>
      </s:c>
      <s:c r="D486" s="3" t="n">
        <s:v>46078</s:v>
      </s:c>
      <s:c r="E486" s="3" t="inlineStr">
        <s:is>
          <s:t>IVA</s:t>
        </s:is>
      </s:c>
      <s:c r="F486" s="2" t="n">
        <s:v>332</s:v>
      </s:c>
      <s:c r="G486" s="2" t="n">
        <s:v>101406</s:v>
      </s:c>
      <s:c r="H486" s="2" t="n">
        <s:v>20</s:v>
      </s:c>
      <s:c r="I486" s="2" t="n">
        <s:v>16.31</s:v>
      </s:c>
      <s:c r="J486" s="2" t="n">
        <s:v>3.26</s:v>
      </s:c>
    </s:row>
    <s:row r="487">
      <s:c r="A487" s="2" t="n">
        <s:v>47333</s:v>
      </s:c>
      <s:c r="B487" s="2" t="inlineStr">
        <s:is>
          <s:t>CONSORCIO DEL PICHINCHA S.A CONDELPI</s:t>
        </s:is>
      </s:c>
      <s:c r="C487" s="3" t="n">
        <s:v>46081</s:v>
      </s:c>
      <s:c r="D487" s="3" t="n">
        <s:v>46078</s:v>
      </s:c>
      <s:c r="E487" s="3" t="inlineStr">
        <s:is>
          <s:t>IVA</s:t>
        </s:is>
      </s:c>
      <s:c r="F487" s="2" t="n">
        <s:v>332</s:v>
      </s:c>
      <s:c r="G487" s="2" t="n">
        <s:v>101384</s:v>
      </s:c>
      <s:c r="H487" s="2" t="n">
        <s:v>10</s:v>
      </s:c>
      <s:c r="I487" s="4" t="n">
        <s:v>1695.65</s:v>
      </s:c>
      <s:c r="J487" s="2" t="n">
        <s:v>169.57</s:v>
      </s:c>
    </s:row>
    <s:row r="488">
      <s:c r="A488" s="2" t="n">
        <s:v>47334</s:v>
      </s:c>
      <s:c r="B488" s="2" t="inlineStr">
        <s:is>
          <s:t>CONSORCIO DEL PICHINCHA S.A CONDELPI</s:t>
        </s:is>
      </s:c>
      <s:c r="C488" s="3" t="n">
        <s:v>46081</s:v>
      </s:c>
      <s:c r="D488" s="3" t="n">
        <s:v>46079</s:v>
      </s:c>
      <s:c r="E488" s="3" t="inlineStr">
        <s:is>
          <s:t>IVA</s:t>
        </s:is>
      </s:c>
      <s:c r="F488" s="2" t="n">
        <s:v>332</s:v>
      </s:c>
      <s:c r="G488" s="2" t="n">
        <s:v>101412</s:v>
      </s:c>
      <s:c r="H488" s="2" t="n">
        <s:v>10</s:v>
      </s:c>
      <s:c r="I488" s="4" t="n">
        <s:v>1695.65</s:v>
      </s:c>
      <s:c r="J488" s="2" t="n">
        <s:v>169.57</s:v>
      </s:c>
    </s:row>
    <s:row r="489">
      <s:c r="A489" s="2" t="n">
        <s:v>47335</s:v>
      </s:c>
      <s:c r="B489" s="2" t="inlineStr">
        <s:is>
          <s:t>CONSORCIO DEL PICHINCHA S.A CONDELPI</s:t>
        </s:is>
      </s:c>
      <s:c r="C489" s="3" t="n">
        <s:v>46081</s:v>
      </s:c>
      <s:c r="D489" s="3" t="n">
        <s:v>46079</s:v>
      </s:c>
      <s:c r="E489" s="3" t="inlineStr">
        <s:is>
          <s:t>IVA</s:t>
        </s:is>
      </s:c>
      <s:c r="F489" s="2" t="n">
        <s:v>332</s:v>
      </s:c>
      <s:c r="G489" s="2" t="n">
        <s:v>101414</s:v>
      </s:c>
      <s:c r="H489" s="2" t="n">
        <s:v>10</s:v>
      </s:c>
      <s:c r="I489" s="4" t="n">
        <s:v>1695.65</s:v>
      </s:c>
      <s:c r="J489" s="2" t="n">
        <s:v>169.57</s:v>
      </s:c>
    </s:row>
    <s:row r="490">
      <s:c r="A490" s="2" t="n">
        <s:v>47336</s:v>
      </s:c>
      <s:c r="B490" s="2" t="inlineStr">
        <s:is>
          <s:t>TOYOTASERVICIOS S.A.</s:t>
        </s:is>
      </s:c>
      <s:c r="C490" s="3" t="n">
        <s:v>46081</s:v>
      </s:c>
      <s:c r="D490" s="3" t="n">
        <s:v>46080</s:v>
      </s:c>
      <s:c r="E490" s="3" t="inlineStr">
        <s:is>
          <s:t>RENTA</s:t>
        </s:is>
      </s:c>
      <s:c r="F490" s="2" t="n">
        <s:v>344</s:v>
      </s:c>
      <s:c r="G490" s="2" t="n">
        <s:v>53046</s:v>
      </s:c>
      <s:c r="H490" s="2" t="n">
        <s:v>2.75</s:v>
      </s:c>
      <s:c r="I490" s="2" t="n">
        <s:v>846</s:v>
      </s:c>
      <s:c r="J490" s="2" t="n">
        <s:v>23.27</s:v>
      </s:c>
    </s:row>
    <s:row r="491">
      <s:c r="A491" s="2" t="n">
        <s:v>47336</s:v>
      </s:c>
      <s:c r="B491" s="2" t="inlineStr">
        <s:is>
          <s:t>TOYOTASERVICIOS S.A.</s:t>
        </s:is>
      </s:c>
      <s:c r="C491" s="3" t="n">
        <s:v>46081</s:v>
      </s:c>
      <s:c r="D491" s="3" t="n">
        <s:v>46080</s:v>
      </s:c>
      <s:c r="E491" s="3" t="inlineStr">
        <s:is>
          <s:t>IVA</s:t>
        </s:is>
      </s:c>
      <s:c r="F491" s="2" t="n">
        <s:v>344</s:v>
      </s:c>
      <s:c r="G491" s="2" t="n">
        <s:v>53046</s:v>
      </s:c>
      <s:c r="H491" s="2" t="n">
        <s:v>70</s:v>
      </s:c>
      <s:c r="I491" s="2" t="n">
        <s:v>126.9</s:v>
      </s:c>
      <s:c r="J491" s="2" t="n">
        <s:v>88.83</s:v>
      </s:c>
    </s:row>
    <s:row r="492">
      <s:c r="A492" s="2" t="n">
        <s:v>999999999</s:v>
      </s:c>
      <s:c r="B492" s="2" t="inlineStr">
        <s:is>
          <s:t>ASEGURADORA DEL SUR C.A.</s:t>
        </s:is>
      </s:c>
      <s:c r="C492" s="3" t="n">
        <s:v>46065</s:v>
      </s:c>
      <s:c r="D492" s="3" t="n">
        <s:v>46065</s:v>
      </s:c>
      <s:c r="E492" s="3" t="inlineStr">
        <s:is>
          <s:t>IVA</s:t>
        </s:is>
      </s:c>
      <s:c r="F492" s="2" t="n">
        <s:v>332</s:v>
      </s:c>
      <s:c r="G492" s="2" t="inlineStr">
        <s:is>
          <s:t>A017835055</s:t>
        </s:is>
      </s:c>
      <s:c r="H492" s="2" t="n">
        <s:v>20</s:v>
      </s:c>
      <s:c r="I492" s="2" t="n">
        <s:v>246.67</s:v>
      </s:c>
      <s:c r="J492" s="2" t="n">
        <s:v>49.33</s:v>
      </s:c>
    </s:row>
    <s:row r="493"/>
    <s:row r="494"/>
    <s:row r="495"/>
    <s:row r="496"/>
    <s:row r="497">
      <s:c r="C497" s="1" t="n"/>
      <s:c r="D497" s="1" t="n"/>
      <s:c r="E497" s="1" t="n"/>
    </s:row>
    <s:row r="498"/>
    <s:row r="499"/>
    <s:row r="500"/>
    <s:row r="501"/>
    <s:row r="502"/>
    <s:row r="503"/>
    <s:row r="504"/>
    <s:row r="505"/>
    <s:row r="506"/>
    <s:row r="507"/>
    <s:row r="508"/>
    <s:row r="509"/>
    <s:row r="510"/>
    <s:row r="511"/>
    <s:row r="512"/>
    <s:row r="513"/>
    <s:row r="514"/>
    <s:row r="515"/>
    <s:row r="516"/>
    <s:row r="517"/>
    <s:row r="518"/>
    <s:row r="519"/>
    <s:row r="520"/>
    <s:row r="521"/>
    <s:row r="522"/>
    <s:row r="523"/>
    <s:row r="524"/>
    <s:row r="525"/>
    <s:row r="526"/>
    <s:row r="527"/>
    <s:row r="528"/>
    <s:row r="529"/>
    <s:row r="530"/>
    <s:row r="531"/>
    <s:row r="532"/>
    <s:row r="533"/>
    <s:row r="534"/>
    <s:row r="535"/>
    <s:row r="536"/>
    <s:row r="537"/>
    <s:row r="538"/>
    <s:row r="539"/>
    <s:row r="540"/>
    <s:row r="541"/>
    <s:row r="542"/>
    <s:row r="543"/>
    <s:row r="544"/>
    <s:row r="545"/>
    <s:row r="546"/>
    <s:row r="547"/>
    <s:row r="548"/>
    <s:row r="549"/>
    <s:row r="550"/>
  </s:sheetData>
  <s:autoFilter ref="A1:J492"/>
  <s:pageMargins left="0.7" right="0.7" top="0.75" bottom="0.75" header="0.3" footer="0.3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2026-03-06T15:54:48Z</dcterms:created>
  <dcterms:modified xsi:type="dcterms:W3CDTF">2026-03-24T16:01:54Z</dcterms:modified>
  <cp:lastModifiedBy>Kevin Moyolema</cp:lastModifiedBy>
</cp:coreProperties>
</file>