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ION 1 LIBRO COMPRAS" sheetId="1" state="visible" r:id="rId1"/>
    <sheet name="ACCION 2 RET PROV" sheetId="2" state="visible" r:id="rId2"/>
    <sheet name="ACCION 3 MAYOR RET" sheetId="3" state="visible" r:id="rId3"/>
    <sheet name="ACCION 4 MAYOR IVA" sheetId="4" state="visible" r:id="rId4"/>
  </sheets>
  <definedNames>
    <definedName name="_xlnm._FilterDatabase" localSheetId="1" hidden="1">'ACCION 2 RET PROV'!$A$1:$J$492</definedName>
    <definedName name="_xlnm._FilterDatabase" localSheetId="2" hidden="1">'ACCION 3 MAYOR RET'!$A$1:$K$329</definedName>
    <definedName name="_xlnm._FilterDatabase" localSheetId="3" hidden="1">'ACCION 4 MAYOR IVA'!$A$1:$K$100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_ * #,##0.00_ ;_ * \-#,##0.00_ ;_ * &quot;-&quot;??_ ;_ @_ "/>
  </numFmts>
  <fonts count="6">
    <font>
      <name val="Calibri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</fonts>
  <fills count="4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2" fillId="0" borderId="1" pivotButton="0" quotePrefix="0" xfId="0"/>
    <xf numFmtId="14" fontId="2" fillId="0" borderId="1" pivotButton="0" quotePrefix="0" xfId="0"/>
    <xf numFmtId="14" fontId="2" fillId="0" borderId="0" pivotButton="0" quotePrefix="0" xfId="0"/>
    <xf numFmtId="165" fontId="2" fillId="0" borderId="0" pivotButton="0" quotePrefix="0" xfId="1"/>
    <xf numFmtId="165" fontId="2" fillId="0" borderId="0" pivotButton="0" quotePrefix="0" xfId="0"/>
    <xf numFmtId="0" fontId="3" fillId="0" borderId="0" pivotButton="0" quotePrefix="0" xfId="0"/>
    <xf numFmtId="4" fontId="4" fillId="0" borderId="2" pivotButton="0" quotePrefix="0" xfId="0"/>
    <xf numFmtId="165" fontId="4" fillId="0" borderId="2" pivotButton="0" quotePrefix="0" xfId="0"/>
    <xf numFmtId="0" fontId="5" fillId="0" borderId="0" pivotButton="0" quotePrefix="0" xfId="0"/>
    <xf numFmtId="0" fontId="4" fillId="0" borderId="0" pivotButton="0" quotePrefix="0" xfId="0"/>
    <xf numFmtId="0" fontId="4" fillId="3" borderId="1" applyAlignment="1" pivotButton="0" quotePrefix="0" xfId="0">
      <alignment horizontal="center"/>
    </xf>
    <xf numFmtId="0" fontId="2" fillId="0" borderId="0" pivotButton="1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indent="1"/>
    </xf>
    <xf numFmtId="4" fontId="2" fillId="0" borderId="1" pivotButton="0" quotePrefix="0" xfId="0"/>
    <xf numFmtId="0" fontId="4" fillId="3" borderId="3" applyAlignment="1" pivotButton="0" quotePrefix="0" xfId="0">
      <alignment horizontal="center"/>
    </xf>
    <xf numFmtId="15" fontId="2" fillId="0" borderId="1" pivotButton="0" quotePrefix="0" xfId="0"/>
    <xf numFmtId="15" fontId="2" fillId="0" borderId="0" pivotButton="0" quotePrefix="0" xfId="0"/>
    <xf numFmtId="165" fontId="4" fillId="0" borderId="0" pivotButton="0" quotePrefix="0" xfId="1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6"/>
  <sheetViews>
    <sheetView workbookViewId="0">
      <selection activeCell="A1" sqref="A1"/>
    </sheetView>
  </sheetViews>
  <sheetFormatPr baseColWidth="10" defaultRowHeight="15"/>
  <cols>
    <col width="12" bestFit="1" customWidth="1" min="2" max="2"/>
    <col width="12.5703125" bestFit="1" customWidth="1" min="8" max="8"/>
    <col width="11.5703125" bestFit="1" customWidth="1" min="9" max="9"/>
  </cols>
  <sheetData>
    <row r="1">
      <c r="A1" s="1" t="inlineStr">
        <is>
          <t>CODIGO</t>
        </is>
      </c>
      <c r="B1" s="1" t="inlineStr">
        <is>
          <t>CEDULA</t>
        </is>
      </c>
      <c r="C1" s="1" t="inlineStr">
        <is>
          <t>NOMBRE</t>
        </is>
      </c>
      <c r="D1" s="1" t="inlineStr">
        <is>
          <t>FECHA</t>
        </is>
      </c>
      <c r="E1" s="1" t="inlineStr">
        <is>
          <t>TIPO</t>
        </is>
      </c>
      <c r="F1" s="1" t="inlineStr">
        <is>
          <t>DOCUMENTO</t>
        </is>
      </c>
      <c r="G1" s="1" t="inlineStr">
        <is>
          <t>MONTO</t>
        </is>
      </c>
      <c r="H1" s="1" t="inlineStr">
        <is>
          <t>BASE IVA</t>
        </is>
      </c>
      <c r="I1" s="1" t="inlineStr">
        <is>
          <t>BASE 0</t>
        </is>
      </c>
      <c r="J1" s="1" t="inlineStr">
        <is>
          <t>IMPUESTOS</t>
        </is>
      </c>
      <c r="K1" s="1" t="inlineStr">
        <is>
          <t>RETENCION</t>
        </is>
      </c>
      <c r="L1" s="1" t="inlineStr">
        <is>
          <t>SALDO</t>
        </is>
      </c>
      <c r="M1" s="2" t="n"/>
    </row>
    <row r="2">
      <c r="A2" s="3" t="n">
        <v>3272</v>
      </c>
      <c r="B2" s="3" t="n">
        <v>101861581001</v>
      </c>
      <c r="C2" s="3" t="inlineStr">
        <is>
          <t>CABRERA ROJAS DORIS MARIA</t>
        </is>
      </c>
      <c r="D2" s="4" t="n">
        <v>46072</v>
      </c>
      <c r="E2" s="3" t="inlineStr">
        <is>
          <t>FE</t>
        </is>
      </c>
      <c r="F2" s="3" t="n">
        <v>193539</v>
      </c>
      <c r="G2" s="3" t="n">
        <v>70.55</v>
      </c>
      <c r="H2" s="3" t="n">
        <v>74.09</v>
      </c>
      <c r="I2" s="3" t="n">
        <v>0.6</v>
      </c>
      <c r="J2" s="3" t="n">
        <v>11.11</v>
      </c>
      <c r="K2" s="3" t="n">
        <v>15.25</v>
      </c>
      <c r="L2" s="3" t="n">
        <v>0</v>
      </c>
      <c r="M2" s="2" t="n"/>
    </row>
    <row r="3">
      <c r="A3" s="3" t="n">
        <v>150</v>
      </c>
      <c r="B3" s="3" t="n">
        <v>190123626001</v>
      </c>
      <c r="C3" s="3" t="inlineStr">
        <is>
          <t>ASEGURADORA DEL SUR C.A.</t>
        </is>
      </c>
      <c r="D3" s="4" t="n">
        <v>46058</v>
      </c>
      <c r="E3" s="3" t="inlineStr">
        <is>
          <t>FE</t>
        </is>
      </c>
      <c r="F3" s="3" t="n">
        <v>50763</v>
      </c>
      <c r="G3" s="3" t="n">
        <v>543.67</v>
      </c>
      <c r="H3" s="3" t="n">
        <v>485.42</v>
      </c>
      <c r="I3" s="3" t="n">
        <v>0</v>
      </c>
      <c r="J3" s="3" t="n">
        <v>72.81</v>
      </c>
      <c r="K3" s="3" t="n">
        <v>14.56</v>
      </c>
      <c r="L3" s="3" t="n">
        <v>0</v>
      </c>
      <c r="M3" s="2" t="n"/>
    </row>
    <row r="4">
      <c r="A4" s="3" t="n">
        <v>150</v>
      </c>
      <c r="B4" s="3" t="n">
        <v>190123626001</v>
      </c>
      <c r="C4" s="3" t="inlineStr">
        <is>
          <t>ASEGURADORA DEL SUR C.A.</t>
        </is>
      </c>
      <c r="D4" s="4" t="n">
        <v>46063</v>
      </c>
      <c r="E4" s="3" t="inlineStr">
        <is>
          <t>FE</t>
        </is>
      </c>
      <c r="F4" s="3" t="n">
        <v>50774</v>
      </c>
      <c r="G4" s="3" t="n">
        <v>225.93</v>
      </c>
      <c r="H4" s="3" t="n">
        <v>201.72</v>
      </c>
      <c r="I4" s="3" t="n">
        <v>0</v>
      </c>
      <c r="J4" s="3" t="n">
        <v>30.26</v>
      </c>
      <c r="K4" s="3" t="n">
        <v>6.05</v>
      </c>
      <c r="L4" s="3" t="n">
        <v>154.66</v>
      </c>
      <c r="M4" s="2" t="n"/>
    </row>
    <row r="5">
      <c r="A5" s="3" t="n">
        <v>150</v>
      </c>
      <c r="B5" s="3" t="n">
        <v>190123626001</v>
      </c>
      <c r="C5" s="3" t="inlineStr">
        <is>
          <t>ASEGURADORA DEL SUR C.A.</t>
        </is>
      </c>
      <c r="D5" s="4" t="n">
        <v>46063</v>
      </c>
      <c r="E5" s="3" t="inlineStr">
        <is>
          <t>FE</t>
        </is>
      </c>
      <c r="F5" s="3" t="n">
        <v>50792</v>
      </c>
      <c r="G5" s="3" t="n">
        <v>1128.82</v>
      </c>
      <c r="H5" s="3" t="n">
        <v>1007.88</v>
      </c>
      <c r="I5" s="3" t="n">
        <v>0</v>
      </c>
      <c r="J5" s="3" t="n">
        <v>151.18</v>
      </c>
      <c r="K5" s="3" t="n">
        <v>30.24</v>
      </c>
      <c r="L5" s="3" t="n">
        <v>579.58</v>
      </c>
      <c r="M5" s="2" t="n"/>
    </row>
    <row r="6">
      <c r="A6" s="3" t="n">
        <v>150</v>
      </c>
      <c r="B6" s="3" t="n">
        <v>190123626001</v>
      </c>
      <c r="C6" s="3" t="inlineStr">
        <is>
          <t>ASEGURADORA DEL SUR C.A.</t>
        </is>
      </c>
      <c r="D6" s="4" t="n">
        <v>46065</v>
      </c>
      <c r="E6" s="3" t="inlineStr">
        <is>
          <t>FE</t>
        </is>
      </c>
      <c r="F6" s="3" t="n">
        <v>17835092</v>
      </c>
      <c r="G6" s="3" t="n">
        <v>1841.79</v>
      </c>
      <c r="H6" s="3" t="n">
        <v>1644.45</v>
      </c>
      <c r="I6" s="3" t="n">
        <v>0</v>
      </c>
      <c r="J6" s="3" t="n">
        <v>246.67</v>
      </c>
      <c r="K6" s="3" t="n">
        <v>49.33</v>
      </c>
      <c r="L6" s="3" t="n">
        <v>0</v>
      </c>
      <c r="M6" s="2" t="n"/>
    </row>
    <row r="7">
      <c r="A7" s="3" t="n">
        <v>3229</v>
      </c>
      <c r="B7" s="3" t="n">
        <v>195127328001</v>
      </c>
      <c r="C7" s="3" t="inlineStr">
        <is>
          <t>VAZCREDIT S.A.</t>
        </is>
      </c>
      <c r="D7" s="4" t="n">
        <v>46071</v>
      </c>
      <c r="E7" s="3" t="inlineStr">
        <is>
          <t>FE</t>
        </is>
      </c>
      <c r="F7" s="3" t="n">
        <v>39</v>
      </c>
      <c r="G7" s="3" t="n">
        <v>16642.57</v>
      </c>
      <c r="H7" s="3" t="n">
        <v>0</v>
      </c>
      <c r="I7" s="3" t="n">
        <v>17113.18</v>
      </c>
      <c r="J7" s="3" t="n">
        <v>0</v>
      </c>
      <c r="K7" s="3" t="n">
        <v>470.61</v>
      </c>
      <c r="L7" s="3" t="n">
        <v>16642.57</v>
      </c>
      <c r="M7" s="2" t="n"/>
    </row>
    <row r="8">
      <c r="A8" s="3" t="n">
        <v>1483</v>
      </c>
      <c r="B8" s="3" t="n">
        <v>501896104001</v>
      </c>
      <c r="C8" s="3" t="inlineStr">
        <is>
          <t>CALERO OLMOS NANCY DEL ROCIO</t>
        </is>
      </c>
      <c r="D8" s="4" t="n">
        <v>46058</v>
      </c>
      <c r="E8" s="3" t="inlineStr">
        <is>
          <t>FE</t>
        </is>
      </c>
      <c r="F8" s="3" t="n">
        <v>91</v>
      </c>
      <c r="G8" s="3" t="n">
        <v>800.9</v>
      </c>
      <c r="H8" s="3" t="n">
        <v>889.89</v>
      </c>
      <c r="I8" s="3" t="n">
        <v>0</v>
      </c>
      <c r="J8" s="3" t="n">
        <v>133.48</v>
      </c>
      <c r="K8" s="3" t="n">
        <v>222.47</v>
      </c>
      <c r="L8" s="3" t="n">
        <v>0</v>
      </c>
      <c r="M8" s="2" t="n"/>
    </row>
    <row r="9">
      <c r="A9" s="3" t="n">
        <v>1391</v>
      </c>
      <c r="B9" s="3" t="n">
        <v>502194483001</v>
      </c>
      <c r="C9" s="3" t="inlineStr">
        <is>
          <t>GARCIA ALLAUCA MERCEDES DEL CARMEN</t>
        </is>
      </c>
      <c r="D9" s="4" t="n">
        <v>46061</v>
      </c>
      <c r="E9" s="3" t="inlineStr">
        <is>
          <t>FE</t>
        </is>
      </c>
      <c r="F9" s="3" t="n">
        <v>927</v>
      </c>
      <c r="G9" s="3" t="n">
        <v>117.9</v>
      </c>
      <c r="H9" s="3" t="n">
        <v>0</v>
      </c>
      <c r="I9" s="3" t="n">
        <v>120</v>
      </c>
      <c r="J9" s="3" t="n">
        <v>0</v>
      </c>
      <c r="K9" s="3" t="n">
        <v>2.1</v>
      </c>
      <c r="L9" s="3" t="n">
        <v>0</v>
      </c>
      <c r="M9" s="2" t="n"/>
    </row>
    <row r="10">
      <c r="A10" s="3" t="n">
        <v>811</v>
      </c>
      <c r="B10" s="3" t="n">
        <v>502358641001</v>
      </c>
      <c r="C10" s="3" t="inlineStr">
        <is>
          <t>LOPEZ ANDRANGO SEGUNDO MANUEL</t>
        </is>
      </c>
      <c r="D10" s="4" t="n">
        <v>46071</v>
      </c>
      <c r="E10" s="3" t="inlineStr">
        <is>
          <t>FE</t>
        </is>
      </c>
      <c r="F10" s="3" t="n">
        <v>550</v>
      </c>
      <c r="G10" s="3" t="n">
        <v>102.5</v>
      </c>
      <c r="H10" s="3" t="n">
        <v>100</v>
      </c>
      <c r="I10" s="3" t="n">
        <v>0</v>
      </c>
      <c r="J10" s="3" t="n">
        <v>15</v>
      </c>
      <c r="K10" s="3" t="n">
        <v>12.5</v>
      </c>
      <c r="L10" s="3" t="n">
        <v>0</v>
      </c>
      <c r="M10" s="2" t="n"/>
    </row>
    <row r="11">
      <c r="A11" s="3" t="n">
        <v>1615</v>
      </c>
      <c r="B11" s="3" t="n">
        <v>590042110001</v>
      </c>
      <c r="C11" s="3" t="inlineStr">
        <is>
          <t>EMPRESA ELECTRICA PROVINCIAL COTOPAXI S.A.</t>
        </is>
      </c>
      <c r="D11" s="4" t="n">
        <v>46063</v>
      </c>
      <c r="E11" s="3" t="inlineStr">
        <is>
          <t>FE</t>
        </is>
      </c>
      <c r="F11" s="3" t="n">
        <v>19121279</v>
      </c>
      <c r="G11" s="3" t="n">
        <v>59.54</v>
      </c>
      <c r="H11" s="3" t="n">
        <v>0</v>
      </c>
      <c r="I11" s="3" t="n">
        <v>59.54</v>
      </c>
      <c r="J11" s="3" t="n">
        <v>0</v>
      </c>
      <c r="K11" s="3" t="n">
        <v>0</v>
      </c>
      <c r="L11" s="3" t="n">
        <v>0</v>
      </c>
      <c r="M11" s="2" t="n"/>
    </row>
    <row r="12">
      <c r="A12" s="3" t="n">
        <v>1640</v>
      </c>
      <c r="B12" s="3" t="n">
        <v>591710915001</v>
      </c>
      <c r="C12" s="3" t="inlineStr">
        <is>
          <t>ESTACION DE SERVICIO EL FOGON</t>
        </is>
      </c>
      <c r="D12" s="4" t="n">
        <v>46055</v>
      </c>
      <c r="E12" s="3" t="inlineStr">
        <is>
          <t>FE</t>
        </is>
      </c>
      <c r="F12" s="3" t="n">
        <v>171</v>
      </c>
      <c r="G12" s="3" t="n">
        <v>50</v>
      </c>
      <c r="H12" s="3" t="n">
        <v>43.48</v>
      </c>
      <c r="I12" s="3" t="n">
        <v>0</v>
      </c>
      <c r="J12" s="3" t="n">
        <v>6.52</v>
      </c>
      <c r="K12" s="3" t="n">
        <v>0</v>
      </c>
      <c r="L12" s="3" t="n">
        <v>0</v>
      </c>
      <c r="M12" s="2" t="n"/>
    </row>
    <row r="13">
      <c r="A13" s="3" t="n">
        <v>1640</v>
      </c>
      <c r="B13" s="3" t="n">
        <v>591710915001</v>
      </c>
      <c r="C13" s="3" t="inlineStr">
        <is>
          <t>ESTACION DE SERVICIO EL FOGON</t>
        </is>
      </c>
      <c r="D13" s="4" t="n">
        <v>46081</v>
      </c>
      <c r="E13" s="3" t="inlineStr">
        <is>
          <t>FE</t>
        </is>
      </c>
      <c r="F13" s="3" t="n">
        <v>175</v>
      </c>
      <c r="G13" s="3" t="n">
        <v>42.01</v>
      </c>
      <c r="H13" s="3" t="n">
        <v>36.53</v>
      </c>
      <c r="I13" s="3" t="n">
        <v>0</v>
      </c>
      <c r="J13" s="3" t="n">
        <v>5.48</v>
      </c>
      <c r="K13" s="3" t="n">
        <v>0</v>
      </c>
      <c r="L13" s="3" t="n">
        <v>42.01</v>
      </c>
      <c r="M13" s="2" t="n"/>
    </row>
    <row r="14">
      <c r="A14" s="3" t="n">
        <v>3297</v>
      </c>
      <c r="B14" s="3" t="n">
        <v>601534514001</v>
      </c>
      <c r="C14" s="3" t="inlineStr">
        <is>
          <t>COLCHA AREVALO LIZARDO ENRIQUE</t>
        </is>
      </c>
      <c r="D14" s="4" t="n">
        <v>46058</v>
      </c>
      <c r="E14" s="3" t="inlineStr">
        <is>
          <t>FE</t>
        </is>
      </c>
      <c r="F14" s="3" t="n">
        <v>776</v>
      </c>
      <c r="G14" s="3" t="n">
        <v>164</v>
      </c>
      <c r="H14" s="3" t="n">
        <v>160</v>
      </c>
      <c r="I14" s="3" t="n">
        <v>0</v>
      </c>
      <c r="J14" s="3" t="n">
        <v>24</v>
      </c>
      <c r="K14" s="3" t="n">
        <v>20</v>
      </c>
      <c r="L14" s="3" t="n">
        <v>0</v>
      </c>
      <c r="M14" s="2" t="n"/>
    </row>
    <row r="15">
      <c r="A15" s="3" t="n">
        <v>1993</v>
      </c>
      <c r="B15" s="3" t="n">
        <v>660836910001</v>
      </c>
      <c r="C15" s="3" t="inlineStr">
        <is>
          <t>EMPRESA MUNICIPAL DE AGUA POTABLE Y ALCANTARILLADO DE RIOBAM</t>
        </is>
      </c>
      <c r="D15" s="4" t="n">
        <v>46077</v>
      </c>
      <c r="E15" s="3" t="inlineStr">
        <is>
          <t>FE</t>
        </is>
      </c>
      <c r="F15" s="3" t="n">
        <v>371167</v>
      </c>
      <c r="G15" s="3" t="n">
        <v>12.49</v>
      </c>
      <c r="H15" s="3" t="n">
        <v>0</v>
      </c>
      <c r="I15" s="3" t="n">
        <v>12.49</v>
      </c>
      <c r="J15" s="3" t="n">
        <v>0</v>
      </c>
      <c r="K15" s="3" t="n">
        <v>0</v>
      </c>
      <c r="L15" s="3" t="n">
        <v>0</v>
      </c>
      <c r="M15" s="2" t="n"/>
    </row>
    <row r="16">
      <c r="A16" s="3" t="n">
        <v>1277</v>
      </c>
      <c r="B16" s="3" t="n">
        <v>690000512001</v>
      </c>
      <c r="C16" s="3" t="inlineStr">
        <is>
          <t>EMPRESA ELECTRICA RIOBAMBA S.A</t>
        </is>
      </c>
      <c r="D16" s="4" t="n">
        <v>46063</v>
      </c>
      <c r="E16" s="3" t="inlineStr">
        <is>
          <t>FE</t>
        </is>
      </c>
      <c r="F16" s="3" t="n">
        <v>16373617</v>
      </c>
      <c r="G16" s="3" t="n">
        <v>205.41</v>
      </c>
      <c r="H16" s="3" t="n">
        <v>0</v>
      </c>
      <c r="I16" s="3" t="n">
        <v>205.41</v>
      </c>
      <c r="J16" s="3" t="n">
        <v>0</v>
      </c>
      <c r="K16" s="3" t="n">
        <v>0</v>
      </c>
      <c r="L16" s="3" t="n">
        <v>0</v>
      </c>
      <c r="M16" s="2" t="n"/>
    </row>
    <row r="17">
      <c r="A17" s="3" t="n">
        <v>2020</v>
      </c>
      <c r="B17" s="3" t="n">
        <v>691758966001</v>
      </c>
      <c r="C17" s="3" t="inlineStr">
        <is>
          <t>PROANDES SECURITY CIA. LTDA.</t>
        </is>
      </c>
      <c r="D17" s="4" t="n">
        <v>46064</v>
      </c>
      <c r="E17" s="3" t="inlineStr">
        <is>
          <t>FE</t>
        </is>
      </c>
      <c r="F17" s="3" t="n">
        <v>12507</v>
      </c>
      <c r="G17" s="3" t="n">
        <v>20.35</v>
      </c>
      <c r="H17" s="3" t="n">
        <v>20</v>
      </c>
      <c r="I17" s="3" t="n">
        <v>0</v>
      </c>
      <c r="J17" s="3" t="n">
        <v>3</v>
      </c>
      <c r="K17" s="3" t="n">
        <v>2.65</v>
      </c>
      <c r="L17" s="3" t="n">
        <v>20.35</v>
      </c>
      <c r="M17" s="2" t="n"/>
    </row>
    <row r="18">
      <c r="A18" s="3" t="n">
        <v>2021</v>
      </c>
      <c r="B18" s="3" t="n">
        <v>701499295001</v>
      </c>
      <c r="C18" s="3" t="inlineStr">
        <is>
          <t>VINTIMILLA FLORES SUSANA DEL PILAR</t>
        </is>
      </c>
      <c r="D18" s="4" t="n">
        <v>46075</v>
      </c>
      <c r="E18" s="3" t="inlineStr">
        <is>
          <t>FE</t>
        </is>
      </c>
      <c r="F18" s="3" t="n">
        <v>1586</v>
      </c>
      <c r="G18" s="3" t="n">
        <v>125.95</v>
      </c>
      <c r="H18" s="3" t="n">
        <v>109.52</v>
      </c>
      <c r="I18" s="3" t="n">
        <v>0</v>
      </c>
      <c r="J18" s="3" t="n">
        <v>16.43</v>
      </c>
      <c r="K18" s="3" t="n">
        <v>0</v>
      </c>
      <c r="L18" s="3" t="n">
        <v>0</v>
      </c>
      <c r="M18" s="2" t="n"/>
    </row>
    <row r="19">
      <c r="A19" s="3" t="n">
        <v>1847</v>
      </c>
      <c r="B19" s="3" t="n">
        <v>990005737001</v>
      </c>
      <c r="C19" s="3" t="inlineStr">
        <is>
          <t>BANCO DEL PACIFICO S.A</t>
        </is>
      </c>
      <c r="D19" s="4" t="n">
        <v>46081</v>
      </c>
      <c r="E19" s="3" t="inlineStr">
        <is>
          <t>FE</t>
        </is>
      </c>
      <c r="F19" s="3" t="n">
        <v>4323587</v>
      </c>
      <c r="G19" s="3" t="n">
        <v>471.5</v>
      </c>
      <c r="H19" s="3" t="n">
        <v>410</v>
      </c>
      <c r="I19" s="3" t="n">
        <v>0</v>
      </c>
      <c r="J19" s="3" t="n">
        <v>61.5</v>
      </c>
      <c r="K19" s="3" t="n">
        <v>0</v>
      </c>
      <c r="L19" s="3" t="n">
        <v>471.5</v>
      </c>
      <c r="M19" s="2" t="n"/>
    </row>
    <row r="20">
      <c r="A20" s="3" t="n">
        <v>821</v>
      </c>
      <c r="B20" s="3" t="n">
        <v>990379017001</v>
      </c>
      <c r="C20" s="3" t="inlineStr">
        <is>
          <t>BANCO BOLIVARIANO C.A.</t>
        </is>
      </c>
      <c r="D20" s="4" t="n">
        <v>46081</v>
      </c>
      <c r="E20" s="3" t="inlineStr">
        <is>
          <t>FE</t>
        </is>
      </c>
      <c r="F20" s="3" t="n">
        <v>200057473</v>
      </c>
      <c r="G20" s="3" t="n">
        <v>321.77</v>
      </c>
      <c r="H20" s="3" t="n">
        <v>279.8</v>
      </c>
      <c r="I20" s="3" t="n">
        <v>0</v>
      </c>
      <c r="J20" s="3" t="n">
        <v>41.97</v>
      </c>
      <c r="K20" s="3" t="n">
        <v>0</v>
      </c>
      <c r="L20" s="3" t="n">
        <v>321.77</v>
      </c>
      <c r="M20" s="2" t="n"/>
    </row>
    <row r="21">
      <c r="A21" s="3" t="n">
        <v>171</v>
      </c>
      <c r="B21" s="3" t="n">
        <v>991259546001</v>
      </c>
      <c r="C21" s="3" t="inlineStr">
        <is>
          <t>CARRO SEGURO CARSEG S.A.</t>
        </is>
      </c>
      <c r="D21" s="4" t="n">
        <v>46055</v>
      </c>
      <c r="E21" s="3" t="inlineStr">
        <is>
          <t>FE</t>
        </is>
      </c>
      <c r="F21" s="3" t="n">
        <v>74969</v>
      </c>
      <c r="G21" s="3" t="n">
        <v>603.45</v>
      </c>
      <c r="H21" s="3" t="n">
        <v>540</v>
      </c>
      <c r="I21" s="3" t="n">
        <v>0</v>
      </c>
      <c r="J21" s="3" t="n">
        <v>81</v>
      </c>
      <c r="K21" s="3" t="n">
        <v>17.55</v>
      </c>
      <c r="L21" s="3" t="n">
        <v>0</v>
      </c>
      <c r="M21" s="2" t="n"/>
    </row>
    <row r="22">
      <c r="A22" s="3" t="n">
        <v>171</v>
      </c>
      <c r="B22" s="3" t="n">
        <v>991259546001</v>
      </c>
      <c r="C22" s="3" t="inlineStr">
        <is>
          <t>CARRO SEGURO CARSEG S.A.</t>
        </is>
      </c>
      <c r="D22" s="4" t="n">
        <v>46065</v>
      </c>
      <c r="E22" s="3" t="inlineStr">
        <is>
          <t>FE</t>
        </is>
      </c>
      <c r="F22" s="3" t="n">
        <v>75049</v>
      </c>
      <c r="G22" s="3" t="n">
        <v>312.9</v>
      </c>
      <c r="H22" s="3" t="n">
        <v>280</v>
      </c>
      <c r="I22" s="3" t="n">
        <v>0</v>
      </c>
      <c r="J22" s="3" t="n">
        <v>42</v>
      </c>
      <c r="K22" s="3" t="n">
        <v>9.1</v>
      </c>
      <c r="L22" s="3" t="n">
        <v>0</v>
      </c>
      <c r="M22" s="2" t="n"/>
    </row>
    <row r="23">
      <c r="A23" s="3" t="n">
        <v>101</v>
      </c>
      <c r="B23" s="3" t="n">
        <v>991285679001</v>
      </c>
      <c r="C23" s="3" t="inlineStr">
        <is>
          <t>SERVIENTREGA ECUADOR S.A.</t>
        </is>
      </c>
      <c r="D23" s="4" t="n">
        <v>46075</v>
      </c>
      <c r="E23" s="3" t="inlineStr">
        <is>
          <t>FE</t>
        </is>
      </c>
      <c r="F23" s="3" t="n">
        <v>131697</v>
      </c>
      <c r="G23" s="3" t="n">
        <v>312.77</v>
      </c>
      <c r="H23" s="3" t="n">
        <v>246.45</v>
      </c>
      <c r="I23" s="3" t="n">
        <v>36.74</v>
      </c>
      <c r="J23" s="3" t="n">
        <v>36.97</v>
      </c>
      <c r="K23" s="3" t="n">
        <v>7.39</v>
      </c>
      <c r="L23" s="3" t="n">
        <v>312.77</v>
      </c>
      <c r="M23" s="2" t="n"/>
    </row>
    <row r="24">
      <c r="A24" s="3" t="n">
        <v>701</v>
      </c>
      <c r="B24" s="3" t="n">
        <v>991327371001</v>
      </c>
      <c r="C24" s="3" t="inlineStr">
        <is>
          <t>TELCONET S.A</t>
        </is>
      </c>
      <c r="D24" s="4" t="n">
        <v>46055</v>
      </c>
      <c r="E24" s="3" t="inlineStr">
        <is>
          <t>FE</t>
        </is>
      </c>
      <c r="F24" s="3" t="n">
        <v>423457</v>
      </c>
      <c r="G24" s="3" t="n">
        <v>416.64</v>
      </c>
      <c r="H24" s="3" t="n">
        <v>372</v>
      </c>
      <c r="I24" s="3" t="n">
        <v>0</v>
      </c>
      <c r="J24" s="3" t="n">
        <v>55.8</v>
      </c>
      <c r="K24" s="3" t="n">
        <v>11.16</v>
      </c>
      <c r="L24" s="3" t="n">
        <v>0</v>
      </c>
      <c r="M24" s="2" t="n"/>
    </row>
    <row r="25">
      <c r="A25" s="3" t="n">
        <v>1405</v>
      </c>
      <c r="B25" s="3" t="n">
        <v>992706031001</v>
      </c>
      <c r="C25" s="3" t="inlineStr">
        <is>
          <t>TALENTOPSA S.A</t>
        </is>
      </c>
      <c r="D25" s="4" t="n">
        <v>46058</v>
      </c>
      <c r="E25" s="3" t="inlineStr">
        <is>
          <t>FE</t>
        </is>
      </c>
      <c r="F25" s="3" t="n">
        <v>5286</v>
      </c>
      <c r="G25" s="3" t="n">
        <v>91.29000000000001</v>
      </c>
      <c r="H25" s="3" t="n">
        <v>89.72</v>
      </c>
      <c r="I25" s="3" t="n">
        <v>0</v>
      </c>
      <c r="J25" s="3" t="n">
        <v>13.46</v>
      </c>
      <c r="K25" s="3" t="n">
        <v>11.89</v>
      </c>
      <c r="L25" s="3" t="n">
        <v>0</v>
      </c>
      <c r="M25" s="2" t="n"/>
    </row>
    <row r="26">
      <c r="A26" s="3" t="n">
        <v>2933</v>
      </c>
      <c r="B26" s="3" t="n">
        <v>1600019275001</v>
      </c>
      <c r="C26" s="3" t="inlineStr">
        <is>
          <t>GARCES PEREZ HECTOR BOLIVAR</t>
        </is>
      </c>
      <c r="D26" s="4" t="n">
        <v>46058</v>
      </c>
      <c r="E26" s="3" t="inlineStr">
        <is>
          <t>FE</t>
        </is>
      </c>
      <c r="F26" s="3" t="n">
        <v>21</v>
      </c>
      <c r="G26" s="3" t="n">
        <v>4050</v>
      </c>
      <c r="H26" s="3" t="n">
        <v>4500</v>
      </c>
      <c r="I26" s="3" t="n">
        <v>0</v>
      </c>
      <c r="J26" s="3" t="n">
        <v>675</v>
      </c>
      <c r="K26" s="3" t="n">
        <v>1125</v>
      </c>
      <c r="L26" s="3" t="n">
        <v>0</v>
      </c>
      <c r="M26" s="2" t="n"/>
    </row>
    <row r="27">
      <c r="A27" s="3" t="n">
        <v>1897</v>
      </c>
      <c r="B27" s="3" t="n">
        <v>1708243074001</v>
      </c>
      <c r="C27" s="3" t="inlineStr">
        <is>
          <t>ARELLANO YEPEZ ANDRES FERNANDO</t>
        </is>
      </c>
      <c r="D27" s="4" t="n">
        <v>46075</v>
      </c>
      <c r="E27" s="3" t="inlineStr">
        <is>
          <t>FE</t>
        </is>
      </c>
      <c r="F27" s="3" t="n">
        <v>7371</v>
      </c>
      <c r="G27" s="3" t="n">
        <v>228.37</v>
      </c>
      <c r="H27" s="3" t="n">
        <v>210</v>
      </c>
      <c r="I27" s="3" t="n">
        <v>0</v>
      </c>
      <c r="J27" s="3" t="n">
        <v>31.5</v>
      </c>
      <c r="K27" s="3" t="n">
        <v>13.13</v>
      </c>
      <c r="L27" s="3" t="n">
        <v>228.37</v>
      </c>
      <c r="M27" s="2" t="n"/>
    </row>
    <row r="28">
      <c r="A28" s="3" t="n">
        <v>3184</v>
      </c>
      <c r="B28" s="3" t="n">
        <v>1711379295001</v>
      </c>
      <c r="C28" s="3" t="inlineStr">
        <is>
          <t>AGUAS DIAS MARCO ANTONIO</t>
        </is>
      </c>
      <c r="D28" s="4" t="n">
        <v>46065</v>
      </c>
      <c r="E28" s="3" t="inlineStr">
        <is>
          <t>FE</t>
        </is>
      </c>
      <c r="F28" s="3" t="n">
        <v>1550</v>
      </c>
      <c r="G28" s="3" t="n">
        <v>169.38</v>
      </c>
      <c r="H28" s="3" t="n">
        <v>165.24</v>
      </c>
      <c r="I28" s="3" t="n">
        <v>0</v>
      </c>
      <c r="J28" s="3" t="n">
        <v>24.79</v>
      </c>
      <c r="K28" s="3" t="n">
        <v>20.65</v>
      </c>
      <c r="L28" s="3" t="n">
        <v>169.38</v>
      </c>
      <c r="M28" s="2" t="n"/>
    </row>
    <row r="29">
      <c r="A29" s="3" t="n">
        <v>1558</v>
      </c>
      <c r="B29" s="3" t="n">
        <v>1711977007001</v>
      </c>
      <c r="C29" s="3" t="inlineStr">
        <is>
          <t>CASTRO MORALES OMAR VLADIMIR</t>
        </is>
      </c>
      <c r="D29" s="4" t="n">
        <v>46075</v>
      </c>
      <c r="E29" s="3" t="inlineStr">
        <is>
          <t>FE</t>
        </is>
      </c>
      <c r="F29" s="3" t="n">
        <v>2708</v>
      </c>
      <c r="G29" s="3" t="n">
        <v>24.95</v>
      </c>
      <c r="H29" s="3" t="n">
        <v>24.35</v>
      </c>
      <c r="I29" s="3" t="n">
        <v>0</v>
      </c>
      <c r="J29" s="3" t="n">
        <v>3.65</v>
      </c>
      <c r="K29" s="3" t="n">
        <v>3.05</v>
      </c>
      <c r="L29" s="3" t="n">
        <v>24.95</v>
      </c>
      <c r="M29" s="2" t="n"/>
    </row>
    <row r="30">
      <c r="A30" s="3" t="n">
        <v>1558</v>
      </c>
      <c r="B30" s="3" t="n">
        <v>1711977007001</v>
      </c>
      <c r="C30" s="3" t="inlineStr">
        <is>
          <t>CASTRO MORALES OMAR VLADIMIR</t>
        </is>
      </c>
      <c r="D30" s="4" t="n">
        <v>46075</v>
      </c>
      <c r="E30" s="3" t="inlineStr">
        <is>
          <t>FE</t>
        </is>
      </c>
      <c r="F30" s="3" t="n">
        <v>2699</v>
      </c>
      <c r="G30" s="3" t="n">
        <v>24.95</v>
      </c>
      <c r="H30" s="3" t="n">
        <v>24.35</v>
      </c>
      <c r="I30" s="3" t="n">
        <v>0</v>
      </c>
      <c r="J30" s="3" t="n">
        <v>3.65</v>
      </c>
      <c r="K30" s="3" t="n">
        <v>3.05</v>
      </c>
      <c r="L30" s="3" t="n">
        <v>24.95</v>
      </c>
      <c r="M30" s="2" t="n"/>
    </row>
    <row r="31">
      <c r="A31" s="3" t="n">
        <v>1558</v>
      </c>
      <c r="B31" s="3" t="n">
        <v>1711977007001</v>
      </c>
      <c r="C31" s="3" t="inlineStr">
        <is>
          <t>CASTRO MORALES OMAR VLADIMIR</t>
        </is>
      </c>
      <c r="D31" s="4" t="n">
        <v>46075</v>
      </c>
      <c r="E31" s="3" t="inlineStr">
        <is>
          <t>FE</t>
        </is>
      </c>
      <c r="F31" s="3" t="n">
        <v>2706</v>
      </c>
      <c r="G31" s="3" t="n">
        <v>24.95</v>
      </c>
      <c r="H31" s="3" t="n">
        <v>24.35</v>
      </c>
      <c r="I31" s="3" t="n">
        <v>0</v>
      </c>
      <c r="J31" s="3" t="n">
        <v>3.65</v>
      </c>
      <c r="K31" s="3" t="n">
        <v>3.05</v>
      </c>
      <c r="L31" s="3" t="n">
        <v>24.95</v>
      </c>
      <c r="M31" s="2" t="n"/>
    </row>
    <row r="32">
      <c r="A32" s="3" t="n">
        <v>1558</v>
      </c>
      <c r="B32" s="3" t="n">
        <v>1711977007001</v>
      </c>
      <c r="C32" s="3" t="inlineStr">
        <is>
          <t>CASTRO MORALES OMAR VLADIMIR</t>
        </is>
      </c>
      <c r="D32" s="4" t="n">
        <v>46075</v>
      </c>
      <c r="E32" s="3" t="inlineStr">
        <is>
          <t>FE</t>
        </is>
      </c>
      <c r="F32" s="3" t="n">
        <v>2690</v>
      </c>
      <c r="G32" s="3" t="n">
        <v>24.95</v>
      </c>
      <c r="H32" s="3" t="n">
        <v>24.35</v>
      </c>
      <c r="I32" s="3" t="n">
        <v>0</v>
      </c>
      <c r="J32" s="3" t="n">
        <v>3.65</v>
      </c>
      <c r="K32" s="3" t="n">
        <v>3.05</v>
      </c>
      <c r="L32" s="3" t="n">
        <v>24.95</v>
      </c>
      <c r="M32" s="2" t="n"/>
    </row>
    <row r="33">
      <c r="A33" s="3" t="n">
        <v>3308</v>
      </c>
      <c r="B33" s="3" t="n">
        <v>1712083342001</v>
      </c>
      <c r="C33" s="3" t="inlineStr">
        <is>
          <t>CARRERA KUMMERFELD MANUEL FABIAN</t>
        </is>
      </c>
      <c r="D33" s="4" t="n">
        <v>46075</v>
      </c>
      <c r="E33" s="3" t="inlineStr">
        <is>
          <t>FE</t>
        </is>
      </c>
      <c r="F33" s="3" t="n">
        <v>538</v>
      </c>
      <c r="G33" s="3" t="n">
        <v>179.37</v>
      </c>
      <c r="H33" s="3" t="n">
        <v>175</v>
      </c>
      <c r="I33" s="3" t="n">
        <v>0</v>
      </c>
      <c r="J33" s="3" t="n">
        <v>26.25</v>
      </c>
      <c r="K33" s="3" t="n">
        <v>21.88</v>
      </c>
      <c r="L33" s="3" t="n">
        <v>0</v>
      </c>
      <c r="M33" s="2" t="n"/>
    </row>
    <row r="34">
      <c r="A34" s="3" t="n">
        <v>3299</v>
      </c>
      <c r="B34" s="3" t="n">
        <v>1719285940001</v>
      </c>
      <c r="C34" s="3" t="inlineStr">
        <is>
          <t>CATAÑA DIAZ ANDREA BELEN</t>
        </is>
      </c>
      <c r="D34" s="4" t="n">
        <v>46061</v>
      </c>
      <c r="E34" s="3" t="inlineStr">
        <is>
          <t>FE</t>
        </is>
      </c>
      <c r="F34" s="3" t="n">
        <v>1176</v>
      </c>
      <c r="G34" s="3" t="n">
        <v>102.22</v>
      </c>
      <c r="H34" s="3" t="n">
        <v>94</v>
      </c>
      <c r="I34" s="3" t="n">
        <v>0</v>
      </c>
      <c r="J34" s="3" t="n">
        <v>14.1</v>
      </c>
      <c r="K34" s="3" t="n">
        <v>5.88</v>
      </c>
      <c r="L34" s="3" t="n">
        <v>0</v>
      </c>
      <c r="M34" s="2" t="n"/>
    </row>
    <row r="35">
      <c r="A35" s="3" t="n">
        <v>1934</v>
      </c>
      <c r="B35" s="3" t="n">
        <v>1720807120001</v>
      </c>
      <c r="C35" s="3" t="inlineStr">
        <is>
          <t>ASTUDILLO RIVADENEIRA CRISTOPHER DANIEL</t>
        </is>
      </c>
      <c r="D35" s="4" t="n">
        <v>46071</v>
      </c>
      <c r="E35" s="3" t="inlineStr">
        <is>
          <t>FE</t>
        </is>
      </c>
      <c r="F35" s="3" t="n">
        <v>1113</v>
      </c>
      <c r="G35" s="3" t="n">
        <v>1947.5</v>
      </c>
      <c r="H35" s="3" t="n">
        <v>1900</v>
      </c>
      <c r="I35" s="3" t="n">
        <v>0</v>
      </c>
      <c r="J35" s="3" t="n">
        <v>285</v>
      </c>
      <c r="K35" s="3" t="n">
        <v>237.5</v>
      </c>
      <c r="L35" s="3" t="n">
        <v>0</v>
      </c>
      <c r="M35" s="2" t="n"/>
    </row>
    <row r="36">
      <c r="A36" s="3" t="n">
        <v>1934</v>
      </c>
      <c r="B36" s="3" t="n">
        <v>1720807120001</v>
      </c>
      <c r="C36" s="3" t="inlineStr">
        <is>
          <t>ASTUDILLO RIVADENEIRA CRISTOPHER DANIEL</t>
        </is>
      </c>
      <c r="D36" s="4" t="n">
        <v>46071</v>
      </c>
      <c r="E36" s="3" t="inlineStr">
        <is>
          <t>FE</t>
        </is>
      </c>
      <c r="F36" s="3" t="n">
        <v>1114</v>
      </c>
      <c r="G36" s="3" t="n">
        <v>1947.5</v>
      </c>
      <c r="H36" s="3" t="n">
        <v>1900</v>
      </c>
      <c r="I36" s="3" t="n">
        <v>0</v>
      </c>
      <c r="J36" s="3" t="n">
        <v>285</v>
      </c>
      <c r="K36" s="3" t="n">
        <v>237.5</v>
      </c>
      <c r="L36" s="3" t="n">
        <v>1947.5</v>
      </c>
      <c r="M36" s="2" t="n"/>
    </row>
    <row r="37">
      <c r="A37" s="3" t="n">
        <v>2548</v>
      </c>
      <c r="B37" s="3" t="n">
        <v>1722328174001</v>
      </c>
      <c r="C37" s="3" t="inlineStr">
        <is>
          <t>FILLIPPO SANCHEZ ALEXANDER</t>
        </is>
      </c>
      <c r="D37" s="4" t="n">
        <v>46075</v>
      </c>
      <c r="E37" s="3" t="inlineStr">
        <is>
          <t>FE</t>
        </is>
      </c>
      <c r="F37" s="3" t="n">
        <v>177</v>
      </c>
      <c r="G37" s="3" t="n">
        <v>20127.8</v>
      </c>
      <c r="H37" s="3" t="n">
        <v>19636.88</v>
      </c>
      <c r="I37" s="3" t="n">
        <v>0</v>
      </c>
      <c r="J37" s="3" t="n">
        <v>2945.53</v>
      </c>
      <c r="K37" s="3" t="n">
        <v>2454.61</v>
      </c>
      <c r="L37" s="3" t="n">
        <v>0</v>
      </c>
      <c r="M37" s="2" t="n"/>
    </row>
    <row r="38">
      <c r="A38" s="3" t="n">
        <v>2548</v>
      </c>
      <c r="B38" s="3" t="n">
        <v>1722328174001</v>
      </c>
      <c r="C38" s="3" t="inlineStr">
        <is>
          <t>FILLIPPO SANCHEZ ALEXANDER</t>
        </is>
      </c>
      <c r="D38" s="4" t="n">
        <v>46075</v>
      </c>
      <c r="E38" s="3" t="inlineStr">
        <is>
          <t>FE</t>
        </is>
      </c>
      <c r="F38" s="3" t="n">
        <v>178</v>
      </c>
      <c r="G38" s="3" t="n">
        <v>11980</v>
      </c>
      <c r="H38" s="3" t="n">
        <v>11016.09</v>
      </c>
      <c r="I38" s="3" t="n">
        <v>0</v>
      </c>
      <c r="J38" s="3" t="n">
        <v>1652.41</v>
      </c>
      <c r="K38" s="3" t="n">
        <v>688.5</v>
      </c>
      <c r="L38" s="3" t="n">
        <v>5682.34</v>
      </c>
      <c r="M38" s="2" t="n"/>
    </row>
    <row r="39">
      <c r="A39" s="3" t="n">
        <v>3306</v>
      </c>
      <c r="B39" s="3" t="n">
        <v>1759087313001</v>
      </c>
      <c r="C39" s="3" t="inlineStr">
        <is>
          <t>VALENZUELA SALAZAR JAVIER EDMUNDO</t>
        </is>
      </c>
      <c r="D39" s="4" t="n">
        <v>46070</v>
      </c>
      <c r="E39" s="3" t="inlineStr">
        <is>
          <t>FE</t>
        </is>
      </c>
      <c r="F39" s="3" t="n">
        <v>2</v>
      </c>
      <c r="G39" s="3" t="n">
        <v>2976.75</v>
      </c>
      <c r="H39" s="3" t="n">
        <v>3150</v>
      </c>
      <c r="I39" s="3" t="n">
        <v>0</v>
      </c>
      <c r="J39" s="3" t="n">
        <v>472.5</v>
      </c>
      <c r="K39" s="3" t="n">
        <v>645.75</v>
      </c>
      <c r="L39" s="3" t="n">
        <v>0</v>
      </c>
      <c r="M39" s="2" t="n"/>
    </row>
    <row r="40">
      <c r="A40" s="3" t="n">
        <v>373</v>
      </c>
      <c r="B40" s="3" t="n">
        <v>1768152560001</v>
      </c>
      <c r="C40" s="3" t="inlineStr">
        <is>
          <t>CORP. NAC. DE TELECOMUNICACIONES CNT E.P.</t>
        </is>
      </c>
      <c r="D40" s="4" t="n">
        <v>46065</v>
      </c>
      <c r="E40" s="3" t="inlineStr">
        <is>
          <t>FE</t>
        </is>
      </c>
      <c r="F40" s="3" t="n">
        <v>246398198</v>
      </c>
      <c r="G40" s="3" t="n">
        <v>13.8</v>
      </c>
      <c r="H40" s="3" t="n">
        <v>12</v>
      </c>
      <c r="I40" s="3" t="n">
        <v>0</v>
      </c>
      <c r="J40" s="3" t="n">
        <v>1.8</v>
      </c>
      <c r="K40" s="3" t="n">
        <v>0</v>
      </c>
      <c r="L40" s="3" t="n">
        <v>0</v>
      </c>
      <c r="M40" s="2" t="n"/>
    </row>
    <row r="41">
      <c r="A41" s="3" t="n">
        <v>373</v>
      </c>
      <c r="B41" s="3" t="n">
        <v>1768152560001</v>
      </c>
      <c r="C41" s="3" t="inlineStr">
        <is>
          <t>CORP. NAC. DE TELECOMUNICACIONES CNT E.P.</t>
        </is>
      </c>
      <c r="D41" s="4" t="n">
        <v>46065</v>
      </c>
      <c r="E41" s="3" t="inlineStr">
        <is>
          <t>FE</t>
        </is>
      </c>
      <c r="F41" s="3" t="n">
        <v>246398197</v>
      </c>
      <c r="G41" s="3" t="n">
        <v>13.81</v>
      </c>
      <c r="H41" s="3" t="n">
        <v>12.01</v>
      </c>
      <c r="I41" s="3" t="n">
        <v>0</v>
      </c>
      <c r="J41" s="3" t="n">
        <v>1.8</v>
      </c>
      <c r="K41" s="3" t="n">
        <v>0</v>
      </c>
      <c r="L41" s="3" t="n">
        <v>0</v>
      </c>
      <c r="M41" s="2" t="n"/>
    </row>
    <row r="42">
      <c r="A42" s="3" t="n">
        <v>373</v>
      </c>
      <c r="B42" s="3" t="n">
        <v>1768152560001</v>
      </c>
      <c r="C42" s="3" t="inlineStr">
        <is>
          <t>CORP. NAC. DE TELECOMUNICACIONES CNT E.P.</t>
        </is>
      </c>
      <c r="D42" s="4" t="n">
        <v>46065</v>
      </c>
      <c r="E42" s="3" t="inlineStr">
        <is>
          <t>FE</t>
        </is>
      </c>
      <c r="F42" s="3" t="n">
        <v>246054314</v>
      </c>
      <c r="G42" s="3" t="n">
        <v>97.84</v>
      </c>
      <c r="H42" s="3" t="n">
        <v>85.08</v>
      </c>
      <c r="I42" s="3" t="n">
        <v>0</v>
      </c>
      <c r="J42" s="3" t="n">
        <v>12.76</v>
      </c>
      <c r="K42" s="3" t="n">
        <v>0</v>
      </c>
      <c r="L42" s="3" t="n">
        <v>0</v>
      </c>
      <c r="M42" s="2" t="n"/>
    </row>
    <row r="43">
      <c r="A43" s="3" t="n">
        <v>373</v>
      </c>
      <c r="B43" s="3" t="n">
        <v>1768152560001</v>
      </c>
      <c r="C43" s="3" t="inlineStr">
        <is>
          <t>CORP. NAC. DE TELECOMUNICACIONES CNT E.P.</t>
        </is>
      </c>
      <c r="D43" s="4" t="n">
        <v>46065</v>
      </c>
      <c r="E43" s="3" t="inlineStr">
        <is>
          <t>FE</t>
        </is>
      </c>
      <c r="F43" s="3" t="n">
        <v>35611632</v>
      </c>
      <c r="G43" s="3" t="n">
        <v>56.35</v>
      </c>
      <c r="H43" s="3" t="n">
        <v>49</v>
      </c>
      <c r="I43" s="3" t="n">
        <v>0</v>
      </c>
      <c r="J43" s="3" t="n">
        <v>7.35</v>
      </c>
      <c r="K43" s="3" t="n">
        <v>0</v>
      </c>
      <c r="L43" s="3" t="n">
        <v>0</v>
      </c>
      <c r="M43" s="2" t="n"/>
    </row>
    <row r="44">
      <c r="A44" s="3" t="n">
        <v>373</v>
      </c>
      <c r="B44" s="3" t="n">
        <v>1768152560001</v>
      </c>
      <c r="C44" s="3" t="inlineStr">
        <is>
          <t>CORP. NAC. DE TELECOMUNICACIONES CNT E.P.</t>
        </is>
      </c>
      <c r="D44" s="4" t="n">
        <v>46065</v>
      </c>
      <c r="E44" s="3" t="inlineStr">
        <is>
          <t>FE</t>
        </is>
      </c>
      <c r="F44" s="3" t="n">
        <v>246575862</v>
      </c>
      <c r="G44" s="3" t="n">
        <v>34.51</v>
      </c>
      <c r="H44" s="3" t="n">
        <v>30.01</v>
      </c>
      <c r="I44" s="3" t="n">
        <v>0</v>
      </c>
      <c r="J44" s="3" t="n">
        <v>4.5</v>
      </c>
      <c r="K44" s="3" t="n">
        <v>0</v>
      </c>
      <c r="L44" s="3" t="n">
        <v>0</v>
      </c>
      <c r="M44" s="2" t="n"/>
    </row>
    <row r="45">
      <c r="A45" s="3" t="n">
        <v>373</v>
      </c>
      <c r="B45" s="3" t="n">
        <v>1768152560001</v>
      </c>
      <c r="C45" s="3" t="inlineStr">
        <is>
          <t>CORP. NAC. DE TELECOMUNICACIONES CNT E.P.</t>
        </is>
      </c>
      <c r="D45" s="4" t="n">
        <v>46065</v>
      </c>
      <c r="E45" s="3" t="inlineStr">
        <is>
          <t>FE</t>
        </is>
      </c>
      <c r="F45" s="3" t="n">
        <v>246277419</v>
      </c>
      <c r="G45" s="3" t="n">
        <v>14.02</v>
      </c>
      <c r="H45" s="3" t="n">
        <v>12.19</v>
      </c>
      <c r="I45" s="3" t="n">
        <v>0</v>
      </c>
      <c r="J45" s="3" t="n">
        <v>1.83</v>
      </c>
      <c r="K45" s="3" t="n">
        <v>0</v>
      </c>
      <c r="L45" s="3" t="n">
        <v>0</v>
      </c>
      <c r="M45" s="2" t="n"/>
    </row>
    <row r="46">
      <c r="A46" s="3" t="n">
        <v>373</v>
      </c>
      <c r="B46" s="3" t="n">
        <v>1768152560001</v>
      </c>
      <c r="C46" s="3" t="inlineStr">
        <is>
          <t>CORP. NAC. DE TELECOMUNICACIONES CNT E.P.</t>
        </is>
      </c>
      <c r="D46" s="4" t="n">
        <v>46065</v>
      </c>
      <c r="E46" s="3" t="inlineStr">
        <is>
          <t>FE</t>
        </is>
      </c>
      <c r="F46" s="3" t="n">
        <v>246196690</v>
      </c>
      <c r="G46" s="3" t="n">
        <v>13.8</v>
      </c>
      <c r="H46" s="3" t="n">
        <v>12</v>
      </c>
      <c r="I46" s="3" t="n">
        <v>0</v>
      </c>
      <c r="J46" s="3" t="n">
        <v>1.8</v>
      </c>
      <c r="K46" s="3" t="n">
        <v>0</v>
      </c>
      <c r="L46" s="3" t="n">
        <v>0</v>
      </c>
      <c r="M46" s="2" t="n"/>
    </row>
    <row r="47">
      <c r="A47" s="3" t="n">
        <v>373</v>
      </c>
      <c r="B47" s="3" t="n">
        <v>1768152560001</v>
      </c>
      <c r="C47" s="3" t="inlineStr">
        <is>
          <t>CORP. NAC. DE TELECOMUNICACIONES CNT E.P.</t>
        </is>
      </c>
      <c r="D47" s="4" t="n">
        <v>46065</v>
      </c>
      <c r="E47" s="3" t="inlineStr">
        <is>
          <t>FE</t>
        </is>
      </c>
      <c r="F47" s="3" t="n">
        <v>246282026</v>
      </c>
      <c r="G47" s="3" t="n">
        <v>15.32</v>
      </c>
      <c r="H47" s="3" t="n">
        <v>13.32</v>
      </c>
      <c r="I47" s="3" t="n">
        <v>0</v>
      </c>
      <c r="J47" s="3" t="n">
        <v>2</v>
      </c>
      <c r="K47" s="3" t="n">
        <v>0</v>
      </c>
      <c r="L47" s="3" t="n">
        <v>0</v>
      </c>
      <c r="M47" s="2" t="n"/>
    </row>
    <row r="48">
      <c r="A48" s="3" t="n">
        <v>373</v>
      </c>
      <c r="B48" s="3" t="n">
        <v>1768152560001</v>
      </c>
      <c r="C48" s="3" t="inlineStr">
        <is>
          <t>CORP. NAC. DE TELECOMUNICACIONES CNT E.P.</t>
        </is>
      </c>
      <c r="D48" s="4" t="n">
        <v>46065</v>
      </c>
      <c r="E48" s="3" t="inlineStr">
        <is>
          <t>FE</t>
        </is>
      </c>
      <c r="F48" s="3" t="n">
        <v>246277421</v>
      </c>
      <c r="G48" s="3" t="n">
        <v>13.8</v>
      </c>
      <c r="H48" s="3" t="n">
        <v>12</v>
      </c>
      <c r="I48" s="3" t="n">
        <v>0</v>
      </c>
      <c r="J48" s="3" t="n">
        <v>1.8</v>
      </c>
      <c r="K48" s="3" t="n">
        <v>0</v>
      </c>
      <c r="L48" s="3" t="n">
        <v>0</v>
      </c>
      <c r="M48" s="2" t="n"/>
    </row>
    <row r="49">
      <c r="A49" s="3" t="n">
        <v>373</v>
      </c>
      <c r="B49" s="3" t="n">
        <v>1768152560001</v>
      </c>
      <c r="C49" s="3" t="inlineStr">
        <is>
          <t>CORP. NAC. DE TELECOMUNICACIONES CNT E.P.</t>
        </is>
      </c>
      <c r="D49" s="4" t="n">
        <v>46065</v>
      </c>
      <c r="E49" s="3" t="inlineStr">
        <is>
          <t>FE</t>
        </is>
      </c>
      <c r="F49" s="3" t="n">
        <v>246277420</v>
      </c>
      <c r="G49" s="3" t="n">
        <v>16.97</v>
      </c>
      <c r="H49" s="3" t="n">
        <v>14.76</v>
      </c>
      <c r="I49" s="3" t="n">
        <v>0</v>
      </c>
      <c r="J49" s="3" t="n">
        <v>2.21</v>
      </c>
      <c r="K49" s="3" t="n">
        <v>0</v>
      </c>
      <c r="L49" s="3" t="n">
        <v>0</v>
      </c>
      <c r="M49" s="2" t="n"/>
    </row>
    <row r="50">
      <c r="A50" s="3" t="n">
        <v>373</v>
      </c>
      <c r="B50" s="3" t="n">
        <v>1768152560001</v>
      </c>
      <c r="C50" s="3" t="inlineStr">
        <is>
          <t>CORP. NAC. DE TELECOMUNICACIONES CNT E.P.</t>
        </is>
      </c>
      <c r="D50" s="4" t="n">
        <v>46065</v>
      </c>
      <c r="E50" s="3" t="inlineStr">
        <is>
          <t>FE</t>
        </is>
      </c>
      <c r="F50" s="3" t="n">
        <v>246206261</v>
      </c>
      <c r="G50" s="3" t="n">
        <v>27.12</v>
      </c>
      <c r="H50" s="3" t="n">
        <v>23.58</v>
      </c>
      <c r="I50" s="3" t="n">
        <v>0</v>
      </c>
      <c r="J50" s="3" t="n">
        <v>3.54</v>
      </c>
      <c r="K50" s="3" t="n">
        <v>0</v>
      </c>
      <c r="L50" s="3" t="n">
        <v>0</v>
      </c>
      <c r="M50" s="2" t="n"/>
    </row>
    <row r="51">
      <c r="A51" s="3" t="n">
        <v>373</v>
      </c>
      <c r="B51" s="3" t="n">
        <v>1768152560001</v>
      </c>
      <c r="C51" s="3" t="inlineStr">
        <is>
          <t>CORP. NAC. DE TELECOMUNICACIONES CNT E.P.</t>
        </is>
      </c>
      <c r="D51" s="4" t="n">
        <v>46077</v>
      </c>
      <c r="E51" s="3" t="inlineStr">
        <is>
          <t>FE</t>
        </is>
      </c>
      <c r="F51" s="3" t="n">
        <v>246196689</v>
      </c>
      <c r="G51" s="3" t="n">
        <v>13.8</v>
      </c>
      <c r="H51" s="3" t="n">
        <v>12</v>
      </c>
      <c r="I51" s="3" t="n">
        <v>0</v>
      </c>
      <c r="J51" s="3" t="n">
        <v>1.8</v>
      </c>
      <c r="K51" s="3" t="n">
        <v>0</v>
      </c>
      <c r="L51" s="3" t="n">
        <v>0</v>
      </c>
      <c r="M51" s="2" t="n"/>
    </row>
    <row r="52">
      <c r="A52" s="3" t="n">
        <v>373</v>
      </c>
      <c r="B52" s="3" t="n">
        <v>1768152560001</v>
      </c>
      <c r="C52" s="3" t="inlineStr">
        <is>
          <t>CORP. NAC. DE TELECOMUNICACIONES CNT E.P.</t>
        </is>
      </c>
      <c r="D52" s="4" t="n">
        <v>46081</v>
      </c>
      <c r="E52" s="3" t="inlineStr">
        <is>
          <t>FE</t>
        </is>
      </c>
      <c r="F52" s="3" t="n">
        <v>246214981</v>
      </c>
      <c r="G52" s="3" t="n">
        <v>31.1</v>
      </c>
      <c r="H52" s="3" t="n">
        <v>27.04</v>
      </c>
      <c r="I52" s="3" t="n">
        <v>0</v>
      </c>
      <c r="J52" s="3" t="n">
        <v>4.06</v>
      </c>
      <c r="K52" s="3" t="n">
        <v>0</v>
      </c>
      <c r="L52" s="3" t="n">
        <v>0</v>
      </c>
      <c r="M52" s="2" t="n"/>
    </row>
    <row r="53">
      <c r="A53" s="3" t="n">
        <v>373</v>
      </c>
      <c r="B53" s="3" t="n">
        <v>1768152560001</v>
      </c>
      <c r="C53" s="3" t="inlineStr">
        <is>
          <t>CORP. NAC. DE TELECOMUNICACIONES CNT E.P.</t>
        </is>
      </c>
      <c r="D53" s="4" t="n">
        <v>46081</v>
      </c>
      <c r="E53" s="3" t="inlineStr">
        <is>
          <t>FE</t>
        </is>
      </c>
      <c r="F53" s="3" t="n">
        <v>246054549</v>
      </c>
      <c r="G53" s="3" t="n">
        <v>13.8</v>
      </c>
      <c r="H53" s="3" t="n">
        <v>12</v>
      </c>
      <c r="I53" s="3" t="n">
        <v>0</v>
      </c>
      <c r="J53" s="3" t="n">
        <v>1.8</v>
      </c>
      <c r="K53" s="3" t="n">
        <v>0</v>
      </c>
      <c r="L53" s="3" t="n">
        <v>0</v>
      </c>
      <c r="M53" s="2" t="n"/>
    </row>
    <row r="54">
      <c r="A54" s="3" t="n">
        <v>373</v>
      </c>
      <c r="B54" s="3" t="n">
        <v>1768152560001</v>
      </c>
      <c r="C54" s="3" t="inlineStr">
        <is>
          <t>CORP. NAC. DE TELECOMUNICACIONES CNT E.P.</t>
        </is>
      </c>
      <c r="D54" s="4" t="n">
        <v>46081</v>
      </c>
      <c r="E54" s="3" t="inlineStr">
        <is>
          <t>FE</t>
        </is>
      </c>
      <c r="F54" s="3" t="n">
        <v>246156004</v>
      </c>
      <c r="G54" s="3" t="n">
        <v>66.04000000000001</v>
      </c>
      <c r="H54" s="3" t="n">
        <v>57.43</v>
      </c>
      <c r="I54" s="3" t="n">
        <v>0</v>
      </c>
      <c r="J54" s="3" t="n">
        <v>8.609999999999999</v>
      </c>
      <c r="K54" s="3" t="n">
        <v>0</v>
      </c>
      <c r="L54" s="3" t="n">
        <v>0</v>
      </c>
      <c r="M54" s="2" t="n"/>
    </row>
    <row r="55">
      <c r="A55" s="3" t="n">
        <v>373</v>
      </c>
      <c r="B55" s="3" t="n">
        <v>1768152560001</v>
      </c>
      <c r="C55" s="3" t="inlineStr">
        <is>
          <t>CORP. NAC. DE TELECOMUNICACIONES CNT E.P.</t>
        </is>
      </c>
      <c r="D55" s="4" t="n">
        <v>46081</v>
      </c>
      <c r="E55" s="3" t="inlineStr">
        <is>
          <t>FE</t>
        </is>
      </c>
      <c r="F55" s="3" t="n">
        <v>246421188</v>
      </c>
      <c r="G55" s="3" t="n">
        <v>26.45</v>
      </c>
      <c r="H55" s="3" t="n">
        <v>23</v>
      </c>
      <c r="I55" s="3" t="n">
        <v>0</v>
      </c>
      <c r="J55" s="3" t="n">
        <v>3.45</v>
      </c>
      <c r="K55" s="3" t="n">
        <v>0</v>
      </c>
      <c r="L55" s="3" t="n">
        <v>0</v>
      </c>
      <c r="M55" s="2" t="n"/>
    </row>
    <row r="56">
      <c r="A56" s="3" t="n">
        <v>373</v>
      </c>
      <c r="B56" s="3" t="n">
        <v>1768152560001</v>
      </c>
      <c r="C56" s="3" t="inlineStr">
        <is>
          <t>CORP. NAC. DE TELECOMUNICACIONES CNT E.P.</t>
        </is>
      </c>
      <c r="D56" s="4" t="n">
        <v>46081</v>
      </c>
      <c r="E56" s="3" t="inlineStr">
        <is>
          <t>FE</t>
        </is>
      </c>
      <c r="F56" s="3" t="n">
        <v>246123330</v>
      </c>
      <c r="G56" s="3" t="n">
        <v>14.63</v>
      </c>
      <c r="H56" s="3" t="n">
        <v>12.72</v>
      </c>
      <c r="I56" s="3" t="n">
        <v>0</v>
      </c>
      <c r="J56" s="3" t="n">
        <v>1.91</v>
      </c>
      <c r="K56" s="3" t="n">
        <v>0</v>
      </c>
      <c r="L56" s="3" t="n">
        <v>0</v>
      </c>
      <c r="M56" s="2" t="n"/>
    </row>
    <row r="57">
      <c r="A57" s="3" t="n">
        <v>373</v>
      </c>
      <c r="B57" s="3" t="n">
        <v>1768152560001</v>
      </c>
      <c r="C57" s="3" t="inlineStr">
        <is>
          <t>CORP. NAC. DE TELECOMUNICACIONES CNT E.P.</t>
        </is>
      </c>
      <c r="D57" s="4" t="n">
        <v>46081</v>
      </c>
      <c r="E57" s="3" t="inlineStr">
        <is>
          <t>FE</t>
        </is>
      </c>
      <c r="F57" s="3" t="n">
        <v>246123329</v>
      </c>
      <c r="G57" s="3" t="n">
        <v>14.63</v>
      </c>
      <c r="H57" s="3" t="n">
        <v>12.72</v>
      </c>
      <c r="I57" s="3" t="n">
        <v>0</v>
      </c>
      <c r="J57" s="3" t="n">
        <v>1.91</v>
      </c>
      <c r="K57" s="3" t="n">
        <v>0</v>
      </c>
      <c r="L57" s="3" t="n">
        <v>0</v>
      </c>
      <c r="M57" s="2" t="n"/>
    </row>
    <row r="58">
      <c r="A58" s="3" t="n">
        <v>172</v>
      </c>
      <c r="B58" s="3" t="n">
        <v>1790009459001</v>
      </c>
      <c r="C58" s="3" t="inlineStr">
        <is>
          <t>CASABACA S.A.</t>
        </is>
      </c>
      <c r="D58" s="4" t="n">
        <v>46065</v>
      </c>
      <c r="E58" s="3" t="inlineStr">
        <is>
          <t>FE</t>
        </is>
      </c>
      <c r="F58" s="3" t="n">
        <v>31421</v>
      </c>
      <c r="G58" s="3" t="n">
        <v>3018.31</v>
      </c>
      <c r="H58" s="3" t="n">
        <v>2659.3</v>
      </c>
      <c r="I58" s="3" t="n">
        <v>0</v>
      </c>
      <c r="J58" s="3" t="n">
        <v>398.9</v>
      </c>
      <c r="K58" s="3" t="n">
        <v>39.89</v>
      </c>
      <c r="L58" s="3" t="n">
        <v>3018.31</v>
      </c>
      <c r="M58" s="2" t="n"/>
    </row>
    <row r="59">
      <c r="A59" s="3" t="n">
        <v>172</v>
      </c>
      <c r="B59" s="3" t="n">
        <v>1790009459001</v>
      </c>
      <c r="C59" s="3" t="inlineStr">
        <is>
          <t>CASABACA S.A.</t>
        </is>
      </c>
      <c r="D59" s="4" t="n">
        <v>46065</v>
      </c>
      <c r="E59" s="3" t="inlineStr">
        <is>
          <t>FE</t>
        </is>
      </c>
      <c r="F59" s="3" t="n">
        <v>31419</v>
      </c>
      <c r="G59" s="3" t="n">
        <v>3018.31</v>
      </c>
      <c r="H59" s="3" t="n">
        <v>2659.3</v>
      </c>
      <c r="I59" s="3" t="n">
        <v>0</v>
      </c>
      <c r="J59" s="3" t="n">
        <v>398.9</v>
      </c>
      <c r="K59" s="3" t="n">
        <v>39.89</v>
      </c>
      <c r="L59" s="3" t="n">
        <v>3018.31</v>
      </c>
      <c r="M59" s="2" t="n"/>
    </row>
    <row r="60">
      <c r="A60" s="3" t="n">
        <v>172</v>
      </c>
      <c r="B60" s="3" t="n">
        <v>1790009459001</v>
      </c>
      <c r="C60" s="3" t="inlineStr">
        <is>
          <t>CASABACA S.A.</t>
        </is>
      </c>
      <c r="D60" s="4" t="n">
        <v>46065</v>
      </c>
      <c r="E60" s="3" t="inlineStr">
        <is>
          <t>FE</t>
        </is>
      </c>
      <c r="F60" s="3" t="n">
        <v>31420</v>
      </c>
      <c r="G60" s="3" t="n">
        <v>3018.31</v>
      </c>
      <c r="H60" s="3" t="n">
        <v>2659.3</v>
      </c>
      <c r="I60" s="3" t="n">
        <v>0</v>
      </c>
      <c r="J60" s="3" t="n">
        <v>398.9</v>
      </c>
      <c r="K60" s="3" t="n">
        <v>39.89</v>
      </c>
      <c r="L60" s="3" t="n">
        <v>3018.31</v>
      </c>
      <c r="M60" s="2" t="n"/>
    </row>
    <row r="61">
      <c r="A61" s="3" t="n">
        <v>172</v>
      </c>
      <c r="B61" s="3" t="n">
        <v>1790009459001</v>
      </c>
      <c r="C61" s="3" t="inlineStr">
        <is>
          <t>CASABACA S.A.</t>
        </is>
      </c>
      <c r="D61" s="4" t="n">
        <v>46066</v>
      </c>
      <c r="E61" s="3" t="inlineStr">
        <is>
          <t>FE</t>
        </is>
      </c>
      <c r="F61" s="3" t="n">
        <v>9074</v>
      </c>
      <c r="G61" s="3" t="n">
        <v>174118.08</v>
      </c>
      <c r="H61" s="3" t="n">
        <v>153408</v>
      </c>
      <c r="I61" s="3" t="n">
        <v>0</v>
      </c>
      <c r="J61" s="3" t="n">
        <v>23011.2</v>
      </c>
      <c r="K61" s="3" t="n">
        <v>2301.12</v>
      </c>
      <c r="L61" s="3" t="n">
        <v>174118.08</v>
      </c>
      <c r="M61" s="2" t="n"/>
    </row>
    <row r="62">
      <c r="A62" s="3" t="n">
        <v>172</v>
      </c>
      <c r="B62" s="3" t="n">
        <v>1790009459001</v>
      </c>
      <c r="C62" s="3" t="inlineStr">
        <is>
          <t>CASABACA S.A.</t>
        </is>
      </c>
      <c r="D62" s="4" t="n">
        <v>46071</v>
      </c>
      <c r="E62" s="3" t="inlineStr">
        <is>
          <t>FE</t>
        </is>
      </c>
      <c r="F62" s="3" t="n">
        <v>9084</v>
      </c>
      <c r="G62" s="3" t="n">
        <v>178240.55</v>
      </c>
      <c r="H62" s="3" t="n">
        <v>157040.13</v>
      </c>
      <c r="I62" s="3" t="n">
        <v>0</v>
      </c>
      <c r="J62" s="3" t="n">
        <v>23556.02</v>
      </c>
      <c r="K62" s="3" t="n">
        <v>2355.6</v>
      </c>
      <c r="L62" s="3" t="n">
        <v>178240.55</v>
      </c>
      <c r="M62" s="2" t="n"/>
    </row>
    <row r="63">
      <c r="A63" s="3" t="n">
        <v>172</v>
      </c>
      <c r="B63" s="3" t="n">
        <v>1790009459001</v>
      </c>
      <c r="C63" s="3" t="inlineStr">
        <is>
          <t>CASABACA S.A.</t>
        </is>
      </c>
      <c r="D63" s="4" t="n">
        <v>46078</v>
      </c>
      <c r="E63" s="3" t="inlineStr">
        <is>
          <t>FE</t>
        </is>
      </c>
      <c r="F63" s="3" t="n">
        <v>31450</v>
      </c>
      <c r="G63" s="3" t="n">
        <v>3018.31</v>
      </c>
      <c r="H63" s="3" t="n">
        <v>2659.3</v>
      </c>
      <c r="I63" s="3" t="n">
        <v>0</v>
      </c>
      <c r="J63" s="3" t="n">
        <v>398.9</v>
      </c>
      <c r="K63" s="3" t="n">
        <v>39.89</v>
      </c>
      <c r="L63" s="3" t="n">
        <v>3018.31</v>
      </c>
      <c r="M63" s="2" t="n"/>
    </row>
    <row r="64">
      <c r="A64" s="3" t="n">
        <v>172</v>
      </c>
      <c r="B64" s="3" t="n">
        <v>1790009459001</v>
      </c>
      <c r="C64" s="3" t="inlineStr">
        <is>
          <t>CASABACA S.A.</t>
        </is>
      </c>
      <c r="D64" s="4" t="n">
        <v>46078</v>
      </c>
      <c r="E64" s="3" t="inlineStr">
        <is>
          <t>FE</t>
        </is>
      </c>
      <c r="F64" s="3" t="n">
        <v>9109</v>
      </c>
      <c r="G64" s="3" t="n">
        <v>209396.26</v>
      </c>
      <c r="H64" s="3" t="n">
        <v>184490.1</v>
      </c>
      <c r="I64" s="3" t="n">
        <v>0</v>
      </c>
      <c r="J64" s="3" t="n">
        <v>27673.52</v>
      </c>
      <c r="K64" s="3" t="n">
        <v>2767.35</v>
      </c>
      <c r="L64" s="3" t="n">
        <v>209396.26</v>
      </c>
      <c r="M64" s="2" t="n"/>
    </row>
    <row r="65">
      <c r="A65" s="3" t="n">
        <v>172</v>
      </c>
      <c r="B65" s="3" t="n">
        <v>1790009459001</v>
      </c>
      <c r="C65" s="3" t="inlineStr">
        <is>
          <t>CASABACA S.A.</t>
        </is>
      </c>
      <c r="D65" s="4" t="n">
        <v>46078</v>
      </c>
      <c r="E65" s="3" t="inlineStr">
        <is>
          <t>FE</t>
        </is>
      </c>
      <c r="F65" s="3" t="n">
        <v>31451</v>
      </c>
      <c r="G65" s="3" t="n">
        <v>2496.11</v>
      </c>
      <c r="H65" s="3" t="n">
        <v>2199.22</v>
      </c>
      <c r="I65" s="3" t="n">
        <v>0</v>
      </c>
      <c r="J65" s="3" t="n">
        <v>329.88</v>
      </c>
      <c r="K65" s="3" t="n">
        <v>32.99</v>
      </c>
      <c r="L65" s="3" t="n">
        <v>2496.11</v>
      </c>
      <c r="M65" s="2" t="n"/>
    </row>
    <row r="66">
      <c r="A66" s="3" t="n">
        <v>172</v>
      </c>
      <c r="B66" s="3" t="n">
        <v>1790009459001</v>
      </c>
      <c r="C66" s="3" t="inlineStr">
        <is>
          <t>CASABACA S.A.</t>
        </is>
      </c>
      <c r="D66" s="4" t="n">
        <v>46079</v>
      </c>
      <c r="E66" s="3" t="inlineStr">
        <is>
          <t>FE</t>
        </is>
      </c>
      <c r="F66" s="3" t="n">
        <v>31458</v>
      </c>
      <c r="G66" s="3" t="n">
        <v>2573.7</v>
      </c>
      <c r="H66" s="3" t="n">
        <v>2267.57</v>
      </c>
      <c r="I66" s="3" t="n">
        <v>0</v>
      </c>
      <c r="J66" s="3" t="n">
        <v>340.14</v>
      </c>
      <c r="K66" s="3" t="n">
        <v>34.01</v>
      </c>
      <c r="L66" s="3" t="n">
        <v>2573.7</v>
      </c>
      <c r="M66" s="2" t="n"/>
    </row>
    <row r="67">
      <c r="A67" s="3" t="n">
        <v>172</v>
      </c>
      <c r="B67" s="3" t="n">
        <v>1790009459001</v>
      </c>
      <c r="C67" s="3" t="inlineStr">
        <is>
          <t>CASABACA S.A.</t>
        </is>
      </c>
      <c r="D67" s="4" t="n">
        <v>46079</v>
      </c>
      <c r="E67" s="3" t="inlineStr">
        <is>
          <t>FE</t>
        </is>
      </c>
      <c r="F67" s="3" t="n">
        <v>31461</v>
      </c>
      <c r="G67" s="3" t="n">
        <v>2573.7</v>
      </c>
      <c r="H67" s="3" t="n">
        <v>2267.57</v>
      </c>
      <c r="I67" s="3" t="n">
        <v>0</v>
      </c>
      <c r="J67" s="3" t="n">
        <v>340.14</v>
      </c>
      <c r="K67" s="3" t="n">
        <v>34.01</v>
      </c>
      <c r="L67" s="3" t="n">
        <v>2573.7</v>
      </c>
      <c r="M67" s="2" t="n"/>
    </row>
    <row r="68">
      <c r="A68" s="3" t="n">
        <v>172</v>
      </c>
      <c r="B68" s="3" t="n">
        <v>1790009459001</v>
      </c>
      <c r="C68" s="3" t="inlineStr">
        <is>
          <t>CASABACA S.A.</t>
        </is>
      </c>
      <c r="D68" s="4" t="n">
        <v>46079</v>
      </c>
      <c r="E68" s="3" t="inlineStr">
        <is>
          <t>FE</t>
        </is>
      </c>
      <c r="F68" s="3" t="n">
        <v>31459</v>
      </c>
      <c r="G68" s="3" t="n">
        <v>2573.7</v>
      </c>
      <c r="H68" s="3" t="n">
        <v>2267.57</v>
      </c>
      <c r="I68" s="3" t="n">
        <v>0</v>
      </c>
      <c r="J68" s="3" t="n">
        <v>340.14</v>
      </c>
      <c r="K68" s="3" t="n">
        <v>34.01</v>
      </c>
      <c r="L68" s="3" t="n">
        <v>2573.7</v>
      </c>
      <c r="M68" s="2" t="n"/>
    </row>
    <row r="69">
      <c r="A69" s="3" t="n">
        <v>172</v>
      </c>
      <c r="B69" s="3" t="n">
        <v>1790009459001</v>
      </c>
      <c r="C69" s="3" t="inlineStr">
        <is>
          <t>CASABACA S.A.</t>
        </is>
      </c>
      <c r="D69" s="4" t="n">
        <v>46079</v>
      </c>
      <c r="E69" s="3" t="inlineStr">
        <is>
          <t>FE</t>
        </is>
      </c>
      <c r="F69" s="3" t="n">
        <v>31462</v>
      </c>
      <c r="G69" s="3" t="n">
        <v>2573.7</v>
      </c>
      <c r="H69" s="3" t="n">
        <v>2267.57</v>
      </c>
      <c r="I69" s="3" t="n">
        <v>0</v>
      </c>
      <c r="J69" s="3" t="n">
        <v>340.14</v>
      </c>
      <c r="K69" s="3" t="n">
        <v>34.01</v>
      </c>
      <c r="L69" s="3" t="n">
        <v>2573.7</v>
      </c>
      <c r="M69" s="2" t="n"/>
    </row>
    <row r="70">
      <c r="A70" s="3" t="n">
        <v>172</v>
      </c>
      <c r="B70" s="3" t="n">
        <v>1790009459001</v>
      </c>
      <c r="C70" s="3" t="inlineStr">
        <is>
          <t>CASABACA S.A.</t>
        </is>
      </c>
      <c r="D70" s="4" t="n">
        <v>46079</v>
      </c>
      <c r="E70" s="3" t="inlineStr">
        <is>
          <t>FE</t>
        </is>
      </c>
      <c r="F70" s="3" t="n">
        <v>31460</v>
      </c>
      <c r="G70" s="3" t="n">
        <v>2573.7</v>
      </c>
      <c r="H70" s="3" t="n">
        <v>2267.57</v>
      </c>
      <c r="I70" s="3" t="n">
        <v>0</v>
      </c>
      <c r="J70" s="3" t="n">
        <v>340.14</v>
      </c>
      <c r="K70" s="3" t="n">
        <v>34.01</v>
      </c>
      <c r="L70" s="3" t="n">
        <v>2573.7</v>
      </c>
      <c r="M70" s="2" t="n"/>
    </row>
    <row r="71">
      <c r="A71" s="3" t="n">
        <v>172</v>
      </c>
      <c r="B71" s="3" t="n">
        <v>1790009459001</v>
      </c>
      <c r="C71" s="3" t="inlineStr">
        <is>
          <t>CASABACA S.A.</t>
        </is>
      </c>
      <c r="D71" s="4" t="n">
        <v>46079</v>
      </c>
      <c r="E71" s="3" t="inlineStr">
        <is>
          <t>FE</t>
        </is>
      </c>
      <c r="F71" s="3" t="n">
        <v>9120</v>
      </c>
      <c r="G71" s="3" t="n">
        <v>176888.42</v>
      </c>
      <c r="H71" s="3" t="n">
        <v>155848.83</v>
      </c>
      <c r="I71" s="3" t="n">
        <v>0</v>
      </c>
      <c r="J71" s="3" t="n">
        <v>23377.32</v>
      </c>
      <c r="K71" s="3" t="n">
        <v>2337.73</v>
      </c>
      <c r="L71" s="3" t="n">
        <v>176888.42</v>
      </c>
      <c r="M71" s="2" t="n"/>
    </row>
    <row r="72">
      <c r="A72" s="3" t="n">
        <v>172</v>
      </c>
      <c r="B72" s="3" t="n">
        <v>1790009459001</v>
      </c>
      <c r="C72" s="3" t="inlineStr">
        <is>
          <t>CASABACA S.A.</t>
        </is>
      </c>
      <c r="D72" s="4" t="n">
        <v>46081</v>
      </c>
      <c r="E72" s="3" t="inlineStr">
        <is>
          <t>FE</t>
        </is>
      </c>
      <c r="F72" s="3" t="n">
        <v>31487</v>
      </c>
      <c r="G72" s="3" t="n">
        <v>2496.11</v>
      </c>
      <c r="H72" s="3" t="n">
        <v>2199.22</v>
      </c>
      <c r="I72" s="3" t="n">
        <v>0</v>
      </c>
      <c r="J72" s="3" t="n">
        <v>329.88</v>
      </c>
      <c r="K72" s="3" t="n">
        <v>32.99</v>
      </c>
      <c r="L72" s="3" t="n">
        <v>2496.11</v>
      </c>
      <c r="M72" s="2" t="n"/>
    </row>
    <row r="73">
      <c r="A73" s="3" t="n">
        <v>172</v>
      </c>
      <c r="B73" s="3" t="n">
        <v>1790009459001</v>
      </c>
      <c r="C73" s="3" t="inlineStr">
        <is>
          <t>CASABACA S.A.</t>
        </is>
      </c>
      <c r="D73" s="4" t="n">
        <v>46081</v>
      </c>
      <c r="E73" s="3" t="inlineStr">
        <is>
          <t>FE</t>
        </is>
      </c>
      <c r="F73" s="3" t="n">
        <v>31484</v>
      </c>
      <c r="G73" s="3" t="n">
        <v>2496.11</v>
      </c>
      <c r="H73" s="3" t="n">
        <v>2199.22</v>
      </c>
      <c r="I73" s="3" t="n">
        <v>0</v>
      </c>
      <c r="J73" s="3" t="n">
        <v>329.88</v>
      </c>
      <c r="K73" s="3" t="n">
        <v>32.99</v>
      </c>
      <c r="L73" s="3" t="n">
        <v>2496.11</v>
      </c>
      <c r="M73" s="2" t="n"/>
    </row>
    <row r="74">
      <c r="A74" s="3" t="n">
        <v>172</v>
      </c>
      <c r="B74" s="3" t="n">
        <v>1790009459001</v>
      </c>
      <c r="C74" s="3" t="inlineStr">
        <is>
          <t>CASABACA S.A.</t>
        </is>
      </c>
      <c r="D74" s="4" t="n">
        <v>46081</v>
      </c>
      <c r="E74" s="3" t="inlineStr">
        <is>
          <t>FE</t>
        </is>
      </c>
      <c r="F74" s="3" t="n">
        <v>31485</v>
      </c>
      <c r="G74" s="3" t="n">
        <v>2702.52</v>
      </c>
      <c r="H74" s="3" t="n">
        <v>2381.08</v>
      </c>
      <c r="I74" s="3" t="n">
        <v>0</v>
      </c>
      <c r="J74" s="3" t="n">
        <v>357.16</v>
      </c>
      <c r="K74" s="3" t="n">
        <v>35.72</v>
      </c>
      <c r="L74" s="3" t="n">
        <v>2702.52</v>
      </c>
      <c r="M74" s="2" t="n"/>
    </row>
    <row r="75">
      <c r="A75" s="3" t="n">
        <v>172</v>
      </c>
      <c r="B75" s="3" t="n">
        <v>1790009459001</v>
      </c>
      <c r="C75" s="3" t="inlineStr">
        <is>
          <t>CASABACA S.A.</t>
        </is>
      </c>
      <c r="D75" s="4" t="n">
        <v>46081</v>
      </c>
      <c r="E75" s="3" t="inlineStr">
        <is>
          <t>FE</t>
        </is>
      </c>
      <c r="F75" s="3" t="n">
        <v>31488</v>
      </c>
      <c r="G75" s="3" t="n">
        <v>3018.31</v>
      </c>
      <c r="H75" s="3" t="n">
        <v>2659.3</v>
      </c>
      <c r="I75" s="3" t="n">
        <v>0</v>
      </c>
      <c r="J75" s="3" t="n">
        <v>398.9</v>
      </c>
      <c r="K75" s="3" t="n">
        <v>39.89</v>
      </c>
      <c r="L75" s="3" t="n">
        <v>3018.31</v>
      </c>
      <c r="M75" s="2" t="n"/>
    </row>
    <row r="76">
      <c r="A76" s="3" t="n">
        <v>172</v>
      </c>
      <c r="B76" s="3" t="n">
        <v>1790009459001</v>
      </c>
      <c r="C76" s="3" t="inlineStr">
        <is>
          <t>CASABACA S.A.</t>
        </is>
      </c>
      <c r="D76" s="4" t="n">
        <v>46081</v>
      </c>
      <c r="E76" s="3" t="inlineStr">
        <is>
          <t>FE</t>
        </is>
      </c>
      <c r="F76" s="3" t="n">
        <v>9141</v>
      </c>
      <c r="G76" s="3" t="n">
        <v>84151.92999999999</v>
      </c>
      <c r="H76" s="3" t="n">
        <v>74142.67</v>
      </c>
      <c r="I76" s="3" t="n">
        <v>0</v>
      </c>
      <c r="J76" s="3" t="n">
        <v>11121.4</v>
      </c>
      <c r="K76" s="3" t="n">
        <v>1112.14</v>
      </c>
      <c r="L76" s="3" t="n">
        <v>84151.92999999999</v>
      </c>
      <c r="M76" s="2" t="n"/>
    </row>
    <row r="77">
      <c r="A77" s="3" t="n">
        <v>172</v>
      </c>
      <c r="B77" s="3" t="n">
        <v>1790009459001</v>
      </c>
      <c r="C77" s="3" t="inlineStr">
        <is>
          <t>CASABACA S.A.</t>
        </is>
      </c>
      <c r="D77" s="4" t="n">
        <v>46081</v>
      </c>
      <c r="E77" s="3" t="inlineStr">
        <is>
          <t>FE</t>
        </is>
      </c>
      <c r="F77" s="3" t="n">
        <v>9140</v>
      </c>
      <c r="G77" s="3" t="n">
        <v>298820.51</v>
      </c>
      <c r="H77" s="3" t="n">
        <v>263277.98</v>
      </c>
      <c r="I77" s="3" t="n">
        <v>0</v>
      </c>
      <c r="J77" s="3" t="n">
        <v>39491.7</v>
      </c>
      <c r="K77" s="3" t="n">
        <v>3949.17</v>
      </c>
      <c r="L77" s="3" t="n">
        <v>298820.51</v>
      </c>
      <c r="M77" s="2" t="n"/>
    </row>
    <row r="78">
      <c r="A78" s="3" t="n">
        <v>172</v>
      </c>
      <c r="B78" s="3" t="n">
        <v>1790009459001</v>
      </c>
      <c r="C78" s="3" t="inlineStr">
        <is>
          <t>CASABACA S.A.</t>
        </is>
      </c>
      <c r="D78" s="4" t="n">
        <v>46081</v>
      </c>
      <c r="E78" s="3" t="inlineStr">
        <is>
          <t>FE</t>
        </is>
      </c>
      <c r="F78" s="3" t="n">
        <v>31486</v>
      </c>
      <c r="G78" s="3" t="n">
        <v>2573.7</v>
      </c>
      <c r="H78" s="3" t="n">
        <v>2267.57</v>
      </c>
      <c r="I78" s="3" t="n">
        <v>0</v>
      </c>
      <c r="J78" s="3" t="n">
        <v>340.14</v>
      </c>
      <c r="K78" s="3" t="n">
        <v>34.01</v>
      </c>
      <c r="L78" s="3" t="n">
        <v>2573.7</v>
      </c>
      <c r="M78" s="2" t="n"/>
    </row>
    <row r="79">
      <c r="A79" s="3" t="n">
        <v>172</v>
      </c>
      <c r="B79" s="3" t="n">
        <v>1790009459001</v>
      </c>
      <c r="C79" s="3" t="inlineStr">
        <is>
          <t>CASABACA S.A.</t>
        </is>
      </c>
      <c r="D79" s="4" t="n">
        <v>46081</v>
      </c>
      <c r="E79" s="3" t="inlineStr">
        <is>
          <t>FE</t>
        </is>
      </c>
      <c r="F79" s="3" t="n">
        <v>31483</v>
      </c>
      <c r="G79" s="3" t="n">
        <v>2573.7</v>
      </c>
      <c r="H79" s="3" t="n">
        <v>2267.57</v>
      </c>
      <c r="I79" s="3" t="n">
        <v>0</v>
      </c>
      <c r="J79" s="3" t="n">
        <v>340.14</v>
      </c>
      <c r="K79" s="3" t="n">
        <v>34.01</v>
      </c>
      <c r="L79" s="3" t="n">
        <v>2573.7</v>
      </c>
      <c r="M79" s="2" t="n"/>
    </row>
    <row r="80">
      <c r="A80" s="3" t="n">
        <v>193</v>
      </c>
      <c r="B80" s="3" t="n">
        <v>1790041220001</v>
      </c>
      <c r="C80" s="3" t="inlineStr">
        <is>
          <t>COMERCIAL KYWI S.A.</t>
        </is>
      </c>
      <c r="D80" s="4" t="n">
        <v>46061</v>
      </c>
      <c r="E80" s="3" t="inlineStr">
        <is>
          <t>FE</t>
        </is>
      </c>
      <c r="F80" s="3" t="n">
        <v>730023</v>
      </c>
      <c r="G80" s="3" t="n">
        <v>83.79000000000001</v>
      </c>
      <c r="H80" s="3" t="n">
        <v>73.83</v>
      </c>
      <c r="I80" s="3" t="n">
        <v>0</v>
      </c>
      <c r="J80" s="3" t="n">
        <v>11.07</v>
      </c>
      <c r="K80" s="3" t="n">
        <v>1.11</v>
      </c>
      <c r="L80" s="3" t="n">
        <v>0</v>
      </c>
      <c r="M80" s="2" t="n"/>
    </row>
    <row r="81">
      <c r="A81" s="3" t="n">
        <v>1471</v>
      </c>
      <c r="B81" s="3" t="n">
        <v>1790053881001</v>
      </c>
      <c r="C81" s="3" t="inlineStr">
        <is>
          <t>EMPRESA ELECTRICA QUITO S.A. E.E.Q.</t>
        </is>
      </c>
      <c r="D81" s="4" t="n">
        <v>46077</v>
      </c>
      <c r="E81" s="3" t="inlineStr">
        <is>
          <t>FE</t>
        </is>
      </c>
      <c r="F81" s="3" t="n">
        <v>126571649</v>
      </c>
      <c r="G81" s="3" t="n">
        <v>74.23999999999999</v>
      </c>
      <c r="H81" s="3" t="n">
        <v>0</v>
      </c>
      <c r="I81" s="3" t="n">
        <v>74.23999999999999</v>
      </c>
      <c r="J81" s="3" t="n">
        <v>0</v>
      </c>
      <c r="K81" s="3" t="n">
        <v>0</v>
      </c>
      <c r="L81" s="3" t="n">
        <v>74.23999999999999</v>
      </c>
      <c r="M81" s="2" t="n"/>
    </row>
    <row r="82">
      <c r="A82" s="3" t="n">
        <v>284</v>
      </c>
      <c r="B82" s="3" t="n">
        <v>1790283380001</v>
      </c>
      <c r="C82" s="3" t="inlineStr">
        <is>
          <t>DINERS CLUB DEL ECUADOR S.A.</t>
        </is>
      </c>
      <c r="D82" s="4" t="n">
        <v>46081</v>
      </c>
      <c r="E82" s="3" t="inlineStr">
        <is>
          <t>FE</t>
        </is>
      </c>
      <c r="F82" s="3" t="n">
        <v>8528359</v>
      </c>
      <c r="G82" s="3" t="n">
        <v>2.3</v>
      </c>
      <c r="H82" s="3" t="n">
        <v>2</v>
      </c>
      <c r="I82" s="3" t="n">
        <v>0</v>
      </c>
      <c r="J82" s="3" t="n">
        <v>0.3</v>
      </c>
      <c r="K82" s="3" t="n">
        <v>0</v>
      </c>
      <c r="L82" s="3" t="n">
        <v>2.3</v>
      </c>
      <c r="M82" s="2" t="n"/>
    </row>
    <row r="83">
      <c r="A83" s="3" t="n">
        <v>284</v>
      </c>
      <c r="B83" s="3" t="n">
        <v>1790283380001</v>
      </c>
      <c r="C83" s="3" t="inlineStr">
        <is>
          <t>DINERS CLUB DEL ECUADOR S.A.</t>
        </is>
      </c>
      <c r="D83" s="4" t="n">
        <v>46081</v>
      </c>
      <c r="E83" s="3" t="inlineStr">
        <is>
          <t>FE</t>
        </is>
      </c>
      <c r="F83" s="3" t="n">
        <v>2778652</v>
      </c>
      <c r="G83" s="3" t="n">
        <v>29.9</v>
      </c>
      <c r="H83" s="3" t="n">
        <v>26</v>
      </c>
      <c r="I83" s="3" t="n">
        <v>0</v>
      </c>
      <c r="J83" s="3" t="n">
        <v>3.9</v>
      </c>
      <c r="K83" s="3" t="n">
        <v>0</v>
      </c>
      <c r="L83" s="3" t="n">
        <v>29.9</v>
      </c>
      <c r="M83" s="2" t="n"/>
    </row>
    <row r="84">
      <c r="A84" s="3" t="n">
        <v>151</v>
      </c>
      <c r="B84" s="3" t="n">
        <v>1790398595001</v>
      </c>
      <c r="C84" s="3" t="inlineStr">
        <is>
          <t>ASO. EMPRESAS AUTOMOTRICES DEL ECUADOR</t>
        </is>
      </c>
      <c r="D84" s="4" t="n">
        <v>46059</v>
      </c>
      <c r="E84" s="3" t="inlineStr">
        <is>
          <t>FE</t>
        </is>
      </c>
      <c r="F84" s="3" t="n">
        <v>6748</v>
      </c>
      <c r="G84" s="3" t="n">
        <v>1881</v>
      </c>
      <c r="H84" s="3" t="n">
        <v>1800</v>
      </c>
      <c r="I84" s="3" t="n">
        <v>0</v>
      </c>
      <c r="J84" s="3" t="n">
        <v>270</v>
      </c>
      <c r="K84" s="3" t="n">
        <v>189</v>
      </c>
      <c r="L84" s="3" t="n">
        <v>0</v>
      </c>
      <c r="M84" s="2" t="n"/>
    </row>
    <row r="85">
      <c r="A85" s="3" t="n">
        <v>151</v>
      </c>
      <c r="B85" s="3" t="n">
        <v>1790398595001</v>
      </c>
      <c r="C85" s="3" t="inlineStr">
        <is>
          <t>ASO. EMPRESAS AUTOMOTRICES DEL ECUADOR</t>
        </is>
      </c>
      <c r="D85" s="4" t="n">
        <v>46062</v>
      </c>
      <c r="E85" s="3" t="inlineStr">
        <is>
          <t>FE</t>
        </is>
      </c>
      <c r="F85" s="3" t="n">
        <v>6770</v>
      </c>
      <c r="G85" s="3" t="n">
        <v>637.45</v>
      </c>
      <c r="H85" s="3" t="n">
        <v>610</v>
      </c>
      <c r="I85" s="3" t="n">
        <v>0</v>
      </c>
      <c r="J85" s="3" t="n">
        <v>91.5</v>
      </c>
      <c r="K85" s="3" t="n">
        <v>64.05</v>
      </c>
      <c r="L85" s="3" t="n">
        <v>0</v>
      </c>
      <c r="M85" s="2" t="n"/>
    </row>
    <row r="86">
      <c r="A86" s="3" t="n">
        <v>2884</v>
      </c>
      <c r="B86" s="3" t="n">
        <v>1790403343001</v>
      </c>
      <c r="C86" s="3" t="inlineStr">
        <is>
          <t>LAAR CIA. LTDA.</t>
        </is>
      </c>
      <c r="D86" s="4" t="n">
        <v>46058</v>
      </c>
      <c r="E86" s="3" t="inlineStr">
        <is>
          <t>FE</t>
        </is>
      </c>
      <c r="F86" s="3" t="n">
        <v>123260</v>
      </c>
      <c r="G86" s="3" t="n">
        <v>75.31</v>
      </c>
      <c r="H86" s="3" t="n">
        <v>68.94</v>
      </c>
      <c r="I86" s="3" t="n">
        <v>0</v>
      </c>
      <c r="J86" s="3" t="n">
        <v>10.34</v>
      </c>
      <c r="K86" s="3" t="n">
        <v>3.97</v>
      </c>
      <c r="L86" s="3" t="n">
        <v>0</v>
      </c>
      <c r="M86" s="2" t="n"/>
    </row>
    <row r="87">
      <c r="A87" s="3" t="n">
        <v>2884</v>
      </c>
      <c r="B87" s="3" t="n">
        <v>1790403343001</v>
      </c>
      <c r="C87" s="3" t="inlineStr">
        <is>
          <t>LAAR CIA. LTDA.</t>
        </is>
      </c>
      <c r="D87" s="4" t="n">
        <v>46058</v>
      </c>
      <c r="E87" s="3" t="inlineStr">
        <is>
          <t>FE</t>
        </is>
      </c>
      <c r="F87" s="3" t="n">
        <v>123259</v>
      </c>
      <c r="G87" s="3" t="n">
        <v>37.04</v>
      </c>
      <c r="H87" s="3" t="n">
        <v>33.9</v>
      </c>
      <c r="I87" s="3" t="n">
        <v>0</v>
      </c>
      <c r="J87" s="3" t="n">
        <v>5.09</v>
      </c>
      <c r="K87" s="3" t="n">
        <v>1.95</v>
      </c>
      <c r="L87" s="3" t="n">
        <v>0</v>
      </c>
      <c r="M87" s="2" t="n"/>
    </row>
    <row r="88">
      <c r="A88" s="3" t="n">
        <v>306</v>
      </c>
      <c r="B88" s="3" t="n">
        <v>1791251237001</v>
      </c>
      <c r="C88" s="3" t="inlineStr">
        <is>
          <t>CONECEL</t>
        </is>
      </c>
      <c r="D88" s="4" t="n">
        <v>46077</v>
      </c>
      <c r="E88" s="3" t="inlineStr">
        <is>
          <t>FE</t>
        </is>
      </c>
      <c r="F88" s="3" t="n">
        <v>3932504</v>
      </c>
      <c r="G88" s="3" t="n">
        <v>879.75</v>
      </c>
      <c r="H88" s="3" t="n">
        <v>765</v>
      </c>
      <c r="I88" s="3" t="n">
        <v>0</v>
      </c>
      <c r="J88" s="3" t="n">
        <v>114.75</v>
      </c>
      <c r="K88" s="3" t="n">
        <v>0</v>
      </c>
      <c r="L88" s="3" t="n">
        <v>0</v>
      </c>
      <c r="M88" s="2" t="n"/>
    </row>
    <row r="89">
      <c r="A89" s="3" t="n">
        <v>306</v>
      </c>
      <c r="B89" s="3" t="n">
        <v>1791251237001</v>
      </c>
      <c r="C89" s="3" t="inlineStr">
        <is>
          <t>CONECEL</t>
        </is>
      </c>
      <c r="D89" s="4" t="n">
        <v>46081</v>
      </c>
      <c r="E89" s="3" t="inlineStr">
        <is>
          <t>FE</t>
        </is>
      </c>
      <c r="F89" s="3" t="n">
        <v>34160826</v>
      </c>
      <c r="G89" s="3" t="n">
        <v>506</v>
      </c>
      <c r="H89" s="3" t="n">
        <v>440</v>
      </c>
      <c r="I89" s="3" t="n">
        <v>0</v>
      </c>
      <c r="J89" s="3" t="n">
        <v>66</v>
      </c>
      <c r="K89" s="3" t="n">
        <v>0</v>
      </c>
      <c r="L89" s="3" t="n">
        <v>0</v>
      </c>
      <c r="M89" s="2" t="n"/>
    </row>
    <row r="90">
      <c r="A90" s="3" t="n">
        <v>303</v>
      </c>
      <c r="B90" s="3" t="n">
        <v>1791256115001</v>
      </c>
      <c r="C90" s="3" t="inlineStr">
        <is>
          <t>OTECEL S.A.</t>
        </is>
      </c>
      <c r="D90" s="4" t="n">
        <v>46065</v>
      </c>
      <c r="E90" s="3" t="inlineStr">
        <is>
          <t>FE</t>
        </is>
      </c>
      <c r="F90" s="3" t="n">
        <v>122916249</v>
      </c>
      <c r="G90" s="3" t="n">
        <v>371.61</v>
      </c>
      <c r="H90" s="3" t="n">
        <v>323.14</v>
      </c>
      <c r="I90" s="3" t="n">
        <v>0</v>
      </c>
      <c r="J90" s="3" t="n">
        <v>48.47</v>
      </c>
      <c r="K90" s="3" t="n">
        <v>0</v>
      </c>
      <c r="L90" s="3" t="n">
        <v>0</v>
      </c>
      <c r="M90" s="2" t="n"/>
    </row>
    <row r="91">
      <c r="A91" s="3" t="n">
        <v>303</v>
      </c>
      <c r="B91" s="3" t="n">
        <v>1791256115001</v>
      </c>
      <c r="C91" s="3" t="inlineStr">
        <is>
          <t>OTECEL S.A.</t>
        </is>
      </c>
      <c r="D91" s="4" t="n">
        <v>46081</v>
      </c>
      <c r="E91" s="3" t="inlineStr">
        <is>
          <t>FE</t>
        </is>
      </c>
      <c r="F91" s="3" t="n">
        <v>6008744</v>
      </c>
      <c r="G91" s="3" t="n">
        <v>6.15</v>
      </c>
      <c r="H91" s="3" t="n">
        <v>5.35</v>
      </c>
      <c r="I91" s="3" t="n">
        <v>0</v>
      </c>
      <c r="J91" s="3" t="n">
        <v>0.8</v>
      </c>
      <c r="K91" s="3" t="n">
        <v>0</v>
      </c>
      <c r="L91" s="3" t="n">
        <v>0</v>
      </c>
      <c r="M91" s="2" t="n"/>
    </row>
    <row r="92">
      <c r="A92" s="3" t="n">
        <v>250</v>
      </c>
      <c r="B92" s="3" t="n">
        <v>1791275101001</v>
      </c>
      <c r="C92" s="3" t="inlineStr">
        <is>
          <t>FIDEVAL S.A</t>
        </is>
      </c>
      <c r="D92" s="4" t="n">
        <v>46064</v>
      </c>
      <c r="E92" s="3" t="inlineStr">
        <is>
          <t>FE</t>
        </is>
      </c>
      <c r="F92" s="3" t="n">
        <v>226448</v>
      </c>
      <c r="G92" s="3" t="n">
        <v>414.2</v>
      </c>
      <c r="H92" s="3" t="n">
        <v>380</v>
      </c>
      <c r="I92" s="3" t="n">
        <v>0</v>
      </c>
      <c r="J92" s="3" t="n">
        <v>57</v>
      </c>
      <c r="K92" s="3" t="n">
        <v>22.8</v>
      </c>
      <c r="L92" s="3" t="n">
        <v>0</v>
      </c>
      <c r="M92" s="2" t="n"/>
    </row>
    <row r="93">
      <c r="A93" s="3" t="n">
        <v>250</v>
      </c>
      <c r="B93" s="3" t="n">
        <v>1791275101001</v>
      </c>
      <c r="C93" s="3" t="inlineStr">
        <is>
          <t>FIDEVAL S.A</t>
        </is>
      </c>
      <c r="D93" s="4" t="n">
        <v>46064</v>
      </c>
      <c r="E93" s="3" t="inlineStr">
        <is>
          <t>FE</t>
        </is>
      </c>
      <c r="F93" s="3" t="n">
        <v>226449</v>
      </c>
      <c r="G93" s="3" t="n">
        <v>152.15</v>
      </c>
      <c r="H93" s="3" t="n">
        <v>139.59</v>
      </c>
      <c r="I93" s="3" t="n">
        <v>0</v>
      </c>
      <c r="J93" s="3" t="n">
        <v>20.94</v>
      </c>
      <c r="K93" s="3" t="n">
        <v>8.380000000000001</v>
      </c>
      <c r="L93" s="3" t="n">
        <v>0</v>
      </c>
      <c r="M93" s="2" t="n"/>
    </row>
    <row r="94">
      <c r="A94" s="3" t="n">
        <v>250</v>
      </c>
      <c r="B94" s="3" t="n">
        <v>1791275101001</v>
      </c>
      <c r="C94" s="3" t="inlineStr">
        <is>
          <t>FIDEVAL S.A</t>
        </is>
      </c>
      <c r="D94" s="4" t="n">
        <v>46076</v>
      </c>
      <c r="E94" s="3" t="inlineStr">
        <is>
          <t>FE</t>
        </is>
      </c>
      <c r="F94" s="3" t="n">
        <v>227570</v>
      </c>
      <c r="G94" s="3" t="n">
        <v>152.6</v>
      </c>
      <c r="H94" s="3" t="n">
        <v>140</v>
      </c>
      <c r="I94" s="3" t="n">
        <v>0</v>
      </c>
      <c r="J94" s="3" t="n">
        <v>21</v>
      </c>
      <c r="K94" s="3" t="n">
        <v>8.4</v>
      </c>
      <c r="L94" s="3" t="n">
        <v>0</v>
      </c>
      <c r="M94" s="2" t="n"/>
    </row>
    <row r="95">
      <c r="A95" s="3" t="n">
        <v>250</v>
      </c>
      <c r="B95" s="3" t="n">
        <v>1791275101001</v>
      </c>
      <c r="C95" s="3" t="inlineStr">
        <is>
          <t>FIDEVAL S.A</t>
        </is>
      </c>
      <c r="D95" s="4" t="n">
        <v>46076</v>
      </c>
      <c r="E95" s="3" t="inlineStr">
        <is>
          <t>FE</t>
        </is>
      </c>
      <c r="F95" s="3" t="n">
        <v>227571</v>
      </c>
      <c r="G95" s="3" t="n">
        <v>152.15</v>
      </c>
      <c r="H95" s="3" t="n">
        <v>139.59</v>
      </c>
      <c r="I95" s="3" t="n">
        <v>0</v>
      </c>
      <c r="J95" s="3" t="n">
        <v>20.94</v>
      </c>
      <c r="K95" s="3" t="n">
        <v>8.380000000000001</v>
      </c>
      <c r="L95" s="3" t="n">
        <v>0</v>
      </c>
      <c r="M95" s="2" t="n"/>
    </row>
    <row r="96">
      <c r="A96" s="3" t="n">
        <v>554</v>
      </c>
      <c r="B96" s="3" t="n">
        <v>1791287835001</v>
      </c>
      <c r="C96" s="3" t="inlineStr">
        <is>
          <t>CONSORCIO DEL PICHINCHA S.A CONDELPI</t>
        </is>
      </c>
      <c r="D96" s="4" t="n">
        <v>46079</v>
      </c>
      <c r="E96" s="3" t="inlineStr">
        <is>
          <t>FE</t>
        </is>
      </c>
      <c r="F96" s="3" t="n">
        <v>101390</v>
      </c>
      <c r="G96" s="3" t="n">
        <v>12830.43</v>
      </c>
      <c r="H96" s="3" t="n">
        <v>11304.35</v>
      </c>
      <c r="I96" s="3" t="n">
        <v>0</v>
      </c>
      <c r="J96" s="3" t="n">
        <v>1695.65</v>
      </c>
      <c r="K96" s="3" t="n">
        <v>169.57</v>
      </c>
      <c r="L96" s="3" t="n">
        <v>9752.02</v>
      </c>
      <c r="M96" s="2" t="n"/>
    </row>
    <row r="97">
      <c r="A97" s="3" t="n">
        <v>554</v>
      </c>
      <c r="B97" s="3" t="n">
        <v>1791287835001</v>
      </c>
      <c r="C97" s="3" t="inlineStr">
        <is>
          <t>CONSORCIO DEL PICHINCHA S.A CONDELPI</t>
        </is>
      </c>
      <c r="D97" s="4" t="n">
        <v>46079</v>
      </c>
      <c r="E97" s="3" t="inlineStr">
        <is>
          <t>FE</t>
        </is>
      </c>
      <c r="F97" s="3" t="n">
        <v>101399</v>
      </c>
      <c r="G97" s="3" t="n">
        <v>7402.17</v>
      </c>
      <c r="H97" s="3" t="n">
        <v>6521.74</v>
      </c>
      <c r="I97" s="3" t="n">
        <v>0</v>
      </c>
      <c r="J97" s="3" t="n">
        <v>978.26</v>
      </c>
      <c r="K97" s="3" t="n">
        <v>97.83</v>
      </c>
      <c r="L97" s="3" t="n">
        <v>4323.76</v>
      </c>
      <c r="M97" s="2" t="n"/>
    </row>
    <row r="98">
      <c r="A98" s="3" t="n">
        <v>554</v>
      </c>
      <c r="B98" s="3" t="n">
        <v>1791287835001</v>
      </c>
      <c r="C98" s="3" t="inlineStr">
        <is>
          <t>CONSORCIO DEL PICHINCHA S.A CONDELPI</t>
        </is>
      </c>
      <c r="D98" s="4" t="n">
        <v>46079</v>
      </c>
      <c r="E98" s="3" t="inlineStr">
        <is>
          <t>FE</t>
        </is>
      </c>
      <c r="F98" s="3" t="n">
        <v>101400</v>
      </c>
      <c r="G98" s="3" t="n">
        <v>121.75</v>
      </c>
      <c r="H98" s="3" t="n">
        <v>108.7</v>
      </c>
      <c r="I98" s="3" t="n">
        <v>0</v>
      </c>
      <c r="J98" s="3" t="n">
        <v>16.31</v>
      </c>
      <c r="K98" s="3" t="n">
        <v>3.26</v>
      </c>
      <c r="L98" s="3" t="n">
        <v>121.75</v>
      </c>
      <c r="M98" s="2" t="n"/>
    </row>
    <row r="99">
      <c r="A99" s="3" t="n">
        <v>554</v>
      </c>
      <c r="B99" s="3" t="n">
        <v>1791287835001</v>
      </c>
      <c r="C99" s="3" t="inlineStr">
        <is>
          <t>CONSORCIO DEL PICHINCHA S.A CONDELPI</t>
        </is>
      </c>
      <c r="D99" s="4" t="n">
        <v>46079</v>
      </c>
      <c r="E99" s="3" t="inlineStr">
        <is>
          <t>FE</t>
        </is>
      </c>
      <c r="F99" s="3" t="n">
        <v>101391</v>
      </c>
      <c r="G99" s="3" t="n">
        <v>121.75</v>
      </c>
      <c r="H99" s="3" t="n">
        <v>108.7</v>
      </c>
      <c r="I99" s="3" t="n">
        <v>0</v>
      </c>
      <c r="J99" s="3" t="n">
        <v>16.31</v>
      </c>
      <c r="K99" s="3" t="n">
        <v>3.26</v>
      </c>
      <c r="L99" s="3" t="n">
        <v>121.75</v>
      </c>
      <c r="M99" s="2" t="n"/>
    </row>
    <row r="100">
      <c r="A100" s="3" t="n">
        <v>554</v>
      </c>
      <c r="B100" s="3" t="n">
        <v>1791287835001</v>
      </c>
      <c r="C100" s="3" t="inlineStr">
        <is>
          <t>CONSORCIO DEL PICHINCHA S.A CONDELPI</t>
        </is>
      </c>
      <c r="D100" s="4" t="n">
        <v>46081</v>
      </c>
      <c r="E100" s="3" t="inlineStr">
        <is>
          <t>FE</t>
        </is>
      </c>
      <c r="F100" s="3" t="n">
        <v>101393</v>
      </c>
      <c r="G100" s="3" t="n">
        <v>121.75</v>
      </c>
      <c r="H100" s="3" t="n">
        <v>108.7</v>
      </c>
      <c r="I100" s="3" t="n">
        <v>0</v>
      </c>
      <c r="J100" s="3" t="n">
        <v>16.31</v>
      </c>
      <c r="K100" s="3" t="n">
        <v>3.26</v>
      </c>
      <c r="L100" s="3" t="n">
        <v>121.75</v>
      </c>
      <c r="M100" s="2" t="n"/>
    </row>
    <row r="101">
      <c r="A101" s="3" t="n">
        <v>554</v>
      </c>
      <c r="B101" s="3" t="n">
        <v>1791287835001</v>
      </c>
      <c r="C101" s="3" t="inlineStr">
        <is>
          <t>CONSORCIO DEL PICHINCHA S.A CONDELPI</t>
        </is>
      </c>
      <c r="D101" s="4" t="n">
        <v>46081</v>
      </c>
      <c r="E101" s="3" t="inlineStr">
        <is>
          <t>FE</t>
        </is>
      </c>
      <c r="F101" s="3" t="n">
        <v>101403</v>
      </c>
      <c r="G101" s="3" t="n">
        <v>7402.17</v>
      </c>
      <c r="H101" s="3" t="n">
        <v>6521.74</v>
      </c>
      <c r="I101" s="3" t="n">
        <v>0</v>
      </c>
      <c r="J101" s="3" t="n">
        <v>978.26</v>
      </c>
      <c r="K101" s="3" t="n">
        <v>97.83</v>
      </c>
      <c r="L101" s="3" t="n">
        <v>4323.76</v>
      </c>
      <c r="M101" s="2" t="n"/>
    </row>
    <row r="102">
      <c r="A102" s="3" t="n">
        <v>554</v>
      </c>
      <c r="B102" s="3" t="n">
        <v>1791287835001</v>
      </c>
      <c r="C102" s="3" t="inlineStr">
        <is>
          <t>CONSORCIO DEL PICHINCHA S.A CONDELPI</t>
        </is>
      </c>
      <c r="D102" s="4" t="n">
        <v>46081</v>
      </c>
      <c r="E102" s="3" t="inlineStr">
        <is>
          <t>FE</t>
        </is>
      </c>
      <c r="F102" s="3" t="n">
        <v>101405</v>
      </c>
      <c r="G102" s="3" t="n">
        <v>7402.17</v>
      </c>
      <c r="H102" s="3" t="n">
        <v>6521.74</v>
      </c>
      <c r="I102" s="3" t="n">
        <v>0</v>
      </c>
      <c r="J102" s="3" t="n">
        <v>978.26</v>
      </c>
      <c r="K102" s="3" t="n">
        <v>97.83</v>
      </c>
      <c r="L102" s="3" t="n">
        <v>4323.76</v>
      </c>
      <c r="M102" s="2" t="n"/>
    </row>
    <row r="103">
      <c r="A103" s="3" t="n">
        <v>554</v>
      </c>
      <c r="B103" s="3" t="n">
        <v>1791287835001</v>
      </c>
      <c r="C103" s="3" t="inlineStr">
        <is>
          <t>CONSORCIO DEL PICHINCHA S.A CONDELPI</t>
        </is>
      </c>
      <c r="D103" s="4" t="n">
        <v>46081</v>
      </c>
      <c r="E103" s="3" t="inlineStr">
        <is>
          <t>FE</t>
        </is>
      </c>
      <c r="F103" s="3" t="n">
        <v>101407</v>
      </c>
      <c r="G103" s="3" t="n">
        <v>7402.17</v>
      </c>
      <c r="H103" s="3" t="n">
        <v>6521.74</v>
      </c>
      <c r="I103" s="3" t="n">
        <v>0</v>
      </c>
      <c r="J103" s="3" t="n">
        <v>978.26</v>
      </c>
      <c r="K103" s="3" t="n">
        <v>97.83</v>
      </c>
      <c r="L103" s="3" t="n">
        <v>4323.76</v>
      </c>
      <c r="M103" s="2" t="n"/>
    </row>
    <row r="104">
      <c r="A104" s="3" t="n">
        <v>554</v>
      </c>
      <c r="B104" s="3" t="n">
        <v>1791287835001</v>
      </c>
      <c r="C104" s="3" t="inlineStr">
        <is>
          <t>CONSORCIO DEL PICHINCHA S.A CONDELPI</t>
        </is>
      </c>
      <c r="D104" s="4" t="n">
        <v>46081</v>
      </c>
      <c r="E104" s="3" t="inlineStr">
        <is>
          <t>FE</t>
        </is>
      </c>
      <c r="F104" s="3" t="n">
        <v>101406</v>
      </c>
      <c r="G104" s="3" t="n">
        <v>121.75</v>
      </c>
      <c r="H104" s="3" t="n">
        <v>108.7</v>
      </c>
      <c r="I104" s="3" t="n">
        <v>0</v>
      </c>
      <c r="J104" s="3" t="n">
        <v>16.31</v>
      </c>
      <c r="K104" s="3" t="n">
        <v>3.26</v>
      </c>
      <c r="L104" s="3" t="n">
        <v>121.75</v>
      </c>
      <c r="M104" s="2" t="n"/>
    </row>
    <row r="105">
      <c r="A105" s="3" t="n">
        <v>554</v>
      </c>
      <c r="B105" s="3" t="n">
        <v>1791287835001</v>
      </c>
      <c r="C105" s="3" t="inlineStr">
        <is>
          <t>CONSORCIO DEL PICHINCHA S.A CONDELPI</t>
        </is>
      </c>
      <c r="D105" s="4" t="n">
        <v>46081</v>
      </c>
      <c r="E105" s="3" t="inlineStr">
        <is>
          <t>FE</t>
        </is>
      </c>
      <c r="F105" s="3" t="n">
        <v>101408</v>
      </c>
      <c r="G105" s="3" t="n">
        <v>121.75</v>
      </c>
      <c r="H105" s="3" t="n">
        <v>108.7</v>
      </c>
      <c r="I105" s="3" t="n">
        <v>0</v>
      </c>
      <c r="J105" s="3" t="n">
        <v>16.31</v>
      </c>
      <c r="K105" s="3" t="n">
        <v>3.26</v>
      </c>
      <c r="L105" s="3" t="n">
        <v>121.75</v>
      </c>
      <c r="M105" s="2" t="n"/>
    </row>
    <row r="106">
      <c r="A106" s="3" t="n">
        <v>554</v>
      </c>
      <c r="B106" s="3" t="n">
        <v>1791287835001</v>
      </c>
      <c r="C106" s="3" t="inlineStr">
        <is>
          <t>CONSORCIO DEL PICHINCHA S.A CONDELPI</t>
        </is>
      </c>
      <c r="D106" s="4" t="n">
        <v>46081</v>
      </c>
      <c r="E106" s="3" t="inlineStr">
        <is>
          <t>FE</t>
        </is>
      </c>
      <c r="F106" s="3" t="n">
        <v>101404</v>
      </c>
      <c r="G106" s="3" t="n">
        <v>121.75</v>
      </c>
      <c r="H106" s="3" t="n">
        <v>108.7</v>
      </c>
      <c r="I106" s="3" t="n">
        <v>0</v>
      </c>
      <c r="J106" s="3" t="n">
        <v>16.31</v>
      </c>
      <c r="K106" s="3" t="n">
        <v>3.26</v>
      </c>
      <c r="L106" s="3" t="n">
        <v>121.75</v>
      </c>
      <c r="M106" s="2" t="n"/>
    </row>
    <row r="107">
      <c r="A107" s="3" t="n">
        <v>554</v>
      </c>
      <c r="B107" s="3" t="n">
        <v>1791287835001</v>
      </c>
      <c r="C107" s="3" t="inlineStr">
        <is>
          <t>CONSORCIO DEL PICHINCHA S.A CONDELPI</t>
        </is>
      </c>
      <c r="D107" s="4" t="n">
        <v>46081</v>
      </c>
      <c r="E107" s="3" t="inlineStr">
        <is>
          <t>FE</t>
        </is>
      </c>
      <c r="F107" s="3" t="n">
        <v>101384</v>
      </c>
      <c r="G107" s="3" t="n">
        <v>12830.43</v>
      </c>
      <c r="H107" s="3" t="n">
        <v>11304.35</v>
      </c>
      <c r="I107" s="3" t="n">
        <v>0</v>
      </c>
      <c r="J107" s="3" t="n">
        <v>1695.65</v>
      </c>
      <c r="K107" s="3" t="n">
        <v>169.57</v>
      </c>
      <c r="L107" s="3" t="n">
        <v>9752.02</v>
      </c>
      <c r="M107" s="2" t="n"/>
    </row>
    <row r="108">
      <c r="A108" s="3" t="n">
        <v>554</v>
      </c>
      <c r="B108" s="3" t="n">
        <v>1791287835001</v>
      </c>
      <c r="C108" s="3" t="inlineStr">
        <is>
          <t>CONSORCIO DEL PICHINCHA S.A CONDELPI</t>
        </is>
      </c>
      <c r="D108" s="4" t="n">
        <v>46081</v>
      </c>
      <c r="E108" s="3" t="inlineStr">
        <is>
          <t>FE</t>
        </is>
      </c>
      <c r="F108" s="3" t="n">
        <v>101410</v>
      </c>
      <c r="G108" s="3" t="n">
        <v>12830.43</v>
      </c>
      <c r="H108" s="3" t="n">
        <v>11304.35</v>
      </c>
      <c r="I108" s="3" t="n">
        <v>0</v>
      </c>
      <c r="J108" s="3" t="n">
        <v>1695.65</v>
      </c>
      <c r="K108" s="3" t="n">
        <v>169.57</v>
      </c>
      <c r="L108" s="3" t="n">
        <v>9752.02</v>
      </c>
      <c r="M108" s="2" t="n"/>
    </row>
    <row r="109">
      <c r="A109" s="3" t="n">
        <v>554</v>
      </c>
      <c r="B109" s="3" t="n">
        <v>1791287835001</v>
      </c>
      <c r="C109" s="3" t="inlineStr">
        <is>
          <t>CONSORCIO DEL PICHINCHA S.A CONDELPI</t>
        </is>
      </c>
      <c r="D109" s="4" t="n">
        <v>46081</v>
      </c>
      <c r="E109" s="3" t="inlineStr">
        <is>
          <t>FE</t>
        </is>
      </c>
      <c r="F109" s="3" t="n">
        <v>101412</v>
      </c>
      <c r="G109" s="3" t="n">
        <v>12830.43</v>
      </c>
      <c r="H109" s="3" t="n">
        <v>11304.35</v>
      </c>
      <c r="I109" s="3" t="n">
        <v>0</v>
      </c>
      <c r="J109" s="3" t="n">
        <v>1695.65</v>
      </c>
      <c r="K109" s="3" t="n">
        <v>169.57</v>
      </c>
      <c r="L109" s="3" t="n">
        <v>9752.02</v>
      </c>
      <c r="M109" s="2" t="n"/>
    </row>
    <row r="110">
      <c r="A110" s="3" t="n">
        <v>554</v>
      </c>
      <c r="B110" s="3" t="n">
        <v>1791287835001</v>
      </c>
      <c r="C110" s="3" t="inlineStr">
        <is>
          <t>CONSORCIO DEL PICHINCHA S.A CONDELPI</t>
        </is>
      </c>
      <c r="D110" s="4" t="n">
        <v>46081</v>
      </c>
      <c r="E110" s="3" t="inlineStr">
        <is>
          <t>FE</t>
        </is>
      </c>
      <c r="F110" s="3" t="n">
        <v>101385</v>
      </c>
      <c r="G110" s="3" t="n">
        <v>121.75</v>
      </c>
      <c r="H110" s="3" t="n">
        <v>108.7</v>
      </c>
      <c r="I110" s="3" t="n">
        <v>0</v>
      </c>
      <c r="J110" s="3" t="n">
        <v>16.31</v>
      </c>
      <c r="K110" s="3" t="n">
        <v>3.26</v>
      </c>
      <c r="L110" s="3" t="n">
        <v>121.75</v>
      </c>
      <c r="M110" s="2" t="n"/>
    </row>
    <row r="111">
      <c r="A111" s="3" t="n">
        <v>554</v>
      </c>
      <c r="B111" s="3" t="n">
        <v>1791287835001</v>
      </c>
      <c r="C111" s="3" t="inlineStr">
        <is>
          <t>CONSORCIO DEL PICHINCHA S.A CONDELPI</t>
        </is>
      </c>
      <c r="D111" s="4" t="n">
        <v>46081</v>
      </c>
      <c r="E111" s="3" t="inlineStr">
        <is>
          <t>FE</t>
        </is>
      </c>
      <c r="F111" s="3" t="n">
        <v>101411</v>
      </c>
      <c r="G111" s="3" t="n">
        <v>121.75</v>
      </c>
      <c r="H111" s="3" t="n">
        <v>108.7</v>
      </c>
      <c r="I111" s="3" t="n">
        <v>0</v>
      </c>
      <c r="J111" s="3" t="n">
        <v>16.31</v>
      </c>
      <c r="K111" s="3" t="n">
        <v>3.26</v>
      </c>
      <c r="L111" s="3" t="n">
        <v>121.75</v>
      </c>
      <c r="M111" s="2" t="n"/>
    </row>
    <row r="112">
      <c r="A112" s="3" t="n">
        <v>554</v>
      </c>
      <c r="B112" s="3" t="n">
        <v>1791287835001</v>
      </c>
      <c r="C112" s="3" t="inlineStr">
        <is>
          <t>CONSORCIO DEL PICHINCHA S.A CONDELPI</t>
        </is>
      </c>
      <c r="D112" s="4" t="n">
        <v>46081</v>
      </c>
      <c r="E112" s="3" t="inlineStr">
        <is>
          <t>FE</t>
        </is>
      </c>
      <c r="F112" s="3" t="n">
        <v>101413</v>
      </c>
      <c r="G112" s="3" t="n">
        <v>121.75</v>
      </c>
      <c r="H112" s="3" t="n">
        <v>108.7</v>
      </c>
      <c r="I112" s="3" t="n">
        <v>0</v>
      </c>
      <c r="J112" s="3" t="n">
        <v>16.31</v>
      </c>
      <c r="K112" s="3" t="n">
        <v>3.26</v>
      </c>
      <c r="L112" s="3" t="n">
        <v>121.75</v>
      </c>
      <c r="M112" s="2" t="n"/>
    </row>
    <row r="113">
      <c r="A113" s="3" t="n">
        <v>554</v>
      </c>
      <c r="B113" s="3" t="n">
        <v>1791287835001</v>
      </c>
      <c r="C113" s="3" t="inlineStr">
        <is>
          <t>CONSORCIO DEL PICHINCHA S.A CONDELPI</t>
        </is>
      </c>
      <c r="D113" s="4" t="n">
        <v>46081</v>
      </c>
      <c r="E113" s="3" t="inlineStr">
        <is>
          <t>FE</t>
        </is>
      </c>
      <c r="F113" s="3" t="n">
        <v>101420</v>
      </c>
      <c r="G113" s="3" t="n">
        <v>7402.17</v>
      </c>
      <c r="H113" s="3" t="n">
        <v>6521.74</v>
      </c>
      <c r="I113" s="3" t="n">
        <v>0</v>
      </c>
      <c r="J113" s="3" t="n">
        <v>978.26</v>
      </c>
      <c r="K113" s="3" t="n">
        <v>97.83</v>
      </c>
      <c r="L113" s="3" t="n">
        <v>4323.76</v>
      </c>
      <c r="M113" s="2" t="n"/>
    </row>
    <row r="114">
      <c r="A114" s="3" t="n">
        <v>554</v>
      </c>
      <c r="B114" s="3" t="n">
        <v>1791287835001</v>
      </c>
      <c r="C114" s="3" t="inlineStr">
        <is>
          <t>CONSORCIO DEL PICHINCHA S.A CONDELPI</t>
        </is>
      </c>
      <c r="D114" s="4" t="n">
        <v>46081</v>
      </c>
      <c r="E114" s="3" t="inlineStr">
        <is>
          <t>FE</t>
        </is>
      </c>
      <c r="F114" s="3" t="n">
        <v>101422</v>
      </c>
      <c r="G114" s="3" t="n">
        <v>7402.17</v>
      </c>
      <c r="H114" s="3" t="n">
        <v>6521.74</v>
      </c>
      <c r="I114" s="3" t="n">
        <v>0</v>
      </c>
      <c r="J114" s="3" t="n">
        <v>978.26</v>
      </c>
      <c r="K114" s="3" t="n">
        <v>97.83</v>
      </c>
      <c r="L114" s="3" t="n">
        <v>4323.76</v>
      </c>
      <c r="M114" s="2" t="n"/>
    </row>
    <row r="115">
      <c r="A115" s="3" t="n">
        <v>554</v>
      </c>
      <c r="B115" s="3" t="n">
        <v>1791287835001</v>
      </c>
      <c r="C115" s="3" t="inlineStr">
        <is>
          <t>CONSORCIO DEL PICHINCHA S.A CONDELPI</t>
        </is>
      </c>
      <c r="D115" s="4" t="n">
        <v>46081</v>
      </c>
      <c r="E115" s="3" t="inlineStr">
        <is>
          <t>FE</t>
        </is>
      </c>
      <c r="F115" s="3" t="n">
        <v>101418</v>
      </c>
      <c r="G115" s="3" t="n">
        <v>8882.610000000001</v>
      </c>
      <c r="H115" s="3" t="n">
        <v>7826.09</v>
      </c>
      <c r="I115" s="3" t="n">
        <v>0</v>
      </c>
      <c r="J115" s="3" t="n">
        <v>1173.91</v>
      </c>
      <c r="K115" s="3" t="n">
        <v>117.39</v>
      </c>
      <c r="L115" s="3" t="n">
        <v>5804.2</v>
      </c>
      <c r="M115" s="2" t="n"/>
    </row>
    <row r="116">
      <c r="A116" s="3" t="n">
        <v>554</v>
      </c>
      <c r="B116" s="3" t="n">
        <v>1791287835001</v>
      </c>
      <c r="C116" s="3" t="inlineStr">
        <is>
          <t>CONSORCIO DEL PICHINCHA S.A CONDELPI</t>
        </is>
      </c>
      <c r="D116" s="4" t="n">
        <v>46081</v>
      </c>
      <c r="E116" s="3" t="inlineStr">
        <is>
          <t>FE</t>
        </is>
      </c>
      <c r="F116" s="3" t="n">
        <v>101421</v>
      </c>
      <c r="G116" s="3" t="n">
        <v>121.75</v>
      </c>
      <c r="H116" s="3" t="n">
        <v>108.7</v>
      </c>
      <c r="I116" s="3" t="n">
        <v>0</v>
      </c>
      <c r="J116" s="3" t="n">
        <v>16.31</v>
      </c>
      <c r="K116" s="3" t="n">
        <v>3.26</v>
      </c>
      <c r="L116" s="3" t="n">
        <v>121.75</v>
      </c>
      <c r="M116" s="2" t="n"/>
    </row>
    <row r="117">
      <c r="A117" s="3" t="n">
        <v>554</v>
      </c>
      <c r="B117" s="3" t="n">
        <v>1791287835001</v>
      </c>
      <c r="C117" s="3" t="inlineStr">
        <is>
          <t>CONSORCIO DEL PICHINCHA S.A CONDELPI</t>
        </is>
      </c>
      <c r="D117" s="4" t="n">
        <v>46081</v>
      </c>
      <c r="E117" s="3" t="inlineStr">
        <is>
          <t>FE</t>
        </is>
      </c>
      <c r="F117" s="3" t="n">
        <v>101419</v>
      </c>
      <c r="G117" s="3" t="n">
        <v>121.75</v>
      </c>
      <c r="H117" s="3" t="n">
        <v>108.7</v>
      </c>
      <c r="I117" s="3" t="n">
        <v>0</v>
      </c>
      <c r="J117" s="3" t="n">
        <v>16.31</v>
      </c>
      <c r="K117" s="3" t="n">
        <v>3.26</v>
      </c>
      <c r="L117" s="3" t="n">
        <v>121.75</v>
      </c>
      <c r="M117" s="2" t="n"/>
    </row>
    <row r="118">
      <c r="A118" s="3" t="n">
        <v>554</v>
      </c>
      <c r="B118" s="3" t="n">
        <v>1791287835001</v>
      </c>
      <c r="C118" s="3" t="inlineStr">
        <is>
          <t>CONSORCIO DEL PICHINCHA S.A CONDELPI</t>
        </is>
      </c>
      <c r="D118" s="4" t="n">
        <v>46081</v>
      </c>
      <c r="E118" s="3" t="inlineStr">
        <is>
          <t>FE</t>
        </is>
      </c>
      <c r="F118" s="3" t="n">
        <v>101423</v>
      </c>
      <c r="G118" s="3" t="n">
        <v>121.75</v>
      </c>
      <c r="H118" s="3" t="n">
        <v>108.7</v>
      </c>
      <c r="I118" s="3" t="n">
        <v>0</v>
      </c>
      <c r="J118" s="3" t="n">
        <v>16.31</v>
      </c>
      <c r="K118" s="3" t="n">
        <v>3.26</v>
      </c>
      <c r="L118" s="3" t="n">
        <v>121.75</v>
      </c>
      <c r="M118" s="2" t="n"/>
    </row>
    <row r="119">
      <c r="A119" s="3" t="n">
        <v>554</v>
      </c>
      <c r="B119" s="3" t="n">
        <v>1791287835001</v>
      </c>
      <c r="C119" s="3" t="inlineStr">
        <is>
          <t>CONSORCIO DEL PICHINCHA S.A CONDELPI</t>
        </is>
      </c>
      <c r="D119" s="4" t="n">
        <v>46081</v>
      </c>
      <c r="E119" s="3" t="inlineStr">
        <is>
          <t>FE</t>
        </is>
      </c>
      <c r="F119" s="3" t="n">
        <v>101414</v>
      </c>
      <c r="G119" s="3" t="n">
        <v>12830.43</v>
      </c>
      <c r="H119" s="3" t="n">
        <v>11304.35</v>
      </c>
      <c r="I119" s="3" t="n">
        <v>0</v>
      </c>
      <c r="J119" s="3" t="n">
        <v>1695.65</v>
      </c>
      <c r="K119" s="3" t="n">
        <v>169.57</v>
      </c>
      <c r="L119" s="3" t="n">
        <v>9752.02</v>
      </c>
      <c r="M119" s="2" t="n"/>
    </row>
    <row r="120">
      <c r="A120" s="3" t="n">
        <v>554</v>
      </c>
      <c r="B120" s="3" t="n">
        <v>1791287835001</v>
      </c>
      <c r="C120" s="3" t="inlineStr">
        <is>
          <t>CONSORCIO DEL PICHINCHA S.A CONDELPI</t>
        </is>
      </c>
      <c r="D120" s="4" t="n">
        <v>46081</v>
      </c>
      <c r="E120" s="3" t="inlineStr">
        <is>
          <t>FE</t>
        </is>
      </c>
      <c r="F120" s="3" t="n">
        <v>101416</v>
      </c>
      <c r="G120" s="3" t="n">
        <v>8882.610000000001</v>
      </c>
      <c r="H120" s="3" t="n">
        <v>7826.09</v>
      </c>
      <c r="I120" s="3" t="n">
        <v>0</v>
      </c>
      <c r="J120" s="3" t="n">
        <v>1173.91</v>
      </c>
      <c r="K120" s="3" t="n">
        <v>117.39</v>
      </c>
      <c r="L120" s="3" t="n">
        <v>5804.2</v>
      </c>
      <c r="M120" s="2" t="n"/>
    </row>
    <row r="121">
      <c r="A121" s="3" t="n">
        <v>554</v>
      </c>
      <c r="B121" s="3" t="n">
        <v>1791287835001</v>
      </c>
      <c r="C121" s="3" t="inlineStr">
        <is>
          <t>CONSORCIO DEL PICHINCHA S.A CONDELPI</t>
        </is>
      </c>
      <c r="D121" s="4" t="n">
        <v>46081</v>
      </c>
      <c r="E121" s="3" t="inlineStr">
        <is>
          <t>FE</t>
        </is>
      </c>
      <c r="F121" s="3" t="n">
        <v>101424</v>
      </c>
      <c r="G121" s="3" t="n">
        <v>7402.17</v>
      </c>
      <c r="H121" s="3" t="n">
        <v>6521.74</v>
      </c>
      <c r="I121" s="3" t="n">
        <v>0</v>
      </c>
      <c r="J121" s="3" t="n">
        <v>978.26</v>
      </c>
      <c r="K121" s="3" t="n">
        <v>97.83</v>
      </c>
      <c r="L121" s="3" t="n">
        <v>4323.78</v>
      </c>
      <c r="M121" s="2" t="n"/>
    </row>
    <row r="122">
      <c r="A122" s="3" t="n">
        <v>554</v>
      </c>
      <c r="B122" s="3" t="n">
        <v>1791287835001</v>
      </c>
      <c r="C122" s="3" t="inlineStr">
        <is>
          <t>CONSORCIO DEL PICHINCHA S.A CONDELPI</t>
        </is>
      </c>
      <c r="D122" s="4" t="n">
        <v>46081</v>
      </c>
      <c r="E122" s="3" t="inlineStr">
        <is>
          <t>FE</t>
        </is>
      </c>
      <c r="F122" s="3" t="n">
        <v>101415</v>
      </c>
      <c r="G122" s="3" t="n">
        <v>121.75</v>
      </c>
      <c r="H122" s="3" t="n">
        <v>108.7</v>
      </c>
      <c r="I122" s="3" t="n">
        <v>0</v>
      </c>
      <c r="J122" s="3" t="n">
        <v>16.31</v>
      </c>
      <c r="K122" s="3" t="n">
        <v>3.26</v>
      </c>
      <c r="L122" s="3" t="n">
        <v>121.75</v>
      </c>
      <c r="M122" s="2" t="n"/>
    </row>
    <row r="123">
      <c r="A123" s="3" t="n">
        <v>554</v>
      </c>
      <c r="B123" s="3" t="n">
        <v>1791287835001</v>
      </c>
      <c r="C123" s="3" t="inlineStr">
        <is>
          <t>CONSORCIO DEL PICHINCHA S.A CONDELPI</t>
        </is>
      </c>
      <c r="D123" s="4" t="n">
        <v>46081</v>
      </c>
      <c r="E123" s="3" t="inlineStr">
        <is>
          <t>FE</t>
        </is>
      </c>
      <c r="F123" s="3" t="n">
        <v>101417</v>
      </c>
      <c r="G123" s="3" t="n">
        <v>121.75</v>
      </c>
      <c r="H123" s="3" t="n">
        <v>108.7</v>
      </c>
      <c r="I123" s="3" t="n">
        <v>0</v>
      </c>
      <c r="J123" s="3" t="n">
        <v>16.31</v>
      </c>
      <c r="K123" s="3" t="n">
        <v>3.26</v>
      </c>
      <c r="L123" s="3" t="n">
        <v>121.75</v>
      </c>
      <c r="M123" s="2" t="n"/>
    </row>
    <row r="124">
      <c r="A124" s="3" t="n">
        <v>554</v>
      </c>
      <c r="B124" s="3" t="n">
        <v>1791287835001</v>
      </c>
      <c r="C124" s="3" t="inlineStr">
        <is>
          <t>CONSORCIO DEL PICHINCHA S.A CONDELPI</t>
        </is>
      </c>
      <c r="D124" s="4" t="n">
        <v>46081</v>
      </c>
      <c r="E124" s="3" t="inlineStr">
        <is>
          <t>FE</t>
        </is>
      </c>
      <c r="F124" s="3" t="n">
        <v>101425</v>
      </c>
      <c r="G124" s="3" t="n">
        <v>121.75</v>
      </c>
      <c r="H124" s="3" t="n">
        <v>108.7</v>
      </c>
      <c r="I124" s="3" t="n">
        <v>0</v>
      </c>
      <c r="J124" s="3" t="n">
        <v>16.31</v>
      </c>
      <c r="K124" s="3" t="n">
        <v>3.26</v>
      </c>
      <c r="L124" s="3" t="n">
        <v>121.75</v>
      </c>
      <c r="M124" s="2" t="n"/>
    </row>
    <row r="125">
      <c r="A125" s="3" t="n">
        <v>554</v>
      </c>
      <c r="B125" s="3" t="n">
        <v>1791287835001</v>
      </c>
      <c r="C125" s="3" t="inlineStr">
        <is>
          <t>CONSORCIO DEL PICHINCHA S.A CONDELPI</t>
        </is>
      </c>
      <c r="D125" s="4" t="n">
        <v>46081</v>
      </c>
      <c r="E125" s="3" t="inlineStr">
        <is>
          <t>FE</t>
        </is>
      </c>
      <c r="F125" s="3" t="n">
        <v>101395</v>
      </c>
      <c r="G125" s="3" t="n">
        <v>121.75</v>
      </c>
      <c r="H125" s="3" t="n">
        <v>108.7</v>
      </c>
      <c r="I125" s="3" t="n">
        <v>0</v>
      </c>
      <c r="J125" s="3" t="n">
        <v>16.31</v>
      </c>
      <c r="K125" s="3" t="n">
        <v>3.26</v>
      </c>
      <c r="L125" s="3" t="n">
        <v>121.75</v>
      </c>
      <c r="M125" s="2" t="n"/>
    </row>
    <row r="126">
      <c r="A126" s="3" t="n">
        <v>554</v>
      </c>
      <c r="B126" s="3" t="n">
        <v>1791287835001</v>
      </c>
      <c r="C126" s="3" t="inlineStr">
        <is>
          <t>CONSORCIO DEL PICHINCHA S.A CONDELPI</t>
        </is>
      </c>
      <c r="D126" s="4" t="n">
        <v>46081</v>
      </c>
      <c r="E126" s="3" t="inlineStr">
        <is>
          <t>FE</t>
        </is>
      </c>
      <c r="F126" s="3" t="n">
        <v>101402</v>
      </c>
      <c r="G126" s="3" t="n">
        <v>121.75</v>
      </c>
      <c r="H126" s="3" t="n">
        <v>108.7</v>
      </c>
      <c r="I126" s="3" t="n">
        <v>0</v>
      </c>
      <c r="J126" s="3" t="n">
        <v>16.31</v>
      </c>
      <c r="K126" s="3" t="n">
        <v>3.26</v>
      </c>
      <c r="L126" s="3" t="n">
        <v>121.75</v>
      </c>
      <c r="M126" s="2" t="n"/>
    </row>
    <row r="127">
      <c r="A127" s="3" t="n">
        <v>554</v>
      </c>
      <c r="B127" s="3" t="n">
        <v>1791287835001</v>
      </c>
      <c r="C127" s="3" t="inlineStr">
        <is>
          <t>CONSORCIO DEL PICHINCHA S.A CONDELPI</t>
        </is>
      </c>
      <c r="D127" s="4" t="n">
        <v>46081</v>
      </c>
      <c r="E127" s="3" t="inlineStr">
        <is>
          <t>FE</t>
        </is>
      </c>
      <c r="F127" s="3" t="n">
        <v>101392</v>
      </c>
      <c r="G127" s="3" t="n">
        <v>7402.17</v>
      </c>
      <c r="H127" s="3" t="n">
        <v>6521.74</v>
      </c>
      <c r="I127" s="3" t="n">
        <v>0</v>
      </c>
      <c r="J127" s="3" t="n">
        <v>978.26</v>
      </c>
      <c r="K127" s="3" t="n">
        <v>97.83</v>
      </c>
      <c r="L127" s="3" t="n">
        <v>4323.76</v>
      </c>
      <c r="M127" s="2" t="n"/>
    </row>
    <row r="128">
      <c r="A128" s="3" t="n">
        <v>554</v>
      </c>
      <c r="B128" s="3" t="n">
        <v>1791287835001</v>
      </c>
      <c r="C128" s="3" t="inlineStr">
        <is>
          <t>CONSORCIO DEL PICHINCHA S.A CONDELPI</t>
        </is>
      </c>
      <c r="D128" s="4" t="n">
        <v>46081</v>
      </c>
      <c r="E128" s="3" t="inlineStr">
        <is>
          <t>FE</t>
        </is>
      </c>
      <c r="F128" s="3" t="n">
        <v>101394</v>
      </c>
      <c r="G128" s="3" t="n">
        <v>7402.17</v>
      </c>
      <c r="H128" s="3" t="n">
        <v>6521.74</v>
      </c>
      <c r="I128" s="3" t="n">
        <v>0</v>
      </c>
      <c r="J128" s="3" t="n">
        <v>978.26</v>
      </c>
      <c r="K128" s="3" t="n">
        <v>97.83</v>
      </c>
      <c r="L128" s="3" t="n">
        <v>4323.76</v>
      </c>
      <c r="M128" s="2" t="n"/>
    </row>
    <row r="129">
      <c r="A129" s="3" t="n">
        <v>554</v>
      </c>
      <c r="B129" s="3" t="n">
        <v>1791287835001</v>
      </c>
      <c r="C129" s="3" t="inlineStr">
        <is>
          <t>CONSORCIO DEL PICHINCHA S.A CONDELPI</t>
        </is>
      </c>
      <c r="D129" s="4" t="n">
        <v>46081</v>
      </c>
      <c r="E129" s="3" t="inlineStr">
        <is>
          <t>FE</t>
        </is>
      </c>
      <c r="F129" s="3" t="n">
        <v>101401</v>
      </c>
      <c r="G129" s="3" t="n">
        <v>7402.17</v>
      </c>
      <c r="H129" s="3" t="n">
        <v>6521.74</v>
      </c>
      <c r="I129" s="3" t="n">
        <v>0</v>
      </c>
      <c r="J129" s="3" t="n">
        <v>978.26</v>
      </c>
      <c r="K129" s="3" t="n">
        <v>97.83</v>
      </c>
      <c r="L129" s="3" t="n">
        <v>4323.76</v>
      </c>
      <c r="M129" s="2" t="n"/>
    </row>
    <row r="130">
      <c r="A130" s="3" t="n">
        <v>554</v>
      </c>
      <c r="B130" s="3" t="n">
        <v>1791287835001</v>
      </c>
      <c r="C130" s="3" t="inlineStr">
        <is>
          <t>CONSORCIO DEL PICHINCHA S.A CONDELPI</t>
        </is>
      </c>
      <c r="D130" s="4" t="n">
        <v>46081</v>
      </c>
      <c r="E130" s="3" t="inlineStr">
        <is>
          <t>FE</t>
        </is>
      </c>
      <c r="F130" s="3" t="n">
        <v>101389</v>
      </c>
      <c r="G130" s="3" t="n">
        <v>121.75</v>
      </c>
      <c r="H130" s="3" t="n">
        <v>108.7</v>
      </c>
      <c r="I130" s="3" t="n">
        <v>0</v>
      </c>
      <c r="J130" s="3" t="n">
        <v>16.31</v>
      </c>
      <c r="K130" s="3" t="n">
        <v>3.26</v>
      </c>
      <c r="L130" s="3" t="n">
        <v>121.75</v>
      </c>
      <c r="M130" s="2" t="n"/>
    </row>
    <row r="131">
      <c r="A131" s="3" t="n">
        <v>554</v>
      </c>
      <c r="B131" s="3" t="n">
        <v>1791287835001</v>
      </c>
      <c r="C131" s="3" t="inlineStr">
        <is>
          <t>CONSORCIO DEL PICHINCHA S.A CONDELPI</t>
        </is>
      </c>
      <c r="D131" s="4" t="n">
        <v>46081</v>
      </c>
      <c r="E131" s="3" t="inlineStr">
        <is>
          <t>FE</t>
        </is>
      </c>
      <c r="F131" s="3" t="n">
        <v>101387</v>
      </c>
      <c r="G131" s="3" t="n">
        <v>121.75</v>
      </c>
      <c r="H131" s="3" t="n">
        <v>108.7</v>
      </c>
      <c r="I131" s="3" t="n">
        <v>0</v>
      </c>
      <c r="J131" s="3" t="n">
        <v>16.31</v>
      </c>
      <c r="K131" s="3" t="n">
        <v>3.26</v>
      </c>
      <c r="L131" s="3" t="n">
        <v>121.75</v>
      </c>
      <c r="M131" s="2" t="n"/>
    </row>
    <row r="132">
      <c r="A132" s="3" t="n">
        <v>554</v>
      </c>
      <c r="B132" s="3" t="n">
        <v>1791287835001</v>
      </c>
      <c r="C132" s="3" t="inlineStr">
        <is>
          <t>CONSORCIO DEL PICHINCHA S.A CONDELPI</t>
        </is>
      </c>
      <c r="D132" s="4" t="n">
        <v>46081</v>
      </c>
      <c r="E132" s="3" t="inlineStr">
        <is>
          <t>FE</t>
        </is>
      </c>
      <c r="F132" s="3" t="n">
        <v>101386</v>
      </c>
      <c r="G132" s="3" t="n">
        <v>12830.43</v>
      </c>
      <c r="H132" s="3" t="n">
        <v>11304.35</v>
      </c>
      <c r="I132" s="3" t="n">
        <v>0</v>
      </c>
      <c r="J132" s="3" t="n">
        <v>1695.65</v>
      </c>
      <c r="K132" s="3" t="n">
        <v>169.57</v>
      </c>
      <c r="L132" s="3" t="n">
        <v>9752.02</v>
      </c>
      <c r="M132" s="2" t="n"/>
    </row>
    <row r="133">
      <c r="A133" s="3" t="n">
        <v>554</v>
      </c>
      <c r="B133" s="3" t="n">
        <v>1791287835001</v>
      </c>
      <c r="C133" s="3" t="inlineStr">
        <is>
          <t>CONSORCIO DEL PICHINCHA S.A CONDELPI</t>
        </is>
      </c>
      <c r="D133" s="4" t="n">
        <v>46081</v>
      </c>
      <c r="E133" s="3" t="inlineStr">
        <is>
          <t>FE</t>
        </is>
      </c>
      <c r="F133" s="3" t="n">
        <v>101388</v>
      </c>
      <c r="G133" s="3" t="n">
        <v>12830.43</v>
      </c>
      <c r="H133" s="3" t="n">
        <v>11304.35</v>
      </c>
      <c r="I133" s="3" t="n">
        <v>0</v>
      </c>
      <c r="J133" s="3" t="n">
        <v>1695.65</v>
      </c>
      <c r="K133" s="3" t="n">
        <v>169.57</v>
      </c>
      <c r="L133" s="3" t="n">
        <v>9752.02</v>
      </c>
      <c r="M133" s="2" t="n"/>
    </row>
    <row r="134">
      <c r="A134" s="3" t="n">
        <v>554</v>
      </c>
      <c r="B134" s="3" t="n">
        <v>1791287835001</v>
      </c>
      <c r="C134" s="3" t="inlineStr">
        <is>
          <t>CONSORCIO DEL PICHINCHA S.A CONDELPI</t>
        </is>
      </c>
      <c r="D134" s="4" t="n">
        <v>46081</v>
      </c>
      <c r="E134" s="3" t="inlineStr">
        <is>
          <t>FE</t>
        </is>
      </c>
      <c r="F134" s="3" t="n">
        <v>101383</v>
      </c>
      <c r="G134" s="3" t="n">
        <v>121.75</v>
      </c>
      <c r="H134" s="3" t="n">
        <v>108.7</v>
      </c>
      <c r="I134" s="3" t="n">
        <v>0</v>
      </c>
      <c r="J134" s="3" t="n">
        <v>16.31</v>
      </c>
      <c r="K134" s="3" t="n">
        <v>3.26</v>
      </c>
      <c r="L134" s="3" t="n">
        <v>121.75</v>
      </c>
      <c r="M134" s="2" t="n"/>
    </row>
    <row r="135">
      <c r="A135" s="3" t="n">
        <v>554</v>
      </c>
      <c r="B135" s="3" t="n">
        <v>1791287835001</v>
      </c>
      <c r="C135" s="3" t="inlineStr">
        <is>
          <t>CONSORCIO DEL PICHINCHA S.A CONDELPI</t>
        </is>
      </c>
      <c r="D135" s="4" t="n">
        <v>46081</v>
      </c>
      <c r="E135" s="3" t="inlineStr">
        <is>
          <t>FE</t>
        </is>
      </c>
      <c r="F135" s="3" t="n">
        <v>101382</v>
      </c>
      <c r="G135" s="3" t="n">
        <v>12830.43</v>
      </c>
      <c r="H135" s="3" t="n">
        <v>11304.35</v>
      </c>
      <c r="I135" s="3" t="n">
        <v>0</v>
      </c>
      <c r="J135" s="3" t="n">
        <v>1695.65</v>
      </c>
      <c r="K135" s="3" t="n">
        <v>169.57</v>
      </c>
      <c r="L135" s="3" t="n">
        <v>9752.02</v>
      </c>
      <c r="M135" s="2" t="n"/>
    </row>
    <row r="136">
      <c r="A136" s="3" t="n">
        <v>554</v>
      </c>
      <c r="B136" s="3" t="n">
        <v>1791287835001</v>
      </c>
      <c r="C136" s="3" t="inlineStr">
        <is>
          <t>CONSORCIO DEL PICHINCHA S.A CONDELPI</t>
        </is>
      </c>
      <c r="D136" s="4" t="n">
        <v>46081</v>
      </c>
      <c r="E136" s="3" t="inlineStr">
        <is>
          <t>FE</t>
        </is>
      </c>
      <c r="F136" s="3" t="n">
        <v>101379</v>
      </c>
      <c r="G136" s="3" t="n">
        <v>121.75</v>
      </c>
      <c r="H136" s="3" t="n">
        <v>108.7</v>
      </c>
      <c r="I136" s="3" t="n">
        <v>0</v>
      </c>
      <c r="J136" s="3" t="n">
        <v>16.31</v>
      </c>
      <c r="K136" s="3" t="n">
        <v>3.26</v>
      </c>
      <c r="L136" s="3" t="n">
        <v>121.75</v>
      </c>
      <c r="M136" s="2" t="n"/>
    </row>
    <row r="137">
      <c r="A137" s="3" t="n">
        <v>554</v>
      </c>
      <c r="B137" s="3" t="n">
        <v>1791287835001</v>
      </c>
      <c r="C137" s="3" t="inlineStr">
        <is>
          <t>CONSORCIO DEL PICHINCHA S.A CONDELPI</t>
        </is>
      </c>
      <c r="D137" s="4" t="n">
        <v>46081</v>
      </c>
      <c r="E137" s="3" t="inlineStr">
        <is>
          <t>FE</t>
        </is>
      </c>
      <c r="F137" s="3" t="n">
        <v>101378</v>
      </c>
      <c r="G137" s="3" t="n">
        <v>12830.43</v>
      </c>
      <c r="H137" s="3" t="n">
        <v>11304.35</v>
      </c>
      <c r="I137" s="3" t="n">
        <v>0</v>
      </c>
      <c r="J137" s="3" t="n">
        <v>1695.65</v>
      </c>
      <c r="K137" s="3" t="n">
        <v>169.57</v>
      </c>
      <c r="L137" s="3" t="n">
        <v>9752.02</v>
      </c>
      <c r="M137" s="2" t="n"/>
    </row>
    <row r="138">
      <c r="A138" s="3" t="n">
        <v>554</v>
      </c>
      <c r="B138" s="3" t="n">
        <v>1791287835001</v>
      </c>
      <c r="C138" s="3" t="inlineStr">
        <is>
          <t>CONSORCIO DEL PICHINCHA S.A CONDELPI</t>
        </is>
      </c>
      <c r="D138" s="4" t="n">
        <v>46081</v>
      </c>
      <c r="E138" s="3" t="inlineStr">
        <is>
          <t>FE</t>
        </is>
      </c>
      <c r="F138" s="3" t="n">
        <v>101380</v>
      </c>
      <c r="G138" s="3" t="n">
        <v>12830.43</v>
      </c>
      <c r="H138" s="3" t="n">
        <v>11304.35</v>
      </c>
      <c r="I138" s="3" t="n">
        <v>0</v>
      </c>
      <c r="J138" s="3" t="n">
        <v>1695.65</v>
      </c>
      <c r="K138" s="3" t="n">
        <v>169.57</v>
      </c>
      <c r="L138" s="3" t="n">
        <v>9752.02</v>
      </c>
      <c r="M138" s="2" t="n"/>
    </row>
    <row r="139">
      <c r="A139" s="3" t="n">
        <v>554</v>
      </c>
      <c r="B139" s="3" t="n">
        <v>1791287835001</v>
      </c>
      <c r="C139" s="3" t="inlineStr">
        <is>
          <t>CONSORCIO DEL PICHINCHA S.A CONDELPI</t>
        </is>
      </c>
      <c r="D139" s="4" t="n">
        <v>46081</v>
      </c>
      <c r="E139" s="3" t="inlineStr">
        <is>
          <t>FE</t>
        </is>
      </c>
      <c r="F139" s="3" t="n">
        <v>101381</v>
      </c>
      <c r="G139" s="3" t="n">
        <v>121.75</v>
      </c>
      <c r="H139" s="3" t="n">
        <v>108.7</v>
      </c>
      <c r="I139" s="3" t="n">
        <v>0</v>
      </c>
      <c r="J139" s="3" t="n">
        <v>16.31</v>
      </c>
      <c r="K139" s="3" t="n">
        <v>3.26</v>
      </c>
      <c r="L139" s="3" t="n">
        <v>121.75</v>
      </c>
      <c r="M139" s="2" t="n"/>
    </row>
    <row r="140">
      <c r="A140" s="3" t="n">
        <v>1465</v>
      </c>
      <c r="B140" s="3" t="n">
        <v>1791310063001</v>
      </c>
      <c r="C140" s="3" t="inlineStr">
        <is>
          <t>DATAFAST S.A.</t>
        </is>
      </c>
      <c r="D140" s="4" t="n">
        <v>46058</v>
      </c>
      <c r="E140" s="3" t="inlineStr">
        <is>
          <t>FE</t>
        </is>
      </c>
      <c r="F140" s="3" t="n">
        <v>1511538</v>
      </c>
      <c r="G140" s="3" t="n">
        <v>9.19</v>
      </c>
      <c r="H140" s="3" t="n">
        <v>7.99</v>
      </c>
      <c r="I140" s="3" t="n">
        <v>0</v>
      </c>
      <c r="J140" s="3" t="n">
        <v>1.2</v>
      </c>
      <c r="K140" s="3" t="n">
        <v>0</v>
      </c>
      <c r="L140" s="3" t="n">
        <v>0</v>
      </c>
      <c r="M140" s="2" t="n"/>
    </row>
    <row r="141">
      <c r="A141" s="3" t="n">
        <v>1465</v>
      </c>
      <c r="B141" s="3" t="n">
        <v>1791310063001</v>
      </c>
      <c r="C141" s="3" t="inlineStr">
        <is>
          <t>DATAFAST S.A.</t>
        </is>
      </c>
      <c r="D141" s="4" t="n">
        <v>46058</v>
      </c>
      <c r="E141" s="3" t="inlineStr">
        <is>
          <t>FE</t>
        </is>
      </c>
      <c r="F141" s="3" t="n">
        <v>1511537</v>
      </c>
      <c r="G141" s="3" t="n">
        <v>9.19</v>
      </c>
      <c r="H141" s="3" t="n">
        <v>7.99</v>
      </c>
      <c r="I141" s="3" t="n">
        <v>0</v>
      </c>
      <c r="J141" s="3" t="n">
        <v>1.2</v>
      </c>
      <c r="K141" s="3" t="n">
        <v>0</v>
      </c>
      <c r="L141" s="3" t="n">
        <v>0</v>
      </c>
      <c r="M141" s="2" t="n"/>
    </row>
    <row r="142">
      <c r="A142" s="3" t="n">
        <v>1465</v>
      </c>
      <c r="B142" s="3" t="n">
        <v>1791310063001</v>
      </c>
      <c r="C142" s="3" t="inlineStr">
        <is>
          <t>DATAFAST S.A.</t>
        </is>
      </c>
      <c r="D142" s="4" t="n">
        <v>46058</v>
      </c>
      <c r="E142" s="3" t="inlineStr">
        <is>
          <t>FE</t>
        </is>
      </c>
      <c r="F142" s="3" t="n">
        <v>1511536</v>
      </c>
      <c r="G142" s="3" t="n">
        <v>9.19</v>
      </c>
      <c r="H142" s="3" t="n">
        <v>7.99</v>
      </c>
      <c r="I142" s="3" t="n">
        <v>0</v>
      </c>
      <c r="J142" s="3" t="n">
        <v>1.2</v>
      </c>
      <c r="K142" s="3" t="n">
        <v>0</v>
      </c>
      <c r="L142" s="3" t="n">
        <v>0</v>
      </c>
      <c r="M142" s="2" t="n"/>
    </row>
    <row r="143">
      <c r="A143" s="3" t="n">
        <v>434</v>
      </c>
      <c r="B143" s="3" t="n">
        <v>1791317025001</v>
      </c>
      <c r="C143" s="3" t="inlineStr">
        <is>
          <t>PANAMERICANA VIAL S.A</t>
        </is>
      </c>
      <c r="D143" s="4" t="n">
        <v>46079</v>
      </c>
      <c r="E143" s="3" t="inlineStr">
        <is>
          <t>FE</t>
        </is>
      </c>
      <c r="F143" s="3" t="n">
        <v>17638</v>
      </c>
      <c r="G143" s="3" t="n">
        <v>100</v>
      </c>
      <c r="H143" s="3" t="n">
        <v>0</v>
      </c>
      <c r="I143" s="3" t="n">
        <v>100</v>
      </c>
      <c r="J143" s="3" t="n">
        <v>0</v>
      </c>
      <c r="K143" s="3" t="n">
        <v>0</v>
      </c>
      <c r="L143" s="3" t="n">
        <v>100</v>
      </c>
      <c r="M143" s="2" t="n"/>
    </row>
    <row r="144">
      <c r="A144" s="3" t="n">
        <v>1911</v>
      </c>
      <c r="B144" s="3" t="n">
        <v>1791413024001</v>
      </c>
      <c r="C144" s="3" t="inlineStr">
        <is>
          <t>FIDUCIARIA ECUADOR FIDUECUADOR S.A. ADMINISTRADORA DE FONDOS</t>
        </is>
      </c>
      <c r="D144" s="4" t="n">
        <v>46056</v>
      </c>
      <c r="E144" s="3" t="inlineStr">
        <is>
          <t>FE</t>
        </is>
      </c>
      <c r="F144" s="3" t="n">
        <v>13391</v>
      </c>
      <c r="G144" s="3" t="n">
        <v>331.04</v>
      </c>
      <c r="H144" s="3" t="n">
        <v>325.35</v>
      </c>
      <c r="I144" s="3" t="n">
        <v>0</v>
      </c>
      <c r="J144" s="3" t="n">
        <v>48.8</v>
      </c>
      <c r="K144" s="3" t="n">
        <v>43.11</v>
      </c>
      <c r="L144" s="3" t="n">
        <v>0</v>
      </c>
      <c r="M144" s="2" t="n"/>
    </row>
    <row r="145">
      <c r="A145" s="3" t="n">
        <v>2736</v>
      </c>
      <c r="B145" s="3" t="n">
        <v>1791754816001</v>
      </c>
      <c r="C145" s="3" t="inlineStr">
        <is>
          <t>MANTELCOA CIA. LTDA.</t>
        </is>
      </c>
      <c r="D145" s="4" t="n">
        <v>46062</v>
      </c>
      <c r="E145" s="3" t="inlineStr">
        <is>
          <t>FE</t>
        </is>
      </c>
      <c r="F145" s="3" t="n">
        <v>10912</v>
      </c>
      <c r="G145" s="3" t="n">
        <v>183.15</v>
      </c>
      <c r="H145" s="3" t="n">
        <v>180</v>
      </c>
      <c r="I145" s="3" t="n">
        <v>0</v>
      </c>
      <c r="J145" s="3" t="n">
        <v>27</v>
      </c>
      <c r="K145" s="3" t="n">
        <v>23.85</v>
      </c>
      <c r="L145" s="3" t="n">
        <v>0</v>
      </c>
      <c r="M145" s="2" t="n"/>
    </row>
    <row r="146">
      <c r="A146" s="3" t="n">
        <v>1586</v>
      </c>
      <c r="B146" s="3" t="n">
        <v>1792094429001</v>
      </c>
      <c r="C146" s="3" t="inlineStr">
        <is>
          <t>KMSOLUTIONS S.A.</t>
        </is>
      </c>
      <c r="D146" s="4" t="n">
        <v>46071</v>
      </c>
      <c r="E146" s="3" t="inlineStr">
        <is>
          <t>FE</t>
        </is>
      </c>
      <c r="F146" s="3" t="n">
        <v>29230</v>
      </c>
      <c r="G146" s="3" t="n">
        <v>856.87</v>
      </c>
      <c r="H146" s="3" t="n">
        <v>784.3200000000001</v>
      </c>
      <c r="I146" s="3" t="n">
        <v>0</v>
      </c>
      <c r="J146" s="3" t="n">
        <v>117.65</v>
      </c>
      <c r="K146" s="3" t="n">
        <v>45.1</v>
      </c>
      <c r="L146" s="3" t="n">
        <v>856.87</v>
      </c>
      <c r="M146" s="2" t="n"/>
    </row>
    <row r="147">
      <c r="A147" s="3" t="n">
        <v>732</v>
      </c>
      <c r="B147" s="3" t="n">
        <v>1792162939001</v>
      </c>
      <c r="C147" s="3" t="inlineStr">
        <is>
          <t>ETL-EC AUDITORES S.A.</t>
        </is>
      </c>
      <c r="D147" s="4" t="n">
        <v>46071</v>
      </c>
      <c r="E147" s="3" t="inlineStr">
        <is>
          <t>FE</t>
        </is>
      </c>
      <c r="F147" s="3" t="n">
        <v>7432</v>
      </c>
      <c r="G147" s="3" t="n">
        <v>1674.75</v>
      </c>
      <c r="H147" s="3" t="n">
        <v>1650</v>
      </c>
      <c r="I147" s="3" t="n">
        <v>0</v>
      </c>
      <c r="J147" s="3" t="n">
        <v>247.5</v>
      </c>
      <c r="K147" s="3" t="n">
        <v>222.75</v>
      </c>
      <c r="L147" s="3" t="n">
        <v>1674.75</v>
      </c>
      <c r="M147" s="2" t="n"/>
    </row>
    <row r="148">
      <c r="A148" s="3" t="n">
        <v>1918</v>
      </c>
      <c r="B148" s="3" t="n">
        <v>1792670594001</v>
      </c>
      <c r="C148" s="3" t="inlineStr">
        <is>
          <t>DILIGENCIAS LEGALES</t>
        </is>
      </c>
      <c r="D148" s="4" t="n">
        <v>46057</v>
      </c>
      <c r="E148" s="3" t="inlineStr">
        <is>
          <t>FE</t>
        </is>
      </c>
      <c r="F148" s="3" t="n">
        <v>1804</v>
      </c>
      <c r="G148" s="3" t="n">
        <v>212.09</v>
      </c>
      <c r="H148" s="3" t="n">
        <v>208.96</v>
      </c>
      <c r="I148" s="3" t="n">
        <v>0</v>
      </c>
      <c r="J148" s="3" t="n">
        <v>31.34</v>
      </c>
      <c r="K148" s="3" t="n">
        <v>28.21</v>
      </c>
      <c r="L148" s="3" t="n">
        <v>0</v>
      </c>
      <c r="M148" s="2" t="n"/>
    </row>
    <row r="149">
      <c r="A149" s="3" t="n">
        <v>2697</v>
      </c>
      <c r="B149" s="3" t="n">
        <v>1792957702001</v>
      </c>
      <c r="C149" s="3" t="inlineStr">
        <is>
          <t>CORPORACION CONFIABLE S.A.</t>
        </is>
      </c>
      <c r="D149" s="4" t="n">
        <v>46056</v>
      </c>
      <c r="E149" s="3" t="inlineStr">
        <is>
          <t>FE</t>
        </is>
      </c>
      <c r="F149" s="3" t="n">
        <v>5489</v>
      </c>
      <c r="G149" s="3" t="n">
        <v>671.55</v>
      </c>
      <c r="H149" s="3" t="n">
        <v>660</v>
      </c>
      <c r="I149" s="3" t="n">
        <v>0</v>
      </c>
      <c r="J149" s="3" t="n">
        <v>99</v>
      </c>
      <c r="K149" s="3" t="n">
        <v>87.45</v>
      </c>
      <c r="L149" s="3" t="n">
        <v>0</v>
      </c>
      <c r="M149" s="2" t="n"/>
    </row>
    <row r="150">
      <c r="A150" s="3" t="n">
        <v>3300</v>
      </c>
      <c r="B150" s="3" t="n">
        <v>1793034942001</v>
      </c>
      <c r="C150" s="3" t="inlineStr">
        <is>
          <t>LAYOUT S.A.</t>
        </is>
      </c>
      <c r="D150" s="4" t="n">
        <v>46063</v>
      </c>
      <c r="E150" s="3" t="inlineStr">
        <is>
          <t>FE</t>
        </is>
      </c>
      <c r="F150" s="3" t="n">
        <v>414</v>
      </c>
      <c r="G150" s="3" t="n">
        <v>132.27</v>
      </c>
      <c r="H150" s="3" t="n">
        <v>130</v>
      </c>
      <c r="I150" s="3" t="n">
        <v>0</v>
      </c>
      <c r="J150" s="3" t="n">
        <v>19.5</v>
      </c>
      <c r="K150" s="3" t="n">
        <v>17.23</v>
      </c>
      <c r="L150" s="3" t="n">
        <v>0</v>
      </c>
      <c r="M150" s="2" t="n"/>
    </row>
    <row r="151">
      <c r="A151" s="3" t="n">
        <v>2022</v>
      </c>
      <c r="B151" s="3" t="n">
        <v>1793068510001</v>
      </c>
      <c r="C151" s="3" t="inlineStr">
        <is>
          <t>TITANIA TRACKING SOLUTIONS-EC S A S</t>
        </is>
      </c>
      <c r="D151" s="4" t="n">
        <v>46057</v>
      </c>
      <c r="E151" s="3" t="inlineStr">
        <is>
          <t>FE</t>
        </is>
      </c>
      <c r="F151" s="3" t="n">
        <v>17622</v>
      </c>
      <c r="G151" s="3" t="n">
        <v>2218.5</v>
      </c>
      <c r="H151" s="3" t="n">
        <v>2040</v>
      </c>
      <c r="I151" s="3" t="n">
        <v>0</v>
      </c>
      <c r="J151" s="3" t="n">
        <v>306</v>
      </c>
      <c r="K151" s="3" t="n">
        <v>127.5</v>
      </c>
      <c r="L151" s="3" t="n">
        <v>2218.5</v>
      </c>
      <c r="M151" s="2" t="n"/>
    </row>
    <row r="152">
      <c r="A152" s="3" t="n">
        <v>2022</v>
      </c>
      <c r="B152" s="3" t="n">
        <v>1793068510001</v>
      </c>
      <c r="C152" s="3" t="inlineStr">
        <is>
          <t>TITANIA TRACKING SOLUTIONS-EC S A S</t>
        </is>
      </c>
      <c r="D152" s="4" t="n">
        <v>46058</v>
      </c>
      <c r="E152" s="3" t="inlineStr">
        <is>
          <t>FE</t>
        </is>
      </c>
      <c r="F152" s="3" t="n">
        <v>17621</v>
      </c>
      <c r="G152" s="3" t="n">
        <v>2218.5</v>
      </c>
      <c r="H152" s="3" t="n">
        <v>2040</v>
      </c>
      <c r="I152" s="3" t="n">
        <v>0</v>
      </c>
      <c r="J152" s="3" t="n">
        <v>306</v>
      </c>
      <c r="K152" s="3" t="n">
        <v>127.5</v>
      </c>
      <c r="L152" s="3" t="n">
        <v>2218.5</v>
      </c>
      <c r="M152" s="2" t="n"/>
    </row>
    <row r="153">
      <c r="A153" s="3" t="n">
        <v>2714</v>
      </c>
      <c r="B153" s="3" t="n">
        <v>1793101623001</v>
      </c>
      <c r="C153" s="3" t="inlineStr">
        <is>
          <t>COMPAÑIA TECNOXPERTISE S.A.S.</t>
        </is>
      </c>
      <c r="D153" s="4" t="n">
        <v>46057</v>
      </c>
      <c r="E153" s="3" t="inlineStr">
        <is>
          <t>FE</t>
        </is>
      </c>
      <c r="F153" s="3" t="n">
        <v>377</v>
      </c>
      <c r="G153" s="3" t="n">
        <v>101.75</v>
      </c>
      <c r="H153" s="3" t="n">
        <v>100</v>
      </c>
      <c r="I153" s="3" t="n">
        <v>0</v>
      </c>
      <c r="J153" s="3" t="n">
        <v>15</v>
      </c>
      <c r="K153" s="3" t="n">
        <v>13.25</v>
      </c>
      <c r="L153" s="3" t="n">
        <v>101.75</v>
      </c>
      <c r="M153" s="2" t="n"/>
    </row>
    <row r="154">
      <c r="A154" s="3" t="n">
        <v>1880</v>
      </c>
      <c r="B154" s="3" t="n">
        <v>1793107958001</v>
      </c>
      <c r="C154" s="3" t="inlineStr">
        <is>
          <t>SZK DEL ECUADOR S.A.</t>
        </is>
      </c>
      <c r="D154" s="4" t="n">
        <v>46058</v>
      </c>
      <c r="E154" s="3" t="inlineStr">
        <is>
          <t>FE</t>
        </is>
      </c>
      <c r="F154" s="3" t="n">
        <v>1518</v>
      </c>
      <c r="G154" s="3" t="n">
        <v>493.48</v>
      </c>
      <c r="H154" s="3" t="n">
        <v>434.78</v>
      </c>
      <c r="I154" s="3" t="n">
        <v>0</v>
      </c>
      <c r="J154" s="3" t="n">
        <v>65.22</v>
      </c>
      <c r="K154" s="3" t="n">
        <v>6.52</v>
      </c>
      <c r="L154" s="3" t="n">
        <v>493.48</v>
      </c>
      <c r="M154" s="2" t="n"/>
    </row>
    <row r="155">
      <c r="A155" s="3" t="n">
        <v>1880</v>
      </c>
      <c r="B155" s="3" t="n">
        <v>1793107958001</v>
      </c>
      <c r="C155" s="3" t="inlineStr">
        <is>
          <t>SZK DEL ECUADOR S.A.</t>
        </is>
      </c>
      <c r="D155" s="4" t="n">
        <v>46058</v>
      </c>
      <c r="E155" s="3" t="inlineStr">
        <is>
          <t>FE</t>
        </is>
      </c>
      <c r="F155" s="3" t="n">
        <v>3181</v>
      </c>
      <c r="G155" s="3" t="n">
        <v>25096.58</v>
      </c>
      <c r="H155" s="3" t="n">
        <v>22111.52</v>
      </c>
      <c r="I155" s="3" t="n">
        <v>0</v>
      </c>
      <c r="J155" s="3" t="n">
        <v>3316.73</v>
      </c>
      <c r="K155" s="3" t="n">
        <v>331.67</v>
      </c>
      <c r="L155" s="3" t="n">
        <v>25096.58</v>
      </c>
      <c r="M155" s="2" t="n"/>
    </row>
    <row r="156">
      <c r="A156" s="3" t="n">
        <v>1880</v>
      </c>
      <c r="B156" s="3" t="n">
        <v>1793107958001</v>
      </c>
      <c r="C156" s="3" t="inlineStr">
        <is>
          <t>SZK DEL ECUADOR S.A.</t>
        </is>
      </c>
      <c r="D156" s="4" t="n">
        <v>46065</v>
      </c>
      <c r="E156" s="3" t="inlineStr">
        <is>
          <t>FE</t>
        </is>
      </c>
      <c r="F156" s="3" t="n">
        <v>3182</v>
      </c>
      <c r="G156" s="3" t="n">
        <v>130778.62</v>
      </c>
      <c r="H156" s="3" t="n">
        <v>115223.46</v>
      </c>
      <c r="I156" s="3" t="n">
        <v>0</v>
      </c>
      <c r="J156" s="3" t="n">
        <v>17283.52</v>
      </c>
      <c r="K156" s="3" t="n">
        <v>1728.35</v>
      </c>
      <c r="L156" s="3" t="n">
        <v>130778.62</v>
      </c>
      <c r="M156" s="2" t="n"/>
    </row>
    <row r="157">
      <c r="A157" s="3" t="n">
        <v>1880</v>
      </c>
      <c r="B157" s="3" t="n">
        <v>1793107958001</v>
      </c>
      <c r="C157" s="3" t="inlineStr">
        <is>
          <t>SZK DEL ECUADOR S.A.</t>
        </is>
      </c>
      <c r="D157" s="4" t="n">
        <v>46072</v>
      </c>
      <c r="E157" s="3" t="inlineStr">
        <is>
          <t>FE</t>
        </is>
      </c>
      <c r="F157" s="3" t="n">
        <v>3183</v>
      </c>
      <c r="G157" s="3" t="n">
        <v>117475.86</v>
      </c>
      <c r="H157" s="3" t="n">
        <v>103502.96</v>
      </c>
      <c r="I157" s="3" t="n">
        <v>0</v>
      </c>
      <c r="J157" s="3" t="n">
        <v>15525.44</v>
      </c>
      <c r="K157" s="3" t="n">
        <v>1552.54</v>
      </c>
      <c r="L157" s="3" t="n">
        <v>117475.86</v>
      </c>
      <c r="M157" s="2" t="n"/>
    </row>
    <row r="158">
      <c r="A158" s="3" t="n">
        <v>1880</v>
      </c>
      <c r="B158" s="3" t="n">
        <v>1793107958001</v>
      </c>
      <c r="C158" s="3" t="inlineStr">
        <is>
          <t>SZK DEL ECUADOR S.A.</t>
        </is>
      </c>
      <c r="D158" s="4" t="n">
        <v>46073</v>
      </c>
      <c r="E158" s="3" t="inlineStr">
        <is>
          <t>FE</t>
        </is>
      </c>
      <c r="F158" s="3" t="n">
        <v>3184</v>
      </c>
      <c r="G158" s="3" t="n">
        <v>73312.99000000001</v>
      </c>
      <c r="H158" s="3" t="n">
        <v>64592.94</v>
      </c>
      <c r="I158" s="3" t="n">
        <v>0</v>
      </c>
      <c r="J158" s="3" t="n">
        <v>9688.940000000001</v>
      </c>
      <c r="K158" s="3" t="n">
        <v>968.89</v>
      </c>
      <c r="L158" s="3" t="n">
        <v>73312.99000000001</v>
      </c>
      <c r="M158" s="2" t="n"/>
    </row>
    <row r="159">
      <c r="A159" s="3" t="n">
        <v>1880</v>
      </c>
      <c r="B159" s="3" t="n">
        <v>1793107958001</v>
      </c>
      <c r="C159" s="3" t="inlineStr">
        <is>
          <t>SZK DEL ECUADOR S.A.</t>
        </is>
      </c>
      <c r="D159" s="4" t="n">
        <v>46077</v>
      </c>
      <c r="E159" s="3" t="inlineStr">
        <is>
          <t>FE</t>
        </is>
      </c>
      <c r="F159" s="3" t="n">
        <v>3190</v>
      </c>
      <c r="G159" s="3" t="n">
        <v>16741.48</v>
      </c>
      <c r="H159" s="3" t="n">
        <v>14750.2</v>
      </c>
      <c r="I159" s="3" t="n">
        <v>0</v>
      </c>
      <c r="J159" s="3" t="n">
        <v>2212.53</v>
      </c>
      <c r="K159" s="3" t="n">
        <v>221.25</v>
      </c>
      <c r="L159" s="3" t="n">
        <v>16741.48</v>
      </c>
      <c r="M159" s="2" t="n"/>
    </row>
    <row r="160">
      <c r="A160" s="3" t="n">
        <v>1880</v>
      </c>
      <c r="B160" s="3" t="n">
        <v>1793107958001</v>
      </c>
      <c r="C160" s="3" t="inlineStr">
        <is>
          <t>SZK DEL ECUADOR S.A.</t>
        </is>
      </c>
      <c r="D160" s="4" t="n">
        <v>46077</v>
      </c>
      <c r="E160" s="3" t="inlineStr">
        <is>
          <t>FE</t>
        </is>
      </c>
      <c r="F160" s="3" t="n">
        <v>3189</v>
      </c>
      <c r="G160" s="3" t="n">
        <v>19910.49</v>
      </c>
      <c r="H160" s="3" t="n">
        <v>17542.28</v>
      </c>
      <c r="I160" s="3" t="n">
        <v>0</v>
      </c>
      <c r="J160" s="3" t="n">
        <v>2631.34</v>
      </c>
      <c r="K160" s="3" t="n">
        <v>263.13</v>
      </c>
      <c r="L160" s="3" t="n">
        <v>19910.49</v>
      </c>
      <c r="M160" s="2" t="n"/>
    </row>
    <row r="161">
      <c r="A161" s="3" t="n">
        <v>1880</v>
      </c>
      <c r="B161" s="3" t="n">
        <v>1793107958001</v>
      </c>
      <c r="C161" s="3" t="inlineStr">
        <is>
          <t>SZK DEL ECUADOR S.A.</t>
        </is>
      </c>
      <c r="D161" s="4" t="n">
        <v>46077</v>
      </c>
      <c r="E161" s="3" t="inlineStr">
        <is>
          <t>FE</t>
        </is>
      </c>
      <c r="F161" s="3" t="n">
        <v>3188</v>
      </c>
      <c r="G161" s="3" t="n">
        <v>50224.43</v>
      </c>
      <c r="H161" s="3" t="n">
        <v>44250.6</v>
      </c>
      <c r="I161" s="3" t="n">
        <v>0</v>
      </c>
      <c r="J161" s="3" t="n">
        <v>6637.59</v>
      </c>
      <c r="K161" s="3" t="n">
        <v>663.76</v>
      </c>
      <c r="L161" s="3" t="n">
        <v>50224.43</v>
      </c>
      <c r="M161" s="2" t="n"/>
    </row>
    <row r="162">
      <c r="A162" s="3" t="n">
        <v>1880</v>
      </c>
      <c r="B162" s="3" t="n">
        <v>1793107958001</v>
      </c>
      <c r="C162" s="3" t="inlineStr">
        <is>
          <t>SZK DEL ECUADOR S.A.</t>
        </is>
      </c>
      <c r="D162" s="4" t="n">
        <v>46077</v>
      </c>
      <c r="E162" s="3" t="inlineStr">
        <is>
          <t>FE</t>
        </is>
      </c>
      <c r="F162" s="3" t="n">
        <v>1519</v>
      </c>
      <c r="G162" s="3" t="n">
        <v>759.16</v>
      </c>
      <c r="H162" s="3" t="n">
        <v>668.86</v>
      </c>
      <c r="I162" s="3" t="n">
        <v>0</v>
      </c>
      <c r="J162" s="3" t="n">
        <v>100.33</v>
      </c>
      <c r="K162" s="3" t="n">
        <v>10.03</v>
      </c>
      <c r="L162" s="3" t="n">
        <v>759.16</v>
      </c>
      <c r="M162" s="2" t="n"/>
    </row>
    <row r="163">
      <c r="A163" s="3" t="n">
        <v>1880</v>
      </c>
      <c r="B163" s="3" t="n">
        <v>1793107958001</v>
      </c>
      <c r="C163" s="3" t="inlineStr">
        <is>
          <t>SZK DEL ECUADOR S.A.</t>
        </is>
      </c>
      <c r="D163" s="4" t="n">
        <v>46077</v>
      </c>
      <c r="E163" s="3" t="inlineStr">
        <is>
          <t>FE</t>
        </is>
      </c>
      <c r="F163" s="3" t="n">
        <v>3187</v>
      </c>
      <c r="G163" s="3" t="n">
        <v>79641.96000000001</v>
      </c>
      <c r="H163" s="3" t="n">
        <v>70169.12</v>
      </c>
      <c r="I163" s="3" t="n">
        <v>0</v>
      </c>
      <c r="J163" s="3" t="n">
        <v>10525.37</v>
      </c>
      <c r="K163" s="3" t="n">
        <v>1052.54</v>
      </c>
      <c r="L163" s="3" t="n">
        <v>79641.96000000001</v>
      </c>
      <c r="M163" s="2" t="n"/>
    </row>
    <row r="164">
      <c r="A164" s="3" t="n">
        <v>1880</v>
      </c>
      <c r="B164" s="3" t="n">
        <v>1793107958001</v>
      </c>
      <c r="C164" s="3" t="inlineStr">
        <is>
          <t>SZK DEL ECUADOR S.A.</t>
        </is>
      </c>
      <c r="D164" s="4" t="n">
        <v>46077</v>
      </c>
      <c r="E164" s="3" t="inlineStr">
        <is>
          <t>FE</t>
        </is>
      </c>
      <c r="F164" s="3" t="n">
        <v>3186</v>
      </c>
      <c r="G164" s="3" t="n">
        <v>119462.93</v>
      </c>
      <c r="H164" s="3" t="n">
        <v>105253.68</v>
      </c>
      <c r="I164" s="3" t="n">
        <v>0</v>
      </c>
      <c r="J164" s="3" t="n">
        <v>15788.05</v>
      </c>
      <c r="K164" s="3" t="n">
        <v>1578.81</v>
      </c>
      <c r="L164" s="3" t="n">
        <v>119462.93</v>
      </c>
      <c r="M164" s="2" t="n"/>
    </row>
    <row r="165">
      <c r="A165" s="3" t="n">
        <v>1880</v>
      </c>
      <c r="B165" s="3" t="n">
        <v>1793107958001</v>
      </c>
      <c r="C165" s="3" t="inlineStr">
        <is>
          <t>SZK DEL ECUADOR S.A.</t>
        </is>
      </c>
      <c r="D165" s="4" t="n">
        <v>46077</v>
      </c>
      <c r="E165" s="3" t="inlineStr">
        <is>
          <t>FE</t>
        </is>
      </c>
      <c r="F165" s="3" t="n">
        <v>3185</v>
      </c>
      <c r="G165" s="3" t="n">
        <v>119462.93</v>
      </c>
      <c r="H165" s="3" t="n">
        <v>105253.68</v>
      </c>
      <c r="I165" s="3" t="n">
        <v>0</v>
      </c>
      <c r="J165" s="3" t="n">
        <v>15788.05</v>
      </c>
      <c r="K165" s="3" t="n">
        <v>1578.81</v>
      </c>
      <c r="L165" s="3" t="n">
        <v>119462.93</v>
      </c>
      <c r="M165" s="2" t="n"/>
    </row>
    <row r="166">
      <c r="A166" s="3" t="n">
        <v>1880</v>
      </c>
      <c r="B166" s="3" t="n">
        <v>1793107958001</v>
      </c>
      <c r="C166" s="3" t="inlineStr">
        <is>
          <t>SZK DEL ECUADOR S.A.</t>
        </is>
      </c>
      <c r="D166" s="4" t="n">
        <v>46078</v>
      </c>
      <c r="E166" s="3" t="inlineStr">
        <is>
          <t>FE</t>
        </is>
      </c>
      <c r="F166" s="3" t="n">
        <v>1520</v>
      </c>
      <c r="G166" s="3" t="n">
        <v>2763.43</v>
      </c>
      <c r="H166" s="3" t="n">
        <v>2434.74</v>
      </c>
      <c r="I166" s="3" t="n">
        <v>0</v>
      </c>
      <c r="J166" s="3" t="n">
        <v>365.21</v>
      </c>
      <c r="K166" s="3" t="n">
        <v>36.52</v>
      </c>
      <c r="L166" s="3" t="n">
        <v>2763.43</v>
      </c>
      <c r="M166" s="2" t="n"/>
    </row>
    <row r="167">
      <c r="A167" s="3" t="n">
        <v>1880</v>
      </c>
      <c r="B167" s="3" t="n">
        <v>1793107958001</v>
      </c>
      <c r="C167" s="3" t="inlineStr">
        <is>
          <t>SZK DEL ECUADOR S.A.</t>
        </is>
      </c>
      <c r="D167" s="4" t="n">
        <v>46078</v>
      </c>
      <c r="E167" s="3" t="inlineStr">
        <is>
          <t>FE</t>
        </is>
      </c>
      <c r="F167" s="3" t="n">
        <v>3191</v>
      </c>
      <c r="G167" s="3" t="n">
        <v>16741.48</v>
      </c>
      <c r="H167" s="3" t="n">
        <v>14750.2</v>
      </c>
      <c r="I167" s="3" t="n">
        <v>0</v>
      </c>
      <c r="J167" s="3" t="n">
        <v>2212.53</v>
      </c>
      <c r="K167" s="3" t="n">
        <v>221.25</v>
      </c>
      <c r="L167" s="3" t="n">
        <v>16741.48</v>
      </c>
      <c r="M167" s="2" t="n"/>
    </row>
    <row r="168">
      <c r="A168" s="3" t="n">
        <v>1880</v>
      </c>
      <c r="B168" s="3" t="n">
        <v>1793107958001</v>
      </c>
      <c r="C168" s="3" t="inlineStr">
        <is>
          <t>SZK DEL ECUADOR S.A.</t>
        </is>
      </c>
      <c r="D168" s="4" t="n">
        <v>46078</v>
      </c>
      <c r="E168" s="3" t="inlineStr">
        <is>
          <t>FE</t>
        </is>
      </c>
      <c r="F168" s="3" t="n">
        <v>3192</v>
      </c>
      <c r="G168" s="3" t="n">
        <v>139373.41</v>
      </c>
      <c r="H168" s="3" t="n">
        <v>122795.96</v>
      </c>
      <c r="I168" s="3" t="n">
        <v>0</v>
      </c>
      <c r="J168" s="3" t="n">
        <v>18419.39</v>
      </c>
      <c r="K168" s="3" t="n">
        <v>1841.94</v>
      </c>
      <c r="L168" s="3" t="n">
        <v>139373.41</v>
      </c>
      <c r="M168" s="2" t="n"/>
    </row>
    <row r="169">
      <c r="A169" s="3" t="n">
        <v>1880</v>
      </c>
      <c r="B169" s="3" t="n">
        <v>1793107958001</v>
      </c>
      <c r="C169" s="3" t="inlineStr">
        <is>
          <t>SZK DEL ECUADOR S.A.</t>
        </is>
      </c>
      <c r="D169" s="4" t="n">
        <v>46078</v>
      </c>
      <c r="E169" s="3" t="inlineStr">
        <is>
          <t>FE</t>
        </is>
      </c>
      <c r="F169" s="3" t="n">
        <v>3194</v>
      </c>
      <c r="G169" s="3" t="n">
        <v>99552.44</v>
      </c>
      <c r="H169" s="3" t="n">
        <v>87711.39999999999</v>
      </c>
      <c r="I169" s="3" t="n">
        <v>0</v>
      </c>
      <c r="J169" s="3" t="n">
        <v>13156.71</v>
      </c>
      <c r="K169" s="3" t="n">
        <v>1315.67</v>
      </c>
      <c r="L169" s="3" t="n">
        <v>99552.44</v>
      </c>
      <c r="M169" s="2" t="n"/>
    </row>
    <row r="170">
      <c r="A170" s="3" t="n">
        <v>1880</v>
      </c>
      <c r="B170" s="3" t="n">
        <v>1793107958001</v>
      </c>
      <c r="C170" s="3" t="inlineStr">
        <is>
          <t>SZK DEL ECUADOR S.A.</t>
        </is>
      </c>
      <c r="D170" s="4" t="n">
        <v>46078</v>
      </c>
      <c r="E170" s="3" t="inlineStr">
        <is>
          <t>FE</t>
        </is>
      </c>
      <c r="F170" s="3" t="n">
        <v>3195</v>
      </c>
      <c r="G170" s="3" t="n">
        <v>66965.91</v>
      </c>
      <c r="H170" s="3" t="n">
        <v>59000.8</v>
      </c>
      <c r="I170" s="3" t="n">
        <v>0</v>
      </c>
      <c r="J170" s="3" t="n">
        <v>8850.120000000001</v>
      </c>
      <c r="K170" s="3" t="n">
        <v>885.01</v>
      </c>
      <c r="L170" s="3" t="n">
        <v>66965.91</v>
      </c>
      <c r="M170" s="2" t="n"/>
    </row>
    <row r="171">
      <c r="A171" s="3" t="n">
        <v>1880</v>
      </c>
      <c r="B171" s="3" t="n">
        <v>1793107958001</v>
      </c>
      <c r="C171" s="3" t="inlineStr">
        <is>
          <t>SZK DEL ECUADOR S.A.</t>
        </is>
      </c>
      <c r="D171" s="4" t="n">
        <v>46078</v>
      </c>
      <c r="E171" s="3" t="inlineStr">
        <is>
          <t>FE</t>
        </is>
      </c>
      <c r="F171" s="3" t="n">
        <v>1522</v>
      </c>
      <c r="G171" s="3" t="n">
        <v>5033.48</v>
      </c>
      <c r="H171" s="3" t="n">
        <v>4434.78</v>
      </c>
      <c r="I171" s="3" t="n">
        <v>0</v>
      </c>
      <c r="J171" s="3" t="n">
        <v>665.22</v>
      </c>
      <c r="K171" s="3" t="n">
        <v>66.52</v>
      </c>
      <c r="L171" s="3" t="n">
        <v>5033.48</v>
      </c>
      <c r="M171" s="2" t="n"/>
    </row>
    <row r="172">
      <c r="A172" s="3" t="n">
        <v>1880</v>
      </c>
      <c r="B172" s="3" t="n">
        <v>1793107958001</v>
      </c>
      <c r="C172" s="3" t="inlineStr">
        <is>
          <t>SZK DEL ECUADOR S.A.</t>
        </is>
      </c>
      <c r="D172" s="4" t="n">
        <v>46078</v>
      </c>
      <c r="E172" s="3" t="inlineStr">
        <is>
          <t>FE</t>
        </is>
      </c>
      <c r="F172" s="3" t="n">
        <v>1521</v>
      </c>
      <c r="G172" s="3" t="n">
        <v>759.16</v>
      </c>
      <c r="H172" s="3" t="n">
        <v>668.86</v>
      </c>
      <c r="I172" s="3" t="n">
        <v>0</v>
      </c>
      <c r="J172" s="3" t="n">
        <v>100.33</v>
      </c>
      <c r="K172" s="3" t="n">
        <v>10.03</v>
      </c>
      <c r="L172" s="3" t="n">
        <v>759.16</v>
      </c>
      <c r="M172" s="2" t="n"/>
    </row>
    <row r="173">
      <c r="A173" s="3" t="n">
        <v>1880</v>
      </c>
      <c r="B173" s="3" t="n">
        <v>1793107958001</v>
      </c>
      <c r="C173" s="3" t="inlineStr">
        <is>
          <t>SZK DEL ECUADOR S.A.</t>
        </is>
      </c>
      <c r="D173" s="4" t="n">
        <v>46078</v>
      </c>
      <c r="E173" s="3" t="inlineStr">
        <is>
          <t>FE</t>
        </is>
      </c>
      <c r="F173" s="3" t="n">
        <v>3196</v>
      </c>
      <c r="G173" s="3" t="n">
        <v>82136.74000000001</v>
      </c>
      <c r="H173" s="3" t="n">
        <v>72367.17</v>
      </c>
      <c r="I173" s="3" t="n">
        <v>0</v>
      </c>
      <c r="J173" s="3" t="n">
        <v>10855.08</v>
      </c>
      <c r="K173" s="3" t="n">
        <v>1085.51</v>
      </c>
      <c r="L173" s="3" t="n">
        <v>82136.74000000001</v>
      </c>
      <c r="M173" s="2" t="n"/>
    </row>
    <row r="174">
      <c r="A174" s="3" t="n">
        <v>1880</v>
      </c>
      <c r="B174" s="3" t="n">
        <v>1793107958001</v>
      </c>
      <c r="C174" s="3" t="inlineStr">
        <is>
          <t>SZK DEL ECUADOR S.A.</t>
        </is>
      </c>
      <c r="D174" s="4" t="n">
        <v>46078</v>
      </c>
      <c r="E174" s="3" t="inlineStr">
        <is>
          <t>FE</t>
        </is>
      </c>
      <c r="F174" s="3" t="n">
        <v>3193</v>
      </c>
      <c r="G174" s="3" t="n">
        <v>99552.44</v>
      </c>
      <c r="H174" s="3" t="n">
        <v>87711.39999999999</v>
      </c>
      <c r="I174" s="3" t="n">
        <v>0</v>
      </c>
      <c r="J174" s="3" t="n">
        <v>13156.71</v>
      </c>
      <c r="K174" s="3" t="n">
        <v>1315.67</v>
      </c>
      <c r="L174" s="3" t="n">
        <v>99552.44</v>
      </c>
      <c r="M174" s="2" t="n"/>
    </row>
    <row r="175">
      <c r="A175" s="3" t="n">
        <v>1880</v>
      </c>
      <c r="B175" s="3" t="n">
        <v>1793107958001</v>
      </c>
      <c r="C175" s="3" t="inlineStr">
        <is>
          <t>SZK DEL ECUADOR S.A.</t>
        </is>
      </c>
      <c r="D175" s="4" t="n">
        <v>46079</v>
      </c>
      <c r="E175" s="3" t="inlineStr">
        <is>
          <t>FE</t>
        </is>
      </c>
      <c r="F175" s="3" t="n">
        <v>3199</v>
      </c>
      <c r="G175" s="3" t="n">
        <v>119462.93</v>
      </c>
      <c r="H175" s="3" t="n">
        <v>105253.68</v>
      </c>
      <c r="I175" s="3" t="n">
        <v>0</v>
      </c>
      <c r="J175" s="3" t="n">
        <v>15788.05</v>
      </c>
      <c r="K175" s="3" t="n">
        <v>1578.81</v>
      </c>
      <c r="L175" s="3" t="n">
        <v>119462.93</v>
      </c>
      <c r="M175" s="2" t="n"/>
    </row>
    <row r="176">
      <c r="A176" s="3" t="n">
        <v>1880</v>
      </c>
      <c r="B176" s="3" t="n">
        <v>1793107958001</v>
      </c>
      <c r="C176" s="3" t="inlineStr">
        <is>
          <t>SZK DEL ECUADOR S.A.</t>
        </is>
      </c>
      <c r="D176" s="4" t="n">
        <v>46079</v>
      </c>
      <c r="E176" s="3" t="inlineStr">
        <is>
          <t>FE</t>
        </is>
      </c>
      <c r="F176" s="3" t="n">
        <v>3200</v>
      </c>
      <c r="G176" s="3" t="n">
        <v>29645.21</v>
      </c>
      <c r="H176" s="3" t="n">
        <v>26119.13</v>
      </c>
      <c r="I176" s="3" t="n">
        <v>0</v>
      </c>
      <c r="J176" s="3" t="n">
        <v>3917.87</v>
      </c>
      <c r="K176" s="3" t="n">
        <v>391.79</v>
      </c>
      <c r="L176" s="3" t="n">
        <v>29645.21</v>
      </c>
      <c r="M176" s="2" t="n"/>
    </row>
    <row r="177">
      <c r="A177" s="3" t="n">
        <v>1880</v>
      </c>
      <c r="B177" s="3" t="n">
        <v>1793107958001</v>
      </c>
      <c r="C177" s="3" t="inlineStr">
        <is>
          <t>SZK DEL ECUADOR S.A.</t>
        </is>
      </c>
      <c r="D177" s="4" t="n">
        <v>46079</v>
      </c>
      <c r="E177" s="3" t="inlineStr">
        <is>
          <t>FE</t>
        </is>
      </c>
      <c r="F177" s="3" t="n">
        <v>1523</v>
      </c>
      <c r="G177" s="3" t="n">
        <v>1677.83</v>
      </c>
      <c r="H177" s="3" t="n">
        <v>1478.26</v>
      </c>
      <c r="I177" s="3" t="n">
        <v>0</v>
      </c>
      <c r="J177" s="3" t="n">
        <v>221.74</v>
      </c>
      <c r="K177" s="3" t="n">
        <v>22.17</v>
      </c>
      <c r="L177" s="3" t="n">
        <v>1677.83</v>
      </c>
      <c r="M177" s="2" t="n"/>
    </row>
    <row r="178">
      <c r="A178" s="3" t="n">
        <v>1880</v>
      </c>
      <c r="B178" s="3" t="n">
        <v>1793107958001</v>
      </c>
      <c r="C178" s="3" t="inlineStr">
        <is>
          <t>SZK DEL ECUADOR S.A.</t>
        </is>
      </c>
      <c r="D178" s="4" t="n">
        <v>46079</v>
      </c>
      <c r="E178" s="3" t="inlineStr">
        <is>
          <t>FE</t>
        </is>
      </c>
      <c r="F178" s="3" t="n">
        <v>3197</v>
      </c>
      <c r="G178" s="3" t="n">
        <v>21721.35</v>
      </c>
      <c r="H178" s="3" t="n">
        <v>19137.76</v>
      </c>
      <c r="I178" s="3" t="n">
        <v>0</v>
      </c>
      <c r="J178" s="3" t="n">
        <v>2870.66</v>
      </c>
      <c r="K178" s="3" t="n">
        <v>287.07</v>
      </c>
      <c r="L178" s="3" t="n">
        <v>21721.35</v>
      </c>
      <c r="M178" s="2" t="n"/>
    </row>
    <row r="179">
      <c r="A179" s="3" t="n">
        <v>1880</v>
      </c>
      <c r="B179" s="3" t="n">
        <v>1793107958001</v>
      </c>
      <c r="C179" s="3" t="inlineStr">
        <is>
          <t>SZK DEL ECUADOR S.A.</t>
        </is>
      </c>
      <c r="D179" s="4" t="n">
        <v>46079</v>
      </c>
      <c r="E179" s="3" t="inlineStr">
        <is>
          <t>FE</t>
        </is>
      </c>
      <c r="F179" s="3" t="n">
        <v>3198</v>
      </c>
      <c r="G179" s="3" t="n">
        <v>119462.93</v>
      </c>
      <c r="H179" s="3" t="n">
        <v>105253.68</v>
      </c>
      <c r="I179" s="3" t="n">
        <v>0</v>
      </c>
      <c r="J179" s="3" t="n">
        <v>15788.05</v>
      </c>
      <c r="K179" s="3" t="n">
        <v>1578.81</v>
      </c>
      <c r="L179" s="3" t="n">
        <v>119462.93</v>
      </c>
      <c r="M179" s="2" t="n"/>
    </row>
    <row r="180">
      <c r="A180" s="3" t="n">
        <v>1880</v>
      </c>
      <c r="B180" s="3" t="n">
        <v>1793107958001</v>
      </c>
      <c r="C180" s="3" t="inlineStr">
        <is>
          <t>SZK DEL ECUADOR S.A.</t>
        </is>
      </c>
      <c r="D180" s="4" t="n">
        <v>46080</v>
      </c>
      <c r="E180" s="3" t="inlineStr">
        <is>
          <t>FE</t>
        </is>
      </c>
      <c r="F180" s="3" t="n">
        <v>3205</v>
      </c>
      <c r="G180" s="3" t="n">
        <v>29645.21</v>
      </c>
      <c r="H180" s="3" t="n">
        <v>26119.13</v>
      </c>
      <c r="I180" s="3" t="n">
        <v>0</v>
      </c>
      <c r="J180" s="3" t="n">
        <v>3917.87</v>
      </c>
      <c r="K180" s="3" t="n">
        <v>391.79</v>
      </c>
      <c r="L180" s="3" t="n">
        <v>29645.21</v>
      </c>
      <c r="M180" s="2" t="n"/>
    </row>
    <row r="181">
      <c r="A181" s="3" t="n">
        <v>1880</v>
      </c>
      <c r="B181" s="3" t="n">
        <v>1793107958001</v>
      </c>
      <c r="C181" s="3" t="inlineStr">
        <is>
          <t>SZK DEL ECUADOR S.A.</t>
        </is>
      </c>
      <c r="D181" s="4" t="n">
        <v>46080</v>
      </c>
      <c r="E181" s="3" t="inlineStr">
        <is>
          <t>FE</t>
        </is>
      </c>
      <c r="F181" s="3" t="n">
        <v>1524</v>
      </c>
      <c r="G181" s="3" t="n">
        <v>2353.46</v>
      </c>
      <c r="H181" s="3" t="n">
        <v>2073.53</v>
      </c>
      <c r="I181" s="3" t="n">
        <v>0</v>
      </c>
      <c r="J181" s="3" t="n">
        <v>311.03</v>
      </c>
      <c r="K181" s="3" t="n">
        <v>31.1</v>
      </c>
      <c r="L181" s="3" t="n">
        <v>2353.46</v>
      </c>
      <c r="M181" s="2" t="n"/>
    </row>
    <row r="182">
      <c r="A182" s="3" t="n">
        <v>1880</v>
      </c>
      <c r="B182" s="3" t="n">
        <v>1793107958001</v>
      </c>
      <c r="C182" s="3" t="inlineStr">
        <is>
          <t>SZK DEL ECUADOR S.A.</t>
        </is>
      </c>
      <c r="D182" s="4" t="n">
        <v>46080</v>
      </c>
      <c r="E182" s="3" t="inlineStr">
        <is>
          <t>FE</t>
        </is>
      </c>
      <c r="F182" s="3" t="n">
        <v>1525</v>
      </c>
      <c r="G182" s="3" t="n">
        <v>1677.83</v>
      </c>
      <c r="H182" s="3" t="n">
        <v>1478.26</v>
      </c>
      <c r="I182" s="3" t="n">
        <v>0</v>
      </c>
      <c r="J182" s="3" t="n">
        <v>221.74</v>
      </c>
      <c r="K182" s="3" t="n">
        <v>22.17</v>
      </c>
      <c r="L182" s="3" t="n">
        <v>1677.83</v>
      </c>
      <c r="M182" s="2" t="n"/>
    </row>
    <row r="183">
      <c r="A183" s="3" t="n">
        <v>1880</v>
      </c>
      <c r="B183" s="3" t="n">
        <v>1793107958001</v>
      </c>
      <c r="C183" s="3" t="inlineStr">
        <is>
          <t>SZK DEL ECUADOR S.A.</t>
        </is>
      </c>
      <c r="D183" s="4" t="n">
        <v>46080</v>
      </c>
      <c r="E183" s="3" t="inlineStr">
        <is>
          <t>FE</t>
        </is>
      </c>
      <c r="F183" s="3" t="n">
        <v>1526</v>
      </c>
      <c r="G183" s="3" t="n">
        <v>1677.83</v>
      </c>
      <c r="H183" s="3" t="n">
        <v>1478.26</v>
      </c>
      <c r="I183" s="3" t="n">
        <v>0</v>
      </c>
      <c r="J183" s="3" t="n">
        <v>221.74</v>
      </c>
      <c r="K183" s="3" t="n">
        <v>22.17</v>
      </c>
      <c r="L183" s="3" t="n">
        <v>1677.83</v>
      </c>
      <c r="M183" s="2" t="n"/>
    </row>
    <row r="184">
      <c r="A184" s="3" t="n">
        <v>1880</v>
      </c>
      <c r="B184" s="3" t="n">
        <v>1793107958001</v>
      </c>
      <c r="C184" s="3" t="inlineStr">
        <is>
          <t>SZK DEL ECUADOR S.A.</t>
        </is>
      </c>
      <c r="D184" s="4" t="n">
        <v>46080</v>
      </c>
      <c r="E184" s="3" t="inlineStr">
        <is>
          <t>FE</t>
        </is>
      </c>
      <c r="F184" s="3" t="n">
        <v>385</v>
      </c>
      <c r="G184" s="3" t="n">
        <v>1804.65</v>
      </c>
      <c r="H184" s="3" t="n">
        <v>1590</v>
      </c>
      <c r="I184" s="3" t="n">
        <v>0</v>
      </c>
      <c r="J184" s="3" t="n">
        <v>238.5</v>
      </c>
      <c r="K184" s="3" t="n">
        <v>23.85</v>
      </c>
      <c r="L184" s="3" t="n">
        <v>1804.65</v>
      </c>
      <c r="M184" s="2" t="n"/>
    </row>
    <row r="185">
      <c r="A185" s="3" t="n">
        <v>1880</v>
      </c>
      <c r="B185" s="3" t="n">
        <v>1793107958001</v>
      </c>
      <c r="C185" s="3" t="inlineStr">
        <is>
          <t>SZK DEL ECUADOR S.A.</t>
        </is>
      </c>
      <c r="D185" s="4" t="n">
        <v>46080</v>
      </c>
      <c r="E185" s="3" t="inlineStr">
        <is>
          <t>FE</t>
        </is>
      </c>
      <c r="F185" s="3" t="n">
        <v>3201</v>
      </c>
      <c r="G185" s="3" t="n">
        <v>99552.44</v>
      </c>
      <c r="H185" s="3" t="n">
        <v>87711.39999999999</v>
      </c>
      <c r="I185" s="3" t="n">
        <v>0</v>
      </c>
      <c r="J185" s="3" t="n">
        <v>13156.71</v>
      </c>
      <c r="K185" s="3" t="n">
        <v>1315.67</v>
      </c>
      <c r="L185" s="3" t="n">
        <v>99552.44</v>
      </c>
      <c r="M185" s="2" t="n"/>
    </row>
    <row r="186">
      <c r="A186" s="3" t="n">
        <v>1880</v>
      </c>
      <c r="B186" s="3" t="n">
        <v>1793107958001</v>
      </c>
      <c r="C186" s="3" t="inlineStr">
        <is>
          <t>SZK DEL ECUADOR S.A.</t>
        </is>
      </c>
      <c r="D186" s="4" t="n">
        <v>46080</v>
      </c>
      <c r="E186" s="3" t="inlineStr">
        <is>
          <t>FE</t>
        </is>
      </c>
      <c r="F186" s="3" t="n">
        <v>3202</v>
      </c>
      <c r="G186" s="3" t="n">
        <v>100448.86</v>
      </c>
      <c r="H186" s="3" t="n">
        <v>88501.2</v>
      </c>
      <c r="I186" s="3" t="n">
        <v>0</v>
      </c>
      <c r="J186" s="3" t="n">
        <v>13275.18</v>
      </c>
      <c r="K186" s="3" t="n">
        <v>1327.52</v>
      </c>
      <c r="L186" s="3" t="n">
        <v>100448.86</v>
      </c>
      <c r="M186" s="2" t="n"/>
    </row>
    <row r="187">
      <c r="A187" s="3" t="n">
        <v>1880</v>
      </c>
      <c r="B187" s="3" t="n">
        <v>1793107958001</v>
      </c>
      <c r="C187" s="3" t="inlineStr">
        <is>
          <t>SZK DEL ECUADOR S.A.</t>
        </is>
      </c>
      <c r="D187" s="4" t="n">
        <v>46080</v>
      </c>
      <c r="E187" s="3" t="inlineStr">
        <is>
          <t>FE</t>
        </is>
      </c>
      <c r="F187" s="3" t="n">
        <v>3203</v>
      </c>
      <c r="G187" s="3" t="n">
        <v>117190.34</v>
      </c>
      <c r="H187" s="3" t="n">
        <v>103251.4</v>
      </c>
      <c r="I187" s="3" t="n">
        <v>0</v>
      </c>
      <c r="J187" s="3" t="n">
        <v>15487.71</v>
      </c>
      <c r="K187" s="3" t="n">
        <v>1548.77</v>
      </c>
      <c r="L187" s="3" t="n">
        <v>117190.34</v>
      </c>
      <c r="M187" s="2" t="n"/>
    </row>
    <row r="188">
      <c r="A188" s="3" t="n">
        <v>1880</v>
      </c>
      <c r="B188" s="3" t="n">
        <v>1793107958001</v>
      </c>
      <c r="C188" s="3" t="inlineStr">
        <is>
          <t>SZK DEL ECUADOR S.A.</t>
        </is>
      </c>
      <c r="D188" s="4" t="n">
        <v>46080</v>
      </c>
      <c r="E188" s="3" t="inlineStr">
        <is>
          <t>FE</t>
        </is>
      </c>
      <c r="F188" s="3" t="n">
        <v>3204</v>
      </c>
      <c r="G188" s="3" t="n">
        <v>27378.91</v>
      </c>
      <c r="H188" s="3" t="n">
        <v>24122.39</v>
      </c>
      <c r="I188" s="3" t="n">
        <v>0</v>
      </c>
      <c r="J188" s="3" t="n">
        <v>3618.36</v>
      </c>
      <c r="K188" s="3" t="n">
        <v>361.84</v>
      </c>
      <c r="L188" s="3" t="n">
        <v>27378.91</v>
      </c>
      <c r="M188" s="2" t="n"/>
    </row>
    <row r="189">
      <c r="A189" s="3" t="n">
        <v>3142</v>
      </c>
      <c r="B189" s="3" t="n">
        <v>1793162797001</v>
      </c>
      <c r="C189" s="3" t="inlineStr">
        <is>
          <t>YANGTSE-AUTO DEL ECUADOR S.A.</t>
        </is>
      </c>
      <c r="D189" s="4" t="n">
        <v>46056</v>
      </c>
      <c r="E189" s="3" t="inlineStr">
        <is>
          <t>FE</t>
        </is>
      </c>
      <c r="F189" s="3" t="n">
        <v>629</v>
      </c>
      <c r="G189" s="3" t="n">
        <v>14318.12</v>
      </c>
      <c r="H189" s="3" t="n">
        <v>13166.09</v>
      </c>
      <c r="I189" s="3" t="n">
        <v>0</v>
      </c>
      <c r="J189" s="3" t="n">
        <v>1974.91</v>
      </c>
      <c r="K189" s="3" t="n">
        <v>822.88</v>
      </c>
      <c r="L189" s="3" t="n">
        <v>14318.12</v>
      </c>
      <c r="M189" s="2" t="n"/>
    </row>
    <row r="190">
      <c r="A190" s="3" t="n">
        <v>3142</v>
      </c>
      <c r="B190" s="3" t="n">
        <v>1793162797001</v>
      </c>
      <c r="C190" s="3" t="inlineStr">
        <is>
          <t>YANGTSE-AUTO DEL ECUADOR S.A.</t>
        </is>
      </c>
      <c r="D190" s="4" t="n">
        <v>46057</v>
      </c>
      <c r="E190" s="3" t="inlineStr">
        <is>
          <t>FE</t>
        </is>
      </c>
      <c r="F190" s="3" t="n">
        <v>523</v>
      </c>
      <c r="G190" s="3" t="n">
        <v>378.26</v>
      </c>
      <c r="H190" s="3" t="n">
        <v>347.83</v>
      </c>
      <c r="I190" s="3" t="n">
        <v>0</v>
      </c>
      <c r="J190" s="3" t="n">
        <v>52.17</v>
      </c>
      <c r="K190" s="3" t="n">
        <v>21.74</v>
      </c>
      <c r="L190" s="3" t="n">
        <v>378.26</v>
      </c>
      <c r="M190" s="2" t="n"/>
    </row>
    <row r="191">
      <c r="A191" s="3" t="n">
        <v>3142</v>
      </c>
      <c r="B191" s="3" t="n">
        <v>1793162797001</v>
      </c>
      <c r="C191" s="3" t="inlineStr">
        <is>
          <t>YANGTSE-AUTO DEL ECUADOR S.A.</t>
        </is>
      </c>
      <c r="D191" s="4" t="n">
        <v>46062</v>
      </c>
      <c r="E191" s="3" t="inlineStr">
        <is>
          <t>FE</t>
        </is>
      </c>
      <c r="F191" s="3" t="n">
        <v>640</v>
      </c>
      <c r="G191" s="3" t="n">
        <v>15204.2</v>
      </c>
      <c r="H191" s="3" t="n">
        <v>13980.87</v>
      </c>
      <c r="I191" s="3" t="n">
        <v>0</v>
      </c>
      <c r="J191" s="3" t="n">
        <v>2097.13</v>
      </c>
      <c r="K191" s="3" t="n">
        <v>873.8</v>
      </c>
      <c r="L191" s="3" t="n">
        <v>15204.2</v>
      </c>
      <c r="M191" s="2" t="n"/>
    </row>
    <row r="192">
      <c r="A192" s="3" t="n">
        <v>3142</v>
      </c>
      <c r="B192" s="3" t="n">
        <v>1793162797001</v>
      </c>
      <c r="C192" s="3" t="inlineStr">
        <is>
          <t>YANGTSE-AUTO DEL ECUADOR S.A.</t>
        </is>
      </c>
      <c r="D192" s="4" t="n">
        <v>46065</v>
      </c>
      <c r="E192" s="3" t="inlineStr">
        <is>
          <t>FE</t>
        </is>
      </c>
      <c r="F192" s="3" t="n">
        <v>651</v>
      </c>
      <c r="G192" s="3" t="n">
        <v>15204.2</v>
      </c>
      <c r="H192" s="3" t="n">
        <v>13980.87</v>
      </c>
      <c r="I192" s="3" t="n">
        <v>0</v>
      </c>
      <c r="J192" s="3" t="n">
        <v>2097.13</v>
      </c>
      <c r="K192" s="3" t="n">
        <v>873.8</v>
      </c>
      <c r="L192" s="3" t="n">
        <v>15204.2</v>
      </c>
      <c r="M192" s="2" t="n"/>
    </row>
    <row r="193">
      <c r="A193" s="3" t="n">
        <v>3142</v>
      </c>
      <c r="B193" s="3" t="n">
        <v>1793162797001</v>
      </c>
      <c r="C193" s="3" t="inlineStr">
        <is>
          <t>YANGTSE-AUTO DEL ECUADOR S.A.</t>
        </is>
      </c>
      <c r="D193" s="4" t="n">
        <v>46067</v>
      </c>
      <c r="E193" s="3" t="inlineStr">
        <is>
          <t>FE</t>
        </is>
      </c>
      <c r="F193" s="3" t="n">
        <v>664</v>
      </c>
      <c r="G193" s="3" t="n">
        <v>14882.96</v>
      </c>
      <c r="H193" s="3" t="n">
        <v>13685.48</v>
      </c>
      <c r="I193" s="3" t="n">
        <v>0</v>
      </c>
      <c r="J193" s="3" t="n">
        <v>2052.82</v>
      </c>
      <c r="K193" s="3" t="n">
        <v>855.34</v>
      </c>
      <c r="L193" s="3" t="n">
        <v>14882.96</v>
      </c>
      <c r="M193" s="2" t="n"/>
    </row>
    <row r="194">
      <c r="A194" s="3" t="n">
        <v>3142</v>
      </c>
      <c r="B194" s="3" t="n">
        <v>1793162797001</v>
      </c>
      <c r="C194" s="3" t="inlineStr">
        <is>
          <t>YANGTSE-AUTO DEL ECUADOR S.A.</t>
        </is>
      </c>
      <c r="D194" s="4" t="n">
        <v>46067</v>
      </c>
      <c r="E194" s="3" t="inlineStr">
        <is>
          <t>FE</t>
        </is>
      </c>
      <c r="F194" s="3" t="n">
        <v>662</v>
      </c>
      <c r="G194" s="3" t="n">
        <v>14882.96</v>
      </c>
      <c r="H194" s="3" t="n">
        <v>13685.48</v>
      </c>
      <c r="I194" s="3" t="n">
        <v>0</v>
      </c>
      <c r="J194" s="3" t="n">
        <v>2052.82</v>
      </c>
      <c r="K194" s="3" t="n">
        <v>855.34</v>
      </c>
      <c r="L194" s="3" t="n">
        <v>14882.96</v>
      </c>
      <c r="M194" s="2" t="n"/>
    </row>
    <row r="195">
      <c r="A195" s="3" t="n">
        <v>3142</v>
      </c>
      <c r="B195" s="3" t="n">
        <v>1793162797001</v>
      </c>
      <c r="C195" s="3" t="inlineStr">
        <is>
          <t>YANGTSE-AUTO DEL ECUADOR S.A.</t>
        </is>
      </c>
      <c r="D195" s="4" t="n">
        <v>46067</v>
      </c>
      <c r="E195" s="3" t="inlineStr">
        <is>
          <t>FE</t>
        </is>
      </c>
      <c r="F195" s="3" t="n">
        <v>660</v>
      </c>
      <c r="G195" s="3" t="n">
        <v>14882.96</v>
      </c>
      <c r="H195" s="3" t="n">
        <v>13685.48</v>
      </c>
      <c r="I195" s="3" t="n">
        <v>0</v>
      </c>
      <c r="J195" s="3" t="n">
        <v>2052.82</v>
      </c>
      <c r="K195" s="3" t="n">
        <v>855.34</v>
      </c>
      <c r="L195" s="3" t="n">
        <v>14882.96</v>
      </c>
      <c r="M195" s="2" t="n"/>
    </row>
    <row r="196">
      <c r="A196" s="3" t="n">
        <v>3142</v>
      </c>
      <c r="B196" s="3" t="n">
        <v>1793162797001</v>
      </c>
      <c r="C196" s="3" t="inlineStr">
        <is>
          <t>YANGTSE-AUTO DEL ECUADOR S.A.</t>
        </is>
      </c>
      <c r="D196" s="4" t="n">
        <v>46067</v>
      </c>
      <c r="E196" s="3" t="inlineStr">
        <is>
          <t>FE</t>
        </is>
      </c>
      <c r="F196" s="3" t="n">
        <v>659</v>
      </c>
      <c r="G196" s="3" t="n">
        <v>14882.96</v>
      </c>
      <c r="H196" s="3" t="n">
        <v>13685.48</v>
      </c>
      <c r="I196" s="3" t="n">
        <v>0</v>
      </c>
      <c r="J196" s="3" t="n">
        <v>2052.82</v>
      </c>
      <c r="K196" s="3" t="n">
        <v>855.34</v>
      </c>
      <c r="L196" s="3" t="n">
        <v>14882.96</v>
      </c>
      <c r="M196" s="2" t="n"/>
    </row>
    <row r="197">
      <c r="A197" s="3" t="n">
        <v>3142</v>
      </c>
      <c r="B197" s="3" t="n">
        <v>1793162797001</v>
      </c>
      <c r="C197" s="3" t="inlineStr">
        <is>
          <t>YANGTSE-AUTO DEL ECUADOR S.A.</t>
        </is>
      </c>
      <c r="D197" s="4" t="n">
        <v>46067</v>
      </c>
      <c r="E197" s="3" t="inlineStr">
        <is>
          <t>FE</t>
        </is>
      </c>
      <c r="F197" s="3" t="n">
        <v>661</v>
      </c>
      <c r="G197" s="3" t="n">
        <v>14882.96</v>
      </c>
      <c r="H197" s="3" t="n">
        <v>13685.48</v>
      </c>
      <c r="I197" s="3" t="n">
        <v>0</v>
      </c>
      <c r="J197" s="3" t="n">
        <v>2052.82</v>
      </c>
      <c r="K197" s="3" t="n">
        <v>855.34</v>
      </c>
      <c r="L197" s="3" t="n">
        <v>14882.96</v>
      </c>
      <c r="M197" s="2" t="n"/>
    </row>
    <row r="198">
      <c r="A198" s="3" t="n">
        <v>3142</v>
      </c>
      <c r="B198" s="3" t="n">
        <v>1793162797001</v>
      </c>
      <c r="C198" s="3" t="inlineStr">
        <is>
          <t>YANGTSE-AUTO DEL ECUADOR S.A.</t>
        </is>
      </c>
      <c r="D198" s="4" t="n">
        <v>46070</v>
      </c>
      <c r="E198" s="3" t="inlineStr">
        <is>
          <t>FE</t>
        </is>
      </c>
      <c r="F198" s="3" t="n">
        <v>657</v>
      </c>
      <c r="G198" s="3" t="n">
        <v>33346.05</v>
      </c>
      <c r="H198" s="3" t="n">
        <v>0</v>
      </c>
      <c r="I198" s="3" t="n">
        <v>33940</v>
      </c>
      <c r="J198" s="3" t="n">
        <v>0</v>
      </c>
      <c r="K198" s="3" t="n">
        <v>593.95</v>
      </c>
      <c r="L198" s="3" t="n">
        <v>33346.05</v>
      </c>
      <c r="M198" s="2" t="n"/>
    </row>
    <row r="199">
      <c r="A199" s="3" t="n">
        <v>3142</v>
      </c>
      <c r="B199" s="3" t="n">
        <v>1793162797001</v>
      </c>
      <c r="C199" s="3" t="inlineStr">
        <is>
          <t>YANGTSE-AUTO DEL ECUADOR S.A.</t>
        </is>
      </c>
      <c r="D199" s="4" t="n">
        <v>46072</v>
      </c>
      <c r="E199" s="3" t="inlineStr">
        <is>
          <t>FE</t>
        </is>
      </c>
      <c r="F199" s="3" t="n">
        <v>545</v>
      </c>
      <c r="G199" s="3" t="n">
        <v>391.89</v>
      </c>
      <c r="H199" s="3" t="n">
        <v>26.08</v>
      </c>
      <c r="I199" s="3" t="n">
        <v>370</v>
      </c>
      <c r="J199" s="3" t="n">
        <v>3.91</v>
      </c>
      <c r="K199" s="3" t="n">
        <v>8.1</v>
      </c>
      <c r="L199" s="3" t="n">
        <v>391.89</v>
      </c>
      <c r="M199" s="2" t="n"/>
    </row>
    <row r="200">
      <c r="A200" s="3" t="n">
        <v>3142</v>
      </c>
      <c r="B200" s="3" t="n">
        <v>1793162797001</v>
      </c>
      <c r="C200" s="3" t="inlineStr">
        <is>
          <t>YANGTSE-AUTO DEL ECUADOR S.A.</t>
        </is>
      </c>
      <c r="D200" s="4" t="n">
        <v>46076</v>
      </c>
      <c r="E200" s="3" t="inlineStr">
        <is>
          <t>FE</t>
        </is>
      </c>
      <c r="F200" s="3" t="n">
        <v>561</v>
      </c>
      <c r="G200" s="3" t="n">
        <v>244.51</v>
      </c>
      <c r="H200" s="3" t="n">
        <v>26.08</v>
      </c>
      <c r="I200" s="3" t="n">
        <v>220</v>
      </c>
      <c r="J200" s="3" t="n">
        <v>3.91</v>
      </c>
      <c r="K200" s="3" t="n">
        <v>5.48</v>
      </c>
      <c r="L200" s="3" t="n">
        <v>244.51</v>
      </c>
      <c r="M200" s="2" t="n"/>
    </row>
    <row r="201">
      <c r="A201" s="3" t="n">
        <v>3142</v>
      </c>
      <c r="B201" s="3" t="n">
        <v>1793162797001</v>
      </c>
      <c r="C201" s="3" t="inlineStr">
        <is>
          <t>YANGTSE-AUTO DEL ECUADOR S.A.</t>
        </is>
      </c>
      <c r="D201" s="4" t="n">
        <v>46076</v>
      </c>
      <c r="E201" s="3" t="inlineStr">
        <is>
          <t>FE</t>
        </is>
      </c>
      <c r="F201" s="3" t="n">
        <v>684</v>
      </c>
      <c r="G201" s="3" t="n">
        <v>22232.99</v>
      </c>
      <c r="H201" s="3" t="n">
        <v>20444.13</v>
      </c>
      <c r="I201" s="3" t="n">
        <v>0</v>
      </c>
      <c r="J201" s="3" t="n">
        <v>3066.62</v>
      </c>
      <c r="K201" s="3" t="n">
        <v>1277.76</v>
      </c>
      <c r="L201" s="3" t="n">
        <v>22232.99</v>
      </c>
      <c r="M201" s="2" t="n"/>
    </row>
    <row r="202">
      <c r="A202" s="3" t="n">
        <v>3142</v>
      </c>
      <c r="B202" s="3" t="n">
        <v>1793162797001</v>
      </c>
      <c r="C202" s="3" t="inlineStr">
        <is>
          <t>YANGTSE-AUTO DEL ECUADOR S.A.</t>
        </is>
      </c>
      <c r="D202" s="4" t="n">
        <v>46079</v>
      </c>
      <c r="E202" s="3" t="inlineStr">
        <is>
          <t>FE</t>
        </is>
      </c>
      <c r="F202" s="3" t="n">
        <v>573</v>
      </c>
      <c r="G202" s="3" t="n">
        <v>391.89</v>
      </c>
      <c r="H202" s="3" t="n">
        <v>26.08</v>
      </c>
      <c r="I202" s="3" t="n">
        <v>370</v>
      </c>
      <c r="J202" s="3" t="n">
        <v>3.91</v>
      </c>
      <c r="K202" s="3" t="n">
        <v>8.1</v>
      </c>
      <c r="L202" s="3" t="n">
        <v>391.89</v>
      </c>
      <c r="M202" s="2" t="n"/>
    </row>
    <row r="203">
      <c r="A203" s="3" t="n">
        <v>3142</v>
      </c>
      <c r="B203" s="3" t="n">
        <v>1793162797001</v>
      </c>
      <c r="C203" s="3" t="inlineStr">
        <is>
          <t>YANGTSE-AUTO DEL ECUADOR S.A.</t>
        </is>
      </c>
      <c r="D203" s="4" t="n">
        <v>46079</v>
      </c>
      <c r="E203" s="3" t="inlineStr">
        <is>
          <t>FE</t>
        </is>
      </c>
      <c r="F203" s="3" t="n">
        <v>697</v>
      </c>
      <c r="G203" s="3" t="n">
        <v>31871.15</v>
      </c>
      <c r="H203" s="3" t="n">
        <v>29306.8</v>
      </c>
      <c r="I203" s="3" t="n">
        <v>0</v>
      </c>
      <c r="J203" s="3" t="n">
        <v>4396.02</v>
      </c>
      <c r="K203" s="3" t="n">
        <v>1831.68</v>
      </c>
      <c r="L203" s="3" t="n">
        <v>31871.15</v>
      </c>
      <c r="M203" s="2" t="n"/>
    </row>
    <row r="204">
      <c r="A204" s="3" t="n">
        <v>3142</v>
      </c>
      <c r="B204" s="3" t="n">
        <v>1793162797001</v>
      </c>
      <c r="C204" s="3" t="inlineStr">
        <is>
          <t>YANGTSE-AUTO DEL ECUADOR S.A.</t>
        </is>
      </c>
      <c r="D204" s="4" t="n">
        <v>46081</v>
      </c>
      <c r="E204" s="3" t="inlineStr">
        <is>
          <t>FE</t>
        </is>
      </c>
      <c r="F204" s="3" t="n">
        <v>714</v>
      </c>
      <c r="G204" s="3" t="n">
        <v>14882.96</v>
      </c>
      <c r="H204" s="3" t="n">
        <v>13685.48</v>
      </c>
      <c r="I204" s="3" t="n">
        <v>0</v>
      </c>
      <c r="J204" s="3" t="n">
        <v>2052.82</v>
      </c>
      <c r="K204" s="3" t="n">
        <v>855.34</v>
      </c>
      <c r="L204" s="3" t="n">
        <v>14882.96</v>
      </c>
      <c r="M204" s="2" t="n"/>
    </row>
    <row r="205">
      <c r="A205" s="3" t="n">
        <v>3142</v>
      </c>
      <c r="B205" s="3" t="n">
        <v>1793162797001</v>
      </c>
      <c r="C205" s="3" t="inlineStr">
        <is>
          <t>YANGTSE-AUTO DEL ECUADOR S.A.</t>
        </is>
      </c>
      <c r="D205" s="4" t="n">
        <v>46081</v>
      </c>
      <c r="E205" s="3" t="inlineStr">
        <is>
          <t>FE</t>
        </is>
      </c>
      <c r="F205" s="3" t="n">
        <v>716</v>
      </c>
      <c r="G205" s="3" t="n">
        <v>21509.04</v>
      </c>
      <c r="H205" s="3" t="n">
        <v>19778.43</v>
      </c>
      <c r="I205" s="3" t="n">
        <v>0</v>
      </c>
      <c r="J205" s="3" t="n">
        <v>2966.76</v>
      </c>
      <c r="K205" s="3" t="n">
        <v>1236.15</v>
      </c>
      <c r="L205" s="3" t="n">
        <v>21509.04</v>
      </c>
      <c r="M205" s="2" t="n"/>
    </row>
    <row r="206">
      <c r="A206" s="3" t="n">
        <v>1955</v>
      </c>
      <c r="B206" s="3" t="n">
        <v>1793169171001</v>
      </c>
      <c r="C206" s="3" t="inlineStr">
        <is>
          <t>CENTRO DE SERVICIOS COMPARTIDOS GBV S.A.</t>
        </is>
      </c>
      <c r="D206" s="4" t="n">
        <v>46062</v>
      </c>
      <c r="E206" s="3" t="inlineStr">
        <is>
          <t>FE</t>
        </is>
      </c>
      <c r="F206" s="3" t="n">
        <v>932</v>
      </c>
      <c r="G206" s="3" t="n">
        <v>1748.67</v>
      </c>
      <c r="H206" s="3" t="n">
        <v>1604.29</v>
      </c>
      <c r="I206" s="3" t="n">
        <v>0</v>
      </c>
      <c r="J206" s="3" t="n">
        <v>240.64</v>
      </c>
      <c r="K206" s="3" t="n">
        <v>96.26000000000001</v>
      </c>
      <c r="L206" s="3" t="n">
        <v>0</v>
      </c>
      <c r="M206" s="2" t="n"/>
    </row>
    <row r="207">
      <c r="A207" s="3" t="n">
        <v>3314</v>
      </c>
      <c r="B207" s="3" t="n">
        <v>1793213809001</v>
      </c>
      <c r="C207" s="3" t="inlineStr">
        <is>
          <t>VERSATIL-F&amp;B S.A.S.</t>
        </is>
      </c>
      <c r="D207" s="4" t="n">
        <v>46079</v>
      </c>
      <c r="E207" s="3" t="inlineStr">
        <is>
          <t>FE</t>
        </is>
      </c>
      <c r="F207" s="3" t="n">
        <v>14504</v>
      </c>
      <c r="G207" s="3" t="n">
        <v>109.89</v>
      </c>
      <c r="H207" s="3" t="n">
        <v>87.91</v>
      </c>
      <c r="I207" s="3" t="n">
        <v>8.789999999999999</v>
      </c>
      <c r="J207" s="3" t="n">
        <v>13.19</v>
      </c>
      <c r="K207" s="3" t="n">
        <v>0</v>
      </c>
      <c r="L207" s="3" t="n">
        <v>109.89</v>
      </c>
      <c r="M207" s="2" t="n"/>
    </row>
    <row r="208">
      <c r="A208" s="3" t="n">
        <v>1076</v>
      </c>
      <c r="B208" s="3" t="n">
        <v>1800783787001</v>
      </c>
      <c r="C208" s="3" t="inlineStr">
        <is>
          <t>PALACIOS DAVALOS MARCELO EDUARDO</t>
        </is>
      </c>
      <c r="D208" s="4" t="n">
        <v>46077</v>
      </c>
      <c r="E208" s="3" t="inlineStr">
        <is>
          <t>FE</t>
        </is>
      </c>
      <c r="F208" s="3" t="n">
        <v>628</v>
      </c>
      <c r="G208" s="3" t="n">
        <v>35.87</v>
      </c>
      <c r="H208" s="3" t="n">
        <v>35</v>
      </c>
      <c r="I208" s="3" t="n">
        <v>0</v>
      </c>
      <c r="J208" s="3" t="n">
        <v>5.25</v>
      </c>
      <c r="K208" s="3" t="n">
        <v>4.38</v>
      </c>
      <c r="L208" s="3" t="n">
        <v>0</v>
      </c>
      <c r="M208" s="2" t="n"/>
    </row>
    <row r="209">
      <c r="A209" s="3" t="n">
        <v>1076</v>
      </c>
      <c r="B209" s="3" t="n">
        <v>1800783787001</v>
      </c>
      <c r="C209" s="3" t="inlineStr">
        <is>
          <t>PALACIOS DAVALOS MARCELO EDUARDO</t>
        </is>
      </c>
      <c r="D209" s="4" t="n">
        <v>46077</v>
      </c>
      <c r="E209" s="3" t="inlineStr">
        <is>
          <t>FE</t>
        </is>
      </c>
      <c r="F209" s="3" t="n">
        <v>629</v>
      </c>
      <c r="G209" s="3" t="n">
        <v>16.32</v>
      </c>
      <c r="H209" s="3" t="n">
        <v>15</v>
      </c>
      <c r="I209" s="3" t="n">
        <v>0</v>
      </c>
      <c r="J209" s="3" t="n">
        <v>2.25</v>
      </c>
      <c r="K209" s="3" t="n">
        <v>0.93</v>
      </c>
      <c r="L209" s="3" t="n">
        <v>0</v>
      </c>
      <c r="M209" s="2" t="n"/>
    </row>
    <row r="210">
      <c r="A210" s="3" t="n">
        <v>165</v>
      </c>
      <c r="B210" s="3" t="n">
        <v>1800807248001</v>
      </c>
      <c r="C210" s="3" t="inlineStr">
        <is>
          <t>CAICEDO ALFONSO DAVID</t>
        </is>
      </c>
      <c r="D210" s="4" t="n">
        <v>46055</v>
      </c>
      <c r="E210" s="3" t="inlineStr">
        <is>
          <t>FE</t>
        </is>
      </c>
      <c r="F210" s="3" t="n">
        <v>820</v>
      </c>
      <c r="G210" s="3" t="n">
        <v>254.37</v>
      </c>
      <c r="H210" s="3" t="n">
        <v>250</v>
      </c>
      <c r="I210" s="3" t="n">
        <v>0</v>
      </c>
      <c r="J210" s="3" t="n">
        <v>37.5</v>
      </c>
      <c r="K210" s="3" t="n">
        <v>33.13</v>
      </c>
      <c r="L210" s="3" t="n">
        <v>0</v>
      </c>
      <c r="M210" s="2" t="n"/>
    </row>
    <row r="211">
      <c r="A211" s="3" t="n">
        <v>764</v>
      </c>
      <c r="B211" s="3" t="n">
        <v>1801567494001</v>
      </c>
      <c r="C211" s="3" t="inlineStr">
        <is>
          <t>COUSIN VALLEJO BYRON IVAN</t>
        </is>
      </c>
      <c r="D211" s="4" t="n">
        <v>46075</v>
      </c>
      <c r="E211" s="3" t="inlineStr">
        <is>
          <t>FE</t>
        </is>
      </c>
      <c r="F211" s="3" t="n">
        <v>314</v>
      </c>
      <c r="G211" s="3" t="n">
        <v>58.8</v>
      </c>
      <c r="H211" s="3" t="n">
        <v>0</v>
      </c>
      <c r="I211" s="3" t="n">
        <v>60</v>
      </c>
      <c r="J211" s="3" t="n">
        <v>0</v>
      </c>
      <c r="K211" s="3" t="n">
        <v>1.2</v>
      </c>
      <c r="L211" s="3" t="n">
        <v>58.8</v>
      </c>
      <c r="M211" s="2" t="n"/>
    </row>
    <row r="212">
      <c r="A212" s="3" t="n">
        <v>1204</v>
      </c>
      <c r="B212" s="3" t="n">
        <v>1801719152001</v>
      </c>
      <c r="C212" s="3" t="inlineStr">
        <is>
          <t>VARGAS TORRES WALTTER DARIO</t>
        </is>
      </c>
      <c r="D212" s="4" t="n">
        <v>46055</v>
      </c>
      <c r="E212" s="3" t="inlineStr">
        <is>
          <t>FE</t>
        </is>
      </c>
      <c r="F212" s="3" t="n">
        <v>31786</v>
      </c>
      <c r="G212" s="3" t="n">
        <v>184.87</v>
      </c>
      <c r="H212" s="3" t="n">
        <v>170</v>
      </c>
      <c r="I212" s="3" t="n">
        <v>0</v>
      </c>
      <c r="J212" s="3" t="n">
        <v>25.5</v>
      </c>
      <c r="K212" s="3" t="n">
        <v>10.63</v>
      </c>
      <c r="L212" s="3" t="n">
        <v>184.87</v>
      </c>
      <c r="M212" s="2" t="n"/>
    </row>
    <row r="213">
      <c r="A213" s="3" t="n">
        <v>1204</v>
      </c>
      <c r="B213" s="3" t="n">
        <v>1801719152001</v>
      </c>
      <c r="C213" s="3" t="inlineStr">
        <is>
          <t>VARGAS TORRES WALTTER DARIO</t>
        </is>
      </c>
      <c r="D213" s="4" t="n">
        <v>46056</v>
      </c>
      <c r="E213" s="3" t="inlineStr">
        <is>
          <t>FE</t>
        </is>
      </c>
      <c r="F213" s="3" t="n">
        <v>31801</v>
      </c>
      <c r="G213" s="3" t="n">
        <v>554.62</v>
      </c>
      <c r="H213" s="3" t="n">
        <v>510</v>
      </c>
      <c r="I213" s="3" t="n">
        <v>0</v>
      </c>
      <c r="J213" s="3" t="n">
        <v>76.5</v>
      </c>
      <c r="K213" s="3" t="n">
        <v>31.88</v>
      </c>
      <c r="L213" s="3" t="n">
        <v>554.62</v>
      </c>
      <c r="M213" s="2" t="n"/>
    </row>
    <row r="214">
      <c r="A214" s="3" t="n">
        <v>2038</v>
      </c>
      <c r="B214" s="3" t="n">
        <v>1801880574001</v>
      </c>
      <c r="C214" s="3" t="inlineStr">
        <is>
          <t>NOBOA CABRERA GALO HERNAN</t>
        </is>
      </c>
      <c r="D214" s="4" t="n">
        <v>46079</v>
      </c>
      <c r="E214" s="3" t="inlineStr">
        <is>
          <t>FE</t>
        </is>
      </c>
      <c r="F214" s="3" t="n">
        <v>914</v>
      </c>
      <c r="G214" s="3" t="n">
        <v>15.52</v>
      </c>
      <c r="H214" s="3" t="n">
        <v>15</v>
      </c>
      <c r="I214" s="3" t="n">
        <v>0</v>
      </c>
      <c r="J214" s="3" t="n">
        <v>2.25</v>
      </c>
      <c r="K214" s="3" t="n">
        <v>1.73</v>
      </c>
      <c r="L214" s="3" t="n">
        <v>15.52</v>
      </c>
      <c r="M214" s="2" t="n"/>
    </row>
    <row r="215">
      <c r="A215" s="3" t="n">
        <v>1291</v>
      </c>
      <c r="B215" s="3" t="n">
        <v>1802094688001</v>
      </c>
      <c r="C215" s="3" t="inlineStr">
        <is>
          <t>MAYORGA ORTEGA MARCELO PATRICIO</t>
        </is>
      </c>
      <c r="D215" s="4" t="n">
        <v>46071</v>
      </c>
      <c r="E215" s="3" t="inlineStr">
        <is>
          <t>FE</t>
        </is>
      </c>
      <c r="F215" s="3" t="n">
        <v>22</v>
      </c>
      <c r="G215" s="3" t="n">
        <v>45</v>
      </c>
      <c r="H215" s="3" t="n">
        <v>0</v>
      </c>
      <c r="I215" s="3" t="n">
        <v>45</v>
      </c>
      <c r="J215" s="3" t="n">
        <v>0</v>
      </c>
      <c r="K215" s="3" t="n">
        <v>0</v>
      </c>
      <c r="L215" s="3" t="n">
        <v>0</v>
      </c>
      <c r="M215" s="2" t="n"/>
    </row>
    <row r="216">
      <c r="A216" s="3" t="n">
        <v>1291</v>
      </c>
      <c r="B216" s="3" t="n">
        <v>1802094688001</v>
      </c>
      <c r="C216" s="3" t="inlineStr">
        <is>
          <t>MAYORGA ORTEGA MARCELO PATRICIO</t>
        </is>
      </c>
      <c r="D216" s="4" t="n">
        <v>46071</v>
      </c>
      <c r="E216" s="3" t="inlineStr">
        <is>
          <t>FE</t>
        </is>
      </c>
      <c r="F216" s="3" t="n">
        <v>21</v>
      </c>
      <c r="G216" s="3" t="n">
        <v>198</v>
      </c>
      <c r="H216" s="3" t="n">
        <v>0</v>
      </c>
      <c r="I216" s="3" t="n">
        <v>198</v>
      </c>
      <c r="J216" s="3" t="n">
        <v>0</v>
      </c>
      <c r="K216" s="3" t="n">
        <v>0</v>
      </c>
      <c r="L216" s="3" t="n">
        <v>0</v>
      </c>
      <c r="M216" s="2" t="n"/>
    </row>
    <row r="217">
      <c r="A217" s="3" t="n">
        <v>1291</v>
      </c>
      <c r="B217" s="3" t="n">
        <v>1802094688001</v>
      </c>
      <c r="C217" s="3" t="inlineStr">
        <is>
          <t>MAYORGA ORTEGA MARCELO PATRICIO</t>
        </is>
      </c>
      <c r="D217" s="4" t="n">
        <v>46071</v>
      </c>
      <c r="E217" s="3" t="inlineStr">
        <is>
          <t>FE</t>
        </is>
      </c>
      <c r="F217" s="3" t="n">
        <v>19</v>
      </c>
      <c r="G217" s="3" t="n">
        <v>515</v>
      </c>
      <c r="H217" s="3" t="n">
        <v>0</v>
      </c>
      <c r="I217" s="3" t="n">
        <v>515</v>
      </c>
      <c r="J217" s="3" t="n">
        <v>0</v>
      </c>
      <c r="K217" s="3" t="n">
        <v>0</v>
      </c>
      <c r="L217" s="3" t="n">
        <v>0</v>
      </c>
      <c r="M217" s="2" t="n"/>
    </row>
    <row r="218">
      <c r="A218" s="3" t="n">
        <v>1291</v>
      </c>
      <c r="B218" s="3" t="n">
        <v>1802094688001</v>
      </c>
      <c r="C218" s="3" t="inlineStr">
        <is>
          <t>MAYORGA ORTEGA MARCELO PATRICIO</t>
        </is>
      </c>
      <c r="D218" s="4" t="n">
        <v>46071</v>
      </c>
      <c r="E218" s="3" t="inlineStr">
        <is>
          <t>FE</t>
        </is>
      </c>
      <c r="F218" s="3" t="n">
        <v>20</v>
      </c>
      <c r="G218" s="3" t="n">
        <v>50</v>
      </c>
      <c r="H218" s="3" t="n">
        <v>0</v>
      </c>
      <c r="I218" s="3" t="n">
        <v>50</v>
      </c>
      <c r="J218" s="3" t="n">
        <v>0</v>
      </c>
      <c r="K218" s="3" t="n">
        <v>0</v>
      </c>
      <c r="L218" s="3" t="n">
        <v>0</v>
      </c>
      <c r="M218" s="2" t="n"/>
    </row>
    <row r="219">
      <c r="A219" s="3" t="n">
        <v>3305</v>
      </c>
      <c r="B219" s="3" t="n">
        <v>1802182426001</v>
      </c>
      <c r="C219" s="3" t="inlineStr">
        <is>
          <t>ZEA ALTAMIRANO MARIA ELENA</t>
        </is>
      </c>
      <c r="D219" s="4" t="n">
        <v>46071</v>
      </c>
      <c r="E219" s="3" t="inlineStr">
        <is>
          <t>FE</t>
        </is>
      </c>
      <c r="F219" s="3" t="n">
        <v>3</v>
      </c>
      <c r="G219" s="3" t="n">
        <v>2976.75</v>
      </c>
      <c r="H219" s="3" t="n">
        <v>3150</v>
      </c>
      <c r="I219" s="3" t="n">
        <v>0</v>
      </c>
      <c r="J219" s="3" t="n">
        <v>472.5</v>
      </c>
      <c r="K219" s="3" t="n">
        <v>645.75</v>
      </c>
      <c r="L219" s="3" t="n">
        <v>0</v>
      </c>
      <c r="M219" s="2" t="n"/>
    </row>
    <row r="220">
      <c r="A220" s="3" t="n">
        <v>896</v>
      </c>
      <c r="B220" s="3" t="n">
        <v>1802497923001</v>
      </c>
      <c r="C220" s="3" t="inlineStr">
        <is>
          <t>ARMAS MELENDEZ MONICA ALEXANDRA</t>
        </is>
      </c>
      <c r="D220" s="4" t="n">
        <v>46058</v>
      </c>
      <c r="E220" s="3" t="inlineStr">
        <is>
          <t>FE</t>
        </is>
      </c>
      <c r="F220" s="3" t="n">
        <v>212880</v>
      </c>
      <c r="G220" s="3" t="n">
        <v>96.19</v>
      </c>
      <c r="H220" s="3" t="n">
        <v>100.93</v>
      </c>
      <c r="I220" s="3" t="n">
        <v>0.9</v>
      </c>
      <c r="J220" s="3" t="n">
        <v>15.14</v>
      </c>
      <c r="K220" s="3" t="n">
        <v>20.78</v>
      </c>
      <c r="L220" s="3" t="n">
        <v>96.19</v>
      </c>
      <c r="M220" s="2" t="n"/>
    </row>
    <row r="221">
      <c r="A221" s="3" t="n">
        <v>1290</v>
      </c>
      <c r="B221" s="3" t="n">
        <v>1802504470001</v>
      </c>
      <c r="C221" s="3" t="inlineStr">
        <is>
          <t>MAYORGA MAYORGA WILSON RAMIRO</t>
        </is>
      </c>
      <c r="D221" s="4" t="n">
        <v>46057</v>
      </c>
      <c r="E221" s="3" t="inlineStr">
        <is>
          <t>FE</t>
        </is>
      </c>
      <c r="F221" s="3" t="n">
        <v>76818</v>
      </c>
      <c r="G221" s="3" t="n">
        <v>65.48999999999999</v>
      </c>
      <c r="H221" s="3" t="n">
        <v>68.44</v>
      </c>
      <c r="I221" s="3" t="n">
        <v>0.9</v>
      </c>
      <c r="J221" s="3" t="n">
        <v>10.27</v>
      </c>
      <c r="K221" s="3" t="n">
        <v>14.12</v>
      </c>
      <c r="L221" s="3" t="n">
        <v>0</v>
      </c>
      <c r="M221" s="2" t="n"/>
    </row>
    <row r="222">
      <c r="A222" s="3" t="n">
        <v>1290</v>
      </c>
      <c r="B222" s="3" t="n">
        <v>1802504470001</v>
      </c>
      <c r="C222" s="3" t="inlineStr">
        <is>
          <t>MAYORGA MAYORGA WILSON RAMIRO</t>
        </is>
      </c>
      <c r="D222" s="4" t="n">
        <v>46057</v>
      </c>
      <c r="E222" s="3" t="inlineStr">
        <is>
          <t>FE</t>
        </is>
      </c>
      <c r="F222" s="3" t="n">
        <v>76819</v>
      </c>
      <c r="G222" s="3" t="n">
        <v>10.15</v>
      </c>
      <c r="H222" s="3" t="n">
        <v>10.74</v>
      </c>
      <c r="I222" s="3" t="n">
        <v>0</v>
      </c>
      <c r="J222" s="3" t="n">
        <v>1.61</v>
      </c>
      <c r="K222" s="3" t="n">
        <v>2.2</v>
      </c>
      <c r="L222" s="3" t="n">
        <v>0</v>
      </c>
      <c r="M222" s="2" t="n"/>
    </row>
    <row r="223">
      <c r="A223" s="3" t="n">
        <v>1290</v>
      </c>
      <c r="B223" s="3" t="n">
        <v>1802504470001</v>
      </c>
      <c r="C223" s="3" t="inlineStr">
        <is>
          <t>MAYORGA MAYORGA WILSON RAMIRO</t>
        </is>
      </c>
      <c r="D223" s="4" t="n">
        <v>46065</v>
      </c>
      <c r="E223" s="3" t="inlineStr">
        <is>
          <t>FE</t>
        </is>
      </c>
      <c r="F223" s="3" t="n">
        <v>76915</v>
      </c>
      <c r="G223" s="3" t="n">
        <v>10.15</v>
      </c>
      <c r="H223" s="3" t="n">
        <v>10.74</v>
      </c>
      <c r="I223" s="3" t="n">
        <v>0</v>
      </c>
      <c r="J223" s="3" t="n">
        <v>1.61</v>
      </c>
      <c r="K223" s="3" t="n">
        <v>2.2</v>
      </c>
      <c r="L223" s="3" t="n">
        <v>0</v>
      </c>
      <c r="M223" s="2" t="n"/>
    </row>
    <row r="224">
      <c r="A224" s="3" t="n">
        <v>1290</v>
      </c>
      <c r="B224" s="3" t="n">
        <v>1802504470001</v>
      </c>
      <c r="C224" s="3" t="inlineStr">
        <is>
          <t>MAYORGA MAYORGA WILSON RAMIRO</t>
        </is>
      </c>
      <c r="D224" s="4" t="n">
        <v>46065</v>
      </c>
      <c r="E224" s="3" t="inlineStr">
        <is>
          <t>FE</t>
        </is>
      </c>
      <c r="F224" s="3" t="n">
        <v>76914</v>
      </c>
      <c r="G224" s="3" t="n">
        <v>103.99</v>
      </c>
      <c r="H224" s="3" t="n">
        <v>109.47</v>
      </c>
      <c r="I224" s="3" t="n">
        <v>0.6</v>
      </c>
      <c r="J224" s="3" t="n">
        <v>16.42</v>
      </c>
      <c r="K224" s="3" t="n">
        <v>22.5</v>
      </c>
      <c r="L224" s="3" t="n">
        <v>0</v>
      </c>
      <c r="M224" s="2" t="n"/>
    </row>
    <row r="225">
      <c r="A225" s="3" t="n">
        <v>1822</v>
      </c>
      <c r="B225" s="3" t="n">
        <v>1802588002001</v>
      </c>
      <c r="C225" s="3" t="inlineStr">
        <is>
          <t>PAEZ ORTIZ CHRISTIAN GONZALO</t>
        </is>
      </c>
      <c r="D225" s="4" t="n">
        <v>46056</v>
      </c>
      <c r="E225" s="3" t="inlineStr">
        <is>
          <t>FE</t>
        </is>
      </c>
      <c r="F225" s="3" t="n">
        <v>3603</v>
      </c>
      <c r="G225" s="3" t="n">
        <v>82.54000000000001</v>
      </c>
      <c r="H225" s="3" t="n">
        <v>75.90000000000001</v>
      </c>
      <c r="I225" s="3" t="n">
        <v>0</v>
      </c>
      <c r="J225" s="3" t="n">
        <v>11.39</v>
      </c>
      <c r="K225" s="3" t="n">
        <v>4.75</v>
      </c>
      <c r="L225" s="3" t="n">
        <v>82.54000000000001</v>
      </c>
      <c r="M225" s="2" t="n"/>
    </row>
    <row r="226">
      <c r="A226" s="3" t="n">
        <v>1822</v>
      </c>
      <c r="B226" s="3" t="n">
        <v>1802588002001</v>
      </c>
      <c r="C226" s="3" t="inlineStr">
        <is>
          <t>PAEZ ORTIZ CHRISTIAN GONZALO</t>
        </is>
      </c>
      <c r="D226" s="4" t="n">
        <v>46056</v>
      </c>
      <c r="E226" s="3" t="inlineStr">
        <is>
          <t>FE</t>
        </is>
      </c>
      <c r="F226" s="3" t="n">
        <v>3601</v>
      </c>
      <c r="G226" s="3" t="n">
        <v>500.25</v>
      </c>
      <c r="H226" s="3" t="n">
        <v>460</v>
      </c>
      <c r="I226" s="3" t="n">
        <v>0</v>
      </c>
      <c r="J226" s="3" t="n">
        <v>69</v>
      </c>
      <c r="K226" s="3" t="n">
        <v>28.75</v>
      </c>
      <c r="L226" s="3" t="n">
        <v>500.25</v>
      </c>
      <c r="M226" s="2" t="n"/>
    </row>
    <row r="227">
      <c r="A227" s="3" t="n">
        <v>1822</v>
      </c>
      <c r="B227" s="3" t="n">
        <v>1802588002001</v>
      </c>
      <c r="C227" s="3" t="inlineStr">
        <is>
          <t>PAEZ ORTIZ CHRISTIAN GONZALO</t>
        </is>
      </c>
      <c r="D227" s="4" t="n">
        <v>46056</v>
      </c>
      <c r="E227" s="3" t="inlineStr">
        <is>
          <t>FE</t>
        </is>
      </c>
      <c r="F227" s="3" t="n">
        <v>3602</v>
      </c>
      <c r="G227" s="3" t="n">
        <v>52.2</v>
      </c>
      <c r="H227" s="3" t="n">
        <v>48</v>
      </c>
      <c r="I227" s="3" t="n">
        <v>0</v>
      </c>
      <c r="J227" s="3" t="n">
        <v>7.2</v>
      </c>
      <c r="K227" s="3" t="n">
        <v>3</v>
      </c>
      <c r="L227" s="3" t="n">
        <v>52.2</v>
      </c>
      <c r="M227" s="2" t="n"/>
    </row>
    <row r="228">
      <c r="A228" s="3" t="n">
        <v>1822</v>
      </c>
      <c r="B228" s="3" t="n">
        <v>1802588002001</v>
      </c>
      <c r="C228" s="3" t="inlineStr">
        <is>
          <t>PAEZ ORTIZ CHRISTIAN GONZALO</t>
        </is>
      </c>
      <c r="D228" s="4" t="n">
        <v>46061</v>
      </c>
      <c r="E228" s="3" t="inlineStr">
        <is>
          <t>FE</t>
        </is>
      </c>
      <c r="F228" s="3" t="n">
        <v>3607</v>
      </c>
      <c r="G228" s="3" t="n">
        <v>65.25</v>
      </c>
      <c r="H228" s="3" t="n">
        <v>60</v>
      </c>
      <c r="I228" s="3" t="n">
        <v>0</v>
      </c>
      <c r="J228" s="3" t="n">
        <v>9</v>
      </c>
      <c r="K228" s="3" t="n">
        <v>3.75</v>
      </c>
      <c r="L228" s="3" t="n">
        <v>65.25</v>
      </c>
      <c r="M228" s="2" t="n"/>
    </row>
    <row r="229">
      <c r="A229" s="3" t="n">
        <v>1822</v>
      </c>
      <c r="B229" s="3" t="n">
        <v>1802588002001</v>
      </c>
      <c r="C229" s="3" t="inlineStr">
        <is>
          <t>PAEZ ORTIZ CHRISTIAN GONZALO</t>
        </is>
      </c>
      <c r="D229" s="4" t="n">
        <v>46071</v>
      </c>
      <c r="E229" s="3" t="inlineStr">
        <is>
          <t>FE</t>
        </is>
      </c>
      <c r="F229" s="3" t="n">
        <v>3633</v>
      </c>
      <c r="G229" s="3" t="n">
        <v>139.2</v>
      </c>
      <c r="H229" s="3" t="n">
        <v>128</v>
      </c>
      <c r="I229" s="3" t="n">
        <v>0</v>
      </c>
      <c r="J229" s="3" t="n">
        <v>19.2</v>
      </c>
      <c r="K229" s="3" t="n">
        <v>8</v>
      </c>
      <c r="L229" s="3" t="n">
        <v>139.2</v>
      </c>
      <c r="M229" s="2" t="n"/>
    </row>
    <row r="230">
      <c r="A230" s="3" t="n">
        <v>1822</v>
      </c>
      <c r="B230" s="3" t="n">
        <v>1802588002001</v>
      </c>
      <c r="C230" s="3" t="inlineStr">
        <is>
          <t>PAEZ ORTIZ CHRISTIAN GONZALO</t>
        </is>
      </c>
      <c r="D230" s="4" t="n">
        <v>46071</v>
      </c>
      <c r="E230" s="3" t="inlineStr">
        <is>
          <t>FE</t>
        </is>
      </c>
      <c r="F230" s="3" t="n">
        <v>3635</v>
      </c>
      <c r="G230" s="3" t="n">
        <v>499.17</v>
      </c>
      <c r="H230" s="3" t="n">
        <v>487</v>
      </c>
      <c r="I230" s="3" t="n">
        <v>0</v>
      </c>
      <c r="J230" s="3" t="n">
        <v>73.05</v>
      </c>
      <c r="K230" s="3" t="n">
        <v>60.88</v>
      </c>
      <c r="L230" s="3" t="n">
        <v>499.17</v>
      </c>
      <c r="M230" s="2" t="n"/>
    </row>
    <row r="231">
      <c r="A231" s="3" t="n">
        <v>1822</v>
      </c>
      <c r="B231" s="3" t="n">
        <v>1802588002001</v>
      </c>
      <c r="C231" s="3" t="inlineStr">
        <is>
          <t>PAEZ ORTIZ CHRISTIAN GONZALO</t>
        </is>
      </c>
      <c r="D231" s="4" t="n">
        <v>46071</v>
      </c>
      <c r="E231" s="3" t="inlineStr">
        <is>
          <t>FE</t>
        </is>
      </c>
      <c r="F231" s="3" t="n">
        <v>3634</v>
      </c>
      <c r="G231" s="3" t="n">
        <v>250.56</v>
      </c>
      <c r="H231" s="3" t="n">
        <v>230.4</v>
      </c>
      <c r="I231" s="3" t="n">
        <v>0</v>
      </c>
      <c r="J231" s="3" t="n">
        <v>34.56</v>
      </c>
      <c r="K231" s="3" t="n">
        <v>14.4</v>
      </c>
      <c r="L231" s="3" t="n">
        <v>250.56</v>
      </c>
      <c r="M231" s="2" t="n"/>
    </row>
    <row r="232">
      <c r="A232" s="3" t="n">
        <v>1822</v>
      </c>
      <c r="B232" s="3" t="n">
        <v>1802588002001</v>
      </c>
      <c r="C232" s="3" t="inlineStr">
        <is>
          <t>PAEZ ORTIZ CHRISTIAN GONZALO</t>
        </is>
      </c>
      <c r="D232" s="4" t="n">
        <v>46071</v>
      </c>
      <c r="E232" s="3" t="inlineStr">
        <is>
          <t>FE</t>
        </is>
      </c>
      <c r="F232" s="3" t="n">
        <v>3631</v>
      </c>
      <c r="G232" s="3" t="n">
        <v>252.73</v>
      </c>
      <c r="H232" s="3" t="n">
        <v>232.4</v>
      </c>
      <c r="I232" s="3" t="n">
        <v>0</v>
      </c>
      <c r="J232" s="3" t="n">
        <v>34.86</v>
      </c>
      <c r="K232" s="3" t="n">
        <v>14.53</v>
      </c>
      <c r="L232" s="3" t="n">
        <v>252.73</v>
      </c>
      <c r="M232" s="2" t="n"/>
    </row>
    <row r="233">
      <c r="A233" s="3" t="n">
        <v>1822</v>
      </c>
      <c r="B233" s="3" t="n">
        <v>1802588002001</v>
      </c>
      <c r="C233" s="3" t="inlineStr">
        <is>
          <t>PAEZ ORTIZ CHRISTIAN GONZALO</t>
        </is>
      </c>
      <c r="D233" s="4" t="n">
        <v>46071</v>
      </c>
      <c r="E233" s="3" t="inlineStr">
        <is>
          <t>FE</t>
        </is>
      </c>
      <c r="F233" s="3" t="n">
        <v>3632</v>
      </c>
      <c r="G233" s="3" t="n">
        <v>325.16</v>
      </c>
      <c r="H233" s="3" t="n">
        <v>299</v>
      </c>
      <c r="I233" s="3" t="n">
        <v>0</v>
      </c>
      <c r="J233" s="3" t="n">
        <v>44.85</v>
      </c>
      <c r="K233" s="3" t="n">
        <v>18.69</v>
      </c>
      <c r="L233" s="3" t="n">
        <v>325.16</v>
      </c>
      <c r="M233" s="2" t="n"/>
    </row>
    <row r="234">
      <c r="A234" s="3" t="n">
        <v>1822</v>
      </c>
      <c r="B234" s="3" t="n">
        <v>1802588002001</v>
      </c>
      <c r="C234" s="3" t="inlineStr">
        <is>
          <t>PAEZ ORTIZ CHRISTIAN GONZALO</t>
        </is>
      </c>
      <c r="D234" s="4" t="n">
        <v>46071</v>
      </c>
      <c r="E234" s="3" t="inlineStr">
        <is>
          <t>FE</t>
        </is>
      </c>
      <c r="F234" s="3" t="n">
        <v>3630</v>
      </c>
      <c r="G234" s="3" t="n">
        <v>100.6</v>
      </c>
      <c r="H234" s="3" t="n">
        <v>92.5</v>
      </c>
      <c r="I234" s="3" t="n">
        <v>0</v>
      </c>
      <c r="J234" s="3" t="n">
        <v>13.88</v>
      </c>
      <c r="K234" s="3" t="n">
        <v>5.78</v>
      </c>
      <c r="L234" s="3" t="n">
        <v>100.6</v>
      </c>
      <c r="M234" s="2" t="n"/>
    </row>
    <row r="235">
      <c r="A235" s="3" t="n">
        <v>1822</v>
      </c>
      <c r="B235" s="3" t="n">
        <v>1802588002001</v>
      </c>
      <c r="C235" s="3" t="inlineStr">
        <is>
          <t>PAEZ ORTIZ CHRISTIAN GONZALO</t>
        </is>
      </c>
      <c r="D235" s="4" t="n">
        <v>46071</v>
      </c>
      <c r="E235" s="3" t="inlineStr">
        <is>
          <t>FE</t>
        </is>
      </c>
      <c r="F235" s="3" t="n">
        <v>3622</v>
      </c>
      <c r="G235" s="3" t="n">
        <v>76.12</v>
      </c>
      <c r="H235" s="3" t="n">
        <v>70</v>
      </c>
      <c r="I235" s="3" t="n">
        <v>0</v>
      </c>
      <c r="J235" s="3" t="n">
        <v>10.5</v>
      </c>
      <c r="K235" s="3" t="n">
        <v>4.38</v>
      </c>
      <c r="L235" s="3" t="n">
        <v>76.12</v>
      </c>
      <c r="M235" s="2" t="n"/>
    </row>
    <row r="236">
      <c r="A236" s="3" t="n">
        <v>3202</v>
      </c>
      <c r="B236" s="3" t="n">
        <v>1802626570001</v>
      </c>
      <c r="C236" s="3" t="inlineStr">
        <is>
          <t>FABARA VILLACIS MANOLO ROBERTO</t>
        </is>
      </c>
      <c r="D236" s="4" t="n">
        <v>46075</v>
      </c>
      <c r="E236" s="3" t="inlineStr">
        <is>
          <t>FE</t>
        </is>
      </c>
      <c r="F236" s="3" t="n">
        <v>11</v>
      </c>
      <c r="G236" s="3" t="n">
        <v>1080</v>
      </c>
      <c r="H236" s="3" t="n">
        <v>0</v>
      </c>
      <c r="I236" s="3" t="n">
        <v>1200</v>
      </c>
      <c r="J236" s="3" t="n">
        <v>0</v>
      </c>
      <c r="K236" s="3" t="n">
        <v>120</v>
      </c>
      <c r="L236" s="3" t="n">
        <v>1080</v>
      </c>
      <c r="M236" s="2" t="n"/>
    </row>
    <row r="237">
      <c r="A237" s="3" t="n">
        <v>3307</v>
      </c>
      <c r="B237" s="3" t="n">
        <v>1802633311001</v>
      </c>
      <c r="C237" s="3" t="inlineStr">
        <is>
          <t>LALAMA MORALES CARMEN GUADALUPE</t>
        </is>
      </c>
      <c r="D237" s="4" t="n">
        <v>46071</v>
      </c>
      <c r="E237" s="3" t="inlineStr">
        <is>
          <t>FE</t>
        </is>
      </c>
      <c r="F237" s="3" t="n">
        <v>5950</v>
      </c>
      <c r="G237" s="3" t="n">
        <v>22.34</v>
      </c>
      <c r="H237" s="3" t="n">
        <v>20.54</v>
      </c>
      <c r="I237" s="3" t="n">
        <v>0</v>
      </c>
      <c r="J237" s="3" t="n">
        <v>3.08</v>
      </c>
      <c r="K237" s="3" t="n">
        <v>1.28</v>
      </c>
      <c r="L237" s="3" t="n">
        <v>0</v>
      </c>
      <c r="M237" s="2" t="n"/>
    </row>
    <row r="238">
      <c r="A238" s="3" t="n">
        <v>215</v>
      </c>
      <c r="B238" s="3" t="n">
        <v>1802734614001</v>
      </c>
      <c r="C238" s="3" t="inlineStr">
        <is>
          <t>GARCES REA JAVIER ALEJANDRO</t>
        </is>
      </c>
      <c r="D238" s="4" t="n">
        <v>46071</v>
      </c>
      <c r="E238" s="3" t="inlineStr">
        <is>
          <t>FE</t>
        </is>
      </c>
      <c r="F238" s="3" t="n">
        <v>1096</v>
      </c>
      <c r="G238" s="3" t="n">
        <v>1087.5</v>
      </c>
      <c r="H238" s="3" t="n">
        <v>1000</v>
      </c>
      <c r="I238" s="3" t="n">
        <v>0</v>
      </c>
      <c r="J238" s="3" t="n">
        <v>150</v>
      </c>
      <c r="K238" s="3" t="n">
        <v>62.5</v>
      </c>
      <c r="L238" s="3" t="n">
        <v>1087.5</v>
      </c>
      <c r="M238" s="2" t="n"/>
    </row>
    <row r="239">
      <c r="A239" s="3" t="n">
        <v>672</v>
      </c>
      <c r="B239" s="3" t="n">
        <v>1802740876001</v>
      </c>
      <c r="C239" s="3" t="inlineStr">
        <is>
          <t>LOPEZ PACA EDWIN MARCELO</t>
        </is>
      </c>
      <c r="D239" s="4" t="n">
        <v>46056</v>
      </c>
      <c r="E239" s="3" t="inlineStr">
        <is>
          <t>FE</t>
        </is>
      </c>
      <c r="F239" s="3" t="n">
        <v>376</v>
      </c>
      <c r="G239" s="3" t="n">
        <v>24.5</v>
      </c>
      <c r="H239" s="3" t="n">
        <v>0</v>
      </c>
      <c r="I239" s="3" t="n">
        <v>25</v>
      </c>
      <c r="J239" s="3" t="n">
        <v>0</v>
      </c>
      <c r="K239" s="3" t="n">
        <v>0.5</v>
      </c>
      <c r="L239" s="3" t="n">
        <v>24.5</v>
      </c>
      <c r="M239" s="2" t="n"/>
    </row>
    <row r="240">
      <c r="A240" s="3" t="n">
        <v>2163</v>
      </c>
      <c r="B240" s="3" t="n">
        <v>1803347317001</v>
      </c>
      <c r="C240" s="3" t="inlineStr">
        <is>
          <t>GOMEZ CORDOVA EDWIN ROLANDO</t>
        </is>
      </c>
      <c r="D240" s="4" t="n">
        <v>46075</v>
      </c>
      <c r="E240" s="3" t="inlineStr">
        <is>
          <t>FE</t>
        </is>
      </c>
      <c r="F240" s="3" t="n">
        <v>637</v>
      </c>
      <c r="G240" s="3" t="n">
        <v>124.8</v>
      </c>
      <c r="H240" s="3" t="n">
        <v>0</v>
      </c>
      <c r="I240" s="3" t="n">
        <v>126.06</v>
      </c>
      <c r="J240" s="3" t="n">
        <v>0</v>
      </c>
      <c r="K240" s="3" t="n">
        <v>1.26</v>
      </c>
      <c r="L240" s="3" t="n">
        <v>124.8</v>
      </c>
      <c r="M240" s="2" t="n"/>
    </row>
    <row r="241">
      <c r="A241" s="3" t="n">
        <v>3015</v>
      </c>
      <c r="B241" s="3" t="n">
        <v>1803373503001</v>
      </c>
      <c r="C241" s="3" t="inlineStr">
        <is>
          <t>SEVILLA GALARZA JOSE MANUEL</t>
        </is>
      </c>
      <c r="D241" s="4" t="n">
        <v>46065</v>
      </c>
      <c r="E241" s="3" t="inlineStr">
        <is>
          <t>FE</t>
        </is>
      </c>
      <c r="F241" s="3" t="n">
        <v>7220</v>
      </c>
      <c r="G241" s="3" t="n">
        <v>64.70999999999999</v>
      </c>
      <c r="H241" s="3" t="n">
        <v>63.13</v>
      </c>
      <c r="I241" s="3" t="n">
        <v>0</v>
      </c>
      <c r="J241" s="3" t="n">
        <v>9.470000000000001</v>
      </c>
      <c r="K241" s="3" t="n">
        <v>7.89</v>
      </c>
      <c r="L241" s="3" t="n">
        <v>64.70999999999999</v>
      </c>
      <c r="M241" s="2" t="n"/>
    </row>
    <row r="242">
      <c r="A242" s="3" t="n">
        <v>2680</v>
      </c>
      <c r="B242" s="3" t="n">
        <v>1803663101001</v>
      </c>
      <c r="C242" s="3" t="inlineStr">
        <is>
          <t>MEJIA CARRASCO VICTOR LEONEL</t>
        </is>
      </c>
      <c r="D242" s="4" t="n">
        <v>46063</v>
      </c>
      <c r="E242" s="3" t="inlineStr">
        <is>
          <t>FE</t>
        </is>
      </c>
      <c r="F242" s="3" t="n">
        <v>142395</v>
      </c>
      <c r="G242" s="3" t="n">
        <v>806.54</v>
      </c>
      <c r="H242" s="3" t="n">
        <v>721.74</v>
      </c>
      <c r="I242" s="3" t="n">
        <v>0</v>
      </c>
      <c r="J242" s="3" t="n">
        <v>108.26</v>
      </c>
      <c r="K242" s="3" t="n">
        <v>23.46</v>
      </c>
      <c r="L242" s="3" t="n">
        <v>806.54</v>
      </c>
      <c r="M242" s="2" t="n"/>
    </row>
    <row r="243">
      <c r="A243" s="3" t="n">
        <v>3098</v>
      </c>
      <c r="B243" s="3" t="n">
        <v>1803746054001</v>
      </c>
      <c r="C243" s="3" t="inlineStr">
        <is>
          <t>SUAREZ JACOME DOLORES FERNANDA</t>
        </is>
      </c>
      <c r="D243" s="4" t="n">
        <v>46075</v>
      </c>
      <c r="E243" s="3" t="inlineStr">
        <is>
          <t>FE</t>
        </is>
      </c>
      <c r="F243" s="3" t="n">
        <v>5600</v>
      </c>
      <c r="G243" s="3" t="n">
        <v>88.90000000000001</v>
      </c>
      <c r="H243" s="3" t="n">
        <v>36.57</v>
      </c>
      <c r="I243" s="3" t="n">
        <v>50</v>
      </c>
      <c r="J243" s="3" t="n">
        <v>5.49</v>
      </c>
      <c r="K243" s="3" t="n">
        <v>3.16</v>
      </c>
      <c r="L243" s="3" t="n">
        <v>88.90000000000001</v>
      </c>
      <c r="M243" s="2" t="n"/>
    </row>
    <row r="244">
      <c r="A244" s="3" t="n">
        <v>3098</v>
      </c>
      <c r="B244" s="3" t="n">
        <v>1803746054001</v>
      </c>
      <c r="C244" s="3" t="inlineStr">
        <is>
          <t>SUAREZ JACOME DOLORES FERNANDA</t>
        </is>
      </c>
      <c r="D244" s="4" t="n">
        <v>46075</v>
      </c>
      <c r="E244" s="3" t="inlineStr">
        <is>
          <t>FE</t>
        </is>
      </c>
      <c r="F244" s="3" t="n">
        <v>5602</v>
      </c>
      <c r="G244" s="3" t="n">
        <v>57.39</v>
      </c>
      <c r="H244" s="3" t="n">
        <v>30.19</v>
      </c>
      <c r="I244" s="3" t="n">
        <v>25</v>
      </c>
      <c r="J244" s="3" t="n">
        <v>4.53</v>
      </c>
      <c r="K244" s="3" t="n">
        <v>2.33</v>
      </c>
      <c r="L244" s="3" t="n">
        <v>57.39</v>
      </c>
      <c r="M244" s="2" t="n"/>
    </row>
    <row r="245">
      <c r="A245" s="3" t="n">
        <v>3098</v>
      </c>
      <c r="B245" s="3" t="n">
        <v>1803746054001</v>
      </c>
      <c r="C245" s="3" t="inlineStr">
        <is>
          <t>SUAREZ JACOME DOLORES FERNANDA</t>
        </is>
      </c>
      <c r="D245" s="4" t="n">
        <v>46075</v>
      </c>
      <c r="E245" s="3" t="inlineStr">
        <is>
          <t>FE</t>
        </is>
      </c>
      <c r="F245" s="3" t="n">
        <v>5603</v>
      </c>
      <c r="G245" s="3" t="n">
        <v>90.86</v>
      </c>
      <c r="H245" s="3" t="n">
        <v>60.96</v>
      </c>
      <c r="I245" s="3" t="n">
        <v>25</v>
      </c>
      <c r="J245" s="3" t="n">
        <v>9.140000000000001</v>
      </c>
      <c r="K245" s="3" t="n">
        <v>4.24</v>
      </c>
      <c r="L245" s="3" t="n">
        <v>90.86</v>
      </c>
      <c r="M245" s="2" t="n"/>
    </row>
    <row r="246">
      <c r="A246" s="3" t="n">
        <v>3098</v>
      </c>
      <c r="B246" s="3" t="n">
        <v>1803746054001</v>
      </c>
      <c r="C246" s="3" t="inlineStr">
        <is>
          <t>SUAREZ JACOME DOLORES FERNANDA</t>
        </is>
      </c>
      <c r="D246" s="4" t="n">
        <v>46075</v>
      </c>
      <c r="E246" s="3" t="inlineStr">
        <is>
          <t>FE</t>
        </is>
      </c>
      <c r="F246" s="3" t="n">
        <v>5607</v>
      </c>
      <c r="G246" s="3" t="n">
        <v>47.1</v>
      </c>
      <c r="H246" s="3" t="n">
        <v>20.72</v>
      </c>
      <c r="I246" s="3" t="n">
        <v>25</v>
      </c>
      <c r="J246" s="3" t="n">
        <v>3.11</v>
      </c>
      <c r="K246" s="3" t="n">
        <v>1.73</v>
      </c>
      <c r="L246" s="3" t="n">
        <v>47.1</v>
      </c>
      <c r="M246" s="2" t="n"/>
    </row>
    <row r="247">
      <c r="A247" s="3" t="n">
        <v>3098</v>
      </c>
      <c r="B247" s="3" t="n">
        <v>1803746054001</v>
      </c>
      <c r="C247" s="3" t="inlineStr">
        <is>
          <t>SUAREZ JACOME DOLORES FERNANDA</t>
        </is>
      </c>
      <c r="D247" s="4" t="n">
        <v>46075</v>
      </c>
      <c r="E247" s="3" t="inlineStr">
        <is>
          <t>FE</t>
        </is>
      </c>
      <c r="F247" s="3" t="n">
        <v>5599</v>
      </c>
      <c r="G247" s="3" t="n">
        <v>181.75</v>
      </c>
      <c r="H247" s="3" t="n">
        <v>54.2</v>
      </c>
      <c r="I247" s="3" t="n">
        <v>125</v>
      </c>
      <c r="J247" s="3" t="n">
        <v>8.130000000000001</v>
      </c>
      <c r="K247" s="3" t="n">
        <v>5.58</v>
      </c>
      <c r="L247" s="3" t="n">
        <v>181.75</v>
      </c>
      <c r="M247" s="2" t="n"/>
    </row>
    <row r="248">
      <c r="A248" s="3" t="n">
        <v>3098</v>
      </c>
      <c r="B248" s="3" t="n">
        <v>1803746054001</v>
      </c>
      <c r="C248" s="3" t="inlineStr">
        <is>
          <t>SUAREZ JACOME DOLORES FERNANDA</t>
        </is>
      </c>
      <c r="D248" s="4" t="n">
        <v>46075</v>
      </c>
      <c r="E248" s="3" t="inlineStr">
        <is>
          <t>FE</t>
        </is>
      </c>
      <c r="F248" s="3" t="n">
        <v>5606</v>
      </c>
      <c r="G248" s="3" t="n">
        <v>151.65</v>
      </c>
      <c r="H248" s="3" t="n">
        <v>94.27</v>
      </c>
      <c r="I248" s="3" t="n">
        <v>50</v>
      </c>
      <c r="J248" s="3" t="n">
        <v>14.14</v>
      </c>
      <c r="K248" s="3" t="n">
        <v>6.76</v>
      </c>
      <c r="L248" s="3" t="n">
        <v>151.65</v>
      </c>
      <c r="M248" s="2" t="n"/>
    </row>
    <row r="249">
      <c r="A249" s="3" t="n">
        <v>1262</v>
      </c>
      <c r="B249" s="3" t="n">
        <v>1803980794001</v>
      </c>
      <c r="C249" s="3" t="inlineStr">
        <is>
          <t>PALACIOS LARREA CARLOS MATEO</t>
        </is>
      </c>
      <c r="D249" s="4" t="n">
        <v>46058</v>
      </c>
      <c r="E249" s="3" t="inlineStr">
        <is>
          <t>FE</t>
        </is>
      </c>
      <c r="F249" s="3" t="n">
        <v>100</v>
      </c>
      <c r="G249" s="3" t="n">
        <v>43766.7</v>
      </c>
      <c r="H249" s="3" t="n">
        <v>0</v>
      </c>
      <c r="I249" s="3" t="n">
        <v>43766.7</v>
      </c>
      <c r="J249" s="3" t="n">
        <v>0</v>
      </c>
      <c r="K249" s="3" t="n">
        <v>0</v>
      </c>
      <c r="L249" s="3" t="n">
        <v>0</v>
      </c>
      <c r="M249" s="2" t="n"/>
    </row>
    <row r="250">
      <c r="A250" s="3" t="n">
        <v>1262</v>
      </c>
      <c r="B250" s="3" t="n">
        <v>1803980794001</v>
      </c>
      <c r="C250" s="3" t="inlineStr">
        <is>
          <t>PALACIOS LARREA CARLOS MATEO</t>
        </is>
      </c>
      <c r="D250" s="4" t="n">
        <v>46065</v>
      </c>
      <c r="E250" s="3" t="inlineStr">
        <is>
          <t>FE</t>
        </is>
      </c>
      <c r="F250" s="3" t="n">
        <v>101</v>
      </c>
      <c r="G250" s="3" t="n">
        <v>2606.18</v>
      </c>
      <c r="H250" s="3" t="n">
        <v>0</v>
      </c>
      <c r="I250" s="3" t="n">
        <v>2606.18</v>
      </c>
      <c r="J250" s="3" t="n">
        <v>0</v>
      </c>
      <c r="K250" s="3" t="n">
        <v>0</v>
      </c>
      <c r="L250" s="3" t="n">
        <v>0</v>
      </c>
      <c r="M250" s="2" t="n"/>
    </row>
    <row r="251">
      <c r="A251" s="3" t="n">
        <v>1262</v>
      </c>
      <c r="B251" s="3" t="n">
        <v>1803980794001</v>
      </c>
      <c r="C251" s="3" t="inlineStr">
        <is>
          <t>PALACIOS LARREA CARLOS MATEO</t>
        </is>
      </c>
      <c r="D251" s="4" t="n">
        <v>46075</v>
      </c>
      <c r="E251" s="3" t="inlineStr">
        <is>
          <t>FE</t>
        </is>
      </c>
      <c r="F251" s="3" t="n">
        <v>102</v>
      </c>
      <c r="G251" s="3" t="n">
        <v>7419.78</v>
      </c>
      <c r="H251" s="3" t="n">
        <v>0</v>
      </c>
      <c r="I251" s="3" t="n">
        <v>7419.78</v>
      </c>
      <c r="J251" s="3" t="n">
        <v>0</v>
      </c>
      <c r="K251" s="3" t="n">
        <v>0</v>
      </c>
      <c r="L251" s="3" t="n">
        <v>0</v>
      </c>
      <c r="M251" s="2" t="n"/>
    </row>
    <row r="252">
      <c r="A252" s="3" t="n">
        <v>2404</v>
      </c>
      <c r="B252" s="3" t="n">
        <v>1803980943001</v>
      </c>
      <c r="C252" s="3" t="inlineStr">
        <is>
          <t>PALACIOS LARREA FRANCISCO JOSE</t>
        </is>
      </c>
      <c r="D252" s="4" t="n">
        <v>46056</v>
      </c>
      <c r="E252" s="3" t="inlineStr">
        <is>
          <t>FE</t>
        </is>
      </c>
      <c r="F252" s="3" t="n">
        <v>50</v>
      </c>
      <c r="G252" s="3" t="n">
        <v>1000</v>
      </c>
      <c r="H252" s="3" t="n">
        <v>1111.11</v>
      </c>
      <c r="I252" s="3" t="n">
        <v>0</v>
      </c>
      <c r="J252" s="3" t="n">
        <v>166.67</v>
      </c>
      <c r="K252" s="3" t="n">
        <v>277.78</v>
      </c>
      <c r="L252" s="3" t="n">
        <v>0</v>
      </c>
      <c r="M252" s="2" t="n"/>
    </row>
    <row r="253">
      <c r="A253" s="3" t="n">
        <v>3240</v>
      </c>
      <c r="B253" s="3" t="n">
        <v>1804253639001</v>
      </c>
      <c r="C253" s="3" t="inlineStr">
        <is>
          <t>JIMENEZ CALVACHE ANDREA LORENA</t>
        </is>
      </c>
      <c r="D253" s="4" t="n">
        <v>46077</v>
      </c>
      <c r="E253" s="3" t="inlineStr">
        <is>
          <t>FE</t>
        </is>
      </c>
      <c r="F253" s="3" t="n">
        <v>98</v>
      </c>
      <c r="G253" s="3" t="n">
        <v>15</v>
      </c>
      <c r="H253" s="3" t="n">
        <v>0</v>
      </c>
      <c r="I253" s="3" t="n">
        <v>15</v>
      </c>
      <c r="J253" s="3" t="n">
        <v>0</v>
      </c>
      <c r="K253" s="3" t="n">
        <v>0</v>
      </c>
      <c r="L253" s="3" t="n">
        <v>0</v>
      </c>
      <c r="M253" s="2" t="n"/>
    </row>
    <row r="254">
      <c r="A254" s="3" t="n">
        <v>3240</v>
      </c>
      <c r="B254" s="3" t="n">
        <v>1804253639001</v>
      </c>
      <c r="C254" s="3" t="inlineStr">
        <is>
          <t>JIMENEZ CALVACHE ANDREA LORENA</t>
        </is>
      </c>
      <c r="D254" s="4" t="n">
        <v>46077</v>
      </c>
      <c r="E254" s="3" t="inlineStr">
        <is>
          <t>FE</t>
        </is>
      </c>
      <c r="F254" s="3" t="n">
        <v>97</v>
      </c>
      <c r="G254" s="3" t="n">
        <v>15</v>
      </c>
      <c r="H254" s="3" t="n">
        <v>0</v>
      </c>
      <c r="I254" s="3" t="n">
        <v>15</v>
      </c>
      <c r="J254" s="3" t="n">
        <v>0</v>
      </c>
      <c r="K254" s="3" t="n">
        <v>0</v>
      </c>
      <c r="L254" s="3" t="n">
        <v>0</v>
      </c>
      <c r="M254" s="2" t="n"/>
    </row>
    <row r="255">
      <c r="A255" s="3" t="n">
        <v>3240</v>
      </c>
      <c r="B255" s="3" t="n">
        <v>1804253639001</v>
      </c>
      <c r="C255" s="3" t="inlineStr">
        <is>
          <t>JIMENEZ CALVACHE ANDREA LORENA</t>
        </is>
      </c>
      <c r="D255" s="4" t="n">
        <v>46077</v>
      </c>
      <c r="E255" s="3" t="inlineStr">
        <is>
          <t>FE</t>
        </is>
      </c>
      <c r="F255" s="3" t="n">
        <v>96</v>
      </c>
      <c r="G255" s="3" t="n">
        <v>114.14</v>
      </c>
      <c r="H255" s="3" t="n">
        <v>0</v>
      </c>
      <c r="I255" s="3" t="n">
        <v>114.14</v>
      </c>
      <c r="J255" s="3" t="n">
        <v>0</v>
      </c>
      <c r="K255" s="3" t="n">
        <v>0</v>
      </c>
      <c r="L255" s="3" t="n">
        <v>114.14</v>
      </c>
      <c r="M255" s="2" t="n"/>
    </row>
    <row r="256">
      <c r="A256" s="3" t="n">
        <v>3240</v>
      </c>
      <c r="B256" s="3" t="n">
        <v>1804253639001</v>
      </c>
      <c r="C256" s="3" t="inlineStr">
        <is>
          <t>JIMENEZ CALVACHE ANDREA LORENA</t>
        </is>
      </c>
      <c r="D256" s="4" t="n">
        <v>46077</v>
      </c>
      <c r="E256" s="3" t="inlineStr">
        <is>
          <t>FE</t>
        </is>
      </c>
      <c r="F256" s="3" t="n">
        <v>99</v>
      </c>
      <c r="G256" s="3" t="n">
        <v>15</v>
      </c>
      <c r="H256" s="3" t="n">
        <v>0</v>
      </c>
      <c r="I256" s="3" t="n">
        <v>15</v>
      </c>
      <c r="J256" s="3" t="n">
        <v>0</v>
      </c>
      <c r="K256" s="3" t="n">
        <v>0</v>
      </c>
      <c r="L256" s="3" t="n">
        <v>15</v>
      </c>
      <c r="M256" s="2" t="n"/>
    </row>
    <row r="257">
      <c r="A257" s="3" t="n">
        <v>1984</v>
      </c>
      <c r="B257" s="3" t="n">
        <v>1804319984001</v>
      </c>
      <c r="C257" s="3" t="inlineStr">
        <is>
          <t>YANEZ APUANGO CRISTINA DE LOS ANGELES</t>
        </is>
      </c>
      <c r="D257" s="4" t="n">
        <v>46056</v>
      </c>
      <c r="E257" s="3" t="inlineStr">
        <is>
          <t>FE</t>
        </is>
      </c>
      <c r="F257" s="3" t="n">
        <v>1912</v>
      </c>
      <c r="G257" s="3" t="n">
        <v>43.5</v>
      </c>
      <c r="H257" s="3" t="n">
        <v>40</v>
      </c>
      <c r="I257" s="3" t="n">
        <v>0</v>
      </c>
      <c r="J257" s="3" t="n">
        <v>6</v>
      </c>
      <c r="K257" s="3" t="n">
        <v>2.5</v>
      </c>
      <c r="L257" s="3" t="n">
        <v>43.5</v>
      </c>
      <c r="M257" s="2" t="n"/>
    </row>
    <row r="258">
      <c r="A258" s="3" t="n">
        <v>1680</v>
      </c>
      <c r="B258" s="3" t="n">
        <v>1804501094001</v>
      </c>
      <c r="C258" s="3" t="inlineStr">
        <is>
          <t>NARANJO ABRIL VICTORIA ESTEFANIA</t>
        </is>
      </c>
      <c r="D258" s="4" t="n">
        <v>46055</v>
      </c>
      <c r="E258" s="3" t="inlineStr">
        <is>
          <t>FE</t>
        </is>
      </c>
      <c r="F258" s="3" t="n">
        <v>170</v>
      </c>
      <c r="G258" s="3" t="n">
        <v>82</v>
      </c>
      <c r="H258" s="3" t="n">
        <v>80</v>
      </c>
      <c r="I258" s="3" t="n">
        <v>0</v>
      </c>
      <c r="J258" s="3" t="n">
        <v>12</v>
      </c>
      <c r="K258" s="3" t="n">
        <v>10</v>
      </c>
      <c r="L258" s="3" t="n">
        <v>82</v>
      </c>
      <c r="M258" s="2" t="n"/>
    </row>
    <row r="259">
      <c r="A259" s="3" t="n">
        <v>3243</v>
      </c>
      <c r="B259" s="3" t="n">
        <v>1804848115001</v>
      </c>
      <c r="C259" s="3" t="inlineStr">
        <is>
          <t>REINOSO SALAS YAJAIRA CAROLINA</t>
        </is>
      </c>
      <c r="D259" s="4" t="n">
        <v>46055</v>
      </c>
      <c r="E259" s="3" t="inlineStr">
        <is>
          <t>FE</t>
        </is>
      </c>
      <c r="F259" s="3" t="n">
        <v>116</v>
      </c>
      <c r="G259" s="3" t="n">
        <v>51.25</v>
      </c>
      <c r="H259" s="3" t="n">
        <v>50</v>
      </c>
      <c r="I259" s="3" t="n">
        <v>0</v>
      </c>
      <c r="J259" s="3" t="n">
        <v>7.5</v>
      </c>
      <c r="K259" s="3" t="n">
        <v>6.25</v>
      </c>
      <c r="L259" s="3" t="n">
        <v>51.25</v>
      </c>
      <c r="M259" s="2" t="n"/>
    </row>
    <row r="260">
      <c r="A260" s="3" t="n">
        <v>3243</v>
      </c>
      <c r="B260" s="3" t="n">
        <v>1804848115001</v>
      </c>
      <c r="C260" s="3" t="inlineStr">
        <is>
          <t>REINOSO SALAS YAJAIRA CAROLINA</t>
        </is>
      </c>
      <c r="D260" s="4" t="n">
        <v>46055</v>
      </c>
      <c r="E260" s="3" t="inlineStr">
        <is>
          <t>FE</t>
        </is>
      </c>
      <c r="F260" s="3" t="n">
        <v>118</v>
      </c>
      <c r="G260" s="3" t="n">
        <v>51.25</v>
      </c>
      <c r="H260" s="3" t="n">
        <v>50</v>
      </c>
      <c r="I260" s="3" t="n">
        <v>0</v>
      </c>
      <c r="J260" s="3" t="n">
        <v>7.5</v>
      </c>
      <c r="K260" s="3" t="n">
        <v>6.25</v>
      </c>
      <c r="L260" s="3" t="n">
        <v>51.25</v>
      </c>
      <c r="M260" s="2" t="n"/>
    </row>
    <row r="261">
      <c r="A261" s="3" t="n">
        <v>3243</v>
      </c>
      <c r="B261" s="3" t="n">
        <v>1804848115001</v>
      </c>
      <c r="C261" s="3" t="inlineStr">
        <is>
          <t>REINOSO SALAS YAJAIRA CAROLINA</t>
        </is>
      </c>
      <c r="D261" s="4" t="n">
        <v>46055</v>
      </c>
      <c r="E261" s="3" t="inlineStr">
        <is>
          <t>FE</t>
        </is>
      </c>
      <c r="F261" s="3" t="n">
        <v>119</v>
      </c>
      <c r="G261" s="3" t="n">
        <v>51.25</v>
      </c>
      <c r="H261" s="3" t="n">
        <v>50</v>
      </c>
      <c r="I261" s="3" t="n">
        <v>0</v>
      </c>
      <c r="J261" s="3" t="n">
        <v>7.5</v>
      </c>
      <c r="K261" s="3" t="n">
        <v>6.25</v>
      </c>
      <c r="L261" s="3" t="n">
        <v>51.25</v>
      </c>
      <c r="M261" s="2" t="n"/>
    </row>
    <row r="262">
      <c r="A262" s="3" t="n">
        <v>3243</v>
      </c>
      <c r="B262" s="3" t="n">
        <v>1804848115001</v>
      </c>
      <c r="C262" s="3" t="inlineStr">
        <is>
          <t>REINOSO SALAS YAJAIRA CAROLINA</t>
        </is>
      </c>
      <c r="D262" s="4" t="n">
        <v>46055</v>
      </c>
      <c r="E262" s="3" t="inlineStr">
        <is>
          <t>FE</t>
        </is>
      </c>
      <c r="F262" s="3" t="n">
        <v>120</v>
      </c>
      <c r="G262" s="3" t="n">
        <v>51.25</v>
      </c>
      <c r="H262" s="3" t="n">
        <v>50</v>
      </c>
      <c r="I262" s="3" t="n">
        <v>0</v>
      </c>
      <c r="J262" s="3" t="n">
        <v>7.5</v>
      </c>
      <c r="K262" s="3" t="n">
        <v>6.25</v>
      </c>
      <c r="L262" s="3" t="n">
        <v>51.25</v>
      </c>
      <c r="M262" s="2" t="n"/>
    </row>
    <row r="263">
      <c r="A263" s="3" t="n">
        <v>3243</v>
      </c>
      <c r="B263" s="3" t="n">
        <v>1804848115001</v>
      </c>
      <c r="C263" s="3" t="inlineStr">
        <is>
          <t>REINOSO SALAS YAJAIRA CAROLINA</t>
        </is>
      </c>
      <c r="D263" s="4" t="n">
        <v>46056</v>
      </c>
      <c r="E263" s="3" t="inlineStr">
        <is>
          <t>FE</t>
        </is>
      </c>
      <c r="F263" s="3" t="n">
        <v>123</v>
      </c>
      <c r="G263" s="3" t="n">
        <v>41</v>
      </c>
      <c r="H263" s="3" t="n">
        <v>40</v>
      </c>
      <c r="I263" s="3" t="n">
        <v>0</v>
      </c>
      <c r="J263" s="3" t="n">
        <v>6</v>
      </c>
      <c r="K263" s="3" t="n">
        <v>5</v>
      </c>
      <c r="L263" s="3" t="n">
        <v>41</v>
      </c>
      <c r="M263" s="2" t="n"/>
    </row>
    <row r="264">
      <c r="A264" s="3" t="n">
        <v>3243</v>
      </c>
      <c r="B264" s="3" t="n">
        <v>1804848115001</v>
      </c>
      <c r="C264" s="3" t="inlineStr">
        <is>
          <t>REINOSO SALAS YAJAIRA CAROLINA</t>
        </is>
      </c>
      <c r="D264" s="4" t="n">
        <v>46056</v>
      </c>
      <c r="E264" s="3" t="inlineStr">
        <is>
          <t>FE</t>
        </is>
      </c>
      <c r="F264" s="3" t="n">
        <v>124</v>
      </c>
      <c r="G264" s="3" t="n">
        <v>153.75</v>
      </c>
      <c r="H264" s="3" t="n">
        <v>150</v>
      </c>
      <c r="I264" s="3" t="n">
        <v>0</v>
      </c>
      <c r="J264" s="3" t="n">
        <v>22.5</v>
      </c>
      <c r="K264" s="3" t="n">
        <v>18.75</v>
      </c>
      <c r="L264" s="3" t="n">
        <v>153.75</v>
      </c>
      <c r="M264" s="2" t="n"/>
    </row>
    <row r="265">
      <c r="A265" s="3" t="n">
        <v>3243</v>
      </c>
      <c r="B265" s="3" t="n">
        <v>1804848115001</v>
      </c>
      <c r="C265" s="3" t="inlineStr">
        <is>
          <t>REINOSO SALAS YAJAIRA CAROLINA</t>
        </is>
      </c>
      <c r="D265" s="4" t="n">
        <v>46056</v>
      </c>
      <c r="E265" s="3" t="inlineStr">
        <is>
          <t>FE</t>
        </is>
      </c>
      <c r="F265" s="3" t="n">
        <v>125</v>
      </c>
      <c r="G265" s="3" t="n">
        <v>41</v>
      </c>
      <c r="H265" s="3" t="n">
        <v>40</v>
      </c>
      <c r="I265" s="3" t="n">
        <v>0</v>
      </c>
      <c r="J265" s="3" t="n">
        <v>6</v>
      </c>
      <c r="K265" s="3" t="n">
        <v>5</v>
      </c>
      <c r="L265" s="3" t="n">
        <v>41</v>
      </c>
      <c r="M265" s="2" t="n"/>
    </row>
    <row r="266">
      <c r="A266" s="3" t="n">
        <v>3243</v>
      </c>
      <c r="B266" s="3" t="n">
        <v>1804848115001</v>
      </c>
      <c r="C266" s="3" t="inlineStr">
        <is>
          <t>REINOSO SALAS YAJAIRA CAROLINA</t>
        </is>
      </c>
      <c r="D266" s="4" t="n">
        <v>46056</v>
      </c>
      <c r="E266" s="3" t="inlineStr">
        <is>
          <t>FE</t>
        </is>
      </c>
      <c r="F266" s="3" t="n">
        <v>122</v>
      </c>
      <c r="G266" s="3" t="n">
        <v>41</v>
      </c>
      <c r="H266" s="3" t="n">
        <v>40</v>
      </c>
      <c r="I266" s="3" t="n">
        <v>0</v>
      </c>
      <c r="J266" s="3" t="n">
        <v>6</v>
      </c>
      <c r="K266" s="3" t="n">
        <v>5</v>
      </c>
      <c r="L266" s="3" t="n">
        <v>41</v>
      </c>
      <c r="M266" s="2" t="n"/>
    </row>
    <row r="267">
      <c r="A267" s="3" t="n">
        <v>3243</v>
      </c>
      <c r="B267" s="3" t="n">
        <v>1804848115001</v>
      </c>
      <c r="C267" s="3" t="inlineStr">
        <is>
          <t>REINOSO SALAS YAJAIRA CAROLINA</t>
        </is>
      </c>
      <c r="D267" s="4" t="n">
        <v>46058</v>
      </c>
      <c r="E267" s="3" t="inlineStr">
        <is>
          <t>FE</t>
        </is>
      </c>
      <c r="F267" s="3" t="n">
        <v>126</v>
      </c>
      <c r="G267" s="3" t="n">
        <v>51.25</v>
      </c>
      <c r="H267" s="3" t="n">
        <v>50</v>
      </c>
      <c r="I267" s="3" t="n">
        <v>0</v>
      </c>
      <c r="J267" s="3" t="n">
        <v>7.5</v>
      </c>
      <c r="K267" s="3" t="n">
        <v>6.25</v>
      </c>
      <c r="L267" s="3" t="n">
        <v>51.25</v>
      </c>
      <c r="M267" s="2" t="n"/>
    </row>
    <row r="268">
      <c r="A268" s="3" t="n">
        <v>3243</v>
      </c>
      <c r="B268" s="3" t="n">
        <v>1804848115001</v>
      </c>
      <c r="C268" s="3" t="inlineStr">
        <is>
          <t>REINOSO SALAS YAJAIRA CAROLINA</t>
        </is>
      </c>
      <c r="D268" s="4" t="n">
        <v>46058</v>
      </c>
      <c r="E268" s="3" t="inlineStr">
        <is>
          <t>FE</t>
        </is>
      </c>
      <c r="F268" s="3" t="n">
        <v>127</v>
      </c>
      <c r="G268" s="3" t="n">
        <v>51.25</v>
      </c>
      <c r="H268" s="3" t="n">
        <v>50</v>
      </c>
      <c r="I268" s="3" t="n">
        <v>0</v>
      </c>
      <c r="J268" s="3" t="n">
        <v>7.5</v>
      </c>
      <c r="K268" s="3" t="n">
        <v>6.25</v>
      </c>
      <c r="L268" s="3" t="n">
        <v>51.25</v>
      </c>
      <c r="M268" s="2" t="n"/>
    </row>
    <row r="269">
      <c r="A269" s="3" t="n">
        <v>3243</v>
      </c>
      <c r="B269" s="3" t="n">
        <v>1804848115001</v>
      </c>
      <c r="C269" s="3" t="inlineStr">
        <is>
          <t>REINOSO SALAS YAJAIRA CAROLINA</t>
        </is>
      </c>
      <c r="D269" s="4" t="n">
        <v>46058</v>
      </c>
      <c r="E269" s="3" t="inlineStr">
        <is>
          <t>FE</t>
        </is>
      </c>
      <c r="F269" s="3" t="n">
        <v>128</v>
      </c>
      <c r="G269" s="3" t="n">
        <v>41</v>
      </c>
      <c r="H269" s="3" t="n">
        <v>40</v>
      </c>
      <c r="I269" s="3" t="n">
        <v>0</v>
      </c>
      <c r="J269" s="3" t="n">
        <v>6</v>
      </c>
      <c r="K269" s="3" t="n">
        <v>5</v>
      </c>
      <c r="L269" s="3" t="n">
        <v>41</v>
      </c>
      <c r="M269" s="2" t="n"/>
    </row>
    <row r="270">
      <c r="A270" s="3" t="n">
        <v>3243</v>
      </c>
      <c r="B270" s="3" t="n">
        <v>1804848115001</v>
      </c>
      <c r="C270" s="3" t="inlineStr">
        <is>
          <t>REINOSO SALAS YAJAIRA CAROLINA</t>
        </is>
      </c>
      <c r="D270" s="4" t="n">
        <v>46058</v>
      </c>
      <c r="E270" s="3" t="inlineStr">
        <is>
          <t>FE</t>
        </is>
      </c>
      <c r="F270" s="3" t="n">
        <v>129</v>
      </c>
      <c r="G270" s="3" t="n">
        <v>51.25</v>
      </c>
      <c r="H270" s="3" t="n">
        <v>50</v>
      </c>
      <c r="I270" s="3" t="n">
        <v>0</v>
      </c>
      <c r="J270" s="3" t="n">
        <v>7.5</v>
      </c>
      <c r="K270" s="3" t="n">
        <v>6.25</v>
      </c>
      <c r="L270" s="3" t="n">
        <v>51.25</v>
      </c>
      <c r="M270" s="2" t="n"/>
    </row>
    <row r="271">
      <c r="A271" s="3" t="n">
        <v>3243</v>
      </c>
      <c r="B271" s="3" t="n">
        <v>1804848115001</v>
      </c>
      <c r="C271" s="3" t="inlineStr">
        <is>
          <t>REINOSO SALAS YAJAIRA CAROLINA</t>
        </is>
      </c>
      <c r="D271" s="4" t="n">
        <v>46063</v>
      </c>
      <c r="E271" s="3" t="inlineStr">
        <is>
          <t>FE</t>
        </is>
      </c>
      <c r="F271" s="3" t="n">
        <v>134</v>
      </c>
      <c r="G271" s="3" t="n">
        <v>41</v>
      </c>
      <c r="H271" s="3" t="n">
        <v>40</v>
      </c>
      <c r="I271" s="3" t="n">
        <v>0</v>
      </c>
      <c r="J271" s="3" t="n">
        <v>6</v>
      </c>
      <c r="K271" s="3" t="n">
        <v>5</v>
      </c>
      <c r="L271" s="3" t="n">
        <v>41</v>
      </c>
      <c r="M271" s="2" t="n"/>
    </row>
    <row r="272">
      <c r="A272" s="3" t="n">
        <v>3243</v>
      </c>
      <c r="B272" s="3" t="n">
        <v>1804848115001</v>
      </c>
      <c r="C272" s="3" t="inlineStr">
        <is>
          <t>REINOSO SALAS YAJAIRA CAROLINA</t>
        </is>
      </c>
      <c r="D272" s="4" t="n">
        <v>46071</v>
      </c>
      <c r="E272" s="3" t="inlineStr">
        <is>
          <t>FE</t>
        </is>
      </c>
      <c r="F272" s="3" t="n">
        <v>143</v>
      </c>
      <c r="G272" s="3" t="n">
        <v>41</v>
      </c>
      <c r="H272" s="3" t="n">
        <v>40</v>
      </c>
      <c r="I272" s="3" t="n">
        <v>0</v>
      </c>
      <c r="J272" s="3" t="n">
        <v>6</v>
      </c>
      <c r="K272" s="3" t="n">
        <v>5</v>
      </c>
      <c r="L272" s="3" t="n">
        <v>41</v>
      </c>
      <c r="M272" s="2" t="n"/>
    </row>
    <row r="273">
      <c r="A273" s="3" t="n">
        <v>3243</v>
      </c>
      <c r="B273" s="3" t="n">
        <v>1804848115001</v>
      </c>
      <c r="C273" s="3" t="inlineStr">
        <is>
          <t>REINOSO SALAS YAJAIRA CAROLINA</t>
        </is>
      </c>
      <c r="D273" s="4" t="n">
        <v>46071</v>
      </c>
      <c r="E273" s="3" t="inlineStr">
        <is>
          <t>FE</t>
        </is>
      </c>
      <c r="F273" s="3" t="n">
        <v>137</v>
      </c>
      <c r="G273" s="3" t="n">
        <v>51.25</v>
      </c>
      <c r="H273" s="3" t="n">
        <v>50</v>
      </c>
      <c r="I273" s="3" t="n">
        <v>0</v>
      </c>
      <c r="J273" s="3" t="n">
        <v>7.5</v>
      </c>
      <c r="K273" s="3" t="n">
        <v>6.25</v>
      </c>
      <c r="L273" s="3" t="n">
        <v>51.25</v>
      </c>
      <c r="M273" s="2" t="n"/>
    </row>
    <row r="274">
      <c r="A274" s="3" t="n">
        <v>3243</v>
      </c>
      <c r="B274" s="3" t="n">
        <v>1804848115001</v>
      </c>
      <c r="C274" s="3" t="inlineStr">
        <is>
          <t>REINOSO SALAS YAJAIRA CAROLINA</t>
        </is>
      </c>
      <c r="D274" s="4" t="n">
        <v>46071</v>
      </c>
      <c r="E274" s="3" t="inlineStr">
        <is>
          <t>FE</t>
        </is>
      </c>
      <c r="F274" s="3" t="n">
        <v>142</v>
      </c>
      <c r="G274" s="3" t="n">
        <v>41</v>
      </c>
      <c r="H274" s="3" t="n">
        <v>40</v>
      </c>
      <c r="I274" s="3" t="n">
        <v>0</v>
      </c>
      <c r="J274" s="3" t="n">
        <v>6</v>
      </c>
      <c r="K274" s="3" t="n">
        <v>5</v>
      </c>
      <c r="L274" s="3" t="n">
        <v>41</v>
      </c>
      <c r="M274" s="2" t="n"/>
    </row>
    <row r="275">
      <c r="A275" s="3" t="n">
        <v>3243</v>
      </c>
      <c r="B275" s="3" t="n">
        <v>1804848115001</v>
      </c>
      <c r="C275" s="3" t="inlineStr">
        <is>
          <t>REINOSO SALAS YAJAIRA CAROLINA</t>
        </is>
      </c>
      <c r="D275" s="4" t="n">
        <v>46071</v>
      </c>
      <c r="E275" s="3" t="inlineStr">
        <is>
          <t>FE</t>
        </is>
      </c>
      <c r="F275" s="3" t="n">
        <v>141</v>
      </c>
      <c r="G275" s="3" t="n">
        <v>41</v>
      </c>
      <c r="H275" s="3" t="n">
        <v>40</v>
      </c>
      <c r="I275" s="3" t="n">
        <v>0</v>
      </c>
      <c r="J275" s="3" t="n">
        <v>6</v>
      </c>
      <c r="K275" s="3" t="n">
        <v>5</v>
      </c>
      <c r="L275" s="3" t="n">
        <v>41</v>
      </c>
      <c r="M275" s="2" t="n"/>
    </row>
    <row r="276">
      <c r="A276" s="3" t="n">
        <v>3243</v>
      </c>
      <c r="B276" s="3" t="n">
        <v>1804848115001</v>
      </c>
      <c r="C276" s="3" t="inlineStr">
        <is>
          <t>REINOSO SALAS YAJAIRA CAROLINA</t>
        </is>
      </c>
      <c r="D276" s="4" t="n">
        <v>46071</v>
      </c>
      <c r="E276" s="3" t="inlineStr">
        <is>
          <t>FE</t>
        </is>
      </c>
      <c r="F276" s="3" t="n">
        <v>140</v>
      </c>
      <c r="G276" s="3" t="n">
        <v>41</v>
      </c>
      <c r="H276" s="3" t="n">
        <v>40</v>
      </c>
      <c r="I276" s="3" t="n">
        <v>0</v>
      </c>
      <c r="J276" s="3" t="n">
        <v>6</v>
      </c>
      <c r="K276" s="3" t="n">
        <v>5</v>
      </c>
      <c r="L276" s="3" t="n">
        <v>41</v>
      </c>
      <c r="M276" s="2" t="n"/>
    </row>
    <row r="277">
      <c r="A277" s="3" t="n">
        <v>3243</v>
      </c>
      <c r="B277" s="3" t="n">
        <v>1804848115001</v>
      </c>
      <c r="C277" s="3" t="inlineStr">
        <is>
          <t>REINOSO SALAS YAJAIRA CAROLINA</t>
        </is>
      </c>
      <c r="D277" s="4" t="n">
        <v>46071</v>
      </c>
      <c r="E277" s="3" t="inlineStr">
        <is>
          <t>FE</t>
        </is>
      </c>
      <c r="F277" s="3" t="n">
        <v>139</v>
      </c>
      <c r="G277" s="3" t="n">
        <v>41</v>
      </c>
      <c r="H277" s="3" t="n">
        <v>40</v>
      </c>
      <c r="I277" s="3" t="n">
        <v>0</v>
      </c>
      <c r="J277" s="3" t="n">
        <v>6</v>
      </c>
      <c r="K277" s="3" t="n">
        <v>5</v>
      </c>
      <c r="L277" s="3" t="n">
        <v>41</v>
      </c>
      <c r="M277" s="2" t="n"/>
    </row>
    <row r="278">
      <c r="A278" s="3" t="n">
        <v>3203</v>
      </c>
      <c r="B278" s="3" t="n">
        <v>1805447156001</v>
      </c>
      <c r="C278" s="3" t="inlineStr">
        <is>
          <t>POVEDA ALMEIDA EFRAIN ALEJANDRO</t>
        </is>
      </c>
      <c r="D278" s="4" t="n">
        <v>46061</v>
      </c>
      <c r="E278" s="3" t="inlineStr">
        <is>
          <t>FE</t>
        </is>
      </c>
      <c r="F278" s="3" t="n">
        <v>53</v>
      </c>
      <c r="G278" s="3" t="n">
        <v>76.12</v>
      </c>
      <c r="H278" s="3" t="n">
        <v>70</v>
      </c>
      <c r="I278" s="3" t="n">
        <v>0</v>
      </c>
      <c r="J278" s="3" t="n">
        <v>10.5</v>
      </c>
      <c r="K278" s="3" t="n">
        <v>4.38</v>
      </c>
      <c r="L278" s="3" t="n">
        <v>0</v>
      </c>
      <c r="M278" s="2" t="n"/>
    </row>
    <row r="279">
      <c r="A279" s="3" t="n">
        <v>3203</v>
      </c>
      <c r="B279" s="3" t="n">
        <v>1805447156001</v>
      </c>
      <c r="C279" s="3" t="inlineStr">
        <is>
          <t>POVEDA ALMEIDA EFRAIN ALEJANDRO</t>
        </is>
      </c>
      <c r="D279" s="4" t="n">
        <v>46061</v>
      </c>
      <c r="E279" s="3" t="inlineStr">
        <is>
          <t>FE</t>
        </is>
      </c>
      <c r="F279" s="3" t="n">
        <v>54</v>
      </c>
      <c r="G279" s="3" t="n">
        <v>76.12</v>
      </c>
      <c r="H279" s="3" t="n">
        <v>70</v>
      </c>
      <c r="I279" s="3" t="n">
        <v>0</v>
      </c>
      <c r="J279" s="3" t="n">
        <v>10.5</v>
      </c>
      <c r="K279" s="3" t="n">
        <v>4.38</v>
      </c>
      <c r="L279" s="3" t="n">
        <v>0</v>
      </c>
      <c r="M279" s="2" t="n"/>
    </row>
    <row r="280">
      <c r="A280" s="3" t="n">
        <v>3203</v>
      </c>
      <c r="B280" s="3" t="n">
        <v>1805447156001</v>
      </c>
      <c r="C280" s="3" t="inlineStr">
        <is>
          <t>POVEDA ALMEIDA EFRAIN ALEJANDRO</t>
        </is>
      </c>
      <c r="D280" s="4" t="n">
        <v>46061</v>
      </c>
      <c r="E280" s="3" t="inlineStr">
        <is>
          <t>FE</t>
        </is>
      </c>
      <c r="F280" s="3" t="n">
        <v>52</v>
      </c>
      <c r="G280" s="3" t="n">
        <v>92.25</v>
      </c>
      <c r="H280" s="3" t="n">
        <v>90</v>
      </c>
      <c r="I280" s="3" t="n">
        <v>0</v>
      </c>
      <c r="J280" s="3" t="n">
        <v>13.5</v>
      </c>
      <c r="K280" s="3" t="n">
        <v>11.25</v>
      </c>
      <c r="L280" s="3" t="n">
        <v>0</v>
      </c>
      <c r="M280" s="2" t="n"/>
    </row>
    <row r="281">
      <c r="A281" s="3" t="n">
        <v>3203</v>
      </c>
      <c r="B281" s="3" t="n">
        <v>1805447156001</v>
      </c>
      <c r="C281" s="3" t="inlineStr">
        <is>
          <t>POVEDA ALMEIDA EFRAIN ALEJANDRO</t>
        </is>
      </c>
      <c r="D281" s="4" t="n">
        <v>46062</v>
      </c>
      <c r="E281" s="3" t="inlineStr">
        <is>
          <t>FE</t>
        </is>
      </c>
      <c r="F281" s="3" t="n">
        <v>55</v>
      </c>
      <c r="G281" s="3" t="n">
        <v>76.12</v>
      </c>
      <c r="H281" s="3" t="n">
        <v>70</v>
      </c>
      <c r="I281" s="3" t="n">
        <v>0</v>
      </c>
      <c r="J281" s="3" t="n">
        <v>10.5</v>
      </c>
      <c r="K281" s="3" t="n">
        <v>4.38</v>
      </c>
      <c r="L281" s="3" t="n">
        <v>0</v>
      </c>
      <c r="M281" s="2" t="n"/>
    </row>
    <row r="282">
      <c r="A282" s="3" t="n">
        <v>3203</v>
      </c>
      <c r="B282" s="3" t="n">
        <v>1805447156001</v>
      </c>
      <c r="C282" s="3" t="inlineStr">
        <is>
          <t>POVEDA ALMEIDA EFRAIN ALEJANDRO</t>
        </is>
      </c>
      <c r="D282" s="4" t="n">
        <v>46062</v>
      </c>
      <c r="E282" s="3" t="inlineStr">
        <is>
          <t>FE</t>
        </is>
      </c>
      <c r="F282" s="3" t="n">
        <v>56</v>
      </c>
      <c r="G282" s="3" t="n">
        <v>92.25</v>
      </c>
      <c r="H282" s="3" t="n">
        <v>90</v>
      </c>
      <c r="I282" s="3" t="n">
        <v>0</v>
      </c>
      <c r="J282" s="3" t="n">
        <v>13.5</v>
      </c>
      <c r="K282" s="3" t="n">
        <v>11.25</v>
      </c>
      <c r="L282" s="3" t="n">
        <v>0</v>
      </c>
      <c r="M282" s="2" t="n"/>
    </row>
    <row r="283">
      <c r="A283" s="3" t="n">
        <v>287</v>
      </c>
      <c r="B283" s="3" t="n">
        <v>1865030070001</v>
      </c>
      <c r="C283" s="3" t="inlineStr">
        <is>
          <t>EP-EMAPA-A</t>
        </is>
      </c>
      <c r="D283" s="4" t="n">
        <v>46065</v>
      </c>
      <c r="E283" s="3" t="inlineStr">
        <is>
          <t>FE</t>
        </is>
      </c>
      <c r="F283" s="3" t="n">
        <v>4375448</v>
      </c>
      <c r="G283" s="3" t="n">
        <v>47.33</v>
      </c>
      <c r="H283" s="3" t="n">
        <v>0</v>
      </c>
      <c r="I283" s="3" t="n">
        <v>47.33</v>
      </c>
      <c r="J283" s="3" t="n">
        <v>0</v>
      </c>
      <c r="K283" s="3" t="n">
        <v>0</v>
      </c>
      <c r="L283" s="3" t="n">
        <v>0</v>
      </c>
      <c r="M283" s="2" t="n"/>
    </row>
    <row r="284">
      <c r="A284" s="3" t="n">
        <v>287</v>
      </c>
      <c r="B284" s="3" t="n">
        <v>1865030070001</v>
      </c>
      <c r="C284" s="3" t="inlineStr">
        <is>
          <t>EP-EMAPA-A</t>
        </is>
      </c>
      <c r="D284" s="4" t="n">
        <v>46065</v>
      </c>
      <c r="E284" s="3" t="inlineStr">
        <is>
          <t>FE</t>
        </is>
      </c>
      <c r="F284" s="3" t="n">
        <v>4376082</v>
      </c>
      <c r="G284" s="3" t="n">
        <v>20.23</v>
      </c>
      <c r="H284" s="3" t="n">
        <v>0</v>
      </c>
      <c r="I284" s="3" t="n">
        <v>20.23</v>
      </c>
      <c r="J284" s="3" t="n">
        <v>0</v>
      </c>
      <c r="K284" s="3" t="n">
        <v>0</v>
      </c>
      <c r="L284" s="3" t="n">
        <v>0</v>
      </c>
      <c r="M284" s="2" t="n"/>
    </row>
    <row r="285">
      <c r="A285" s="3" t="n">
        <v>287</v>
      </c>
      <c r="B285" s="3" t="n">
        <v>1865030070001</v>
      </c>
      <c r="C285" s="3" t="inlineStr">
        <is>
          <t>EP-EMAPA-A</t>
        </is>
      </c>
      <c r="D285" s="4" t="n">
        <v>46075</v>
      </c>
      <c r="E285" s="3" t="inlineStr">
        <is>
          <t>FE</t>
        </is>
      </c>
      <c r="F285" s="3" t="n">
        <v>4402783</v>
      </c>
      <c r="G285" s="3" t="n">
        <v>3.48</v>
      </c>
      <c r="H285" s="3" t="n">
        <v>0</v>
      </c>
      <c r="I285" s="3" t="n">
        <v>3.48</v>
      </c>
      <c r="J285" s="3" t="n">
        <v>0</v>
      </c>
      <c r="K285" s="3" t="n">
        <v>0</v>
      </c>
      <c r="L285" s="3" t="n">
        <v>0</v>
      </c>
      <c r="M285" s="2" t="n"/>
    </row>
    <row r="286">
      <c r="A286" s="3" t="n">
        <v>287</v>
      </c>
      <c r="B286" s="3" t="n">
        <v>1865030070001</v>
      </c>
      <c r="C286" s="3" t="inlineStr">
        <is>
          <t>EP-EMAPA-A</t>
        </is>
      </c>
      <c r="D286" s="4" t="n">
        <v>46075</v>
      </c>
      <c r="E286" s="3" t="inlineStr">
        <is>
          <t>FE</t>
        </is>
      </c>
      <c r="F286" s="3" t="n">
        <v>4402875</v>
      </c>
      <c r="G286" s="3" t="n">
        <v>3.48</v>
      </c>
      <c r="H286" s="3" t="n">
        <v>0</v>
      </c>
      <c r="I286" s="3" t="n">
        <v>3.48</v>
      </c>
      <c r="J286" s="3" t="n">
        <v>0</v>
      </c>
      <c r="K286" s="3" t="n">
        <v>0</v>
      </c>
      <c r="L286" s="3" t="n">
        <v>0</v>
      </c>
      <c r="M286" s="2" t="n"/>
    </row>
    <row r="287">
      <c r="A287" s="3" t="n">
        <v>287</v>
      </c>
      <c r="B287" s="3" t="n">
        <v>1865030070001</v>
      </c>
      <c r="C287" s="3" t="inlineStr">
        <is>
          <t>EP-EMAPA-A</t>
        </is>
      </c>
      <c r="D287" s="4" t="n">
        <v>46075</v>
      </c>
      <c r="E287" s="3" t="inlineStr">
        <is>
          <t>FE</t>
        </is>
      </c>
      <c r="F287" s="3" t="n">
        <v>4402736</v>
      </c>
      <c r="G287" s="3" t="n">
        <v>37.94</v>
      </c>
      <c r="H287" s="3" t="n">
        <v>0</v>
      </c>
      <c r="I287" s="3" t="n">
        <v>37.94</v>
      </c>
      <c r="J287" s="3" t="n">
        <v>0</v>
      </c>
      <c r="K287" s="3" t="n">
        <v>0</v>
      </c>
      <c r="L287" s="3" t="n">
        <v>0</v>
      </c>
      <c r="M287" s="2" t="n"/>
    </row>
    <row r="288">
      <c r="A288" s="3" t="n">
        <v>287</v>
      </c>
      <c r="B288" s="3" t="n">
        <v>1865030070001</v>
      </c>
      <c r="C288" s="3" t="inlineStr">
        <is>
          <t>EP-EMAPA-A</t>
        </is>
      </c>
      <c r="D288" s="4" t="n">
        <v>46075</v>
      </c>
      <c r="E288" s="3" t="inlineStr">
        <is>
          <t>FE</t>
        </is>
      </c>
      <c r="F288" s="3" t="n">
        <v>4375476</v>
      </c>
      <c r="G288" s="3" t="n">
        <v>176.05</v>
      </c>
      <c r="H288" s="3" t="n">
        <v>0</v>
      </c>
      <c r="I288" s="3" t="n">
        <v>176.05</v>
      </c>
      <c r="J288" s="3" t="n">
        <v>0</v>
      </c>
      <c r="K288" s="3" t="n">
        <v>0</v>
      </c>
      <c r="L288" s="3" t="n">
        <v>0</v>
      </c>
      <c r="M288" s="2" t="n"/>
    </row>
    <row r="289">
      <c r="A289" s="3" t="n">
        <v>287</v>
      </c>
      <c r="B289" s="3" t="n">
        <v>1865030070001</v>
      </c>
      <c r="C289" s="3" t="inlineStr">
        <is>
          <t>EP-EMAPA-A</t>
        </is>
      </c>
      <c r="D289" s="4" t="n">
        <v>46075</v>
      </c>
      <c r="E289" s="3" t="inlineStr">
        <is>
          <t>FE</t>
        </is>
      </c>
      <c r="F289" s="3" t="n">
        <v>4348619</v>
      </c>
      <c r="G289" s="3" t="n">
        <v>99.44</v>
      </c>
      <c r="H289" s="3" t="n">
        <v>0</v>
      </c>
      <c r="I289" s="3" t="n">
        <v>99.44</v>
      </c>
      <c r="J289" s="3" t="n">
        <v>0</v>
      </c>
      <c r="K289" s="3" t="n">
        <v>0</v>
      </c>
      <c r="L289" s="3" t="n">
        <v>0</v>
      </c>
      <c r="M289" s="2" t="n"/>
    </row>
    <row r="290">
      <c r="A290" s="3" t="n">
        <v>287</v>
      </c>
      <c r="B290" s="3" t="n">
        <v>1865030070001</v>
      </c>
      <c r="C290" s="3" t="inlineStr">
        <is>
          <t>EP-EMAPA-A</t>
        </is>
      </c>
      <c r="D290" s="4" t="n">
        <v>46075</v>
      </c>
      <c r="E290" s="3" t="inlineStr">
        <is>
          <t>FE</t>
        </is>
      </c>
      <c r="F290" s="3" t="n">
        <v>4351476</v>
      </c>
      <c r="G290" s="3" t="n">
        <v>10.35</v>
      </c>
      <c r="H290" s="3" t="n">
        <v>0</v>
      </c>
      <c r="I290" s="3" t="n">
        <v>10.35</v>
      </c>
      <c r="J290" s="3" t="n">
        <v>0</v>
      </c>
      <c r="K290" s="3" t="n">
        <v>0</v>
      </c>
      <c r="L290" s="3" t="n">
        <v>0</v>
      </c>
      <c r="M290" s="2" t="n"/>
    </row>
    <row r="291">
      <c r="A291" s="3" t="n">
        <v>3271</v>
      </c>
      <c r="B291" s="3" t="n">
        <v>1865033840001</v>
      </c>
      <c r="C291" s="3" t="inlineStr">
        <is>
          <t>EMPRESA PUBLICA MUNICIPAL PARA LA GESTION INTEGRAL DE LOS DE</t>
        </is>
      </c>
      <c r="D291" s="4" t="n">
        <v>46075</v>
      </c>
      <c r="E291" s="3" t="inlineStr">
        <is>
          <t>FE</t>
        </is>
      </c>
      <c r="F291" s="3" t="n">
        <v>239708</v>
      </c>
      <c r="G291" s="3" t="n">
        <v>2</v>
      </c>
      <c r="H291" s="3" t="n">
        <v>0</v>
      </c>
      <c r="I291" s="3" t="n">
        <v>2</v>
      </c>
      <c r="J291" s="3" t="n">
        <v>0</v>
      </c>
      <c r="K291" s="3" t="n">
        <v>0</v>
      </c>
      <c r="L291" s="3" t="n">
        <v>2</v>
      </c>
      <c r="M291" s="2" t="n"/>
    </row>
    <row r="292">
      <c r="A292" s="3" t="n">
        <v>3271</v>
      </c>
      <c r="B292" s="3" t="n">
        <v>1865033840001</v>
      </c>
      <c r="C292" s="3" t="inlineStr">
        <is>
          <t>EMPRESA PUBLICA MUNICIPAL PARA LA GESTION INTEGRAL DE LOS DE</t>
        </is>
      </c>
      <c r="D292" s="4" t="n">
        <v>46075</v>
      </c>
      <c r="E292" s="3" t="inlineStr">
        <is>
          <t>FE</t>
        </is>
      </c>
      <c r="F292" s="3" t="n">
        <v>183881</v>
      </c>
      <c r="G292" s="3" t="n">
        <v>7.74</v>
      </c>
      <c r="H292" s="3" t="n">
        <v>0</v>
      </c>
      <c r="I292" s="3" t="n">
        <v>7.74</v>
      </c>
      <c r="J292" s="3" t="n">
        <v>0</v>
      </c>
      <c r="K292" s="3" t="n">
        <v>0</v>
      </c>
      <c r="L292" s="3" t="n">
        <v>7.74</v>
      </c>
      <c r="M292" s="2" t="n"/>
    </row>
    <row r="293">
      <c r="A293" s="3" t="n">
        <v>3271</v>
      </c>
      <c r="B293" s="3" t="n">
        <v>1865033840001</v>
      </c>
      <c r="C293" s="3" t="inlineStr">
        <is>
          <t>EMPRESA PUBLICA MUNICIPAL PARA LA GESTION INTEGRAL DE LOS DE</t>
        </is>
      </c>
      <c r="D293" s="4" t="n">
        <v>46075</v>
      </c>
      <c r="E293" s="3" t="inlineStr">
        <is>
          <t>FE</t>
        </is>
      </c>
      <c r="F293" s="3" t="n">
        <v>217061</v>
      </c>
      <c r="G293" s="3" t="n">
        <v>11.15</v>
      </c>
      <c r="H293" s="3" t="n">
        <v>0</v>
      </c>
      <c r="I293" s="3" t="n">
        <v>11.15</v>
      </c>
      <c r="J293" s="3" t="n">
        <v>0</v>
      </c>
      <c r="K293" s="3" t="n">
        <v>0</v>
      </c>
      <c r="L293" s="3" t="n">
        <v>11.15</v>
      </c>
      <c r="M293" s="2" t="n"/>
    </row>
    <row r="294">
      <c r="A294" s="3" t="n">
        <v>3271</v>
      </c>
      <c r="B294" s="3" t="n">
        <v>1865033840001</v>
      </c>
      <c r="C294" s="3" t="inlineStr">
        <is>
          <t>EMPRESA PUBLICA MUNICIPAL PARA LA GESTION INTEGRAL DE LOS DE</t>
        </is>
      </c>
      <c r="D294" s="4" t="n">
        <v>46075</v>
      </c>
      <c r="E294" s="3" t="inlineStr">
        <is>
          <t>FE</t>
        </is>
      </c>
      <c r="F294" s="3" t="n">
        <v>239711</v>
      </c>
      <c r="G294" s="3" t="n">
        <v>2</v>
      </c>
      <c r="H294" s="3" t="n">
        <v>0</v>
      </c>
      <c r="I294" s="3" t="n">
        <v>2</v>
      </c>
      <c r="J294" s="3" t="n">
        <v>0</v>
      </c>
      <c r="K294" s="3" t="n">
        <v>0</v>
      </c>
      <c r="L294" s="3" t="n">
        <v>2</v>
      </c>
      <c r="M294" s="2" t="n"/>
    </row>
    <row r="295">
      <c r="A295" s="3" t="n">
        <v>3271</v>
      </c>
      <c r="B295" s="3" t="n">
        <v>1865033840001</v>
      </c>
      <c r="C295" s="3" t="inlineStr">
        <is>
          <t>EMPRESA PUBLICA MUNICIPAL PARA LA GESTION INTEGRAL DE LOS DE</t>
        </is>
      </c>
      <c r="D295" s="4" t="n">
        <v>46075</v>
      </c>
      <c r="E295" s="3" t="inlineStr">
        <is>
          <t>FE</t>
        </is>
      </c>
      <c r="F295" s="3" t="n">
        <v>216987</v>
      </c>
      <c r="G295" s="3" t="n">
        <v>7.74</v>
      </c>
      <c r="H295" s="3" t="n">
        <v>0</v>
      </c>
      <c r="I295" s="3" t="n">
        <v>7.74</v>
      </c>
      <c r="J295" s="3" t="n">
        <v>0</v>
      </c>
      <c r="K295" s="3" t="n">
        <v>0</v>
      </c>
      <c r="L295" s="3" t="n">
        <v>7.74</v>
      </c>
      <c r="M295" s="2" t="n"/>
    </row>
    <row r="296">
      <c r="A296" s="3" t="n">
        <v>3271</v>
      </c>
      <c r="B296" s="3" t="n">
        <v>1865033840001</v>
      </c>
      <c r="C296" s="3" t="inlineStr">
        <is>
          <t>EMPRESA PUBLICA MUNICIPAL PARA LA GESTION INTEGRAL DE LOS DE</t>
        </is>
      </c>
      <c r="D296" s="4" t="n">
        <v>46075</v>
      </c>
      <c r="E296" s="3" t="inlineStr">
        <is>
          <t>FE</t>
        </is>
      </c>
      <c r="F296" s="3" t="n">
        <v>239707</v>
      </c>
      <c r="G296" s="3" t="n">
        <v>11.15</v>
      </c>
      <c r="H296" s="3" t="n">
        <v>0</v>
      </c>
      <c r="I296" s="3" t="n">
        <v>11.15</v>
      </c>
      <c r="J296" s="3" t="n">
        <v>0</v>
      </c>
      <c r="K296" s="3" t="n">
        <v>0</v>
      </c>
      <c r="L296" s="3" t="n">
        <v>11.15</v>
      </c>
      <c r="M296" s="2" t="n"/>
    </row>
    <row r="297">
      <c r="A297" s="3" t="n">
        <v>3271</v>
      </c>
      <c r="B297" s="3" t="n">
        <v>1865033840001</v>
      </c>
      <c r="C297" s="3" t="inlineStr">
        <is>
          <t>EMPRESA PUBLICA MUNICIPAL PARA LA GESTION INTEGRAL DE LOS DE</t>
        </is>
      </c>
      <c r="D297" s="4" t="n">
        <v>46075</v>
      </c>
      <c r="E297" s="3" t="inlineStr">
        <is>
          <t>FE</t>
        </is>
      </c>
      <c r="F297" s="3" t="n">
        <v>197326</v>
      </c>
      <c r="G297" s="3" t="n">
        <v>13.18</v>
      </c>
      <c r="H297" s="3" t="n">
        <v>0</v>
      </c>
      <c r="I297" s="3" t="n">
        <v>13.18</v>
      </c>
      <c r="J297" s="3" t="n">
        <v>0</v>
      </c>
      <c r="K297" s="3" t="n">
        <v>0</v>
      </c>
      <c r="L297" s="3" t="n">
        <v>13.18</v>
      </c>
      <c r="M297" s="2" t="n"/>
    </row>
    <row r="298">
      <c r="A298" s="3" t="n">
        <v>3271</v>
      </c>
      <c r="B298" s="3" t="n">
        <v>1865033840001</v>
      </c>
      <c r="C298" s="3" t="inlineStr">
        <is>
          <t>EMPRESA PUBLICA MUNICIPAL PARA LA GESTION INTEGRAL DE LOS DE</t>
        </is>
      </c>
      <c r="D298" s="4" t="n">
        <v>46077</v>
      </c>
      <c r="E298" s="3" t="inlineStr">
        <is>
          <t>FE</t>
        </is>
      </c>
      <c r="F298" s="3" t="n">
        <v>252889</v>
      </c>
      <c r="G298" s="3" t="n">
        <v>13.18</v>
      </c>
      <c r="H298" s="3" t="n">
        <v>0</v>
      </c>
      <c r="I298" s="3" t="n">
        <v>13.18</v>
      </c>
      <c r="J298" s="3" t="n">
        <v>0</v>
      </c>
      <c r="K298" s="3" t="n">
        <v>0</v>
      </c>
      <c r="L298" s="3" t="n">
        <v>13.18</v>
      </c>
      <c r="M298" s="2" t="n"/>
    </row>
    <row r="299">
      <c r="A299" s="3" t="n">
        <v>297</v>
      </c>
      <c r="B299" s="3" t="n">
        <v>1890001439001</v>
      </c>
      <c r="C299" s="3" t="inlineStr">
        <is>
          <t>EMPRESA ELECTRICA AMBATO S.A.</t>
        </is>
      </c>
      <c r="D299" s="4" t="n">
        <v>46065</v>
      </c>
      <c r="E299" s="3" t="inlineStr">
        <is>
          <t>FE</t>
        </is>
      </c>
      <c r="F299" s="3" t="n">
        <v>12607372</v>
      </c>
      <c r="G299" s="3" t="n">
        <v>8.92</v>
      </c>
      <c r="H299" s="3" t="n">
        <v>0</v>
      </c>
      <c r="I299" s="3" t="n">
        <v>8.92</v>
      </c>
      <c r="J299" s="3" t="n">
        <v>0</v>
      </c>
      <c r="K299" s="3" t="n">
        <v>0</v>
      </c>
      <c r="L299" s="3" t="n">
        <v>0</v>
      </c>
      <c r="M299" s="2" t="n"/>
    </row>
    <row r="300">
      <c r="A300" s="3" t="n">
        <v>297</v>
      </c>
      <c r="B300" s="3" t="n">
        <v>1890001439001</v>
      </c>
      <c r="C300" s="3" t="inlineStr">
        <is>
          <t>EMPRESA ELECTRICA AMBATO S.A.</t>
        </is>
      </c>
      <c r="D300" s="4" t="n">
        <v>46075</v>
      </c>
      <c r="E300" s="3" t="inlineStr">
        <is>
          <t>FE</t>
        </is>
      </c>
      <c r="F300" s="3" t="n">
        <v>12798021</v>
      </c>
      <c r="G300" s="3" t="n">
        <v>127.43</v>
      </c>
      <c r="H300" s="3" t="n">
        <v>0</v>
      </c>
      <c r="I300" s="3" t="n">
        <v>127.43</v>
      </c>
      <c r="J300" s="3" t="n">
        <v>0</v>
      </c>
      <c r="K300" s="3" t="n">
        <v>0</v>
      </c>
      <c r="L300" s="3" t="n">
        <v>0</v>
      </c>
      <c r="M300" s="2" t="n"/>
    </row>
    <row r="301">
      <c r="A301" s="3" t="n">
        <v>297</v>
      </c>
      <c r="B301" s="3" t="n">
        <v>1890001439001</v>
      </c>
      <c r="C301" s="3" t="inlineStr">
        <is>
          <t>EMPRESA ELECTRICA AMBATO S.A.</t>
        </is>
      </c>
      <c r="D301" s="4" t="n">
        <v>46075</v>
      </c>
      <c r="E301" s="3" t="inlineStr">
        <is>
          <t>FE</t>
        </is>
      </c>
      <c r="F301" s="3" t="n">
        <v>12799129</v>
      </c>
      <c r="G301" s="3" t="n">
        <v>4.03</v>
      </c>
      <c r="H301" s="3" t="n">
        <v>0</v>
      </c>
      <c r="I301" s="3" t="n">
        <v>4.03</v>
      </c>
      <c r="J301" s="3" t="n">
        <v>0</v>
      </c>
      <c r="K301" s="3" t="n">
        <v>0</v>
      </c>
      <c r="L301" s="3" t="n">
        <v>0</v>
      </c>
      <c r="M301" s="2" t="n"/>
    </row>
    <row r="302">
      <c r="A302" s="3" t="n">
        <v>297</v>
      </c>
      <c r="B302" s="3" t="n">
        <v>1890001439001</v>
      </c>
      <c r="C302" s="3" t="inlineStr">
        <is>
          <t>EMPRESA ELECTRICA AMBATO S.A.</t>
        </is>
      </c>
      <c r="D302" s="4" t="n">
        <v>46075</v>
      </c>
      <c r="E302" s="3" t="inlineStr">
        <is>
          <t>FE</t>
        </is>
      </c>
      <c r="F302" s="3" t="n">
        <v>12798657</v>
      </c>
      <c r="G302" s="3" t="n">
        <v>4.03</v>
      </c>
      <c r="H302" s="3" t="n">
        <v>0</v>
      </c>
      <c r="I302" s="3" t="n">
        <v>4.03</v>
      </c>
      <c r="J302" s="3" t="n">
        <v>0</v>
      </c>
      <c r="K302" s="3" t="n">
        <v>0</v>
      </c>
      <c r="L302" s="3" t="n">
        <v>0</v>
      </c>
      <c r="M302" s="2" t="n"/>
    </row>
    <row r="303">
      <c r="A303" s="3" t="n">
        <v>297</v>
      </c>
      <c r="B303" s="3" t="n">
        <v>1890001439001</v>
      </c>
      <c r="C303" s="3" t="inlineStr">
        <is>
          <t>EMPRESA ELECTRICA AMBATO S.A.</t>
        </is>
      </c>
      <c r="D303" s="4" t="n">
        <v>46081</v>
      </c>
      <c r="E303" s="3" t="inlineStr">
        <is>
          <t>FE</t>
        </is>
      </c>
      <c r="F303" s="3" t="n">
        <v>12879984</v>
      </c>
      <c r="G303" s="3" t="n">
        <v>83.18000000000001</v>
      </c>
      <c r="H303" s="3" t="n">
        <v>0</v>
      </c>
      <c r="I303" s="3" t="n">
        <v>83.18000000000001</v>
      </c>
      <c r="J303" s="3" t="n">
        <v>0</v>
      </c>
      <c r="K303" s="3" t="n">
        <v>0</v>
      </c>
      <c r="L303" s="3" t="n">
        <v>83.18000000000001</v>
      </c>
      <c r="M303" s="2" t="n"/>
    </row>
    <row r="304">
      <c r="A304" s="3" t="n">
        <v>297</v>
      </c>
      <c r="B304" s="3" t="n">
        <v>1890001439001</v>
      </c>
      <c r="C304" s="3" t="inlineStr">
        <is>
          <t>EMPRESA ELECTRICA AMBATO S.A.</t>
        </is>
      </c>
      <c r="D304" s="4" t="n">
        <v>46081</v>
      </c>
      <c r="E304" s="3" t="inlineStr">
        <is>
          <t>FE</t>
        </is>
      </c>
      <c r="F304" s="3" t="n">
        <v>12882356</v>
      </c>
      <c r="G304" s="3" t="n">
        <v>92.77</v>
      </c>
      <c r="H304" s="3" t="n">
        <v>0</v>
      </c>
      <c r="I304" s="3" t="n">
        <v>92.77</v>
      </c>
      <c r="J304" s="3" t="n">
        <v>0</v>
      </c>
      <c r="K304" s="3" t="n">
        <v>0</v>
      </c>
      <c r="L304" s="3" t="n">
        <v>92.77</v>
      </c>
      <c r="M304" s="2" t="n"/>
    </row>
    <row r="305">
      <c r="A305" s="3" t="n">
        <v>297</v>
      </c>
      <c r="B305" s="3" t="n">
        <v>1890001439001</v>
      </c>
      <c r="C305" s="3" t="inlineStr">
        <is>
          <t>EMPRESA ELECTRICA AMBATO S.A.</t>
        </is>
      </c>
      <c r="D305" s="4" t="n">
        <v>46081</v>
      </c>
      <c r="E305" s="3" t="inlineStr">
        <is>
          <t>FE</t>
        </is>
      </c>
      <c r="F305" s="3" t="n">
        <v>12890007</v>
      </c>
      <c r="G305" s="3" t="n">
        <v>170.29</v>
      </c>
      <c r="H305" s="3" t="n">
        <v>0</v>
      </c>
      <c r="I305" s="3" t="n">
        <v>170.29</v>
      </c>
      <c r="J305" s="3" t="n">
        <v>0</v>
      </c>
      <c r="K305" s="3" t="n">
        <v>0</v>
      </c>
      <c r="L305" s="3" t="n">
        <v>170.29</v>
      </c>
      <c r="M305" s="2" t="n"/>
    </row>
    <row r="306">
      <c r="A306" s="3" t="n">
        <v>676</v>
      </c>
      <c r="B306" s="3" t="n">
        <v>1890016509001</v>
      </c>
      <c r="C306" s="3" t="inlineStr">
        <is>
          <t>CONSEJO GUBERNATIVO DE LOS BIENES DE LA DIOCESIS DE AMBATO</t>
        </is>
      </c>
      <c r="D306" s="4" t="n">
        <v>46055</v>
      </c>
      <c r="E306" s="3" t="inlineStr">
        <is>
          <t>FE</t>
        </is>
      </c>
      <c r="F306" s="3" t="n">
        <v>811</v>
      </c>
      <c r="G306" s="3" t="n">
        <v>454.35</v>
      </c>
      <c r="H306" s="3" t="n">
        <v>434.78</v>
      </c>
      <c r="I306" s="3" t="n">
        <v>0</v>
      </c>
      <c r="J306" s="3" t="n">
        <v>65.22</v>
      </c>
      <c r="K306" s="3" t="n">
        <v>45.65</v>
      </c>
      <c r="L306" s="3" t="n">
        <v>0</v>
      </c>
      <c r="M306" s="2" t="n"/>
    </row>
    <row r="307">
      <c r="A307" s="3" t="n">
        <v>1892</v>
      </c>
      <c r="B307" s="3" t="n">
        <v>1890089239001</v>
      </c>
      <c r="C307" s="3" t="inlineStr">
        <is>
          <t>INDUSTRIAL Y COMERCIAL CASTRO OJEDA I.C.C.O. S.A.</t>
        </is>
      </c>
      <c r="D307" s="4" t="n">
        <v>46075</v>
      </c>
      <c r="E307" s="3" t="inlineStr">
        <is>
          <t>FE</t>
        </is>
      </c>
      <c r="F307" s="3" t="n">
        <v>239005</v>
      </c>
      <c r="G307" s="3" t="n">
        <v>181.58</v>
      </c>
      <c r="H307" s="3" t="n">
        <v>162.49</v>
      </c>
      <c r="I307" s="3" t="n">
        <v>0</v>
      </c>
      <c r="J307" s="3" t="n">
        <v>24.37</v>
      </c>
      <c r="K307" s="3" t="n">
        <v>5.28</v>
      </c>
      <c r="L307" s="3" t="n">
        <v>181.58</v>
      </c>
      <c r="M307" s="2" t="n"/>
    </row>
    <row r="308">
      <c r="A308" s="3" t="n">
        <v>1892</v>
      </c>
      <c r="B308" s="3" t="n">
        <v>1890089239001</v>
      </c>
      <c r="C308" s="3" t="inlineStr">
        <is>
          <t>INDUSTRIAL Y COMERCIAL CASTRO OJEDA I.C.C.O. S.A.</t>
        </is>
      </c>
      <c r="D308" s="4" t="n">
        <v>46075</v>
      </c>
      <c r="E308" s="3" t="inlineStr">
        <is>
          <t>FE</t>
        </is>
      </c>
      <c r="F308" s="3" t="n">
        <v>239006</v>
      </c>
      <c r="G308" s="3" t="n">
        <v>185.38</v>
      </c>
      <c r="H308" s="3" t="n">
        <v>165.89</v>
      </c>
      <c r="I308" s="3" t="n">
        <v>0</v>
      </c>
      <c r="J308" s="3" t="n">
        <v>24.88</v>
      </c>
      <c r="K308" s="3" t="n">
        <v>5.39</v>
      </c>
      <c r="L308" s="3" t="n">
        <v>185.38</v>
      </c>
      <c r="M308" s="2" t="n"/>
    </row>
    <row r="309">
      <c r="A309" s="3" t="n">
        <v>1892</v>
      </c>
      <c r="B309" s="3" t="n">
        <v>1890089239001</v>
      </c>
      <c r="C309" s="3" t="inlineStr">
        <is>
          <t>INDUSTRIAL Y COMERCIAL CASTRO OJEDA I.C.C.O. S.A.</t>
        </is>
      </c>
      <c r="D309" s="4" t="n">
        <v>46075</v>
      </c>
      <c r="E309" s="3" t="inlineStr">
        <is>
          <t>FE</t>
        </is>
      </c>
      <c r="F309" s="3" t="n">
        <v>239004</v>
      </c>
      <c r="G309" s="3" t="n">
        <v>375.07</v>
      </c>
      <c r="H309" s="3" t="n">
        <v>335.63</v>
      </c>
      <c r="I309" s="3" t="n">
        <v>0</v>
      </c>
      <c r="J309" s="3" t="n">
        <v>50.34</v>
      </c>
      <c r="K309" s="3" t="n">
        <v>10.9</v>
      </c>
      <c r="L309" s="3" t="n">
        <v>375.07</v>
      </c>
      <c r="M309" s="2" t="n"/>
    </row>
    <row r="310">
      <c r="A310" s="3" t="n">
        <v>2603</v>
      </c>
      <c r="B310" s="3" t="n">
        <v>1890113423001</v>
      </c>
      <c r="C310" s="3" t="inlineStr">
        <is>
          <t>CAMARA DE COMERCIO DE AMBATO</t>
        </is>
      </c>
      <c r="D310" s="4" t="n">
        <v>46075</v>
      </c>
      <c r="E310" s="3" t="inlineStr">
        <is>
          <t>FE</t>
        </is>
      </c>
      <c r="F310" s="3" t="n">
        <v>21000</v>
      </c>
      <c r="G310" s="3" t="n">
        <v>113.59</v>
      </c>
      <c r="H310" s="3" t="n">
        <v>108.7</v>
      </c>
      <c r="I310" s="3" t="n">
        <v>0</v>
      </c>
      <c r="J310" s="3" t="n">
        <v>16.31</v>
      </c>
      <c r="K310" s="3" t="n">
        <v>11.42</v>
      </c>
      <c r="L310" s="3" t="n">
        <v>0</v>
      </c>
      <c r="M310" s="2" t="n"/>
    </row>
    <row r="311">
      <c r="A311" s="3" t="n">
        <v>27</v>
      </c>
      <c r="B311" s="3" t="n">
        <v>1890139171001</v>
      </c>
      <c r="C311" s="3" t="inlineStr">
        <is>
          <t>LARREAUTO CIA. LTDA.</t>
        </is>
      </c>
      <c r="D311" s="4" t="n">
        <v>46065</v>
      </c>
      <c r="E311" s="3" t="inlineStr">
        <is>
          <t>FE</t>
        </is>
      </c>
      <c r="F311" s="3" t="n">
        <v>6283</v>
      </c>
      <c r="G311" s="3" t="n">
        <v>50.87</v>
      </c>
      <c r="H311" s="3" t="n">
        <v>50</v>
      </c>
      <c r="I311" s="3" t="n">
        <v>0</v>
      </c>
      <c r="J311" s="3" t="n">
        <v>7.5</v>
      </c>
      <c r="K311" s="3" t="n">
        <v>6.63</v>
      </c>
      <c r="L311" s="3" t="n">
        <v>50.87</v>
      </c>
      <c r="M311" s="2" t="n"/>
    </row>
    <row r="312">
      <c r="A312" s="3" t="n">
        <v>181</v>
      </c>
      <c r="B312" s="3" t="n">
        <v>1890142245001</v>
      </c>
      <c r="C312" s="3" t="inlineStr">
        <is>
          <t>CENTRO DE SERVICIOS GAVILANEZ</t>
        </is>
      </c>
      <c r="D312" s="4" t="n">
        <v>46077</v>
      </c>
      <c r="E312" s="3" t="inlineStr">
        <is>
          <t>FE</t>
        </is>
      </c>
      <c r="F312" s="3" t="n">
        <v>966047</v>
      </c>
      <c r="G312" s="3" t="n">
        <v>87.97</v>
      </c>
      <c r="H312" s="3" t="n">
        <v>76.5</v>
      </c>
      <c r="I312" s="3" t="n">
        <v>0</v>
      </c>
      <c r="J312" s="3" t="n">
        <v>11.47</v>
      </c>
      <c r="K312" s="3" t="n">
        <v>0</v>
      </c>
      <c r="L312" s="3" t="n">
        <v>87.97</v>
      </c>
      <c r="M312" s="2" t="n"/>
    </row>
    <row r="313">
      <c r="A313" s="3" t="n">
        <v>181</v>
      </c>
      <c r="B313" s="3" t="n">
        <v>1890142245001</v>
      </c>
      <c r="C313" s="3" t="inlineStr">
        <is>
          <t>CENTRO DE SERVICIOS GAVILANEZ</t>
        </is>
      </c>
      <c r="D313" s="4" t="n">
        <v>46077</v>
      </c>
      <c r="E313" s="3" t="inlineStr">
        <is>
          <t>FE</t>
        </is>
      </c>
      <c r="F313" s="3" t="n">
        <v>966593</v>
      </c>
      <c r="G313" s="3" t="n">
        <v>108.01</v>
      </c>
      <c r="H313" s="3" t="n">
        <v>93.92</v>
      </c>
      <c r="I313" s="3" t="n">
        <v>0</v>
      </c>
      <c r="J313" s="3" t="n">
        <v>14.09</v>
      </c>
      <c r="K313" s="3" t="n">
        <v>0</v>
      </c>
      <c r="L313" s="3" t="n">
        <v>108.01</v>
      </c>
      <c r="M313" s="2" t="n"/>
    </row>
    <row r="314">
      <c r="A314" s="3" t="n">
        <v>181</v>
      </c>
      <c r="B314" s="3" t="n">
        <v>1890142245001</v>
      </c>
      <c r="C314" s="3" t="inlineStr">
        <is>
          <t>CENTRO DE SERVICIOS GAVILANEZ</t>
        </is>
      </c>
      <c r="D314" s="4" t="n">
        <v>46077</v>
      </c>
      <c r="E314" s="3" t="inlineStr">
        <is>
          <t>FE</t>
        </is>
      </c>
      <c r="F314" s="3" t="n">
        <v>677780</v>
      </c>
      <c r="G314" s="3" t="n">
        <v>30</v>
      </c>
      <c r="H314" s="3" t="n">
        <v>26.09</v>
      </c>
      <c r="I314" s="3" t="n">
        <v>0</v>
      </c>
      <c r="J314" s="3" t="n">
        <v>3.91</v>
      </c>
      <c r="K314" s="3" t="n">
        <v>0</v>
      </c>
      <c r="L314" s="3" t="n">
        <v>30</v>
      </c>
      <c r="M314" s="2" t="n"/>
    </row>
    <row r="315">
      <c r="A315" s="3" t="n">
        <v>181</v>
      </c>
      <c r="B315" s="3" t="n">
        <v>1890142245001</v>
      </c>
      <c r="C315" s="3" t="inlineStr">
        <is>
          <t>CENTRO DE SERVICIOS GAVILANEZ</t>
        </is>
      </c>
      <c r="D315" s="4" t="n">
        <v>46077</v>
      </c>
      <c r="E315" s="3" t="inlineStr">
        <is>
          <t>FE</t>
        </is>
      </c>
      <c r="F315" s="3" t="n">
        <v>1019095</v>
      </c>
      <c r="G315" s="3" t="n">
        <v>23</v>
      </c>
      <c r="H315" s="3" t="n">
        <v>20</v>
      </c>
      <c r="I315" s="3" t="n">
        <v>0</v>
      </c>
      <c r="J315" s="3" t="n">
        <v>3</v>
      </c>
      <c r="K315" s="3" t="n">
        <v>0</v>
      </c>
      <c r="L315" s="3" t="n">
        <v>23</v>
      </c>
      <c r="M315" s="2" t="n"/>
    </row>
    <row r="316">
      <c r="A316" s="3" t="n">
        <v>181</v>
      </c>
      <c r="B316" s="3" t="n">
        <v>1890142245001</v>
      </c>
      <c r="C316" s="3" t="inlineStr">
        <is>
          <t>CENTRO DE SERVICIOS GAVILANEZ</t>
        </is>
      </c>
      <c r="D316" s="4" t="n">
        <v>46077</v>
      </c>
      <c r="E316" s="3" t="inlineStr">
        <is>
          <t>FE</t>
        </is>
      </c>
      <c r="F316" s="3" t="n">
        <v>676339</v>
      </c>
      <c r="G316" s="3" t="n">
        <v>30</v>
      </c>
      <c r="H316" s="3" t="n">
        <v>26.09</v>
      </c>
      <c r="I316" s="3" t="n">
        <v>0</v>
      </c>
      <c r="J316" s="3" t="n">
        <v>3.91</v>
      </c>
      <c r="K316" s="3" t="n">
        <v>0</v>
      </c>
      <c r="L316" s="3" t="n">
        <v>30</v>
      </c>
      <c r="M316" s="2" t="n"/>
    </row>
    <row r="317">
      <c r="A317" s="3" t="n">
        <v>181</v>
      </c>
      <c r="B317" s="3" t="n">
        <v>1890142245001</v>
      </c>
      <c r="C317" s="3" t="inlineStr">
        <is>
          <t>CENTRO DE SERVICIOS GAVILANEZ</t>
        </is>
      </c>
      <c r="D317" s="4" t="n">
        <v>46077</v>
      </c>
      <c r="E317" s="3" t="inlineStr">
        <is>
          <t>FE</t>
        </is>
      </c>
      <c r="F317" s="3" t="n">
        <v>1021765</v>
      </c>
      <c r="G317" s="3" t="n">
        <v>27</v>
      </c>
      <c r="H317" s="3" t="n">
        <v>23.48</v>
      </c>
      <c r="I317" s="3" t="n">
        <v>0</v>
      </c>
      <c r="J317" s="3" t="n">
        <v>3.52</v>
      </c>
      <c r="K317" s="3" t="n">
        <v>0</v>
      </c>
      <c r="L317" s="3" t="n">
        <v>27</v>
      </c>
      <c r="M317" s="2" t="n"/>
    </row>
    <row r="318">
      <c r="A318" s="3" t="n">
        <v>181</v>
      </c>
      <c r="B318" s="3" t="n">
        <v>1890142245001</v>
      </c>
      <c r="C318" s="3" t="inlineStr">
        <is>
          <t>CENTRO DE SERVICIOS GAVILANEZ</t>
        </is>
      </c>
      <c r="D318" s="4" t="n">
        <v>46077</v>
      </c>
      <c r="E318" s="3" t="inlineStr">
        <is>
          <t>FE</t>
        </is>
      </c>
      <c r="F318" s="3" t="n">
        <v>677392</v>
      </c>
      <c r="G318" s="3" t="n">
        <v>5</v>
      </c>
      <c r="H318" s="3" t="n">
        <v>4.35</v>
      </c>
      <c r="I318" s="3" t="n">
        <v>0</v>
      </c>
      <c r="J318" s="3" t="n">
        <v>0.65</v>
      </c>
      <c r="K318" s="3" t="n">
        <v>0</v>
      </c>
      <c r="L318" s="3" t="n">
        <v>5</v>
      </c>
      <c r="M318" s="2" t="n"/>
    </row>
    <row r="319">
      <c r="A319" s="3" t="n">
        <v>181</v>
      </c>
      <c r="B319" s="3" t="n">
        <v>1890142245001</v>
      </c>
      <c r="C319" s="3" t="inlineStr">
        <is>
          <t>CENTRO DE SERVICIOS GAVILANEZ</t>
        </is>
      </c>
      <c r="D319" s="4" t="n">
        <v>46077</v>
      </c>
      <c r="E319" s="3" t="inlineStr">
        <is>
          <t>FE</t>
        </is>
      </c>
      <c r="F319" s="3" t="n">
        <v>674751</v>
      </c>
      <c r="G319" s="3" t="n">
        <v>5</v>
      </c>
      <c r="H319" s="3" t="n">
        <v>4.35</v>
      </c>
      <c r="I319" s="3" t="n">
        <v>0</v>
      </c>
      <c r="J319" s="3" t="n">
        <v>0.65</v>
      </c>
      <c r="K319" s="3" t="n">
        <v>0</v>
      </c>
      <c r="L319" s="3" t="n">
        <v>5</v>
      </c>
      <c r="M319" s="2" t="n"/>
    </row>
    <row r="320">
      <c r="A320" s="3" t="n">
        <v>181</v>
      </c>
      <c r="B320" s="3" t="n">
        <v>1890142245001</v>
      </c>
      <c r="C320" s="3" t="inlineStr">
        <is>
          <t>CENTRO DE SERVICIOS GAVILANEZ</t>
        </is>
      </c>
      <c r="D320" s="4" t="n">
        <v>46077</v>
      </c>
      <c r="E320" s="3" t="inlineStr">
        <is>
          <t>FE</t>
        </is>
      </c>
      <c r="F320" s="3" t="n">
        <v>672332</v>
      </c>
      <c r="G320" s="3" t="n">
        <v>5</v>
      </c>
      <c r="H320" s="3" t="n">
        <v>4.35</v>
      </c>
      <c r="I320" s="3" t="n">
        <v>0</v>
      </c>
      <c r="J320" s="3" t="n">
        <v>0.65</v>
      </c>
      <c r="K320" s="3" t="n">
        <v>0</v>
      </c>
      <c r="L320" s="3" t="n">
        <v>5</v>
      </c>
      <c r="M320" s="2" t="n"/>
    </row>
    <row r="321">
      <c r="A321" s="3" t="n">
        <v>181</v>
      </c>
      <c r="B321" s="3" t="n">
        <v>1890142245001</v>
      </c>
      <c r="C321" s="3" t="inlineStr">
        <is>
          <t>CENTRO DE SERVICIOS GAVILANEZ</t>
        </is>
      </c>
      <c r="D321" s="4" t="n">
        <v>46077</v>
      </c>
      <c r="E321" s="3" t="inlineStr">
        <is>
          <t>FE</t>
        </is>
      </c>
      <c r="F321" s="3" t="n">
        <v>672834</v>
      </c>
      <c r="G321" s="3" t="n">
        <v>20</v>
      </c>
      <c r="H321" s="3" t="n">
        <v>17.39</v>
      </c>
      <c r="I321" s="3" t="n">
        <v>0</v>
      </c>
      <c r="J321" s="3" t="n">
        <v>2.61</v>
      </c>
      <c r="K321" s="3" t="n">
        <v>0</v>
      </c>
      <c r="L321" s="3" t="n">
        <v>20</v>
      </c>
      <c r="M321" s="2" t="n"/>
    </row>
    <row r="322">
      <c r="A322" s="3" t="n">
        <v>181</v>
      </c>
      <c r="B322" s="3" t="n">
        <v>1890142245001</v>
      </c>
      <c r="C322" s="3" t="inlineStr">
        <is>
          <t>CENTRO DE SERVICIOS GAVILANEZ</t>
        </is>
      </c>
      <c r="D322" s="4" t="n">
        <v>46077</v>
      </c>
      <c r="E322" s="3" t="inlineStr">
        <is>
          <t>FE</t>
        </is>
      </c>
      <c r="F322" s="3" t="n">
        <v>674739</v>
      </c>
      <c r="G322" s="3" t="n">
        <v>25</v>
      </c>
      <c r="H322" s="3" t="n">
        <v>21.74</v>
      </c>
      <c r="I322" s="3" t="n">
        <v>0</v>
      </c>
      <c r="J322" s="3" t="n">
        <v>3.26</v>
      </c>
      <c r="K322" s="3" t="n">
        <v>0</v>
      </c>
      <c r="L322" s="3" t="n">
        <v>25</v>
      </c>
      <c r="M322" s="2" t="n"/>
    </row>
    <row r="323">
      <c r="A323" s="3" t="n">
        <v>181</v>
      </c>
      <c r="B323" s="3" t="n">
        <v>1890142245001</v>
      </c>
      <c r="C323" s="3" t="inlineStr">
        <is>
          <t>CENTRO DE SERVICIOS GAVILANEZ</t>
        </is>
      </c>
      <c r="D323" s="4" t="n">
        <v>46077</v>
      </c>
      <c r="E323" s="3" t="inlineStr">
        <is>
          <t>FE</t>
        </is>
      </c>
      <c r="F323" s="3" t="n">
        <v>1018085</v>
      </c>
      <c r="G323" s="3" t="n">
        <v>8</v>
      </c>
      <c r="H323" s="3" t="n">
        <v>6.96</v>
      </c>
      <c r="I323" s="3" t="n">
        <v>0</v>
      </c>
      <c r="J323" s="3" t="n">
        <v>1.04</v>
      </c>
      <c r="K323" s="3" t="n">
        <v>0</v>
      </c>
      <c r="L323" s="3" t="n">
        <v>8</v>
      </c>
      <c r="M323" s="2" t="n"/>
    </row>
    <row r="324">
      <c r="A324" s="3" t="n">
        <v>181</v>
      </c>
      <c r="B324" s="3" t="n">
        <v>1890142245001</v>
      </c>
      <c r="C324" s="3" t="inlineStr">
        <is>
          <t>CENTRO DE SERVICIOS GAVILANEZ</t>
        </is>
      </c>
      <c r="D324" s="4" t="n">
        <v>46077</v>
      </c>
      <c r="E324" s="3" t="inlineStr">
        <is>
          <t>FE</t>
        </is>
      </c>
      <c r="F324" s="3" t="n">
        <v>1018104</v>
      </c>
      <c r="G324" s="3" t="n">
        <v>8</v>
      </c>
      <c r="H324" s="3" t="n">
        <v>6.96</v>
      </c>
      <c r="I324" s="3" t="n">
        <v>0</v>
      </c>
      <c r="J324" s="3" t="n">
        <v>1.04</v>
      </c>
      <c r="K324" s="3" t="n">
        <v>0</v>
      </c>
      <c r="L324" s="3" t="n">
        <v>8</v>
      </c>
      <c r="M324" s="2" t="n"/>
    </row>
    <row r="325">
      <c r="A325" s="3" t="n">
        <v>181</v>
      </c>
      <c r="B325" s="3" t="n">
        <v>1890142245001</v>
      </c>
      <c r="C325" s="3" t="inlineStr">
        <is>
          <t>CENTRO DE SERVICIOS GAVILANEZ</t>
        </is>
      </c>
      <c r="D325" s="4" t="n">
        <v>46077</v>
      </c>
      <c r="E325" s="3" t="inlineStr">
        <is>
          <t>FE</t>
        </is>
      </c>
      <c r="F325" s="3" t="n">
        <v>1018114</v>
      </c>
      <c r="G325" s="3" t="n">
        <v>8</v>
      </c>
      <c r="H325" s="3" t="n">
        <v>6.96</v>
      </c>
      <c r="I325" s="3" t="n">
        <v>0</v>
      </c>
      <c r="J325" s="3" t="n">
        <v>1.04</v>
      </c>
      <c r="K325" s="3" t="n">
        <v>0</v>
      </c>
      <c r="L325" s="3" t="n">
        <v>8</v>
      </c>
      <c r="M325" s="2" t="n"/>
    </row>
    <row r="326">
      <c r="A326" s="3" t="n">
        <v>181</v>
      </c>
      <c r="B326" s="3" t="n">
        <v>1890142245001</v>
      </c>
      <c r="C326" s="3" t="inlineStr">
        <is>
          <t>CENTRO DE SERVICIOS GAVILANEZ</t>
        </is>
      </c>
      <c r="D326" s="4" t="n">
        <v>46077</v>
      </c>
      <c r="E326" s="3" t="inlineStr">
        <is>
          <t>FE</t>
        </is>
      </c>
      <c r="F326" s="3" t="n">
        <v>1018107</v>
      </c>
      <c r="G326" s="3" t="n">
        <v>8</v>
      </c>
      <c r="H326" s="3" t="n">
        <v>6.96</v>
      </c>
      <c r="I326" s="3" t="n">
        <v>0</v>
      </c>
      <c r="J326" s="3" t="n">
        <v>1.04</v>
      </c>
      <c r="K326" s="3" t="n">
        <v>0</v>
      </c>
      <c r="L326" s="3" t="n">
        <v>8</v>
      </c>
      <c r="M326" s="2" t="n"/>
    </row>
    <row r="327">
      <c r="A327" s="3" t="n">
        <v>181</v>
      </c>
      <c r="B327" s="3" t="n">
        <v>1890142245001</v>
      </c>
      <c r="C327" s="3" t="inlineStr">
        <is>
          <t>CENTRO DE SERVICIOS GAVILANEZ</t>
        </is>
      </c>
      <c r="D327" s="4" t="n">
        <v>46077</v>
      </c>
      <c r="E327" s="3" t="inlineStr">
        <is>
          <t>FE</t>
        </is>
      </c>
      <c r="F327" s="3" t="n">
        <v>965795</v>
      </c>
      <c r="G327" s="3" t="n">
        <v>8</v>
      </c>
      <c r="H327" s="3" t="n">
        <v>6.96</v>
      </c>
      <c r="I327" s="3" t="n">
        <v>0</v>
      </c>
      <c r="J327" s="3" t="n">
        <v>1.04</v>
      </c>
      <c r="K327" s="3" t="n">
        <v>0</v>
      </c>
      <c r="L327" s="3" t="n">
        <v>8</v>
      </c>
      <c r="M327" s="2" t="n"/>
    </row>
    <row r="328">
      <c r="A328" s="3" t="n">
        <v>181</v>
      </c>
      <c r="B328" s="3" t="n">
        <v>1890142245001</v>
      </c>
      <c r="C328" s="3" t="inlineStr">
        <is>
          <t>CENTRO DE SERVICIOS GAVILANEZ</t>
        </is>
      </c>
      <c r="D328" s="4" t="n">
        <v>46077</v>
      </c>
      <c r="E328" s="3" t="inlineStr">
        <is>
          <t>FE</t>
        </is>
      </c>
      <c r="F328" s="3" t="n">
        <v>1017342</v>
      </c>
      <c r="G328" s="3" t="n">
        <v>10</v>
      </c>
      <c r="H328" s="3" t="n">
        <v>8.699999999999999</v>
      </c>
      <c r="I328" s="3" t="n">
        <v>0</v>
      </c>
      <c r="J328" s="3" t="n">
        <v>1.3</v>
      </c>
      <c r="K328" s="3" t="n">
        <v>0</v>
      </c>
      <c r="L328" s="3" t="n">
        <v>10</v>
      </c>
      <c r="M328" s="2" t="n"/>
    </row>
    <row r="329">
      <c r="A329" s="3" t="n">
        <v>181</v>
      </c>
      <c r="B329" s="3" t="n">
        <v>1890142245001</v>
      </c>
      <c r="C329" s="3" t="inlineStr">
        <is>
          <t>CENTRO DE SERVICIOS GAVILANEZ</t>
        </is>
      </c>
      <c r="D329" s="4" t="n">
        <v>46077</v>
      </c>
      <c r="E329" s="3" t="inlineStr">
        <is>
          <t>FE</t>
        </is>
      </c>
      <c r="F329" s="3" t="n">
        <v>1016488</v>
      </c>
      <c r="G329" s="3" t="n">
        <v>8</v>
      </c>
      <c r="H329" s="3" t="n">
        <v>6.96</v>
      </c>
      <c r="I329" s="3" t="n">
        <v>0</v>
      </c>
      <c r="J329" s="3" t="n">
        <v>1.04</v>
      </c>
      <c r="K329" s="3" t="n">
        <v>0</v>
      </c>
      <c r="L329" s="3" t="n">
        <v>8</v>
      </c>
      <c r="M329" s="2" t="n"/>
    </row>
    <row r="330">
      <c r="A330" s="3" t="n">
        <v>181</v>
      </c>
      <c r="B330" s="3" t="n">
        <v>1890142245001</v>
      </c>
      <c r="C330" s="3" t="inlineStr">
        <is>
          <t>CENTRO DE SERVICIOS GAVILANEZ</t>
        </is>
      </c>
      <c r="D330" s="4" t="n">
        <v>46077</v>
      </c>
      <c r="E330" s="3" t="inlineStr">
        <is>
          <t>FE</t>
        </is>
      </c>
      <c r="F330" s="3" t="n">
        <v>963115</v>
      </c>
      <c r="G330" s="3" t="n">
        <v>8</v>
      </c>
      <c r="H330" s="3" t="n">
        <v>6.96</v>
      </c>
      <c r="I330" s="3" t="n">
        <v>0</v>
      </c>
      <c r="J330" s="3" t="n">
        <v>1.04</v>
      </c>
      <c r="K330" s="3" t="n">
        <v>0</v>
      </c>
      <c r="L330" s="3" t="n">
        <v>8</v>
      </c>
      <c r="M330" s="2" t="n"/>
    </row>
    <row r="331">
      <c r="A331" s="3" t="n">
        <v>181</v>
      </c>
      <c r="B331" s="3" t="n">
        <v>1890142245001</v>
      </c>
      <c r="C331" s="3" t="inlineStr">
        <is>
          <t>CENTRO DE SERVICIOS GAVILANEZ</t>
        </is>
      </c>
      <c r="D331" s="4" t="n">
        <v>46077</v>
      </c>
      <c r="E331" s="3" t="inlineStr">
        <is>
          <t>FE</t>
        </is>
      </c>
      <c r="F331" s="3" t="n">
        <v>963136</v>
      </c>
      <c r="G331" s="3" t="n">
        <v>8</v>
      </c>
      <c r="H331" s="3" t="n">
        <v>6.96</v>
      </c>
      <c r="I331" s="3" t="n">
        <v>0</v>
      </c>
      <c r="J331" s="3" t="n">
        <v>1.04</v>
      </c>
      <c r="K331" s="3" t="n">
        <v>0</v>
      </c>
      <c r="L331" s="3" t="n">
        <v>8</v>
      </c>
      <c r="M331" s="2" t="n"/>
    </row>
    <row r="332">
      <c r="A332" s="3" t="n">
        <v>181</v>
      </c>
      <c r="B332" s="3" t="n">
        <v>1890142245001</v>
      </c>
      <c r="C332" s="3" t="inlineStr">
        <is>
          <t>CENTRO DE SERVICIOS GAVILANEZ</t>
        </is>
      </c>
      <c r="D332" s="4" t="n">
        <v>46077</v>
      </c>
      <c r="E332" s="3" t="inlineStr">
        <is>
          <t>FE</t>
        </is>
      </c>
      <c r="F332" s="3" t="n">
        <v>1015169</v>
      </c>
      <c r="G332" s="3" t="n">
        <v>8</v>
      </c>
      <c r="H332" s="3" t="n">
        <v>6.96</v>
      </c>
      <c r="I332" s="3" t="n">
        <v>0</v>
      </c>
      <c r="J332" s="3" t="n">
        <v>1.04</v>
      </c>
      <c r="K332" s="3" t="n">
        <v>0</v>
      </c>
      <c r="L332" s="3" t="n">
        <v>8</v>
      </c>
      <c r="M332" s="2" t="n"/>
    </row>
    <row r="333">
      <c r="A333" s="3" t="n">
        <v>181</v>
      </c>
      <c r="B333" s="3" t="n">
        <v>1890142245001</v>
      </c>
      <c r="C333" s="3" t="inlineStr">
        <is>
          <t>CENTRO DE SERVICIOS GAVILANEZ</t>
        </is>
      </c>
      <c r="D333" s="4" t="n">
        <v>46077</v>
      </c>
      <c r="E333" s="3" t="inlineStr">
        <is>
          <t>FE</t>
        </is>
      </c>
      <c r="F333" s="3" t="n">
        <v>1015258</v>
      </c>
      <c r="G333" s="3" t="n">
        <v>20</v>
      </c>
      <c r="H333" s="3" t="n">
        <v>17.39</v>
      </c>
      <c r="I333" s="3" t="n">
        <v>0</v>
      </c>
      <c r="J333" s="3" t="n">
        <v>2.61</v>
      </c>
      <c r="K333" s="3" t="n">
        <v>0</v>
      </c>
      <c r="L333" s="3" t="n">
        <v>20</v>
      </c>
      <c r="M333" s="2" t="n"/>
    </row>
    <row r="334">
      <c r="A334" s="3" t="n">
        <v>181</v>
      </c>
      <c r="B334" s="3" t="n">
        <v>1890142245001</v>
      </c>
      <c r="C334" s="3" t="inlineStr">
        <is>
          <t>CENTRO DE SERVICIOS GAVILANEZ</t>
        </is>
      </c>
      <c r="D334" s="4" t="n">
        <v>46077</v>
      </c>
      <c r="E334" s="3" t="inlineStr">
        <is>
          <t>FE</t>
        </is>
      </c>
      <c r="F334" s="3" t="n">
        <v>970161</v>
      </c>
      <c r="G334" s="3" t="n">
        <v>8</v>
      </c>
      <c r="H334" s="3" t="n">
        <v>6.96</v>
      </c>
      <c r="I334" s="3" t="n">
        <v>0</v>
      </c>
      <c r="J334" s="3" t="n">
        <v>1.04</v>
      </c>
      <c r="K334" s="3" t="n">
        <v>0</v>
      </c>
      <c r="L334" s="3" t="n">
        <v>8</v>
      </c>
      <c r="M334" s="2" t="n"/>
    </row>
    <row r="335">
      <c r="A335" s="3" t="n">
        <v>181</v>
      </c>
      <c r="B335" s="3" t="n">
        <v>1890142245001</v>
      </c>
      <c r="C335" s="3" t="inlineStr">
        <is>
          <t>CENTRO DE SERVICIOS GAVILANEZ</t>
        </is>
      </c>
      <c r="D335" s="4" t="n">
        <v>46077</v>
      </c>
      <c r="E335" s="3" t="inlineStr">
        <is>
          <t>FE</t>
        </is>
      </c>
      <c r="F335" s="3" t="n">
        <v>970238</v>
      </c>
      <c r="G335" s="3" t="n">
        <v>8</v>
      </c>
      <c r="H335" s="3" t="n">
        <v>6.96</v>
      </c>
      <c r="I335" s="3" t="n">
        <v>0</v>
      </c>
      <c r="J335" s="3" t="n">
        <v>1.04</v>
      </c>
      <c r="K335" s="3" t="n">
        <v>0</v>
      </c>
      <c r="L335" s="3" t="n">
        <v>8</v>
      </c>
      <c r="M335" s="2" t="n"/>
    </row>
    <row r="336">
      <c r="A336" s="3" t="n">
        <v>181</v>
      </c>
      <c r="B336" s="3" t="n">
        <v>1890142245001</v>
      </c>
      <c r="C336" s="3" t="inlineStr">
        <is>
          <t>CENTRO DE SERVICIOS GAVILANEZ</t>
        </is>
      </c>
      <c r="D336" s="4" t="n">
        <v>46077</v>
      </c>
      <c r="E336" s="3" t="inlineStr">
        <is>
          <t>FE</t>
        </is>
      </c>
      <c r="F336" s="3" t="n">
        <v>678009</v>
      </c>
      <c r="G336" s="3" t="n">
        <v>35.5</v>
      </c>
      <c r="H336" s="3" t="n">
        <v>30.87</v>
      </c>
      <c r="I336" s="3" t="n">
        <v>0</v>
      </c>
      <c r="J336" s="3" t="n">
        <v>4.63</v>
      </c>
      <c r="K336" s="3" t="n">
        <v>0</v>
      </c>
      <c r="L336" s="3" t="n">
        <v>35.5</v>
      </c>
      <c r="M336" s="2" t="n"/>
    </row>
    <row r="337">
      <c r="A337" s="3" t="n">
        <v>181</v>
      </c>
      <c r="B337" s="3" t="n">
        <v>1890142245001</v>
      </c>
      <c r="C337" s="3" t="inlineStr">
        <is>
          <t>CENTRO DE SERVICIOS GAVILANEZ</t>
        </is>
      </c>
      <c r="D337" s="4" t="n">
        <v>46077</v>
      </c>
      <c r="E337" s="3" t="inlineStr">
        <is>
          <t>FE</t>
        </is>
      </c>
      <c r="F337" s="3" t="n">
        <v>677348</v>
      </c>
      <c r="G337" s="3" t="n">
        <v>10</v>
      </c>
      <c r="H337" s="3" t="n">
        <v>8.699999999999999</v>
      </c>
      <c r="I337" s="3" t="n">
        <v>0</v>
      </c>
      <c r="J337" s="3" t="n">
        <v>1.3</v>
      </c>
      <c r="K337" s="3" t="n">
        <v>0</v>
      </c>
      <c r="L337" s="3" t="n">
        <v>10</v>
      </c>
      <c r="M337" s="2" t="n"/>
    </row>
    <row r="338">
      <c r="A338" s="3" t="n">
        <v>181</v>
      </c>
      <c r="B338" s="3" t="n">
        <v>1890142245001</v>
      </c>
      <c r="C338" s="3" t="inlineStr">
        <is>
          <t>CENTRO DE SERVICIOS GAVILANEZ</t>
        </is>
      </c>
      <c r="D338" s="4" t="n">
        <v>46077</v>
      </c>
      <c r="E338" s="3" t="inlineStr">
        <is>
          <t>FE</t>
        </is>
      </c>
      <c r="F338" s="3" t="n">
        <v>677344</v>
      </c>
      <c r="G338" s="3" t="n">
        <v>10</v>
      </c>
      <c r="H338" s="3" t="n">
        <v>8.699999999999999</v>
      </c>
      <c r="I338" s="3" t="n">
        <v>0</v>
      </c>
      <c r="J338" s="3" t="n">
        <v>1.3</v>
      </c>
      <c r="K338" s="3" t="n">
        <v>0</v>
      </c>
      <c r="L338" s="3" t="n">
        <v>10</v>
      </c>
      <c r="M338" s="2" t="n"/>
    </row>
    <row r="339">
      <c r="A339" s="3" t="n">
        <v>181</v>
      </c>
      <c r="B339" s="3" t="n">
        <v>1890142245001</v>
      </c>
      <c r="C339" s="3" t="inlineStr">
        <is>
          <t>CENTRO DE SERVICIOS GAVILANEZ</t>
        </is>
      </c>
      <c r="D339" s="4" t="n">
        <v>46077</v>
      </c>
      <c r="E339" s="3" t="inlineStr">
        <is>
          <t>FE</t>
        </is>
      </c>
      <c r="F339" s="3" t="n">
        <v>676347</v>
      </c>
      <c r="G339" s="3" t="n">
        <v>8</v>
      </c>
      <c r="H339" s="3" t="n">
        <v>6.96</v>
      </c>
      <c r="I339" s="3" t="n">
        <v>0</v>
      </c>
      <c r="J339" s="3" t="n">
        <v>1.04</v>
      </c>
      <c r="K339" s="3" t="n">
        <v>0</v>
      </c>
      <c r="L339" s="3" t="n">
        <v>8</v>
      </c>
      <c r="M339" s="2" t="n"/>
    </row>
    <row r="340">
      <c r="A340" s="3" t="n">
        <v>181</v>
      </c>
      <c r="B340" s="3" t="n">
        <v>1890142245001</v>
      </c>
      <c r="C340" s="3" t="inlineStr">
        <is>
          <t>CENTRO DE SERVICIOS GAVILANEZ</t>
        </is>
      </c>
      <c r="D340" s="4" t="n">
        <v>46077</v>
      </c>
      <c r="E340" s="3" t="inlineStr">
        <is>
          <t>FE</t>
        </is>
      </c>
      <c r="F340" s="3" t="n">
        <v>967053</v>
      </c>
      <c r="G340" s="3" t="n">
        <v>8</v>
      </c>
      <c r="H340" s="3" t="n">
        <v>6.96</v>
      </c>
      <c r="I340" s="3" t="n">
        <v>0</v>
      </c>
      <c r="J340" s="3" t="n">
        <v>1.04</v>
      </c>
      <c r="K340" s="3" t="n">
        <v>0</v>
      </c>
      <c r="L340" s="3" t="n">
        <v>8</v>
      </c>
      <c r="M340" s="2" t="n"/>
    </row>
    <row r="341">
      <c r="A341" s="3" t="n">
        <v>181</v>
      </c>
      <c r="B341" s="3" t="n">
        <v>1890142245001</v>
      </c>
      <c r="C341" s="3" t="inlineStr">
        <is>
          <t>CENTRO DE SERVICIOS GAVILANEZ</t>
        </is>
      </c>
      <c r="D341" s="4" t="n">
        <v>46077</v>
      </c>
      <c r="E341" s="3" t="inlineStr">
        <is>
          <t>FE</t>
        </is>
      </c>
      <c r="F341" s="3" t="n">
        <v>1019096</v>
      </c>
      <c r="G341" s="3" t="n">
        <v>8</v>
      </c>
      <c r="H341" s="3" t="n">
        <v>6.96</v>
      </c>
      <c r="I341" s="3" t="n">
        <v>0</v>
      </c>
      <c r="J341" s="3" t="n">
        <v>1.04</v>
      </c>
      <c r="K341" s="3" t="n">
        <v>0</v>
      </c>
      <c r="L341" s="3" t="n">
        <v>8</v>
      </c>
      <c r="M341" s="2" t="n"/>
    </row>
    <row r="342">
      <c r="A342" s="3" t="n">
        <v>181</v>
      </c>
      <c r="B342" s="3" t="n">
        <v>1890142245001</v>
      </c>
      <c r="C342" s="3" t="inlineStr">
        <is>
          <t>CENTRO DE SERVICIOS GAVILANEZ</t>
        </is>
      </c>
      <c r="D342" s="4" t="n">
        <v>46077</v>
      </c>
      <c r="E342" s="3" t="inlineStr">
        <is>
          <t>FE</t>
        </is>
      </c>
      <c r="F342" s="3" t="n">
        <v>965623</v>
      </c>
      <c r="G342" s="3" t="n">
        <v>8</v>
      </c>
      <c r="H342" s="3" t="n">
        <v>6.96</v>
      </c>
      <c r="I342" s="3" t="n">
        <v>0</v>
      </c>
      <c r="J342" s="3" t="n">
        <v>1.04</v>
      </c>
      <c r="K342" s="3" t="n">
        <v>0</v>
      </c>
      <c r="L342" s="3" t="n">
        <v>8</v>
      </c>
      <c r="M342" s="2" t="n"/>
    </row>
    <row r="343">
      <c r="A343" s="3" t="n">
        <v>181</v>
      </c>
      <c r="B343" s="3" t="n">
        <v>1890142245001</v>
      </c>
      <c r="C343" s="3" t="inlineStr">
        <is>
          <t>CENTRO DE SERVICIOS GAVILANEZ</t>
        </is>
      </c>
      <c r="D343" s="4" t="n">
        <v>46077</v>
      </c>
      <c r="E343" s="3" t="inlineStr">
        <is>
          <t>FE</t>
        </is>
      </c>
      <c r="F343" s="3" t="n">
        <v>965634</v>
      </c>
      <c r="G343" s="3" t="n">
        <v>8</v>
      </c>
      <c r="H343" s="3" t="n">
        <v>6.96</v>
      </c>
      <c r="I343" s="3" t="n">
        <v>0</v>
      </c>
      <c r="J343" s="3" t="n">
        <v>1.04</v>
      </c>
      <c r="K343" s="3" t="n">
        <v>0</v>
      </c>
      <c r="L343" s="3" t="n">
        <v>8</v>
      </c>
      <c r="M343" s="2" t="n"/>
    </row>
    <row r="344">
      <c r="A344" s="3" t="n">
        <v>181</v>
      </c>
      <c r="B344" s="3" t="n">
        <v>1890142245001</v>
      </c>
      <c r="C344" s="3" t="inlineStr">
        <is>
          <t>CENTRO DE SERVICIOS GAVILANEZ</t>
        </is>
      </c>
      <c r="D344" s="4" t="n">
        <v>46079</v>
      </c>
      <c r="E344" s="3" t="inlineStr">
        <is>
          <t>FE</t>
        </is>
      </c>
      <c r="F344" s="3" t="n">
        <v>970674</v>
      </c>
      <c r="G344" s="3" t="n">
        <v>8</v>
      </c>
      <c r="H344" s="3" t="n">
        <v>6.96</v>
      </c>
      <c r="I344" s="3" t="n">
        <v>0</v>
      </c>
      <c r="J344" s="3" t="n">
        <v>1.04</v>
      </c>
      <c r="K344" s="3" t="n">
        <v>0</v>
      </c>
      <c r="L344" s="3" t="n">
        <v>8</v>
      </c>
      <c r="M344" s="2" t="n"/>
    </row>
    <row r="345">
      <c r="A345" s="3" t="n">
        <v>181</v>
      </c>
      <c r="B345" s="3" t="n">
        <v>1890142245001</v>
      </c>
      <c r="C345" s="3" t="inlineStr">
        <is>
          <t>CENTRO DE SERVICIOS GAVILANEZ</t>
        </is>
      </c>
      <c r="D345" s="4" t="n">
        <v>46079</v>
      </c>
      <c r="E345" s="3" t="inlineStr">
        <is>
          <t>FE</t>
        </is>
      </c>
      <c r="F345" s="3" t="n">
        <v>1022902</v>
      </c>
      <c r="G345" s="3" t="n">
        <v>27</v>
      </c>
      <c r="H345" s="3" t="n">
        <v>23.48</v>
      </c>
      <c r="I345" s="3" t="n">
        <v>0</v>
      </c>
      <c r="J345" s="3" t="n">
        <v>3.52</v>
      </c>
      <c r="K345" s="3" t="n">
        <v>0</v>
      </c>
      <c r="L345" s="3" t="n">
        <v>27</v>
      </c>
      <c r="M345" s="2" t="n"/>
    </row>
    <row r="346">
      <c r="A346" s="3" t="n">
        <v>181</v>
      </c>
      <c r="B346" s="3" t="n">
        <v>1890142245001</v>
      </c>
      <c r="C346" s="3" t="inlineStr">
        <is>
          <t>CENTRO DE SERVICIOS GAVILANEZ</t>
        </is>
      </c>
      <c r="D346" s="4" t="n">
        <v>46079</v>
      </c>
      <c r="E346" s="3" t="inlineStr">
        <is>
          <t>FE</t>
        </is>
      </c>
      <c r="F346" s="3" t="n">
        <v>678230</v>
      </c>
      <c r="G346" s="3" t="n">
        <v>10</v>
      </c>
      <c r="H346" s="3" t="n">
        <v>8.699999999999999</v>
      </c>
      <c r="I346" s="3" t="n">
        <v>0</v>
      </c>
      <c r="J346" s="3" t="n">
        <v>1.3</v>
      </c>
      <c r="K346" s="3" t="n">
        <v>0</v>
      </c>
      <c r="L346" s="3" t="n">
        <v>10</v>
      </c>
      <c r="M346" s="2" t="n"/>
    </row>
    <row r="347">
      <c r="A347" s="3" t="n">
        <v>181</v>
      </c>
      <c r="B347" s="3" t="n">
        <v>1890142245001</v>
      </c>
      <c r="C347" s="3" t="inlineStr">
        <is>
          <t>CENTRO DE SERVICIOS GAVILANEZ</t>
        </is>
      </c>
      <c r="D347" s="4" t="n">
        <v>46079</v>
      </c>
      <c r="E347" s="3" t="inlineStr">
        <is>
          <t>FE</t>
        </is>
      </c>
      <c r="F347" s="3" t="n">
        <v>678274</v>
      </c>
      <c r="G347" s="3" t="n">
        <v>12</v>
      </c>
      <c r="H347" s="3" t="n">
        <v>10.43</v>
      </c>
      <c r="I347" s="3" t="n">
        <v>0</v>
      </c>
      <c r="J347" s="3" t="n">
        <v>1.57</v>
      </c>
      <c r="K347" s="3" t="n">
        <v>0</v>
      </c>
      <c r="L347" s="3" t="n">
        <v>12</v>
      </c>
      <c r="M347" s="2" t="n"/>
    </row>
    <row r="348">
      <c r="A348" s="3" t="n">
        <v>181</v>
      </c>
      <c r="B348" s="3" t="n">
        <v>1890142245001</v>
      </c>
      <c r="C348" s="3" t="inlineStr">
        <is>
          <t>CENTRO DE SERVICIOS GAVILANEZ</t>
        </is>
      </c>
      <c r="D348" s="4" t="n">
        <v>46081</v>
      </c>
      <c r="E348" s="3" t="inlineStr">
        <is>
          <t>FE</t>
        </is>
      </c>
      <c r="F348" s="3" t="n">
        <v>1024677</v>
      </c>
      <c r="G348" s="3" t="n">
        <v>8</v>
      </c>
      <c r="H348" s="3" t="n">
        <v>6.96</v>
      </c>
      <c r="I348" s="3" t="n">
        <v>0</v>
      </c>
      <c r="J348" s="3" t="n">
        <v>1.04</v>
      </c>
      <c r="K348" s="3" t="n">
        <v>0</v>
      </c>
      <c r="L348" s="3" t="n">
        <v>8</v>
      </c>
      <c r="M348" s="2" t="n"/>
    </row>
    <row r="349">
      <c r="A349" s="3" t="n">
        <v>181</v>
      </c>
      <c r="B349" s="3" t="n">
        <v>1890142245001</v>
      </c>
      <c r="C349" s="3" t="inlineStr">
        <is>
          <t>CENTRO DE SERVICIOS GAVILANEZ</t>
        </is>
      </c>
      <c r="D349" s="4" t="n">
        <v>46081</v>
      </c>
      <c r="E349" s="3" t="inlineStr">
        <is>
          <t>FE</t>
        </is>
      </c>
      <c r="F349" s="3" t="n">
        <v>1023080</v>
      </c>
      <c r="G349" s="3" t="n">
        <v>8</v>
      </c>
      <c r="H349" s="3" t="n">
        <v>6.96</v>
      </c>
      <c r="I349" s="3" t="n">
        <v>0</v>
      </c>
      <c r="J349" s="3" t="n">
        <v>1.04</v>
      </c>
      <c r="K349" s="3" t="n">
        <v>0</v>
      </c>
      <c r="L349" s="3" t="n">
        <v>8</v>
      </c>
      <c r="M349" s="2" t="n"/>
    </row>
    <row r="350">
      <c r="A350" s="3" t="n">
        <v>181</v>
      </c>
      <c r="B350" s="3" t="n">
        <v>1890142245001</v>
      </c>
      <c r="C350" s="3" t="inlineStr">
        <is>
          <t>CENTRO DE SERVICIOS GAVILANEZ</t>
        </is>
      </c>
      <c r="D350" s="4" t="n">
        <v>46081</v>
      </c>
      <c r="E350" s="3" t="inlineStr">
        <is>
          <t>FE</t>
        </is>
      </c>
      <c r="F350" s="3" t="n">
        <v>680448</v>
      </c>
      <c r="G350" s="3" t="n">
        <v>30</v>
      </c>
      <c r="H350" s="3" t="n">
        <v>26.09</v>
      </c>
      <c r="I350" s="3" t="n">
        <v>0</v>
      </c>
      <c r="J350" s="3" t="n">
        <v>3.91</v>
      </c>
      <c r="K350" s="3" t="n">
        <v>0</v>
      </c>
      <c r="L350" s="3" t="n">
        <v>30</v>
      </c>
      <c r="M350" s="2" t="n"/>
    </row>
    <row r="351">
      <c r="A351" s="3" t="n">
        <v>181</v>
      </c>
      <c r="B351" s="3" t="n">
        <v>1890142245001</v>
      </c>
      <c r="C351" s="3" t="inlineStr">
        <is>
          <t>CENTRO DE SERVICIOS GAVILANEZ</t>
        </is>
      </c>
      <c r="D351" s="4" t="n">
        <v>46081</v>
      </c>
      <c r="E351" s="3" t="inlineStr">
        <is>
          <t>FE</t>
        </is>
      </c>
      <c r="F351" s="3" t="n">
        <v>971196</v>
      </c>
      <c r="G351" s="3" t="n">
        <v>92.37</v>
      </c>
      <c r="H351" s="3" t="n">
        <v>80.31999999999999</v>
      </c>
      <c r="I351" s="3" t="n">
        <v>0</v>
      </c>
      <c r="J351" s="3" t="n">
        <v>12.05</v>
      </c>
      <c r="K351" s="3" t="n">
        <v>0</v>
      </c>
      <c r="L351" s="3" t="n">
        <v>92.37</v>
      </c>
      <c r="M351" s="2" t="n"/>
    </row>
    <row r="352">
      <c r="A352" s="3" t="n">
        <v>181</v>
      </c>
      <c r="B352" s="3" t="n">
        <v>1890142245001</v>
      </c>
      <c r="C352" s="3" t="inlineStr">
        <is>
          <t>CENTRO DE SERVICIOS GAVILANEZ</t>
        </is>
      </c>
      <c r="D352" s="4" t="n">
        <v>46081</v>
      </c>
      <c r="E352" s="3" t="inlineStr">
        <is>
          <t>FE</t>
        </is>
      </c>
      <c r="F352" s="3" t="n">
        <v>973660</v>
      </c>
      <c r="G352" s="3" t="n">
        <v>93.27</v>
      </c>
      <c r="H352" s="3" t="n">
        <v>81.09999999999999</v>
      </c>
      <c r="I352" s="3" t="n">
        <v>0</v>
      </c>
      <c r="J352" s="3" t="n">
        <v>12.17</v>
      </c>
      <c r="K352" s="3" t="n">
        <v>0</v>
      </c>
      <c r="L352" s="3" t="n">
        <v>93.27</v>
      </c>
      <c r="M352" s="2" t="n"/>
    </row>
    <row r="353">
      <c r="A353" s="3" t="n">
        <v>181</v>
      </c>
      <c r="B353" s="3" t="n">
        <v>1890142245001</v>
      </c>
      <c r="C353" s="3" t="inlineStr">
        <is>
          <t>CENTRO DE SERVICIOS GAVILANEZ</t>
        </is>
      </c>
      <c r="D353" s="4" t="n">
        <v>46081</v>
      </c>
      <c r="E353" s="3" t="inlineStr">
        <is>
          <t>FE</t>
        </is>
      </c>
      <c r="F353" s="3" t="n">
        <v>972381</v>
      </c>
      <c r="G353" s="3" t="n">
        <v>95.62</v>
      </c>
      <c r="H353" s="3" t="n">
        <v>83.15000000000001</v>
      </c>
      <c r="I353" s="3" t="n">
        <v>0</v>
      </c>
      <c r="J353" s="3" t="n">
        <v>12.47</v>
      </c>
      <c r="K353" s="3" t="n">
        <v>0</v>
      </c>
      <c r="L353" s="3" t="n">
        <v>95.62</v>
      </c>
      <c r="M353" s="2" t="n"/>
    </row>
    <row r="354">
      <c r="A354" s="3" t="n">
        <v>181</v>
      </c>
      <c r="B354" s="3" t="n">
        <v>1890142245001</v>
      </c>
      <c r="C354" s="3" t="inlineStr">
        <is>
          <t>CENTRO DE SERVICIOS GAVILANEZ</t>
        </is>
      </c>
      <c r="D354" s="4" t="n">
        <v>46081</v>
      </c>
      <c r="E354" s="3" t="inlineStr">
        <is>
          <t>FE</t>
        </is>
      </c>
      <c r="F354" s="3" t="n">
        <v>679915</v>
      </c>
      <c r="G354" s="3" t="n">
        <v>5.97</v>
      </c>
      <c r="H354" s="3" t="n">
        <v>5.19</v>
      </c>
      <c r="I354" s="3" t="n">
        <v>0</v>
      </c>
      <c r="J354" s="3" t="n">
        <v>0.78</v>
      </c>
      <c r="K354" s="3" t="n">
        <v>0</v>
      </c>
      <c r="L354" s="3" t="n">
        <v>5.97</v>
      </c>
      <c r="M354" s="2" t="n"/>
    </row>
    <row r="355">
      <c r="A355" s="3" t="n">
        <v>181</v>
      </c>
      <c r="B355" s="3" t="n">
        <v>1890142245001</v>
      </c>
      <c r="C355" s="3" t="inlineStr">
        <is>
          <t>CENTRO DE SERVICIOS GAVILANEZ</t>
        </is>
      </c>
      <c r="D355" s="4" t="n">
        <v>46081</v>
      </c>
      <c r="E355" s="3" t="inlineStr">
        <is>
          <t>FE</t>
        </is>
      </c>
      <c r="F355" s="3" t="n">
        <v>1026014</v>
      </c>
      <c r="G355" s="3" t="n">
        <v>15</v>
      </c>
      <c r="H355" s="3" t="n">
        <v>13.04</v>
      </c>
      <c r="I355" s="3" t="n">
        <v>0</v>
      </c>
      <c r="J355" s="3" t="n">
        <v>1.96</v>
      </c>
      <c r="K355" s="3" t="n">
        <v>0</v>
      </c>
      <c r="L355" s="3" t="n">
        <v>15</v>
      </c>
      <c r="M355" s="2" t="n"/>
    </row>
    <row r="356">
      <c r="A356" s="3" t="n">
        <v>181</v>
      </c>
      <c r="B356" s="3" t="n">
        <v>1890142245001</v>
      </c>
      <c r="C356" s="3" t="inlineStr">
        <is>
          <t>CENTRO DE SERVICIOS GAVILANEZ</t>
        </is>
      </c>
      <c r="D356" s="4" t="n">
        <v>46081</v>
      </c>
      <c r="E356" s="3" t="inlineStr">
        <is>
          <t>FE</t>
        </is>
      </c>
      <c r="F356" s="3" t="n">
        <v>679493</v>
      </c>
      <c r="G356" s="3" t="n">
        <v>8</v>
      </c>
      <c r="H356" s="3" t="n">
        <v>6.96</v>
      </c>
      <c r="I356" s="3" t="n">
        <v>0</v>
      </c>
      <c r="J356" s="3" t="n">
        <v>1.04</v>
      </c>
      <c r="K356" s="3" t="n">
        <v>0</v>
      </c>
      <c r="L356" s="3" t="n">
        <v>8</v>
      </c>
      <c r="M356" s="2" t="n"/>
    </row>
    <row r="357">
      <c r="A357" s="3" t="n">
        <v>181</v>
      </c>
      <c r="B357" s="3" t="n">
        <v>1890142245001</v>
      </c>
      <c r="C357" s="3" t="inlineStr">
        <is>
          <t>CENTRO DE SERVICIOS GAVILANEZ</t>
        </is>
      </c>
      <c r="D357" s="4" t="n">
        <v>46081</v>
      </c>
      <c r="E357" s="3" t="inlineStr">
        <is>
          <t>FE</t>
        </is>
      </c>
      <c r="F357" s="3" t="n">
        <v>679492</v>
      </c>
      <c r="G357" s="3" t="n">
        <v>8</v>
      </c>
      <c r="H357" s="3" t="n">
        <v>6.96</v>
      </c>
      <c r="I357" s="3" t="n">
        <v>0</v>
      </c>
      <c r="J357" s="3" t="n">
        <v>1.04</v>
      </c>
      <c r="K357" s="3" t="n">
        <v>0</v>
      </c>
      <c r="L357" s="3" t="n">
        <v>8</v>
      </c>
      <c r="M357" s="2" t="n"/>
    </row>
    <row r="358">
      <c r="A358" s="3" t="n">
        <v>181</v>
      </c>
      <c r="B358" s="3" t="n">
        <v>1890142245001</v>
      </c>
      <c r="C358" s="3" t="inlineStr">
        <is>
          <t>CENTRO DE SERVICIOS GAVILANEZ</t>
        </is>
      </c>
      <c r="D358" s="4" t="n">
        <v>46081</v>
      </c>
      <c r="E358" s="3" t="inlineStr">
        <is>
          <t>FE</t>
        </is>
      </c>
      <c r="F358" s="3" t="n">
        <v>680686</v>
      </c>
      <c r="G358" s="3" t="n">
        <v>8</v>
      </c>
      <c r="H358" s="3" t="n">
        <v>6.96</v>
      </c>
      <c r="I358" s="3" t="n">
        <v>0</v>
      </c>
      <c r="J358" s="3" t="n">
        <v>1.04</v>
      </c>
      <c r="K358" s="3" t="n">
        <v>0</v>
      </c>
      <c r="L358" s="3" t="n">
        <v>8</v>
      </c>
      <c r="M358" s="2" t="n"/>
    </row>
    <row r="359">
      <c r="A359" s="3" t="n">
        <v>181</v>
      </c>
      <c r="B359" s="3" t="n">
        <v>1890142245001</v>
      </c>
      <c r="C359" s="3" t="inlineStr">
        <is>
          <t>CENTRO DE SERVICIOS GAVILANEZ</t>
        </is>
      </c>
      <c r="D359" s="4" t="n">
        <v>46081</v>
      </c>
      <c r="E359" s="3" t="inlineStr">
        <is>
          <t>FE</t>
        </is>
      </c>
      <c r="F359" s="3" t="n">
        <v>679496</v>
      </c>
      <c r="G359" s="3" t="n">
        <v>8</v>
      </c>
      <c r="H359" s="3" t="n">
        <v>6.96</v>
      </c>
      <c r="I359" s="3" t="n">
        <v>0</v>
      </c>
      <c r="J359" s="3" t="n">
        <v>1.04</v>
      </c>
      <c r="K359" s="3" t="n">
        <v>0</v>
      </c>
      <c r="L359" s="3" t="n">
        <v>8</v>
      </c>
      <c r="M359" s="2" t="n"/>
    </row>
    <row r="360">
      <c r="A360" s="3" t="n">
        <v>72</v>
      </c>
      <c r="B360" s="3" t="n">
        <v>1890148324001</v>
      </c>
      <c r="C360" s="3" t="inlineStr">
        <is>
          <t>PANTERA DE SEGURIDAD PHANTERSEG COMPAÑIA LIMITADA</t>
        </is>
      </c>
      <c r="D360" s="4" t="n">
        <v>46075</v>
      </c>
      <c r="E360" s="3" t="inlineStr">
        <is>
          <t>FE</t>
        </is>
      </c>
      <c r="F360" s="3" t="n">
        <v>3768</v>
      </c>
      <c r="G360" s="3" t="n">
        <v>2717.79</v>
      </c>
      <c r="H360" s="3" t="n">
        <v>2671.04</v>
      </c>
      <c r="I360" s="3" t="n">
        <v>0</v>
      </c>
      <c r="J360" s="3" t="n">
        <v>400.66</v>
      </c>
      <c r="K360" s="3" t="n">
        <v>353.91</v>
      </c>
      <c r="L360" s="3" t="n">
        <v>2717.79</v>
      </c>
      <c r="M360" s="2" t="n"/>
    </row>
    <row r="361">
      <c r="A361" s="3" t="n">
        <v>1846</v>
      </c>
      <c r="B361" s="3" t="n">
        <v>1890148510001</v>
      </c>
      <c r="C361" s="3" t="inlineStr">
        <is>
          <t>MERCANTIL TORRESCO CIA. LTDA.</t>
        </is>
      </c>
      <c r="D361" s="4" t="n">
        <v>46065</v>
      </c>
      <c r="E361" s="3" t="inlineStr">
        <is>
          <t>FE</t>
        </is>
      </c>
      <c r="F361" s="3" t="n">
        <v>46</v>
      </c>
      <c r="G361" s="3" t="n">
        <v>2600</v>
      </c>
      <c r="H361" s="3" t="n">
        <v>2751.32</v>
      </c>
      <c r="I361" s="3" t="n">
        <v>0</v>
      </c>
      <c r="J361" s="3" t="n">
        <v>412.7</v>
      </c>
      <c r="K361" s="3" t="n">
        <v>564.02</v>
      </c>
      <c r="L361" s="3" t="n">
        <v>0</v>
      </c>
      <c r="M361" s="2" t="n"/>
    </row>
    <row r="362">
      <c r="A362" s="3" t="n">
        <v>439</v>
      </c>
      <c r="B362" s="3" t="n">
        <v>1890152917001</v>
      </c>
      <c r="C362" s="3" t="inlineStr">
        <is>
          <t>GONZALEZ VEGA EL MOTOR CIA LTDA</t>
        </is>
      </c>
      <c r="D362" s="4" t="n">
        <v>46061</v>
      </c>
      <c r="E362" s="3" t="inlineStr">
        <is>
          <t>FE</t>
        </is>
      </c>
      <c r="F362" s="3" t="n">
        <v>125378</v>
      </c>
      <c r="G362" s="3" t="n">
        <v>84.84</v>
      </c>
      <c r="H362" s="3" t="n">
        <v>78.02</v>
      </c>
      <c r="I362" s="3" t="n">
        <v>0</v>
      </c>
      <c r="J362" s="3" t="n">
        <v>11.7</v>
      </c>
      <c r="K362" s="3" t="n">
        <v>4.88</v>
      </c>
      <c r="L362" s="3" t="n">
        <v>0</v>
      </c>
      <c r="M362" s="2" t="n"/>
    </row>
    <row r="363">
      <c r="A363" s="3" t="n">
        <v>439</v>
      </c>
      <c r="B363" s="3" t="n">
        <v>1890152917001</v>
      </c>
      <c r="C363" s="3" t="inlineStr">
        <is>
          <t>GONZALEZ VEGA EL MOTOR CIA LTDA</t>
        </is>
      </c>
      <c r="D363" s="4" t="n">
        <v>46079</v>
      </c>
      <c r="E363" s="3" t="inlineStr">
        <is>
          <t>FE</t>
        </is>
      </c>
      <c r="F363" s="3" t="n">
        <v>125851</v>
      </c>
      <c r="G363" s="3" t="n">
        <v>62.37</v>
      </c>
      <c r="H363" s="3" t="n">
        <v>57.35</v>
      </c>
      <c r="I363" s="3" t="n">
        <v>0</v>
      </c>
      <c r="J363" s="3" t="n">
        <v>8.6</v>
      </c>
      <c r="K363" s="3" t="n">
        <v>3.58</v>
      </c>
      <c r="L363" s="3" t="n">
        <v>62.37</v>
      </c>
      <c r="M363" s="2" t="n"/>
    </row>
    <row r="364">
      <c r="A364" s="3" t="n">
        <v>115</v>
      </c>
      <c r="B364" s="3" t="n">
        <v>1891712215001</v>
      </c>
      <c r="C364" s="3" t="inlineStr">
        <is>
          <t>TOYOTASERVICIOS S.A.</t>
        </is>
      </c>
      <c r="D364" s="4" t="n">
        <v>46057</v>
      </c>
      <c r="E364" s="3" t="inlineStr">
        <is>
          <t>FE</t>
        </is>
      </c>
      <c r="F364" s="3" t="n">
        <v>52804</v>
      </c>
      <c r="G364" s="3" t="n">
        <v>69.23</v>
      </c>
      <c r="H364" s="3" t="n">
        <v>63.66</v>
      </c>
      <c r="I364" s="3" t="n">
        <v>0</v>
      </c>
      <c r="J364" s="3" t="n">
        <v>9.550000000000001</v>
      </c>
      <c r="K364" s="3" t="n">
        <v>3.98</v>
      </c>
      <c r="L364" s="3" t="n">
        <v>69.23</v>
      </c>
      <c r="M364" s="2" t="n"/>
    </row>
    <row r="365">
      <c r="A365" s="3" t="n">
        <v>115</v>
      </c>
      <c r="B365" s="3" t="n">
        <v>1891712215001</v>
      </c>
      <c r="C365" s="3" t="inlineStr">
        <is>
          <t>TOYOTASERVICIOS S.A.</t>
        </is>
      </c>
      <c r="D365" s="4" t="n">
        <v>46057</v>
      </c>
      <c r="E365" s="3" t="inlineStr">
        <is>
          <t>FE</t>
        </is>
      </c>
      <c r="F365" s="3" t="n">
        <v>52803</v>
      </c>
      <c r="G365" s="3" t="n">
        <v>19.74</v>
      </c>
      <c r="H365" s="3" t="n">
        <v>19.4</v>
      </c>
      <c r="I365" s="3" t="n">
        <v>0</v>
      </c>
      <c r="J365" s="3" t="n">
        <v>2.91</v>
      </c>
      <c r="K365" s="3" t="n">
        <v>2.57</v>
      </c>
      <c r="L365" s="3" t="n">
        <v>19.74</v>
      </c>
      <c r="M365" s="2" t="n"/>
    </row>
    <row r="366">
      <c r="A366" s="3" t="n">
        <v>115</v>
      </c>
      <c r="B366" s="3" t="n">
        <v>1891712215001</v>
      </c>
      <c r="C366" s="3" t="inlineStr">
        <is>
          <t>TOYOTASERVICIOS S.A.</t>
        </is>
      </c>
      <c r="D366" s="4" t="n">
        <v>46058</v>
      </c>
      <c r="E366" s="3" t="inlineStr">
        <is>
          <t>FE</t>
        </is>
      </c>
      <c r="F366" s="3" t="n">
        <v>52828</v>
      </c>
      <c r="G366" s="3" t="n">
        <v>49.45</v>
      </c>
      <c r="H366" s="3" t="n">
        <v>48.6</v>
      </c>
      <c r="I366" s="3" t="n">
        <v>0</v>
      </c>
      <c r="J366" s="3" t="n">
        <v>7.29</v>
      </c>
      <c r="K366" s="3" t="n">
        <v>6.44</v>
      </c>
      <c r="L366" s="3" t="n">
        <v>49.45</v>
      </c>
      <c r="M366" s="2" t="n"/>
    </row>
    <row r="367">
      <c r="A367" s="3" t="n">
        <v>115</v>
      </c>
      <c r="B367" s="3" t="n">
        <v>1891712215001</v>
      </c>
      <c r="C367" s="3" t="inlineStr">
        <is>
          <t>TOYOTASERVICIOS S.A.</t>
        </is>
      </c>
      <c r="D367" s="4" t="n">
        <v>46058</v>
      </c>
      <c r="E367" s="3" t="inlineStr">
        <is>
          <t>FE</t>
        </is>
      </c>
      <c r="F367" s="3" t="n">
        <v>14870</v>
      </c>
      <c r="G367" s="3" t="n">
        <v>740.15</v>
      </c>
      <c r="H367" s="3" t="n">
        <v>680.6</v>
      </c>
      <c r="I367" s="3" t="n">
        <v>0</v>
      </c>
      <c r="J367" s="3" t="n">
        <v>102.09</v>
      </c>
      <c r="K367" s="3" t="n">
        <v>42.54</v>
      </c>
      <c r="L367" s="3" t="n">
        <v>740.15</v>
      </c>
      <c r="M367" s="2" t="n"/>
    </row>
    <row r="368">
      <c r="A368" s="3" t="n">
        <v>115</v>
      </c>
      <c r="B368" s="3" t="n">
        <v>1891712215001</v>
      </c>
      <c r="C368" s="3" t="inlineStr">
        <is>
          <t>TOYOTASERVICIOS S.A.</t>
        </is>
      </c>
      <c r="D368" s="4" t="n">
        <v>46059</v>
      </c>
      <c r="E368" s="3" t="inlineStr">
        <is>
          <t>FE</t>
        </is>
      </c>
      <c r="F368" s="3" t="n">
        <v>14871</v>
      </c>
      <c r="G368" s="3" t="n">
        <v>222.53</v>
      </c>
      <c r="H368" s="3" t="n">
        <v>204.63</v>
      </c>
      <c r="I368" s="3" t="n">
        <v>0</v>
      </c>
      <c r="J368" s="3" t="n">
        <v>30.69</v>
      </c>
      <c r="K368" s="3" t="n">
        <v>12.79</v>
      </c>
      <c r="L368" s="3" t="n">
        <v>222.53</v>
      </c>
      <c r="M368" s="2" t="n"/>
    </row>
    <row r="369">
      <c r="A369" s="3" t="n">
        <v>115</v>
      </c>
      <c r="B369" s="3" t="n">
        <v>1891712215001</v>
      </c>
      <c r="C369" s="3" t="inlineStr">
        <is>
          <t>TOYOTASERVICIOS S.A.</t>
        </is>
      </c>
      <c r="D369" s="4" t="n">
        <v>46061</v>
      </c>
      <c r="E369" s="3" t="inlineStr">
        <is>
          <t>FE</t>
        </is>
      </c>
      <c r="F369" s="3" t="n">
        <v>6833</v>
      </c>
      <c r="G369" s="3" t="n">
        <v>32.51</v>
      </c>
      <c r="H369" s="3" t="n">
        <v>29.89</v>
      </c>
      <c r="I369" s="3" t="n">
        <v>0</v>
      </c>
      <c r="J369" s="3" t="n">
        <v>4.48</v>
      </c>
      <c r="K369" s="3" t="n">
        <v>1.86</v>
      </c>
      <c r="L369" s="3" t="n">
        <v>32.51</v>
      </c>
      <c r="M369" s="2" t="n"/>
    </row>
    <row r="370">
      <c r="A370" s="3" t="n">
        <v>115</v>
      </c>
      <c r="B370" s="3" t="n">
        <v>1891712215001</v>
      </c>
      <c r="C370" s="3" t="inlineStr">
        <is>
          <t>TOYOTASERVICIOS S.A.</t>
        </is>
      </c>
      <c r="D370" s="4" t="n">
        <v>46061</v>
      </c>
      <c r="E370" s="3" t="inlineStr">
        <is>
          <t>FE</t>
        </is>
      </c>
      <c r="F370" s="3" t="n">
        <v>6832</v>
      </c>
      <c r="G370" s="3" t="n">
        <v>14.07</v>
      </c>
      <c r="H370" s="3" t="n">
        <v>13.83</v>
      </c>
      <c r="I370" s="3" t="n">
        <v>0</v>
      </c>
      <c r="J370" s="3" t="n">
        <v>2.07</v>
      </c>
      <c r="K370" s="3" t="n">
        <v>1.83</v>
      </c>
      <c r="L370" s="3" t="n">
        <v>14.07</v>
      </c>
      <c r="M370" s="2" t="n"/>
    </row>
    <row r="371">
      <c r="A371" s="3" t="n">
        <v>115</v>
      </c>
      <c r="B371" s="3" t="n">
        <v>1891712215001</v>
      </c>
      <c r="C371" s="3" t="inlineStr">
        <is>
          <t>TOYOTASERVICIOS S.A.</t>
        </is>
      </c>
      <c r="D371" s="4" t="n">
        <v>46061</v>
      </c>
      <c r="E371" s="3" t="inlineStr">
        <is>
          <t>FE</t>
        </is>
      </c>
      <c r="F371" s="3" t="n">
        <v>52829</v>
      </c>
      <c r="G371" s="3" t="n">
        <v>183.15</v>
      </c>
      <c r="H371" s="3" t="n">
        <v>180</v>
      </c>
      <c r="I371" s="3" t="n">
        <v>0</v>
      </c>
      <c r="J371" s="3" t="n">
        <v>27</v>
      </c>
      <c r="K371" s="3" t="n">
        <v>23.85</v>
      </c>
      <c r="L371" s="3" t="n">
        <v>183.15</v>
      </c>
      <c r="M371" s="2" t="n"/>
    </row>
    <row r="372">
      <c r="A372" s="3" t="n">
        <v>115</v>
      </c>
      <c r="B372" s="3" t="n">
        <v>1891712215001</v>
      </c>
      <c r="C372" s="3" t="inlineStr">
        <is>
          <t>TOYOTASERVICIOS S.A.</t>
        </is>
      </c>
      <c r="D372" s="4" t="n">
        <v>46061</v>
      </c>
      <c r="E372" s="3" t="inlineStr">
        <is>
          <t>FE</t>
        </is>
      </c>
      <c r="F372" s="3" t="n">
        <v>6831</v>
      </c>
      <c r="G372" s="3" t="n">
        <v>33.79</v>
      </c>
      <c r="H372" s="3" t="n">
        <v>31.07</v>
      </c>
      <c r="I372" s="3" t="n">
        <v>0</v>
      </c>
      <c r="J372" s="3" t="n">
        <v>4.66</v>
      </c>
      <c r="K372" s="3" t="n">
        <v>1.94</v>
      </c>
      <c r="L372" s="3" t="n">
        <v>33.79</v>
      </c>
      <c r="M372" s="2" t="n"/>
    </row>
    <row r="373">
      <c r="A373" s="3" t="n">
        <v>115</v>
      </c>
      <c r="B373" s="3" t="n">
        <v>1891712215001</v>
      </c>
      <c r="C373" s="3" t="inlineStr">
        <is>
          <t>TOYOTASERVICIOS S.A.</t>
        </is>
      </c>
      <c r="D373" s="4" t="n">
        <v>46061</v>
      </c>
      <c r="E373" s="3" t="inlineStr">
        <is>
          <t>FE</t>
        </is>
      </c>
      <c r="F373" s="3" t="n">
        <v>6834</v>
      </c>
      <c r="G373" s="3" t="n">
        <v>14.07</v>
      </c>
      <c r="H373" s="3" t="n">
        <v>13.83</v>
      </c>
      <c r="I373" s="3" t="n">
        <v>0</v>
      </c>
      <c r="J373" s="3" t="n">
        <v>2.07</v>
      </c>
      <c r="K373" s="3" t="n">
        <v>1.83</v>
      </c>
      <c r="L373" s="3" t="n">
        <v>14.07</v>
      </c>
      <c r="M373" s="2" t="n"/>
    </row>
    <row r="374">
      <c r="A374" s="3" t="n">
        <v>115</v>
      </c>
      <c r="B374" s="3" t="n">
        <v>1891712215001</v>
      </c>
      <c r="C374" s="3" t="inlineStr">
        <is>
          <t>TOYOTASERVICIOS S.A.</t>
        </is>
      </c>
      <c r="D374" s="4" t="n">
        <v>46063</v>
      </c>
      <c r="E374" s="3" t="inlineStr">
        <is>
          <t>FE</t>
        </is>
      </c>
      <c r="F374" s="3" t="n">
        <v>14881</v>
      </c>
      <c r="G374" s="3" t="n">
        <v>735.27</v>
      </c>
      <c r="H374" s="3" t="n">
        <v>676.11</v>
      </c>
      <c r="I374" s="3" t="n">
        <v>0</v>
      </c>
      <c r="J374" s="3" t="n">
        <v>101.42</v>
      </c>
      <c r="K374" s="3" t="n">
        <v>42.26</v>
      </c>
      <c r="L374" s="3" t="n">
        <v>735.27</v>
      </c>
      <c r="M374" s="2" t="n"/>
    </row>
    <row r="375">
      <c r="A375" s="3" t="n">
        <v>115</v>
      </c>
      <c r="B375" s="3" t="n">
        <v>1891712215001</v>
      </c>
      <c r="C375" s="3" t="inlineStr">
        <is>
          <t>TOYOTASERVICIOS S.A.</t>
        </is>
      </c>
      <c r="D375" s="4" t="n">
        <v>46063</v>
      </c>
      <c r="E375" s="3" t="inlineStr">
        <is>
          <t>FE</t>
        </is>
      </c>
      <c r="F375" s="3" t="n">
        <v>14882</v>
      </c>
      <c r="G375" s="3" t="n">
        <v>141.37</v>
      </c>
      <c r="H375" s="3" t="n">
        <v>130</v>
      </c>
      <c r="I375" s="3" t="n">
        <v>0</v>
      </c>
      <c r="J375" s="3" t="n">
        <v>19.5</v>
      </c>
      <c r="K375" s="3" t="n">
        <v>8.130000000000001</v>
      </c>
      <c r="L375" s="3" t="n">
        <v>141.37</v>
      </c>
      <c r="M375" s="2" t="n"/>
    </row>
    <row r="376">
      <c r="A376" s="3" t="n">
        <v>115</v>
      </c>
      <c r="B376" s="3" t="n">
        <v>1891712215001</v>
      </c>
      <c r="C376" s="3" t="inlineStr">
        <is>
          <t>TOYOTASERVICIOS S.A.</t>
        </is>
      </c>
      <c r="D376" s="4" t="n">
        <v>46065</v>
      </c>
      <c r="E376" s="3" t="inlineStr">
        <is>
          <t>FE</t>
        </is>
      </c>
      <c r="F376" s="3" t="n">
        <v>6870</v>
      </c>
      <c r="G376" s="3" t="n">
        <v>46.3</v>
      </c>
      <c r="H376" s="3" t="n">
        <v>45.5</v>
      </c>
      <c r="I376" s="3" t="n">
        <v>0</v>
      </c>
      <c r="J376" s="3" t="n">
        <v>6.83</v>
      </c>
      <c r="K376" s="3" t="n">
        <v>6.03</v>
      </c>
      <c r="L376" s="3" t="n">
        <v>46.3</v>
      </c>
      <c r="M376" s="2" t="n"/>
    </row>
    <row r="377">
      <c r="A377" s="3" t="n">
        <v>115</v>
      </c>
      <c r="B377" s="3" t="n">
        <v>1891712215001</v>
      </c>
      <c r="C377" s="3" t="inlineStr">
        <is>
          <t>TOYOTASERVICIOS S.A.</t>
        </is>
      </c>
      <c r="D377" s="4" t="n">
        <v>46065</v>
      </c>
      <c r="E377" s="3" t="inlineStr">
        <is>
          <t>FE</t>
        </is>
      </c>
      <c r="F377" s="3" t="n">
        <v>6871</v>
      </c>
      <c r="G377" s="3" t="n">
        <v>137.51</v>
      </c>
      <c r="H377" s="3" t="n">
        <v>126.44</v>
      </c>
      <c r="I377" s="3" t="n">
        <v>0</v>
      </c>
      <c r="J377" s="3" t="n">
        <v>18.97</v>
      </c>
      <c r="K377" s="3" t="n">
        <v>7.9</v>
      </c>
      <c r="L377" s="3" t="n">
        <v>137.51</v>
      </c>
      <c r="M377" s="2" t="n"/>
    </row>
    <row r="378">
      <c r="A378" s="3" t="n">
        <v>115</v>
      </c>
      <c r="B378" s="3" t="n">
        <v>1891712215001</v>
      </c>
      <c r="C378" s="3" t="inlineStr">
        <is>
          <t>TOYOTASERVICIOS S.A.</t>
        </is>
      </c>
      <c r="D378" s="4" t="n">
        <v>46071</v>
      </c>
      <c r="E378" s="3" t="inlineStr">
        <is>
          <t>FE</t>
        </is>
      </c>
      <c r="F378" s="3" t="n">
        <v>14895</v>
      </c>
      <c r="G378" s="3" t="n">
        <v>239.25</v>
      </c>
      <c r="H378" s="3" t="n">
        <v>220</v>
      </c>
      <c r="I378" s="3" t="n">
        <v>0</v>
      </c>
      <c r="J378" s="3" t="n">
        <v>33</v>
      </c>
      <c r="K378" s="3" t="n">
        <v>13.75</v>
      </c>
      <c r="L378" s="3" t="n">
        <v>239.25</v>
      </c>
      <c r="M378" s="2" t="n"/>
    </row>
    <row r="379">
      <c r="A379" s="3" t="n">
        <v>115</v>
      </c>
      <c r="B379" s="3" t="n">
        <v>1891712215001</v>
      </c>
      <c r="C379" s="3" t="inlineStr">
        <is>
          <t>TOYOTASERVICIOS S.A.</t>
        </is>
      </c>
      <c r="D379" s="4" t="n">
        <v>46071</v>
      </c>
      <c r="E379" s="3" t="inlineStr">
        <is>
          <t>FE</t>
        </is>
      </c>
      <c r="F379" s="3" t="n">
        <v>14894</v>
      </c>
      <c r="G379" s="3" t="n">
        <v>742</v>
      </c>
      <c r="H379" s="3" t="n">
        <v>682.3</v>
      </c>
      <c r="I379" s="3" t="n">
        <v>0</v>
      </c>
      <c r="J379" s="3" t="n">
        <v>102.35</v>
      </c>
      <c r="K379" s="3" t="n">
        <v>42.65</v>
      </c>
      <c r="L379" s="3" t="n">
        <v>742</v>
      </c>
      <c r="M379" s="2" t="n"/>
    </row>
    <row r="380">
      <c r="A380" s="3" t="n">
        <v>115</v>
      </c>
      <c r="B380" s="3" t="n">
        <v>1891712215001</v>
      </c>
      <c r="C380" s="3" t="inlineStr">
        <is>
          <t>TOYOTASERVICIOS S.A.</t>
        </is>
      </c>
      <c r="D380" s="4" t="n">
        <v>46071</v>
      </c>
      <c r="E380" s="3" t="inlineStr">
        <is>
          <t>FE</t>
        </is>
      </c>
      <c r="F380" s="3" t="n">
        <v>6894</v>
      </c>
      <c r="G380" s="3" t="n">
        <v>32.51</v>
      </c>
      <c r="H380" s="3" t="n">
        <v>29.89</v>
      </c>
      <c r="I380" s="3" t="n">
        <v>0</v>
      </c>
      <c r="J380" s="3" t="n">
        <v>4.48</v>
      </c>
      <c r="K380" s="3" t="n">
        <v>1.86</v>
      </c>
      <c r="L380" s="3" t="n">
        <v>32.51</v>
      </c>
      <c r="M380" s="2" t="n"/>
    </row>
    <row r="381">
      <c r="A381" s="3" t="n">
        <v>115</v>
      </c>
      <c r="B381" s="3" t="n">
        <v>1891712215001</v>
      </c>
      <c r="C381" s="3" t="inlineStr">
        <is>
          <t>TOYOTASERVICIOS S.A.</t>
        </is>
      </c>
      <c r="D381" s="4" t="n">
        <v>46071</v>
      </c>
      <c r="E381" s="3" t="inlineStr">
        <is>
          <t>FE</t>
        </is>
      </c>
      <c r="F381" s="3" t="n">
        <v>6895</v>
      </c>
      <c r="G381" s="3" t="n">
        <v>22.01</v>
      </c>
      <c r="H381" s="3" t="n">
        <v>21.63</v>
      </c>
      <c r="I381" s="3" t="n">
        <v>0</v>
      </c>
      <c r="J381" s="3" t="n">
        <v>3.24</v>
      </c>
      <c r="K381" s="3" t="n">
        <v>2.86</v>
      </c>
      <c r="L381" s="3" t="n">
        <v>22.01</v>
      </c>
      <c r="M381" s="2" t="n"/>
    </row>
    <row r="382">
      <c r="A382" s="3" t="n">
        <v>115</v>
      </c>
      <c r="B382" s="3" t="n">
        <v>1891712215001</v>
      </c>
      <c r="C382" s="3" t="inlineStr">
        <is>
          <t>TOYOTASERVICIOS S.A.</t>
        </is>
      </c>
      <c r="D382" s="4" t="n">
        <v>46075</v>
      </c>
      <c r="E382" s="3" t="inlineStr">
        <is>
          <t>FE</t>
        </is>
      </c>
      <c r="F382" s="3" t="n">
        <v>6916</v>
      </c>
      <c r="G382" s="3" t="n">
        <v>14.55</v>
      </c>
      <c r="H382" s="3" t="n">
        <v>14.3</v>
      </c>
      <c r="I382" s="3" t="n">
        <v>0</v>
      </c>
      <c r="J382" s="3" t="n">
        <v>2.15</v>
      </c>
      <c r="K382" s="3" t="n">
        <v>1.9</v>
      </c>
      <c r="L382" s="3" t="n">
        <v>14.55</v>
      </c>
      <c r="M382" s="2" t="n"/>
    </row>
    <row r="383">
      <c r="A383" s="3" t="n">
        <v>115</v>
      </c>
      <c r="B383" s="3" t="n">
        <v>1891712215001</v>
      </c>
      <c r="C383" s="3" t="inlineStr">
        <is>
          <t>TOYOTASERVICIOS S.A.</t>
        </is>
      </c>
      <c r="D383" s="4" t="n">
        <v>46075</v>
      </c>
      <c r="E383" s="3" t="inlineStr">
        <is>
          <t>FE</t>
        </is>
      </c>
      <c r="F383" s="3" t="n">
        <v>6915</v>
      </c>
      <c r="G383" s="3" t="n">
        <v>282.75</v>
      </c>
      <c r="H383" s="3" t="n">
        <v>260</v>
      </c>
      <c r="I383" s="3" t="n">
        <v>0</v>
      </c>
      <c r="J383" s="3" t="n">
        <v>39</v>
      </c>
      <c r="K383" s="3" t="n">
        <v>16.25</v>
      </c>
      <c r="L383" s="3" t="n">
        <v>282.75</v>
      </c>
      <c r="M383" s="2" t="n"/>
    </row>
    <row r="384">
      <c r="A384" s="3" t="n">
        <v>115</v>
      </c>
      <c r="B384" s="3" t="n">
        <v>1891712215001</v>
      </c>
      <c r="C384" s="3" t="inlineStr">
        <is>
          <t>TOYOTASERVICIOS S.A.</t>
        </is>
      </c>
      <c r="D384" s="4" t="n">
        <v>46075</v>
      </c>
      <c r="E384" s="3" t="inlineStr">
        <is>
          <t>FE</t>
        </is>
      </c>
      <c r="F384" s="3" t="n">
        <v>7752</v>
      </c>
      <c r="G384" s="3" t="n">
        <v>380.17</v>
      </c>
      <c r="H384" s="3" t="n">
        <v>349.58</v>
      </c>
      <c r="I384" s="3" t="n">
        <v>0</v>
      </c>
      <c r="J384" s="3" t="n">
        <v>52.44</v>
      </c>
      <c r="K384" s="3" t="n">
        <v>21.85</v>
      </c>
      <c r="L384" s="3" t="n">
        <v>380.17</v>
      </c>
      <c r="M384" s="2" t="n"/>
    </row>
    <row r="385">
      <c r="A385" s="3" t="n">
        <v>115</v>
      </c>
      <c r="B385" s="3" t="n">
        <v>1891712215001</v>
      </c>
      <c r="C385" s="3" t="inlineStr">
        <is>
          <t>TOYOTASERVICIOS S.A.</t>
        </is>
      </c>
      <c r="D385" s="4" t="n">
        <v>46075</v>
      </c>
      <c r="E385" s="3" t="inlineStr">
        <is>
          <t>FE</t>
        </is>
      </c>
      <c r="F385" s="3" t="n">
        <v>7753</v>
      </c>
      <c r="G385" s="3" t="n">
        <v>93.53</v>
      </c>
      <c r="H385" s="3" t="n">
        <v>91.92</v>
      </c>
      <c r="I385" s="3" t="n">
        <v>0</v>
      </c>
      <c r="J385" s="3" t="n">
        <v>13.79</v>
      </c>
      <c r="K385" s="3" t="n">
        <v>12.18</v>
      </c>
      <c r="L385" s="3" t="n">
        <v>93.53</v>
      </c>
      <c r="M385" s="2" t="n"/>
    </row>
    <row r="386">
      <c r="A386" s="3" t="n">
        <v>115</v>
      </c>
      <c r="B386" s="3" t="n">
        <v>1891712215001</v>
      </c>
      <c r="C386" s="3" t="inlineStr">
        <is>
          <t>TOYOTASERVICIOS S.A.</t>
        </is>
      </c>
      <c r="D386" s="4" t="n">
        <v>46075</v>
      </c>
      <c r="E386" s="3" t="inlineStr">
        <is>
          <t>FE</t>
        </is>
      </c>
      <c r="F386" s="3" t="n">
        <v>1443</v>
      </c>
      <c r="G386" s="3" t="n">
        <v>543.14</v>
      </c>
      <c r="H386" s="3" t="n">
        <v>499.44</v>
      </c>
      <c r="I386" s="3" t="n">
        <v>0</v>
      </c>
      <c r="J386" s="3" t="n">
        <v>74.92</v>
      </c>
      <c r="K386" s="3" t="n">
        <v>31.22</v>
      </c>
      <c r="L386" s="3" t="n">
        <v>543.14</v>
      </c>
      <c r="M386" s="2" t="n"/>
    </row>
    <row r="387">
      <c r="A387" s="3" t="n">
        <v>115</v>
      </c>
      <c r="B387" s="3" t="n">
        <v>1891712215001</v>
      </c>
      <c r="C387" s="3" t="inlineStr">
        <is>
          <t>TOYOTASERVICIOS S.A.</t>
        </is>
      </c>
      <c r="D387" s="4" t="n">
        <v>46075</v>
      </c>
      <c r="E387" s="3" t="inlineStr">
        <is>
          <t>FE</t>
        </is>
      </c>
      <c r="F387" s="3" t="n">
        <v>1442</v>
      </c>
      <c r="G387" s="3" t="n">
        <v>420.11</v>
      </c>
      <c r="H387" s="3" t="n">
        <v>412.88</v>
      </c>
      <c r="I387" s="3" t="n">
        <v>0</v>
      </c>
      <c r="J387" s="3" t="n">
        <v>61.93</v>
      </c>
      <c r="K387" s="3" t="n">
        <v>54.7</v>
      </c>
      <c r="L387" s="3" t="n">
        <v>420.11</v>
      </c>
      <c r="M387" s="2" t="n"/>
    </row>
    <row r="388">
      <c r="A388" s="3" t="n">
        <v>115</v>
      </c>
      <c r="B388" s="3" t="n">
        <v>1891712215001</v>
      </c>
      <c r="C388" s="3" t="inlineStr">
        <is>
          <t>TOYOTASERVICIOS S.A.</t>
        </is>
      </c>
      <c r="D388" s="4" t="n">
        <v>46076</v>
      </c>
      <c r="E388" s="3" t="inlineStr">
        <is>
          <t>FE</t>
        </is>
      </c>
      <c r="F388" s="3" t="n">
        <v>14906</v>
      </c>
      <c r="G388" s="3" t="n">
        <v>239.25</v>
      </c>
      <c r="H388" s="3" t="n">
        <v>220</v>
      </c>
      <c r="I388" s="3" t="n">
        <v>0</v>
      </c>
      <c r="J388" s="3" t="n">
        <v>33</v>
      </c>
      <c r="K388" s="3" t="n">
        <v>13.75</v>
      </c>
      <c r="L388" s="3" t="n">
        <v>239.25</v>
      </c>
      <c r="M388" s="2" t="n"/>
    </row>
    <row r="389">
      <c r="A389" s="3" t="n">
        <v>115</v>
      </c>
      <c r="B389" s="3" t="n">
        <v>1891712215001</v>
      </c>
      <c r="C389" s="3" t="inlineStr">
        <is>
          <t>TOYOTASERVICIOS S.A.</t>
        </is>
      </c>
      <c r="D389" s="4" t="n">
        <v>46077</v>
      </c>
      <c r="E389" s="3" t="inlineStr">
        <is>
          <t>FE</t>
        </is>
      </c>
      <c r="F389" s="3" t="n">
        <v>7761</v>
      </c>
      <c r="G389" s="3" t="n">
        <v>61.05</v>
      </c>
      <c r="H389" s="3" t="n">
        <v>60</v>
      </c>
      <c r="I389" s="3" t="n">
        <v>0</v>
      </c>
      <c r="J389" s="3" t="n">
        <v>9</v>
      </c>
      <c r="K389" s="3" t="n">
        <v>7.95</v>
      </c>
      <c r="L389" s="3" t="n">
        <v>61.05</v>
      </c>
      <c r="M389" s="2" t="n"/>
    </row>
    <row r="390">
      <c r="A390" s="3" t="n">
        <v>115</v>
      </c>
      <c r="B390" s="3" t="n">
        <v>1891712215001</v>
      </c>
      <c r="C390" s="3" t="inlineStr">
        <is>
          <t>TOYOTASERVICIOS S.A.</t>
        </is>
      </c>
      <c r="D390" s="4" t="n">
        <v>46077</v>
      </c>
      <c r="E390" s="3" t="inlineStr">
        <is>
          <t>FE</t>
        </is>
      </c>
      <c r="F390" s="3" t="n">
        <v>7759</v>
      </c>
      <c r="G390" s="3" t="n">
        <v>381.56</v>
      </c>
      <c r="H390" s="3" t="n">
        <v>375</v>
      </c>
      <c r="I390" s="3" t="n">
        <v>0</v>
      </c>
      <c r="J390" s="3" t="n">
        <v>56.25</v>
      </c>
      <c r="K390" s="3" t="n">
        <v>49.69</v>
      </c>
      <c r="L390" s="3" t="n">
        <v>381.56</v>
      </c>
      <c r="M390" s="2" t="n"/>
    </row>
    <row r="391">
      <c r="A391" s="3" t="n">
        <v>115</v>
      </c>
      <c r="B391" s="3" t="n">
        <v>1891712215001</v>
      </c>
      <c r="C391" s="3" t="inlineStr">
        <is>
          <t>TOYOTASERVICIOS S.A.</t>
        </is>
      </c>
      <c r="D391" s="4" t="n">
        <v>46077</v>
      </c>
      <c r="E391" s="3" t="inlineStr">
        <is>
          <t>FE</t>
        </is>
      </c>
      <c r="F391" s="3" t="n">
        <v>7760</v>
      </c>
      <c r="G391" s="3" t="n">
        <v>61.05</v>
      </c>
      <c r="H391" s="3" t="n">
        <v>60</v>
      </c>
      <c r="I391" s="3" t="n">
        <v>0</v>
      </c>
      <c r="J391" s="3" t="n">
        <v>9</v>
      </c>
      <c r="K391" s="3" t="n">
        <v>7.95</v>
      </c>
      <c r="L391" s="3" t="n">
        <v>61.05</v>
      </c>
      <c r="M391" s="2" t="n"/>
    </row>
    <row r="392">
      <c r="A392" s="3" t="n">
        <v>115</v>
      </c>
      <c r="B392" s="3" t="n">
        <v>1891712215001</v>
      </c>
      <c r="C392" s="3" t="inlineStr">
        <is>
          <t>TOYOTASERVICIOS S.A.</t>
        </is>
      </c>
      <c r="D392" s="4" t="n">
        <v>46077</v>
      </c>
      <c r="E392" s="3" t="inlineStr">
        <is>
          <t>FE</t>
        </is>
      </c>
      <c r="F392" s="3" t="n">
        <v>14907</v>
      </c>
      <c r="G392" s="3" t="n">
        <v>116.14</v>
      </c>
      <c r="H392" s="3" t="n">
        <v>106.8</v>
      </c>
      <c r="I392" s="3" t="n">
        <v>0</v>
      </c>
      <c r="J392" s="3" t="n">
        <v>16.02</v>
      </c>
      <c r="K392" s="3" t="n">
        <v>6.68</v>
      </c>
      <c r="L392" s="3" t="n">
        <v>116.14</v>
      </c>
      <c r="M392" s="2" t="n"/>
    </row>
    <row r="393">
      <c r="A393" s="3" t="n">
        <v>115</v>
      </c>
      <c r="B393" s="3" t="n">
        <v>1891712215001</v>
      </c>
      <c r="C393" s="3" t="inlineStr">
        <is>
          <t>TOYOTASERVICIOS S.A.</t>
        </is>
      </c>
      <c r="D393" s="4" t="n">
        <v>46077</v>
      </c>
      <c r="E393" s="3" t="inlineStr">
        <is>
          <t>FE</t>
        </is>
      </c>
      <c r="F393" s="3" t="n">
        <v>7758</v>
      </c>
      <c r="G393" s="3" t="n">
        <v>142.45</v>
      </c>
      <c r="H393" s="3" t="n">
        <v>140</v>
      </c>
      <c r="I393" s="3" t="n">
        <v>0</v>
      </c>
      <c r="J393" s="3" t="n">
        <v>21</v>
      </c>
      <c r="K393" s="3" t="n">
        <v>18.55</v>
      </c>
      <c r="L393" s="3" t="n">
        <v>142.45</v>
      </c>
      <c r="M393" s="2" t="n"/>
    </row>
    <row r="394">
      <c r="A394" s="3" t="n">
        <v>115</v>
      </c>
      <c r="B394" s="3" t="n">
        <v>1891712215001</v>
      </c>
      <c r="C394" s="3" t="inlineStr">
        <is>
          <t>TOYOTASERVICIOS S.A.</t>
        </is>
      </c>
      <c r="D394" s="4" t="n">
        <v>46077</v>
      </c>
      <c r="E394" s="3" t="inlineStr">
        <is>
          <t>FE</t>
        </is>
      </c>
      <c r="F394" s="3" t="n">
        <v>7757</v>
      </c>
      <c r="G394" s="3" t="n">
        <v>50.87</v>
      </c>
      <c r="H394" s="3" t="n">
        <v>50</v>
      </c>
      <c r="I394" s="3" t="n">
        <v>0</v>
      </c>
      <c r="J394" s="3" t="n">
        <v>7.5</v>
      </c>
      <c r="K394" s="3" t="n">
        <v>6.63</v>
      </c>
      <c r="L394" s="3" t="n">
        <v>50.87</v>
      </c>
      <c r="M394" s="2" t="n"/>
    </row>
    <row r="395">
      <c r="A395" s="3" t="n">
        <v>115</v>
      </c>
      <c r="B395" s="3" t="n">
        <v>1891712215001</v>
      </c>
      <c r="C395" s="3" t="inlineStr">
        <is>
          <t>TOYOTASERVICIOS S.A.</t>
        </is>
      </c>
      <c r="D395" s="4" t="n">
        <v>46078</v>
      </c>
      <c r="E395" s="3" t="inlineStr">
        <is>
          <t>FE</t>
        </is>
      </c>
      <c r="F395" s="3" t="n">
        <v>14918</v>
      </c>
      <c r="G395" s="3" t="n">
        <v>742</v>
      </c>
      <c r="H395" s="3" t="n">
        <v>682.3</v>
      </c>
      <c r="I395" s="3" t="n">
        <v>0</v>
      </c>
      <c r="J395" s="3" t="n">
        <v>102.35</v>
      </c>
      <c r="K395" s="3" t="n">
        <v>42.65</v>
      </c>
      <c r="L395" s="3" t="n">
        <v>742</v>
      </c>
      <c r="M395" s="2" t="n"/>
    </row>
    <row r="396">
      <c r="A396" s="3" t="n">
        <v>115</v>
      </c>
      <c r="B396" s="3" t="n">
        <v>1891712215001</v>
      </c>
      <c r="C396" s="3" t="inlineStr">
        <is>
          <t>TOYOTASERVICIOS S.A.</t>
        </is>
      </c>
      <c r="D396" s="4" t="n">
        <v>46078</v>
      </c>
      <c r="E396" s="3" t="inlineStr">
        <is>
          <t>FE</t>
        </is>
      </c>
      <c r="F396" s="3" t="n">
        <v>14912</v>
      </c>
      <c r="G396" s="3" t="n">
        <v>116.14</v>
      </c>
      <c r="H396" s="3" t="n">
        <v>106.8</v>
      </c>
      <c r="I396" s="3" t="n">
        <v>0</v>
      </c>
      <c r="J396" s="3" t="n">
        <v>16.02</v>
      </c>
      <c r="K396" s="3" t="n">
        <v>6.68</v>
      </c>
      <c r="L396" s="3" t="n">
        <v>116.14</v>
      </c>
      <c r="M396" s="2" t="n"/>
    </row>
    <row r="397">
      <c r="A397" s="3" t="n">
        <v>115</v>
      </c>
      <c r="B397" s="3" t="n">
        <v>1891712215001</v>
      </c>
      <c r="C397" s="3" t="inlineStr">
        <is>
          <t>TOYOTASERVICIOS S.A.</t>
        </is>
      </c>
      <c r="D397" s="4" t="n">
        <v>46078</v>
      </c>
      <c r="E397" s="3" t="inlineStr">
        <is>
          <t>FE</t>
        </is>
      </c>
      <c r="F397" s="3" t="n">
        <v>14919</v>
      </c>
      <c r="G397" s="3" t="n">
        <v>834.6799999999999</v>
      </c>
      <c r="H397" s="3" t="n">
        <v>767.52</v>
      </c>
      <c r="I397" s="3" t="n">
        <v>0</v>
      </c>
      <c r="J397" s="3" t="n">
        <v>115.13</v>
      </c>
      <c r="K397" s="3" t="n">
        <v>47.97</v>
      </c>
      <c r="L397" s="3" t="n">
        <v>834.6799999999999</v>
      </c>
      <c r="M397" s="2" t="n"/>
    </row>
    <row r="398">
      <c r="A398" s="3" t="n">
        <v>115</v>
      </c>
      <c r="B398" s="3" t="n">
        <v>1891712215001</v>
      </c>
      <c r="C398" s="3" t="inlineStr">
        <is>
          <t>TOYOTASERVICIOS S.A.</t>
        </is>
      </c>
      <c r="D398" s="4" t="n">
        <v>46078</v>
      </c>
      <c r="E398" s="3" t="inlineStr">
        <is>
          <t>FE</t>
        </is>
      </c>
      <c r="F398" s="3" t="n">
        <v>6942</v>
      </c>
      <c r="G398" s="3" t="n">
        <v>593.77</v>
      </c>
      <c r="H398" s="3" t="n">
        <v>546</v>
      </c>
      <c r="I398" s="3" t="n">
        <v>0</v>
      </c>
      <c r="J398" s="3" t="n">
        <v>81.90000000000001</v>
      </c>
      <c r="K398" s="3" t="n">
        <v>34.13</v>
      </c>
      <c r="L398" s="3" t="n">
        <v>593.77</v>
      </c>
      <c r="M398" s="2" t="n"/>
    </row>
    <row r="399">
      <c r="A399" s="3" t="n">
        <v>115</v>
      </c>
      <c r="B399" s="3" t="n">
        <v>1891712215001</v>
      </c>
      <c r="C399" s="3" t="inlineStr">
        <is>
          <t>TOYOTASERVICIOS S.A.</t>
        </is>
      </c>
      <c r="D399" s="4" t="n">
        <v>46079</v>
      </c>
      <c r="E399" s="3" t="inlineStr">
        <is>
          <t>FE</t>
        </is>
      </c>
      <c r="F399" s="3" t="n">
        <v>7768</v>
      </c>
      <c r="G399" s="3" t="n">
        <v>61.05</v>
      </c>
      <c r="H399" s="3" t="n">
        <v>60</v>
      </c>
      <c r="I399" s="3" t="n">
        <v>0</v>
      </c>
      <c r="J399" s="3" t="n">
        <v>9</v>
      </c>
      <c r="K399" s="3" t="n">
        <v>7.95</v>
      </c>
      <c r="L399" s="3" t="n">
        <v>61.05</v>
      </c>
      <c r="M399" s="2" t="n"/>
    </row>
    <row r="400">
      <c r="A400" s="3" t="n">
        <v>115</v>
      </c>
      <c r="B400" s="3" t="n">
        <v>1891712215001</v>
      </c>
      <c r="C400" s="3" t="inlineStr">
        <is>
          <t>TOYOTASERVICIOS S.A.</t>
        </is>
      </c>
      <c r="D400" s="4" t="n">
        <v>46079</v>
      </c>
      <c r="E400" s="3" t="inlineStr">
        <is>
          <t>FE</t>
        </is>
      </c>
      <c r="F400" s="3" t="n">
        <v>7770</v>
      </c>
      <c r="G400" s="3" t="n">
        <v>61.05</v>
      </c>
      <c r="H400" s="3" t="n">
        <v>60</v>
      </c>
      <c r="I400" s="3" t="n">
        <v>0</v>
      </c>
      <c r="J400" s="3" t="n">
        <v>9</v>
      </c>
      <c r="K400" s="3" t="n">
        <v>7.95</v>
      </c>
      <c r="L400" s="3" t="n">
        <v>61.05</v>
      </c>
      <c r="M400" s="2" t="n"/>
    </row>
    <row r="401">
      <c r="A401" s="3" t="n">
        <v>115</v>
      </c>
      <c r="B401" s="3" t="n">
        <v>1891712215001</v>
      </c>
      <c r="C401" s="3" t="inlineStr">
        <is>
          <t>TOYOTASERVICIOS S.A.</t>
        </is>
      </c>
      <c r="D401" s="4" t="n">
        <v>46079</v>
      </c>
      <c r="E401" s="3" t="inlineStr">
        <is>
          <t>FE</t>
        </is>
      </c>
      <c r="F401" s="3" t="n">
        <v>7769</v>
      </c>
      <c r="G401" s="3" t="n">
        <v>61.05</v>
      </c>
      <c r="H401" s="3" t="n">
        <v>60</v>
      </c>
      <c r="I401" s="3" t="n">
        <v>0</v>
      </c>
      <c r="J401" s="3" t="n">
        <v>9</v>
      </c>
      <c r="K401" s="3" t="n">
        <v>7.95</v>
      </c>
      <c r="L401" s="3" t="n">
        <v>61.05</v>
      </c>
      <c r="M401" s="2" t="n"/>
    </row>
    <row r="402">
      <c r="A402" s="3" t="n">
        <v>115</v>
      </c>
      <c r="B402" s="3" t="n">
        <v>1891712215001</v>
      </c>
      <c r="C402" s="3" t="inlineStr">
        <is>
          <t>TOYOTASERVICIOS S.A.</t>
        </is>
      </c>
      <c r="D402" s="4" t="n">
        <v>46080</v>
      </c>
      <c r="E402" s="3" t="inlineStr">
        <is>
          <t>FE</t>
        </is>
      </c>
      <c r="F402" s="3" t="n">
        <v>14924</v>
      </c>
      <c r="G402" s="3" t="n">
        <v>675.46</v>
      </c>
      <c r="H402" s="3" t="n">
        <v>621.11</v>
      </c>
      <c r="I402" s="3" t="n">
        <v>0</v>
      </c>
      <c r="J402" s="3" t="n">
        <v>93.17</v>
      </c>
      <c r="K402" s="3" t="n">
        <v>38.82</v>
      </c>
      <c r="L402" s="3" t="n">
        <v>675.46</v>
      </c>
      <c r="M402" s="2" t="n"/>
    </row>
    <row r="403">
      <c r="A403" s="3" t="n">
        <v>115</v>
      </c>
      <c r="B403" s="3" t="n">
        <v>1891712215001</v>
      </c>
      <c r="C403" s="3" t="inlineStr">
        <is>
          <t>TOYOTASERVICIOS S.A.</t>
        </is>
      </c>
      <c r="D403" s="4" t="n">
        <v>46080</v>
      </c>
      <c r="E403" s="3" t="inlineStr">
        <is>
          <t>FE</t>
        </is>
      </c>
      <c r="F403" s="3" t="n">
        <v>14925</v>
      </c>
      <c r="G403" s="3" t="n">
        <v>675.46</v>
      </c>
      <c r="H403" s="3" t="n">
        <v>621.11</v>
      </c>
      <c r="I403" s="3" t="n">
        <v>0</v>
      </c>
      <c r="J403" s="3" t="n">
        <v>93.17</v>
      </c>
      <c r="K403" s="3" t="n">
        <v>38.82</v>
      </c>
      <c r="L403" s="3" t="n">
        <v>675.46</v>
      </c>
      <c r="M403" s="2" t="n"/>
    </row>
    <row r="404">
      <c r="A404" s="3" t="n">
        <v>115</v>
      </c>
      <c r="B404" s="3" t="n">
        <v>1891712215001</v>
      </c>
      <c r="C404" s="3" t="inlineStr">
        <is>
          <t>TOYOTASERVICIOS S.A.</t>
        </is>
      </c>
      <c r="D404" s="4" t="n">
        <v>46080</v>
      </c>
      <c r="E404" s="3" t="inlineStr">
        <is>
          <t>FE</t>
        </is>
      </c>
      <c r="F404" s="3" t="n">
        <v>14926</v>
      </c>
      <c r="G404" s="3" t="n">
        <v>675.46</v>
      </c>
      <c r="H404" s="3" t="n">
        <v>621.11</v>
      </c>
      <c r="I404" s="3" t="n">
        <v>0</v>
      </c>
      <c r="J404" s="3" t="n">
        <v>93.17</v>
      </c>
      <c r="K404" s="3" t="n">
        <v>38.82</v>
      </c>
      <c r="L404" s="3" t="n">
        <v>675.46</v>
      </c>
      <c r="M404" s="2" t="n"/>
    </row>
    <row r="405">
      <c r="A405" s="3" t="n">
        <v>115</v>
      </c>
      <c r="B405" s="3" t="n">
        <v>1891712215001</v>
      </c>
      <c r="C405" s="3" t="inlineStr">
        <is>
          <t>TOYOTASERVICIOS S.A.</t>
        </is>
      </c>
      <c r="D405" s="4" t="n">
        <v>46080</v>
      </c>
      <c r="E405" s="3" t="inlineStr">
        <is>
          <t>FE</t>
        </is>
      </c>
      <c r="F405" s="3" t="n">
        <v>14927</v>
      </c>
      <c r="G405" s="3" t="n">
        <v>675.46</v>
      </c>
      <c r="H405" s="3" t="n">
        <v>621.11</v>
      </c>
      <c r="I405" s="3" t="n">
        <v>0</v>
      </c>
      <c r="J405" s="3" t="n">
        <v>93.17</v>
      </c>
      <c r="K405" s="3" t="n">
        <v>38.82</v>
      </c>
      <c r="L405" s="3" t="n">
        <v>675.46</v>
      </c>
      <c r="M405" s="2" t="n"/>
    </row>
    <row r="406">
      <c r="A406" s="3" t="n">
        <v>115</v>
      </c>
      <c r="B406" s="3" t="n">
        <v>1891712215001</v>
      </c>
      <c r="C406" s="3" t="inlineStr">
        <is>
          <t>TOYOTASERVICIOS S.A.</t>
        </is>
      </c>
      <c r="D406" s="4" t="n">
        <v>46080</v>
      </c>
      <c r="E406" s="3" t="inlineStr">
        <is>
          <t>FE</t>
        </is>
      </c>
      <c r="F406" s="3" t="n">
        <v>14932</v>
      </c>
      <c r="G406" s="3" t="n">
        <v>675.46</v>
      </c>
      <c r="H406" s="3" t="n">
        <v>621.11</v>
      </c>
      <c r="I406" s="3" t="n">
        <v>0</v>
      </c>
      <c r="J406" s="3" t="n">
        <v>93.17</v>
      </c>
      <c r="K406" s="3" t="n">
        <v>38.82</v>
      </c>
      <c r="L406" s="3" t="n">
        <v>675.46</v>
      </c>
      <c r="M406" s="2" t="n"/>
    </row>
    <row r="407">
      <c r="A407" s="3" t="n">
        <v>115</v>
      </c>
      <c r="B407" s="3" t="n">
        <v>1891712215001</v>
      </c>
      <c r="C407" s="3" t="inlineStr">
        <is>
          <t>TOYOTASERVICIOS S.A.</t>
        </is>
      </c>
      <c r="D407" s="4" t="n">
        <v>46080</v>
      </c>
      <c r="E407" s="3" t="inlineStr">
        <is>
          <t>FE</t>
        </is>
      </c>
      <c r="F407" s="3" t="n">
        <v>14923</v>
      </c>
      <c r="G407" s="3" t="n">
        <v>675.46</v>
      </c>
      <c r="H407" s="3" t="n">
        <v>621.11</v>
      </c>
      <c r="I407" s="3" t="n">
        <v>0</v>
      </c>
      <c r="J407" s="3" t="n">
        <v>93.17</v>
      </c>
      <c r="K407" s="3" t="n">
        <v>38.82</v>
      </c>
      <c r="L407" s="3" t="n">
        <v>675.46</v>
      </c>
      <c r="M407" s="2" t="n"/>
    </row>
    <row r="408">
      <c r="A408" s="3" t="n">
        <v>115</v>
      </c>
      <c r="B408" s="3" t="n">
        <v>1891712215001</v>
      </c>
      <c r="C408" s="3" t="inlineStr">
        <is>
          <t>TOYOTASERVICIOS S.A.</t>
        </is>
      </c>
      <c r="D408" s="4" t="n">
        <v>46080</v>
      </c>
      <c r="E408" s="3" t="inlineStr">
        <is>
          <t>FE</t>
        </is>
      </c>
      <c r="F408" s="3" t="n">
        <v>14931</v>
      </c>
      <c r="G408" s="3" t="n">
        <v>675.46</v>
      </c>
      <c r="H408" s="3" t="n">
        <v>621.11</v>
      </c>
      <c r="I408" s="3" t="n">
        <v>0</v>
      </c>
      <c r="J408" s="3" t="n">
        <v>93.17</v>
      </c>
      <c r="K408" s="3" t="n">
        <v>38.82</v>
      </c>
      <c r="L408" s="3" t="n">
        <v>675.46</v>
      </c>
      <c r="M408" s="2" t="n"/>
    </row>
    <row r="409">
      <c r="A409" s="3" t="n">
        <v>115</v>
      </c>
      <c r="B409" s="3" t="n">
        <v>1891712215001</v>
      </c>
      <c r="C409" s="3" t="inlineStr">
        <is>
          <t>TOYOTASERVICIOS S.A.</t>
        </is>
      </c>
      <c r="D409" s="4" t="n">
        <v>46081</v>
      </c>
      <c r="E409" s="3" t="inlineStr">
        <is>
          <t>FE</t>
        </is>
      </c>
      <c r="F409" s="3" t="n">
        <v>53045</v>
      </c>
      <c r="G409" s="3" t="n">
        <v>5.43</v>
      </c>
      <c r="H409" s="3" t="n">
        <v>5</v>
      </c>
      <c r="I409" s="3" t="n">
        <v>0</v>
      </c>
      <c r="J409" s="3" t="n">
        <v>0.75</v>
      </c>
      <c r="K409" s="3" t="n">
        <v>0.32</v>
      </c>
      <c r="L409" s="3" t="n">
        <v>5.43</v>
      </c>
      <c r="M409" s="2" t="n"/>
    </row>
    <row r="410">
      <c r="A410" s="3" t="n">
        <v>115</v>
      </c>
      <c r="B410" s="3" t="n">
        <v>1891712215001</v>
      </c>
      <c r="C410" s="3" t="inlineStr">
        <is>
          <t>TOYOTASERVICIOS S.A.</t>
        </is>
      </c>
      <c r="D410" s="4" t="n">
        <v>46081</v>
      </c>
      <c r="E410" s="3" t="inlineStr">
        <is>
          <t>FE</t>
        </is>
      </c>
      <c r="F410" s="3" t="n">
        <v>866</v>
      </c>
      <c r="G410" s="3" t="n">
        <v>5001.31</v>
      </c>
      <c r="H410" s="3" t="n">
        <v>4598.9</v>
      </c>
      <c r="I410" s="3" t="n">
        <v>0</v>
      </c>
      <c r="J410" s="3" t="n">
        <v>689.84</v>
      </c>
      <c r="K410" s="3" t="n">
        <v>287.43</v>
      </c>
      <c r="L410" s="3" t="n">
        <v>5001.31</v>
      </c>
      <c r="M410" s="2" t="n"/>
    </row>
    <row r="411">
      <c r="A411" s="3" t="n">
        <v>115</v>
      </c>
      <c r="B411" s="3" t="n">
        <v>1891712215001</v>
      </c>
      <c r="C411" s="3" t="inlineStr">
        <is>
          <t>TOYOTASERVICIOS S.A.</t>
        </is>
      </c>
      <c r="D411" s="4" t="n">
        <v>46081</v>
      </c>
      <c r="E411" s="3" t="inlineStr">
        <is>
          <t>FE</t>
        </is>
      </c>
      <c r="F411" s="3" t="n">
        <v>867</v>
      </c>
      <c r="G411" s="3" t="n">
        <v>1021</v>
      </c>
      <c r="H411" s="3" t="n">
        <v>938.85</v>
      </c>
      <c r="I411" s="3" t="n">
        <v>0</v>
      </c>
      <c r="J411" s="3" t="n">
        <v>140.83</v>
      </c>
      <c r="K411" s="3" t="n">
        <v>58.68</v>
      </c>
      <c r="L411" s="3" t="n">
        <v>1021</v>
      </c>
      <c r="M411" s="2" t="n"/>
    </row>
    <row r="412">
      <c r="A412" s="3" t="n">
        <v>115</v>
      </c>
      <c r="B412" s="3" t="n">
        <v>1891712215001</v>
      </c>
      <c r="C412" s="3" t="inlineStr">
        <is>
          <t>TOYOTASERVICIOS S.A.</t>
        </is>
      </c>
      <c r="D412" s="4" t="n">
        <v>46081</v>
      </c>
      <c r="E412" s="3" t="inlineStr">
        <is>
          <t>FE</t>
        </is>
      </c>
      <c r="F412" s="3" t="n">
        <v>53046</v>
      </c>
      <c r="G412" s="3" t="n">
        <v>860.8</v>
      </c>
      <c r="H412" s="3" t="n">
        <v>846</v>
      </c>
      <c r="I412" s="3" t="n">
        <v>0</v>
      </c>
      <c r="J412" s="3" t="n">
        <v>126.9</v>
      </c>
      <c r="K412" s="3" t="n">
        <v>112.1</v>
      </c>
      <c r="L412" s="3" t="n">
        <v>860.8</v>
      </c>
      <c r="M412" s="2" t="n"/>
    </row>
    <row r="413">
      <c r="A413" s="3" t="n">
        <v>1874</v>
      </c>
      <c r="B413" s="3" t="n">
        <v>1891713750001</v>
      </c>
      <c r="C413" s="3" t="inlineStr">
        <is>
          <t>COOPERATIVA DE AHORRO Y CREDITO CREDIAMBATO LTDA</t>
        </is>
      </c>
      <c r="D413" s="4" t="n">
        <v>46075</v>
      </c>
      <c r="E413" s="3" t="inlineStr">
        <is>
          <t>FE</t>
        </is>
      </c>
      <c r="F413" s="3" t="n">
        <v>24668</v>
      </c>
      <c r="G413" s="3" t="n">
        <v>5828.81</v>
      </c>
      <c r="H413" s="3" t="n">
        <v>0</v>
      </c>
      <c r="I413" s="3" t="n">
        <v>5993.64</v>
      </c>
      <c r="J413" s="3" t="n">
        <v>0</v>
      </c>
      <c r="K413" s="3" t="n">
        <v>164.83</v>
      </c>
      <c r="L413" s="3" t="n">
        <v>0</v>
      </c>
      <c r="M413" s="2" t="n"/>
    </row>
    <row r="414">
      <c r="A414" s="3" t="n">
        <v>1393</v>
      </c>
      <c r="B414" s="3" t="n">
        <v>1891745776001</v>
      </c>
      <c r="C414" s="3" t="inlineStr">
        <is>
          <t>COMP. DE SEGURIDAD PRIVADA AMBASEGURITY CIA.LTDA.</t>
        </is>
      </c>
      <c r="D414" s="4" t="n">
        <v>46058</v>
      </c>
      <c r="E414" s="3" t="inlineStr">
        <is>
          <t>FE</t>
        </is>
      </c>
      <c r="F414" s="3" t="n">
        <v>2473</v>
      </c>
      <c r="G414" s="3" t="n">
        <v>1154.91</v>
      </c>
      <c r="H414" s="3" t="n">
        <v>1135.04</v>
      </c>
      <c r="I414" s="3" t="n">
        <v>0</v>
      </c>
      <c r="J414" s="3" t="n">
        <v>170.26</v>
      </c>
      <c r="K414" s="3" t="n">
        <v>150.39</v>
      </c>
      <c r="L414" s="3" t="n">
        <v>0</v>
      </c>
      <c r="M414" s="2" t="n"/>
    </row>
    <row r="415">
      <c r="A415" s="3" t="n">
        <v>1569</v>
      </c>
      <c r="B415" s="3" t="n">
        <v>1891753957001</v>
      </c>
      <c r="C415" s="3" t="inlineStr">
        <is>
          <t>SERVICIOS DE RADIO Y TELEVISION RODALFE CIA LTDA</t>
        </is>
      </c>
      <c r="D415" s="4" t="n">
        <v>46075</v>
      </c>
      <c r="E415" s="3" t="inlineStr">
        <is>
          <t>FE</t>
        </is>
      </c>
      <c r="F415" s="3" t="n">
        <v>2993</v>
      </c>
      <c r="G415" s="3" t="n">
        <v>407</v>
      </c>
      <c r="H415" s="3" t="n">
        <v>400</v>
      </c>
      <c r="I415" s="3" t="n">
        <v>0</v>
      </c>
      <c r="J415" s="3" t="n">
        <v>60</v>
      </c>
      <c r="K415" s="3" t="n">
        <v>53</v>
      </c>
      <c r="L415" s="3" t="n">
        <v>407</v>
      </c>
      <c r="M415" s="2" t="n"/>
    </row>
    <row r="416">
      <c r="A416" s="3" t="n">
        <v>1360</v>
      </c>
      <c r="B416" s="3" t="n">
        <v>1891761488001</v>
      </c>
      <c r="C416" s="3" t="inlineStr">
        <is>
          <t>SOCIEDAD INDIVISA VILLACIS LOZADA</t>
        </is>
      </c>
      <c r="D416" s="4" t="n">
        <v>46058</v>
      </c>
      <c r="E416" s="3" t="inlineStr">
        <is>
          <t>FE</t>
        </is>
      </c>
      <c r="F416" s="3" t="n">
        <v>48</v>
      </c>
      <c r="G416" s="3" t="n">
        <v>378</v>
      </c>
      <c r="H416" s="3" t="n">
        <v>400</v>
      </c>
      <c r="I416" s="3" t="n">
        <v>0</v>
      </c>
      <c r="J416" s="3" t="n">
        <v>60</v>
      </c>
      <c r="K416" s="3" t="n">
        <v>82</v>
      </c>
      <c r="L416" s="3" t="n">
        <v>0</v>
      </c>
      <c r="M416" s="2" t="n"/>
    </row>
    <row r="417">
      <c r="A417" s="3" t="n">
        <v>1532</v>
      </c>
      <c r="B417" s="3" t="n">
        <v>1891783899001</v>
      </c>
      <c r="C417" s="3" t="inlineStr">
        <is>
          <t>CODEX</t>
        </is>
      </c>
      <c r="D417" s="4" t="n">
        <v>46079</v>
      </c>
      <c r="E417" s="3" t="inlineStr">
        <is>
          <t>FE</t>
        </is>
      </c>
      <c r="F417" s="3" t="n">
        <v>11919</v>
      </c>
      <c r="G417" s="3" t="n">
        <v>199.07</v>
      </c>
      <c r="H417" s="3" t="n">
        <v>195.65</v>
      </c>
      <c r="I417" s="3" t="n">
        <v>0</v>
      </c>
      <c r="J417" s="3" t="n">
        <v>29.35</v>
      </c>
      <c r="K417" s="3" t="n">
        <v>25.93</v>
      </c>
      <c r="L417" s="3" t="n">
        <v>199.07</v>
      </c>
      <c r="M417" s="2" t="n"/>
    </row>
    <row r="418">
      <c r="A418" s="3" t="n">
        <v>1595</v>
      </c>
      <c r="B418" s="3" t="n">
        <v>1891786383001</v>
      </c>
      <c r="C418" s="3" t="inlineStr">
        <is>
          <t>CARLARSERVICE CIA. LTDA</t>
        </is>
      </c>
      <c r="D418" s="4" t="n">
        <v>46055</v>
      </c>
      <c r="E418" s="3" t="inlineStr">
        <is>
          <t>FE</t>
        </is>
      </c>
      <c r="F418" s="3" t="n">
        <v>448</v>
      </c>
      <c r="G418" s="3" t="n">
        <v>7105</v>
      </c>
      <c r="H418" s="3" t="n">
        <v>7000</v>
      </c>
      <c r="I418" s="3" t="n">
        <v>0</v>
      </c>
      <c r="J418" s="3" t="n">
        <v>1050</v>
      </c>
      <c r="K418" s="3" t="n">
        <v>945</v>
      </c>
      <c r="L418" s="3" t="n">
        <v>0</v>
      </c>
      <c r="M418" s="2" t="n"/>
    </row>
    <row r="419">
      <c r="A419" s="3" t="n">
        <v>1595</v>
      </c>
      <c r="B419" s="3" t="n">
        <v>1891786383001</v>
      </c>
      <c r="C419" s="3" t="inlineStr">
        <is>
          <t>CARLARSERVICE CIA. LTDA</t>
        </is>
      </c>
      <c r="D419" s="4" t="n">
        <v>46071</v>
      </c>
      <c r="E419" s="3" t="inlineStr">
        <is>
          <t>FE</t>
        </is>
      </c>
      <c r="F419" s="3" t="n">
        <v>454</v>
      </c>
      <c r="G419" s="3" t="n">
        <v>460.47</v>
      </c>
      <c r="H419" s="3" t="n">
        <v>453.67</v>
      </c>
      <c r="I419" s="3" t="n">
        <v>0</v>
      </c>
      <c r="J419" s="3" t="n">
        <v>68.05</v>
      </c>
      <c r="K419" s="3" t="n">
        <v>61.25</v>
      </c>
      <c r="L419" s="3" t="n">
        <v>0</v>
      </c>
      <c r="M419" s="2" t="n"/>
    </row>
    <row r="420">
      <c r="A420" s="3" t="n">
        <v>1595</v>
      </c>
      <c r="B420" s="3" t="n">
        <v>1891786383001</v>
      </c>
      <c r="C420" s="3" t="inlineStr">
        <is>
          <t>CARLARSERVICE CIA. LTDA</t>
        </is>
      </c>
      <c r="D420" s="4" t="n">
        <v>46071</v>
      </c>
      <c r="E420" s="3" t="inlineStr">
        <is>
          <t>FE</t>
        </is>
      </c>
      <c r="F420" s="3" t="n">
        <v>451</v>
      </c>
      <c r="G420" s="3" t="n">
        <v>617.12</v>
      </c>
      <c r="H420" s="3" t="n">
        <v>608</v>
      </c>
      <c r="I420" s="3" t="n">
        <v>0</v>
      </c>
      <c r="J420" s="3" t="n">
        <v>91.2</v>
      </c>
      <c r="K420" s="3" t="n">
        <v>82.08</v>
      </c>
      <c r="L420" s="3" t="n">
        <v>0</v>
      </c>
      <c r="M420" s="2" t="n"/>
    </row>
    <row r="421">
      <c r="A421" s="3" t="n">
        <v>1595</v>
      </c>
      <c r="B421" s="3" t="n">
        <v>1891786383001</v>
      </c>
      <c r="C421" s="3" t="inlineStr">
        <is>
          <t>CARLARSERVICE CIA. LTDA</t>
        </is>
      </c>
      <c r="D421" s="4" t="n">
        <v>46071</v>
      </c>
      <c r="E421" s="3" t="inlineStr">
        <is>
          <t>FE</t>
        </is>
      </c>
      <c r="F421" s="3" t="n">
        <v>456</v>
      </c>
      <c r="G421" s="3" t="n">
        <v>1007.74</v>
      </c>
      <c r="H421" s="3" t="n">
        <v>992.85</v>
      </c>
      <c r="I421" s="3" t="n">
        <v>0</v>
      </c>
      <c r="J421" s="3" t="n">
        <v>148.93</v>
      </c>
      <c r="K421" s="3" t="n">
        <v>134.04</v>
      </c>
      <c r="L421" s="3" t="n">
        <v>0</v>
      </c>
      <c r="M421" s="2" t="n"/>
    </row>
    <row r="422">
      <c r="A422" s="3" t="n">
        <v>2201</v>
      </c>
      <c r="B422" s="3" t="n">
        <v>1891804802001</v>
      </c>
      <c r="C422" s="3" t="inlineStr">
        <is>
          <t>BACLT INMOBILIARIA S.A.S.</t>
        </is>
      </c>
      <c r="D422" s="4" t="n">
        <v>46055</v>
      </c>
      <c r="E422" s="3" t="inlineStr">
        <is>
          <t>FE</t>
        </is>
      </c>
      <c r="F422" s="3" t="n">
        <v>196</v>
      </c>
      <c r="G422" s="3" t="n">
        <v>7087.5</v>
      </c>
      <c r="H422" s="3" t="n">
        <v>7500</v>
      </c>
      <c r="I422" s="3" t="n">
        <v>0</v>
      </c>
      <c r="J422" s="3" t="n">
        <v>1125</v>
      </c>
      <c r="K422" s="3" t="n">
        <v>1537.5</v>
      </c>
      <c r="L422" s="3" t="n">
        <v>0</v>
      </c>
      <c r="M422" s="2" t="n"/>
    </row>
    <row r="423">
      <c r="A423" s="3" t="n">
        <v>2201</v>
      </c>
      <c r="B423" s="3" t="n">
        <v>1891804802001</v>
      </c>
      <c r="C423" s="3" t="inlineStr">
        <is>
          <t>BACLT INMOBILIARIA S.A.S.</t>
        </is>
      </c>
      <c r="D423" s="4" t="n">
        <v>46055</v>
      </c>
      <c r="E423" s="3" t="inlineStr">
        <is>
          <t>FE</t>
        </is>
      </c>
      <c r="F423" s="3" t="n">
        <v>195</v>
      </c>
      <c r="G423" s="3" t="n">
        <v>11442.1</v>
      </c>
      <c r="H423" s="3" t="n">
        <v>12108.04</v>
      </c>
      <c r="I423" s="3" t="n">
        <v>0</v>
      </c>
      <c r="J423" s="3" t="n">
        <v>1816.21</v>
      </c>
      <c r="K423" s="3" t="n">
        <v>2482.15</v>
      </c>
      <c r="L423" s="3" t="n">
        <v>0</v>
      </c>
      <c r="M423" s="2" t="n"/>
    </row>
    <row r="424">
      <c r="A424" s="3" t="n">
        <v>1928</v>
      </c>
      <c r="B424" s="3" t="n">
        <v>502638208</v>
      </c>
      <c r="C424" s="3" t="inlineStr">
        <is>
          <t>HERRERA ESPIN JORGE MARCELO</t>
        </is>
      </c>
      <c r="D424" s="4" t="n">
        <v>46079</v>
      </c>
      <c r="E424" s="3" t="inlineStr">
        <is>
          <t>LC</t>
        </is>
      </c>
      <c r="F424" s="3" t="n">
        <v>524</v>
      </c>
      <c r="G424" s="3" t="n">
        <v>62.94</v>
      </c>
      <c r="H424" s="3" t="n">
        <v>7.93</v>
      </c>
      <c r="I424" s="3" t="n">
        <v>53.82</v>
      </c>
      <c r="J424" s="3" t="n">
        <v>1.19</v>
      </c>
      <c r="K424" s="3" t="n">
        <v>0</v>
      </c>
      <c r="L424" s="3" t="n">
        <v>62.94</v>
      </c>
      <c r="M424" s="2" t="n"/>
    </row>
    <row r="425">
      <c r="A425" s="3" t="n">
        <v>2110</v>
      </c>
      <c r="B425" s="3" t="n">
        <v>503867095</v>
      </c>
      <c r="C425" s="3" t="inlineStr">
        <is>
          <t>ZAPATA ERIKA KARINA</t>
        </is>
      </c>
      <c r="D425" s="4" t="n">
        <v>46075</v>
      </c>
      <c r="E425" s="3" t="inlineStr">
        <is>
          <t>LC</t>
        </is>
      </c>
      <c r="F425" s="3" t="n">
        <v>522</v>
      </c>
      <c r="G425" s="3" t="n">
        <v>239.24</v>
      </c>
      <c r="H425" s="3" t="n">
        <v>77.51000000000001</v>
      </c>
      <c r="I425" s="3" t="n">
        <v>150.1</v>
      </c>
      <c r="J425" s="3" t="n">
        <v>11.63</v>
      </c>
      <c r="K425" s="3" t="n">
        <v>0</v>
      </c>
      <c r="L425" s="3" t="n">
        <v>0</v>
      </c>
      <c r="M425" s="2" t="n"/>
    </row>
    <row r="426">
      <c r="A426" s="3" t="n">
        <v>2110</v>
      </c>
      <c r="B426" s="3" t="n">
        <v>503867095</v>
      </c>
      <c r="C426" s="3" t="inlineStr">
        <is>
          <t>ZAPATA ERIKA KARINA</t>
        </is>
      </c>
      <c r="D426" s="4" t="n">
        <v>46079</v>
      </c>
      <c r="E426" s="3" t="inlineStr">
        <is>
          <t>LC</t>
        </is>
      </c>
      <c r="F426" s="3" t="n">
        <v>526</v>
      </c>
      <c r="G426" s="3" t="n">
        <v>88.20999999999999</v>
      </c>
      <c r="H426" s="3" t="n">
        <v>39.42</v>
      </c>
      <c r="I426" s="3" t="n">
        <v>42.88</v>
      </c>
      <c r="J426" s="3" t="n">
        <v>5.91</v>
      </c>
      <c r="K426" s="3" t="n">
        <v>0</v>
      </c>
      <c r="L426" s="3" t="n">
        <v>88.20999999999999</v>
      </c>
      <c r="M426" s="2" t="n"/>
    </row>
    <row r="427">
      <c r="A427" s="3" t="n">
        <v>2759</v>
      </c>
      <c r="B427" s="3" t="n">
        <v>605524545</v>
      </c>
      <c r="C427" s="3" t="inlineStr">
        <is>
          <t>MANOBANDA YUBILLO JHON EDY</t>
        </is>
      </c>
      <c r="D427" s="4" t="n">
        <v>46077</v>
      </c>
      <c r="E427" s="3" t="inlineStr">
        <is>
          <t>LC</t>
        </is>
      </c>
      <c r="F427" s="3" t="n">
        <v>523</v>
      </c>
      <c r="G427" s="3" t="n">
        <v>49.5</v>
      </c>
      <c r="H427" s="3" t="n">
        <v>43.04</v>
      </c>
      <c r="I427" s="3" t="n">
        <v>0</v>
      </c>
      <c r="J427" s="3" t="n">
        <v>6.46</v>
      </c>
      <c r="K427" s="3" t="n">
        <v>0</v>
      </c>
      <c r="L427" s="3" t="n">
        <v>0</v>
      </c>
      <c r="M427" s="2" t="n"/>
    </row>
    <row r="428">
      <c r="A428" s="3" t="n">
        <v>2759</v>
      </c>
      <c r="B428" s="3" t="n">
        <v>605524545</v>
      </c>
      <c r="C428" s="3" t="inlineStr">
        <is>
          <t>MANOBANDA YUBILLO JHON EDY</t>
        </is>
      </c>
      <c r="D428" s="4" t="n">
        <v>46079</v>
      </c>
      <c r="E428" s="3" t="inlineStr">
        <is>
          <t>LC</t>
        </is>
      </c>
      <c r="F428" s="3" t="n">
        <v>525</v>
      </c>
      <c r="G428" s="3" t="n">
        <v>16.1</v>
      </c>
      <c r="H428" s="3" t="n">
        <v>4.35</v>
      </c>
      <c r="I428" s="3" t="n">
        <v>11.11</v>
      </c>
      <c r="J428" s="3" t="n">
        <v>0.64</v>
      </c>
      <c r="K428" s="3" t="n">
        <v>0</v>
      </c>
      <c r="L428" s="3" t="n">
        <v>16.1</v>
      </c>
      <c r="M428" s="2" t="n"/>
    </row>
    <row r="429">
      <c r="A429" s="3" t="n">
        <v>1345</v>
      </c>
      <c r="B429" s="3" t="n">
        <v>1804512760</v>
      </c>
      <c r="C429" s="3" t="inlineStr">
        <is>
          <t>SAILEMA MOYOLEMA LUIS</t>
        </is>
      </c>
      <c r="D429" s="4" t="n">
        <v>46079</v>
      </c>
      <c r="E429" s="3" t="inlineStr">
        <is>
          <t>LC</t>
        </is>
      </c>
      <c r="F429" s="3" t="n">
        <v>528</v>
      </c>
      <c r="G429" s="3" t="n">
        <v>156.33</v>
      </c>
      <c r="H429" s="3" t="n">
        <v>68.41</v>
      </c>
      <c r="I429" s="3" t="n">
        <v>77.64</v>
      </c>
      <c r="J429" s="3" t="n">
        <v>10.28</v>
      </c>
      <c r="K429" s="3" t="n">
        <v>0</v>
      </c>
      <c r="L429" s="3" t="n">
        <v>156.33</v>
      </c>
      <c r="M429" s="2" t="n"/>
    </row>
    <row r="430">
      <c r="A430" s="3" t="n">
        <v>2576</v>
      </c>
      <c r="B430" s="3" t="n">
        <v>1804695441</v>
      </c>
      <c r="C430" s="3" t="inlineStr">
        <is>
          <t>VALENCIA SALINAS JESSICA ELIZABETH</t>
        </is>
      </c>
      <c r="D430" s="4" t="n">
        <v>46079</v>
      </c>
      <c r="E430" s="3" t="inlineStr">
        <is>
          <t>LC</t>
        </is>
      </c>
      <c r="F430" s="3" t="n">
        <v>527</v>
      </c>
      <c r="G430" s="3" t="n">
        <v>12.2</v>
      </c>
      <c r="H430" s="3" t="n">
        <v>4.35</v>
      </c>
      <c r="I430" s="3" t="n">
        <v>7.2</v>
      </c>
      <c r="J430" s="3" t="n">
        <v>0.65</v>
      </c>
      <c r="K430" s="3" t="n">
        <v>0</v>
      </c>
      <c r="L430" s="3" t="n">
        <v>12.2</v>
      </c>
      <c r="M430" s="2" t="n"/>
    </row>
    <row r="431">
      <c r="A431" s="3" t="n">
        <v>2357</v>
      </c>
      <c r="B431" s="3" t="n">
        <v>1850041433</v>
      </c>
      <c r="C431" s="3" t="inlineStr">
        <is>
          <t>PENAFIEL RAMOS SHIRLEY NICOLE</t>
        </is>
      </c>
      <c r="D431" s="4" t="n">
        <v>46079</v>
      </c>
      <c r="E431" s="3" t="inlineStr">
        <is>
          <t>LC</t>
        </is>
      </c>
      <c r="F431" s="3" t="n">
        <v>529</v>
      </c>
      <c r="G431" s="3" t="n">
        <v>67.41</v>
      </c>
      <c r="H431" s="3" t="n">
        <v>35.63</v>
      </c>
      <c r="I431" s="3" t="n">
        <v>26.44</v>
      </c>
      <c r="J431" s="3" t="n">
        <v>5.34</v>
      </c>
      <c r="K431" s="3" t="n">
        <v>0</v>
      </c>
      <c r="L431" s="3" t="n">
        <v>67.41</v>
      </c>
      <c r="M431" s="2" t="n"/>
    </row>
    <row r="432">
      <c r="A432" s="3" t="n">
        <v>3301</v>
      </c>
      <c r="B432" s="3" t="n">
        <v>1850270370</v>
      </c>
      <c r="C432" s="3" t="inlineStr">
        <is>
          <t>VELEZ CAIZA ANDREA CRISTINA</t>
        </is>
      </c>
      <c r="D432" s="4" t="n">
        <v>46063</v>
      </c>
      <c r="E432" s="3" t="inlineStr">
        <is>
          <t>LC</t>
        </is>
      </c>
      <c r="F432" s="3" t="n">
        <v>521</v>
      </c>
      <c r="G432" s="3" t="n">
        <v>78.09999999999999</v>
      </c>
      <c r="H432" s="3" t="n">
        <v>67.91</v>
      </c>
      <c r="I432" s="3" t="n">
        <v>0</v>
      </c>
      <c r="J432" s="3" t="n">
        <v>10.19</v>
      </c>
      <c r="K432" s="3" t="n">
        <v>0</v>
      </c>
      <c r="L432" s="3" t="n">
        <v>0</v>
      </c>
      <c r="M432" s="2" t="n"/>
    </row>
    <row r="433">
      <c r="A433" s="3" t="n">
        <v>373</v>
      </c>
      <c r="B433" s="3" t="n">
        <v>1768152560001</v>
      </c>
      <c r="C433" s="3" t="inlineStr">
        <is>
          <t>CORP. NAC. DE TELECOMUNICACIONES CNT E.P.</t>
        </is>
      </c>
      <c r="D433" s="4" t="n">
        <v>46077</v>
      </c>
      <c r="E433" s="3" t="inlineStr">
        <is>
          <t>OT</t>
        </is>
      </c>
      <c r="F433" s="3" t="n">
        <v>89218</v>
      </c>
      <c r="G433" s="3" t="n">
        <v>7.96</v>
      </c>
      <c r="H433" s="3" t="n">
        <v>0</v>
      </c>
      <c r="I433" s="3" t="n">
        <v>7.96</v>
      </c>
      <c r="J433" s="3" t="n">
        <v>0</v>
      </c>
      <c r="K433" s="3" t="n">
        <v>0</v>
      </c>
      <c r="L433" s="3" t="n">
        <v>0</v>
      </c>
      <c r="M433" s="2" t="n"/>
    </row>
    <row r="434">
      <c r="A434" s="3" t="n">
        <v>284</v>
      </c>
      <c r="B434" s="3" t="n">
        <v>1790283380001</v>
      </c>
      <c r="C434" s="3" t="inlineStr">
        <is>
          <t>DINERS CLUB DEL ECUADOR S.A.</t>
        </is>
      </c>
      <c r="D434" s="4" t="n">
        <v>46081</v>
      </c>
      <c r="E434" s="3" t="inlineStr">
        <is>
          <t>OT</t>
        </is>
      </c>
      <c r="F434" s="3" t="n">
        <v>53423145</v>
      </c>
      <c r="G434" s="3" t="n">
        <v>230.46</v>
      </c>
      <c r="H434" s="3" t="n">
        <v>0</v>
      </c>
      <c r="I434" s="3" t="n">
        <v>230.46</v>
      </c>
      <c r="J434" s="3" t="n">
        <v>0</v>
      </c>
      <c r="K434" s="3" t="n">
        <v>0</v>
      </c>
      <c r="L434" s="3" t="n">
        <v>230.46</v>
      </c>
      <c r="M434" s="2" t="n"/>
    </row>
    <row r="435">
      <c r="A435" s="3" t="n">
        <v>284</v>
      </c>
      <c r="B435" s="3" t="n">
        <v>1790283380001</v>
      </c>
      <c r="C435" s="3" t="inlineStr">
        <is>
          <t>DINERS CLUB DEL ECUADOR S.A.</t>
        </is>
      </c>
      <c r="D435" s="4" t="n">
        <v>46081</v>
      </c>
      <c r="E435" s="3" t="inlineStr">
        <is>
          <t>OT</t>
        </is>
      </c>
      <c r="F435" s="3" t="n">
        <v>53535878</v>
      </c>
      <c r="G435" s="3" t="n">
        <v>873.77</v>
      </c>
      <c r="H435" s="3" t="n">
        <v>0</v>
      </c>
      <c r="I435" s="3" t="n">
        <v>873.77</v>
      </c>
      <c r="J435" s="3" t="n">
        <v>0</v>
      </c>
      <c r="K435" s="3" t="n">
        <v>0</v>
      </c>
      <c r="L435" s="3" t="n">
        <v>873.77</v>
      </c>
      <c r="M435" s="2" t="n"/>
    </row>
    <row r="436">
      <c r="A436" s="3" t="n">
        <v>377</v>
      </c>
      <c r="B436" s="3" t="n">
        <v>1860000210001</v>
      </c>
      <c r="C436" s="3" t="inlineStr">
        <is>
          <t>G.A.D. MUNICIPALIDAD DE AMBATO</t>
        </is>
      </c>
      <c r="D436" s="4" t="n">
        <v>46077</v>
      </c>
      <c r="E436" s="3" t="inlineStr">
        <is>
          <t>OT</t>
        </is>
      </c>
      <c r="F436" s="3" t="n">
        <v>9283243</v>
      </c>
      <c r="G436" s="3" t="n">
        <v>39.61</v>
      </c>
      <c r="H436" s="3" t="n">
        <v>0</v>
      </c>
      <c r="I436" s="3" t="n">
        <v>39.61</v>
      </c>
      <c r="J436" s="3" t="n">
        <v>0</v>
      </c>
      <c r="K436" s="3" t="n">
        <v>0</v>
      </c>
      <c r="L436" s="3" t="n">
        <v>0</v>
      </c>
      <c r="M436" s="2" t="n"/>
    </row>
    <row r="437">
      <c r="A437" s="3" t="n">
        <v>377</v>
      </c>
      <c r="B437" s="3" t="n">
        <v>1860000210001</v>
      </c>
      <c r="C437" s="3" t="inlineStr">
        <is>
          <t>G.A.D. MUNICIPALIDAD DE AMBATO</t>
        </is>
      </c>
      <c r="D437" s="4" t="n">
        <v>46077</v>
      </c>
      <c r="E437" s="3" t="inlineStr">
        <is>
          <t>OT</t>
        </is>
      </c>
      <c r="F437" s="3" t="n">
        <v>9283231</v>
      </c>
      <c r="G437" s="3" t="n">
        <v>190.98</v>
      </c>
      <c r="H437" s="3" t="n">
        <v>0</v>
      </c>
      <c r="I437" s="3" t="n">
        <v>190.98</v>
      </c>
      <c r="J437" s="3" t="n">
        <v>0</v>
      </c>
      <c r="K437" s="3" t="n">
        <v>0</v>
      </c>
      <c r="L437" s="3" t="n">
        <v>0</v>
      </c>
      <c r="M437" s="2" t="n"/>
    </row>
    <row r="438">
      <c r="A438" s="3" t="n">
        <v>377</v>
      </c>
      <c r="B438" s="3" t="n">
        <v>1860000210001</v>
      </c>
      <c r="C438" s="3" t="inlineStr">
        <is>
          <t>G.A.D. MUNICIPALIDAD DE AMBATO</t>
        </is>
      </c>
      <c r="D438" s="4" t="n">
        <v>46077</v>
      </c>
      <c r="E438" s="3" t="inlineStr">
        <is>
          <t>OT</t>
        </is>
      </c>
      <c r="F438" s="3" t="n">
        <v>9283242</v>
      </c>
      <c r="G438" s="3" t="n">
        <v>827.2</v>
      </c>
      <c r="H438" s="3" t="n">
        <v>0</v>
      </c>
      <c r="I438" s="3" t="n">
        <v>827.2</v>
      </c>
      <c r="J438" s="3" t="n">
        <v>0</v>
      </c>
      <c r="K438" s="3" t="n">
        <v>0</v>
      </c>
      <c r="L438" s="3" t="n">
        <v>0</v>
      </c>
      <c r="M438" s="2" t="n"/>
    </row>
    <row r="439">
      <c r="A439" s="3" t="n">
        <v>377</v>
      </c>
      <c r="B439" s="3" t="n">
        <v>1860000210001</v>
      </c>
      <c r="C439" s="3" t="inlineStr">
        <is>
          <t>G.A.D. MUNICIPALIDAD DE AMBATO</t>
        </is>
      </c>
      <c r="D439" s="4" t="n">
        <v>46077</v>
      </c>
      <c r="E439" s="3" t="inlineStr">
        <is>
          <t>OT</t>
        </is>
      </c>
      <c r="F439" s="3" t="n">
        <v>9283241</v>
      </c>
      <c r="G439" s="3" t="n">
        <v>299.33</v>
      </c>
      <c r="H439" s="3" t="n">
        <v>0</v>
      </c>
      <c r="I439" s="3" t="n">
        <v>299.33</v>
      </c>
      <c r="J439" s="3" t="n">
        <v>0</v>
      </c>
      <c r="K439" s="3" t="n">
        <v>0</v>
      </c>
      <c r="L439" s="3" t="n">
        <v>0</v>
      </c>
      <c r="M439" s="2" t="n"/>
    </row>
    <row r="440">
      <c r="A440" s="3" t="n">
        <v>377</v>
      </c>
      <c r="B440" s="3" t="n">
        <v>1860000210001</v>
      </c>
      <c r="C440" s="3" t="inlineStr">
        <is>
          <t>G.A.D. MUNICIPALIDAD DE AMBATO</t>
        </is>
      </c>
      <c r="D440" s="4" t="n">
        <v>46077</v>
      </c>
      <c r="E440" s="3" t="inlineStr">
        <is>
          <t>OT</t>
        </is>
      </c>
      <c r="F440" s="3" t="n">
        <v>9283239</v>
      </c>
      <c r="G440" s="3" t="n">
        <v>515.88</v>
      </c>
      <c r="H440" s="3" t="n">
        <v>0</v>
      </c>
      <c r="I440" s="3" t="n">
        <v>515.88</v>
      </c>
      <c r="J440" s="3" t="n">
        <v>0</v>
      </c>
      <c r="K440" s="3" t="n">
        <v>0</v>
      </c>
      <c r="L440" s="3" t="n">
        <v>0</v>
      </c>
      <c r="M440" s="2" t="n"/>
    </row>
    <row r="441">
      <c r="A441" s="3" t="n">
        <v>377</v>
      </c>
      <c r="B441" s="3" t="n">
        <v>1860000210001</v>
      </c>
      <c r="C441" s="3" t="inlineStr">
        <is>
          <t>G.A.D. MUNICIPALIDAD DE AMBATO</t>
        </is>
      </c>
      <c r="D441" s="4" t="n">
        <v>46077</v>
      </c>
      <c r="E441" s="3" t="inlineStr">
        <is>
          <t>OT</t>
        </is>
      </c>
      <c r="F441" s="3" t="n">
        <v>9283238</v>
      </c>
      <c r="G441" s="3" t="n">
        <v>167.36</v>
      </c>
      <c r="H441" s="3" t="n">
        <v>0</v>
      </c>
      <c r="I441" s="3" t="n">
        <v>167.36</v>
      </c>
      <c r="J441" s="3" t="n">
        <v>0</v>
      </c>
      <c r="K441" s="3" t="n">
        <v>0</v>
      </c>
      <c r="L441" s="3" t="n">
        <v>0</v>
      </c>
      <c r="M441" s="2" t="n"/>
    </row>
    <row r="442">
      <c r="A442" s="3" t="n">
        <v>377</v>
      </c>
      <c r="B442" s="3" t="n">
        <v>1860000210001</v>
      </c>
      <c r="C442" s="3" t="inlineStr">
        <is>
          <t>G.A.D. MUNICIPALIDAD DE AMBATO</t>
        </is>
      </c>
      <c r="D442" s="4" t="n">
        <v>46077</v>
      </c>
      <c r="E442" s="3" t="inlineStr">
        <is>
          <t>OT</t>
        </is>
      </c>
      <c r="F442" s="3" t="n">
        <v>9283237</v>
      </c>
      <c r="G442" s="3" t="n">
        <v>288.91</v>
      </c>
      <c r="H442" s="3" t="n">
        <v>0</v>
      </c>
      <c r="I442" s="3" t="n">
        <v>288.91</v>
      </c>
      <c r="J442" s="3" t="n">
        <v>0</v>
      </c>
      <c r="K442" s="3" t="n">
        <v>0</v>
      </c>
      <c r="L442" s="3" t="n">
        <v>0</v>
      </c>
      <c r="M442" s="2" t="n"/>
    </row>
    <row r="443">
      <c r="A443" s="3" t="n">
        <v>377</v>
      </c>
      <c r="B443" s="3" t="n">
        <v>1860000210001</v>
      </c>
      <c r="C443" s="3" t="inlineStr">
        <is>
          <t>G.A.D. MUNICIPALIDAD DE AMBATO</t>
        </is>
      </c>
      <c r="D443" s="4" t="n">
        <v>46077</v>
      </c>
      <c r="E443" s="3" t="inlineStr">
        <is>
          <t>OT</t>
        </is>
      </c>
      <c r="F443" s="3" t="n">
        <v>9283251</v>
      </c>
      <c r="G443" s="3" t="n">
        <v>5.37</v>
      </c>
      <c r="H443" s="3" t="n">
        <v>0</v>
      </c>
      <c r="I443" s="3" t="n">
        <v>5.37</v>
      </c>
      <c r="J443" s="3" t="n">
        <v>0</v>
      </c>
      <c r="K443" s="3" t="n">
        <v>0</v>
      </c>
      <c r="L443" s="3" t="n">
        <v>0</v>
      </c>
      <c r="M443" s="2" t="n"/>
    </row>
    <row r="444">
      <c r="A444" s="3" t="n">
        <v>377</v>
      </c>
      <c r="B444" s="3" t="n">
        <v>1860000210001</v>
      </c>
      <c r="C444" s="3" t="inlineStr">
        <is>
          <t>G.A.D. MUNICIPALIDAD DE AMBATO</t>
        </is>
      </c>
      <c r="D444" s="4" t="n">
        <v>46077</v>
      </c>
      <c r="E444" s="3" t="inlineStr">
        <is>
          <t>OT</t>
        </is>
      </c>
      <c r="F444" s="3" t="n">
        <v>9283230</v>
      </c>
      <c r="G444" s="3" t="n">
        <v>330.01</v>
      </c>
      <c r="H444" s="3" t="n">
        <v>0</v>
      </c>
      <c r="I444" s="3" t="n">
        <v>330.01</v>
      </c>
      <c r="J444" s="3" t="n">
        <v>0</v>
      </c>
      <c r="K444" s="3" t="n">
        <v>0</v>
      </c>
      <c r="L444" s="3" t="n">
        <v>0</v>
      </c>
      <c r="M444" s="2" t="n"/>
    </row>
    <row r="445">
      <c r="A445" s="3" t="n">
        <v>377</v>
      </c>
      <c r="B445" s="3" t="n">
        <v>1860000210001</v>
      </c>
      <c r="C445" s="3" t="inlineStr">
        <is>
          <t>G.A.D. MUNICIPALIDAD DE AMBATO</t>
        </is>
      </c>
      <c r="D445" s="4" t="n">
        <v>46077</v>
      </c>
      <c r="E445" s="3" t="inlineStr">
        <is>
          <t>OT</t>
        </is>
      </c>
      <c r="F445" s="3" t="n">
        <v>9283240</v>
      </c>
      <c r="G445" s="3" t="n">
        <v>472.95</v>
      </c>
      <c r="H445" s="3" t="n">
        <v>0</v>
      </c>
      <c r="I445" s="3" t="n">
        <v>472.95</v>
      </c>
      <c r="J445" s="3" t="n">
        <v>0</v>
      </c>
      <c r="K445" s="3" t="n">
        <v>0</v>
      </c>
      <c r="L445" s="3" t="n">
        <v>0</v>
      </c>
      <c r="M445" s="2" t="n"/>
    </row>
    <row r="446">
      <c r="A446" s="3" t="n">
        <v>377</v>
      </c>
      <c r="B446" s="3" t="n">
        <v>1860000210001</v>
      </c>
      <c r="C446" s="3" t="inlineStr">
        <is>
          <t>G.A.D. MUNICIPALIDAD DE AMBATO</t>
        </is>
      </c>
      <c r="D446" s="4" t="n">
        <v>46077</v>
      </c>
      <c r="E446" s="3" t="inlineStr">
        <is>
          <t>OT</t>
        </is>
      </c>
      <c r="F446" s="3" t="n">
        <v>9283233</v>
      </c>
      <c r="G446" s="3" t="n">
        <v>540.5</v>
      </c>
      <c r="H446" s="3" t="n">
        <v>0</v>
      </c>
      <c r="I446" s="3" t="n">
        <v>540.5</v>
      </c>
      <c r="J446" s="3" t="n">
        <v>0</v>
      </c>
      <c r="K446" s="3" t="n">
        <v>0</v>
      </c>
      <c r="L446" s="3" t="n">
        <v>0</v>
      </c>
      <c r="M446" s="2" t="n"/>
    </row>
    <row r="447">
      <c r="A447" s="3" t="n">
        <v>377</v>
      </c>
      <c r="B447" s="3" t="n">
        <v>1860000210001</v>
      </c>
      <c r="C447" s="3" t="inlineStr">
        <is>
          <t>G.A.D. MUNICIPALIDAD DE AMBATO</t>
        </is>
      </c>
      <c r="D447" s="4" t="n">
        <v>46077</v>
      </c>
      <c r="E447" s="3" t="inlineStr">
        <is>
          <t>OT</t>
        </is>
      </c>
      <c r="F447" s="3" t="n">
        <v>9283225</v>
      </c>
      <c r="G447" s="3" t="n">
        <v>118.68</v>
      </c>
      <c r="H447" s="3" t="n">
        <v>0</v>
      </c>
      <c r="I447" s="3" t="n">
        <v>118.68</v>
      </c>
      <c r="J447" s="3" t="n">
        <v>0</v>
      </c>
      <c r="K447" s="3" t="n">
        <v>0</v>
      </c>
      <c r="L447" s="3" t="n">
        <v>0</v>
      </c>
      <c r="M447" s="2" t="n"/>
    </row>
    <row r="448">
      <c r="A448" s="3" t="n">
        <v>377</v>
      </c>
      <c r="B448" s="3" t="n">
        <v>1860000210001</v>
      </c>
      <c r="C448" s="3" t="inlineStr">
        <is>
          <t>G.A.D. MUNICIPALIDAD DE AMBATO</t>
        </is>
      </c>
      <c r="D448" s="4" t="n">
        <v>46077</v>
      </c>
      <c r="E448" s="3" t="inlineStr">
        <is>
          <t>OT</t>
        </is>
      </c>
      <c r="F448" s="3" t="n">
        <v>9283224</v>
      </c>
      <c r="G448" s="3" t="n">
        <v>1208</v>
      </c>
      <c r="H448" s="3" t="n">
        <v>0</v>
      </c>
      <c r="I448" s="3" t="n">
        <v>1208</v>
      </c>
      <c r="J448" s="3" t="n">
        <v>0</v>
      </c>
      <c r="K448" s="3" t="n">
        <v>0</v>
      </c>
      <c r="L448" s="3" t="n">
        <v>0</v>
      </c>
      <c r="M448" s="2" t="n"/>
    </row>
    <row r="449">
      <c r="A449" s="3" t="n">
        <v>377</v>
      </c>
      <c r="B449" s="3" t="n">
        <v>1860000210001</v>
      </c>
      <c r="C449" s="3" t="inlineStr">
        <is>
          <t>G.A.D. MUNICIPALIDAD DE AMBATO</t>
        </is>
      </c>
      <c r="D449" s="4" t="n">
        <v>46077</v>
      </c>
      <c r="E449" s="3" t="inlineStr">
        <is>
          <t>OT</t>
        </is>
      </c>
      <c r="F449" s="3" t="n">
        <v>9283213</v>
      </c>
      <c r="G449" s="3" t="n">
        <v>27.64</v>
      </c>
      <c r="H449" s="3" t="n">
        <v>0</v>
      </c>
      <c r="I449" s="3" t="n">
        <v>27.64</v>
      </c>
      <c r="J449" s="3" t="n">
        <v>0</v>
      </c>
      <c r="K449" s="3" t="n">
        <v>0</v>
      </c>
      <c r="L449" s="3" t="n">
        <v>0</v>
      </c>
      <c r="M449" s="2" t="n"/>
    </row>
    <row r="450">
      <c r="A450" s="3" t="n">
        <v>377</v>
      </c>
      <c r="B450" s="3" t="n">
        <v>1860000210001</v>
      </c>
      <c r="C450" s="3" t="inlineStr">
        <is>
          <t>G.A.D. MUNICIPALIDAD DE AMBATO</t>
        </is>
      </c>
      <c r="D450" s="4" t="n">
        <v>46077</v>
      </c>
      <c r="E450" s="3" t="inlineStr">
        <is>
          <t>OT</t>
        </is>
      </c>
      <c r="F450" s="3" t="n">
        <v>9283212</v>
      </c>
      <c r="G450" s="3" t="n">
        <v>10.84</v>
      </c>
      <c r="H450" s="3" t="n">
        <v>0</v>
      </c>
      <c r="I450" s="3" t="n">
        <v>10.84</v>
      </c>
      <c r="J450" s="3" t="n">
        <v>0</v>
      </c>
      <c r="K450" s="3" t="n">
        <v>0</v>
      </c>
      <c r="L450" s="3" t="n">
        <v>0</v>
      </c>
      <c r="M450" s="2" t="n"/>
    </row>
    <row r="451">
      <c r="A451" s="3" t="n">
        <v>377</v>
      </c>
      <c r="B451" s="3" t="n">
        <v>1860000210001</v>
      </c>
      <c r="C451" s="3" t="inlineStr">
        <is>
          <t>G.A.D. MUNICIPALIDAD DE AMBATO</t>
        </is>
      </c>
      <c r="D451" s="4" t="n">
        <v>46077</v>
      </c>
      <c r="E451" s="3" t="inlineStr">
        <is>
          <t>OT</t>
        </is>
      </c>
      <c r="F451" s="3" t="n">
        <v>9283214</v>
      </c>
      <c r="G451" s="3" t="n">
        <v>38.48</v>
      </c>
      <c r="H451" s="3" t="n">
        <v>0</v>
      </c>
      <c r="I451" s="3" t="n">
        <v>38.48</v>
      </c>
      <c r="J451" s="3" t="n">
        <v>0</v>
      </c>
      <c r="K451" s="3" t="n">
        <v>0</v>
      </c>
      <c r="L451" s="3" t="n">
        <v>0</v>
      </c>
      <c r="M451" s="2" t="n"/>
    </row>
    <row r="452">
      <c r="A452" s="3" t="n">
        <v>377</v>
      </c>
      <c r="B452" s="3" t="n">
        <v>1860000210001</v>
      </c>
      <c r="C452" s="3" t="inlineStr">
        <is>
          <t>G.A.D. MUNICIPALIDAD DE AMBATO</t>
        </is>
      </c>
      <c r="D452" s="4" t="n">
        <v>46077</v>
      </c>
      <c r="E452" s="3" t="inlineStr">
        <is>
          <t>OT</t>
        </is>
      </c>
      <c r="F452" s="3" t="n">
        <v>9283211</v>
      </c>
      <c r="G452" s="3" t="n">
        <v>8.08</v>
      </c>
      <c r="H452" s="3" t="n">
        <v>0</v>
      </c>
      <c r="I452" s="3" t="n">
        <v>8.08</v>
      </c>
      <c r="J452" s="3" t="n">
        <v>0</v>
      </c>
      <c r="K452" s="3" t="n">
        <v>0</v>
      </c>
      <c r="L452" s="3" t="n">
        <v>0</v>
      </c>
      <c r="M452" s="2" t="n"/>
    </row>
    <row r="453">
      <c r="A453" s="3" t="n">
        <v>377</v>
      </c>
      <c r="B453" s="3" t="n">
        <v>1860000210001</v>
      </c>
      <c r="C453" s="3" t="inlineStr">
        <is>
          <t>G.A.D. MUNICIPALIDAD DE AMBATO</t>
        </is>
      </c>
      <c r="D453" s="4" t="n">
        <v>46077</v>
      </c>
      <c r="E453" s="3" t="inlineStr">
        <is>
          <t>OT</t>
        </is>
      </c>
      <c r="F453" s="3" t="n">
        <v>9283229</v>
      </c>
      <c r="G453" s="3" t="n">
        <v>8.66</v>
      </c>
      <c r="H453" s="3" t="n">
        <v>0</v>
      </c>
      <c r="I453" s="3" t="n">
        <v>8.66</v>
      </c>
      <c r="J453" s="3" t="n">
        <v>0</v>
      </c>
      <c r="K453" s="3" t="n">
        <v>0</v>
      </c>
      <c r="L453" s="3" t="n">
        <v>0</v>
      </c>
      <c r="M453" s="2" t="n"/>
    </row>
    <row r="454">
      <c r="A454" s="3" t="n">
        <v>377</v>
      </c>
      <c r="B454" s="3" t="n">
        <v>1860000210001</v>
      </c>
      <c r="C454" s="3" t="inlineStr">
        <is>
          <t>G.A.D. MUNICIPALIDAD DE AMBATO</t>
        </is>
      </c>
      <c r="D454" s="4" t="n">
        <v>46077</v>
      </c>
      <c r="E454" s="3" t="inlineStr">
        <is>
          <t>OT</t>
        </is>
      </c>
      <c r="F454" s="3" t="n">
        <v>9283232</v>
      </c>
      <c r="G454" s="3" t="n">
        <v>589.61</v>
      </c>
      <c r="H454" s="3" t="n">
        <v>0</v>
      </c>
      <c r="I454" s="3" t="n">
        <v>589.61</v>
      </c>
      <c r="J454" s="3" t="n">
        <v>0</v>
      </c>
      <c r="K454" s="3" t="n">
        <v>0</v>
      </c>
      <c r="L454" s="3" t="n">
        <v>0</v>
      </c>
      <c r="M454" s="2" t="n"/>
    </row>
    <row r="455">
      <c r="A455" s="3" t="n">
        <v>377</v>
      </c>
      <c r="B455" s="3" t="n">
        <v>1860000210001</v>
      </c>
      <c r="C455" s="3" t="inlineStr">
        <is>
          <t>G.A.D. MUNICIPALIDAD DE AMBATO</t>
        </is>
      </c>
      <c r="D455" s="4" t="n">
        <v>46077</v>
      </c>
      <c r="E455" s="3" t="inlineStr">
        <is>
          <t>OT</t>
        </is>
      </c>
      <c r="F455" s="3" t="n">
        <v>9283234</v>
      </c>
      <c r="G455" s="3" t="n">
        <v>341.93</v>
      </c>
      <c r="H455" s="3" t="n">
        <v>0</v>
      </c>
      <c r="I455" s="3" t="n">
        <v>341.93</v>
      </c>
      <c r="J455" s="3" t="n">
        <v>0</v>
      </c>
      <c r="K455" s="3" t="n">
        <v>0</v>
      </c>
      <c r="L455" s="3" t="n">
        <v>0</v>
      </c>
      <c r="M455" s="2" t="n"/>
    </row>
    <row r="456">
      <c r="A456" s="3" t="n">
        <v>377</v>
      </c>
      <c r="B456" s="3" t="n">
        <v>1860000210001</v>
      </c>
      <c r="C456" s="3" t="inlineStr">
        <is>
          <t>G.A.D. MUNICIPALIDAD DE AMBATO</t>
        </is>
      </c>
      <c r="D456" s="4" t="n">
        <v>46077</v>
      </c>
      <c r="E456" s="3" t="inlineStr">
        <is>
          <t>OT</t>
        </is>
      </c>
      <c r="F456" s="3" t="n">
        <v>9283235</v>
      </c>
      <c r="G456" s="3" t="n">
        <v>945.67</v>
      </c>
      <c r="H456" s="3" t="n">
        <v>0</v>
      </c>
      <c r="I456" s="3" t="n">
        <v>945.67</v>
      </c>
      <c r="J456" s="3" t="n">
        <v>0</v>
      </c>
      <c r="K456" s="3" t="n">
        <v>0</v>
      </c>
      <c r="L456" s="3" t="n">
        <v>0</v>
      </c>
      <c r="M456" s="2" t="n"/>
    </row>
    <row r="457">
      <c r="A457" s="3" t="n">
        <v>377</v>
      </c>
      <c r="B457" s="3" t="n">
        <v>1860000210001</v>
      </c>
      <c r="C457" s="3" t="inlineStr">
        <is>
          <t>G.A.D. MUNICIPALIDAD DE AMBATO</t>
        </is>
      </c>
      <c r="D457" s="4" t="n">
        <v>46077</v>
      </c>
      <c r="E457" s="3" t="inlineStr">
        <is>
          <t>OT</t>
        </is>
      </c>
      <c r="F457" s="3" t="n">
        <v>9283236</v>
      </c>
      <c r="G457" s="3" t="n">
        <v>117.24</v>
      </c>
      <c r="H457" s="3" t="n">
        <v>0</v>
      </c>
      <c r="I457" s="3" t="n">
        <v>117.24</v>
      </c>
      <c r="J457" s="3" t="n">
        <v>0</v>
      </c>
      <c r="K457" s="3" t="n">
        <v>0</v>
      </c>
      <c r="L457" s="3" t="n">
        <v>0</v>
      </c>
      <c r="M457" s="2" t="n"/>
    </row>
    <row r="458">
      <c r="A458" s="3" t="n">
        <v>377</v>
      </c>
      <c r="B458" s="3" t="n">
        <v>1860000210001</v>
      </c>
      <c r="C458" s="3" t="inlineStr">
        <is>
          <t>G.A.D. MUNICIPALIDAD DE AMBATO</t>
        </is>
      </c>
      <c r="D458" s="4" t="n">
        <v>46077</v>
      </c>
      <c r="E458" s="3" t="inlineStr">
        <is>
          <t>OT</t>
        </is>
      </c>
      <c r="F458" s="3" t="n">
        <v>9283215</v>
      </c>
      <c r="G458" s="3" t="n">
        <v>31.34</v>
      </c>
      <c r="H458" s="3" t="n">
        <v>0</v>
      </c>
      <c r="I458" s="3" t="n">
        <v>31.34</v>
      </c>
      <c r="J458" s="3" t="n">
        <v>0</v>
      </c>
      <c r="K458" s="3" t="n">
        <v>0</v>
      </c>
      <c r="L458" s="3" t="n">
        <v>0</v>
      </c>
      <c r="M458" s="2" t="n"/>
    </row>
    <row r="459">
      <c r="A459" s="3" t="n">
        <v>377</v>
      </c>
      <c r="B459" s="3" t="n">
        <v>1860000210001</v>
      </c>
      <c r="C459" s="3" t="inlineStr">
        <is>
          <t>G.A.D. MUNICIPALIDAD DE AMBATO</t>
        </is>
      </c>
      <c r="D459" s="4" t="n">
        <v>46077</v>
      </c>
      <c r="E459" s="3" t="inlineStr">
        <is>
          <t>OT</t>
        </is>
      </c>
      <c r="F459" s="3" t="n">
        <v>9283216</v>
      </c>
      <c r="G459" s="3" t="n">
        <v>35</v>
      </c>
      <c r="H459" s="3" t="n">
        <v>0</v>
      </c>
      <c r="I459" s="3" t="n">
        <v>35</v>
      </c>
      <c r="J459" s="3" t="n">
        <v>0</v>
      </c>
      <c r="K459" s="3" t="n">
        <v>0</v>
      </c>
      <c r="L459" s="3" t="n">
        <v>0</v>
      </c>
      <c r="M459" s="2" t="n"/>
    </row>
    <row r="460">
      <c r="A460" s="3" t="n">
        <v>377</v>
      </c>
      <c r="B460" s="3" t="n">
        <v>1860000210001</v>
      </c>
      <c r="C460" s="3" t="inlineStr">
        <is>
          <t>G.A.D. MUNICIPALIDAD DE AMBATO</t>
        </is>
      </c>
      <c r="D460" s="4" t="n">
        <v>46077</v>
      </c>
      <c r="E460" s="3" t="inlineStr">
        <is>
          <t>OT</t>
        </is>
      </c>
      <c r="F460" s="3" t="n">
        <v>9283217</v>
      </c>
      <c r="G460" s="3" t="n">
        <v>940.01</v>
      </c>
      <c r="H460" s="3" t="n">
        <v>0</v>
      </c>
      <c r="I460" s="3" t="n">
        <v>940.01</v>
      </c>
      <c r="J460" s="3" t="n">
        <v>0</v>
      </c>
      <c r="K460" s="3" t="n">
        <v>0</v>
      </c>
      <c r="L460" s="3" t="n">
        <v>0</v>
      </c>
      <c r="M460" s="2" t="n"/>
    </row>
    <row r="461">
      <c r="A461" s="3" t="n">
        <v>377</v>
      </c>
      <c r="B461" s="3" t="n">
        <v>1860000210001</v>
      </c>
      <c r="C461" s="3" t="inlineStr">
        <is>
          <t>G.A.D. MUNICIPALIDAD DE AMBATO</t>
        </is>
      </c>
      <c r="D461" s="4" t="n">
        <v>46077</v>
      </c>
      <c r="E461" s="3" t="inlineStr">
        <is>
          <t>OT</t>
        </is>
      </c>
      <c r="F461" s="3" t="n">
        <v>9283218</v>
      </c>
      <c r="G461" s="3" t="n">
        <v>383.97</v>
      </c>
      <c r="H461" s="3" t="n">
        <v>0</v>
      </c>
      <c r="I461" s="3" t="n">
        <v>383.97</v>
      </c>
      <c r="J461" s="3" t="n">
        <v>0</v>
      </c>
      <c r="K461" s="3" t="n">
        <v>0</v>
      </c>
      <c r="L461" s="3" t="n">
        <v>0</v>
      </c>
      <c r="M461" s="2" t="n"/>
    </row>
    <row r="462">
      <c r="A462" s="3" t="n">
        <v>377</v>
      </c>
      <c r="B462" s="3" t="n">
        <v>1860000210001</v>
      </c>
      <c r="C462" s="3" t="inlineStr">
        <is>
          <t>G.A.D. MUNICIPALIDAD DE AMBATO</t>
        </is>
      </c>
      <c r="D462" s="4" t="n">
        <v>46077</v>
      </c>
      <c r="E462" s="3" t="inlineStr">
        <is>
          <t>OT</t>
        </is>
      </c>
      <c r="F462" s="3" t="n">
        <v>9283219</v>
      </c>
      <c r="G462" s="3" t="n">
        <v>228.58</v>
      </c>
      <c r="H462" s="3" t="n">
        <v>0</v>
      </c>
      <c r="I462" s="3" t="n">
        <v>228.58</v>
      </c>
      <c r="J462" s="3" t="n">
        <v>0</v>
      </c>
      <c r="K462" s="3" t="n">
        <v>0</v>
      </c>
      <c r="L462" s="3" t="n">
        <v>0</v>
      </c>
      <c r="M462" s="2" t="n"/>
    </row>
    <row r="463">
      <c r="A463" s="3" t="n">
        <v>377</v>
      </c>
      <c r="B463" s="3" t="n">
        <v>1860000210001</v>
      </c>
      <c r="C463" s="3" t="inlineStr">
        <is>
          <t>G.A.D. MUNICIPALIDAD DE AMBATO</t>
        </is>
      </c>
      <c r="D463" s="4" t="n">
        <v>46077</v>
      </c>
      <c r="E463" s="3" t="inlineStr">
        <is>
          <t>OT</t>
        </is>
      </c>
      <c r="F463" s="3" t="n">
        <v>9283220</v>
      </c>
      <c r="G463" s="3" t="n">
        <v>116.75</v>
      </c>
      <c r="H463" s="3" t="n">
        <v>0</v>
      </c>
      <c r="I463" s="3" t="n">
        <v>116.75</v>
      </c>
      <c r="J463" s="3" t="n">
        <v>0</v>
      </c>
      <c r="K463" s="3" t="n">
        <v>0</v>
      </c>
      <c r="L463" s="3" t="n">
        <v>0</v>
      </c>
      <c r="M463" s="2" t="n"/>
    </row>
    <row r="464">
      <c r="A464" s="3" t="n">
        <v>377</v>
      </c>
      <c r="B464" s="3" t="n">
        <v>1860000210001</v>
      </c>
      <c r="C464" s="3" t="inlineStr">
        <is>
          <t>G.A.D. MUNICIPALIDAD DE AMBATO</t>
        </is>
      </c>
      <c r="D464" s="4" t="n">
        <v>46077</v>
      </c>
      <c r="E464" s="3" t="inlineStr">
        <is>
          <t>OT</t>
        </is>
      </c>
      <c r="F464" s="3" t="n">
        <v>9283221</v>
      </c>
      <c r="G464" s="3" t="n">
        <v>394.19</v>
      </c>
      <c r="H464" s="3" t="n">
        <v>0</v>
      </c>
      <c r="I464" s="3" t="n">
        <v>394.19</v>
      </c>
      <c r="J464" s="3" t="n">
        <v>0</v>
      </c>
      <c r="K464" s="3" t="n">
        <v>0</v>
      </c>
      <c r="L464" s="3" t="n">
        <v>0</v>
      </c>
      <c r="M464" s="2" t="n"/>
    </row>
    <row r="465">
      <c r="A465" s="3" t="n">
        <v>377</v>
      </c>
      <c r="B465" s="3" t="n">
        <v>1860000210001</v>
      </c>
      <c r="C465" s="3" t="inlineStr">
        <is>
          <t>G.A.D. MUNICIPALIDAD DE AMBATO</t>
        </is>
      </c>
      <c r="D465" s="4" t="n">
        <v>46077</v>
      </c>
      <c r="E465" s="3" t="inlineStr">
        <is>
          <t>OT</t>
        </is>
      </c>
      <c r="F465" s="3" t="n">
        <v>9283222</v>
      </c>
      <c r="G465" s="3" t="n">
        <v>1529.98</v>
      </c>
      <c r="H465" s="3" t="n">
        <v>0</v>
      </c>
      <c r="I465" s="3" t="n">
        <v>1529.98</v>
      </c>
      <c r="J465" s="3" t="n">
        <v>0</v>
      </c>
      <c r="K465" s="3" t="n">
        <v>0</v>
      </c>
      <c r="L465" s="3" t="n">
        <v>0</v>
      </c>
      <c r="M465" s="2" t="n"/>
    </row>
    <row r="466">
      <c r="A466" s="3" t="n">
        <v>377</v>
      </c>
      <c r="B466" s="3" t="n">
        <v>1860000210001</v>
      </c>
      <c r="C466" s="3" t="inlineStr">
        <is>
          <t>G.A.D. MUNICIPALIDAD DE AMBATO</t>
        </is>
      </c>
      <c r="D466" s="4" t="n">
        <v>46077</v>
      </c>
      <c r="E466" s="3" t="inlineStr">
        <is>
          <t>OT</t>
        </is>
      </c>
      <c r="F466" s="3" t="n">
        <v>9283223</v>
      </c>
      <c r="G466" s="3" t="n">
        <v>1529.98</v>
      </c>
      <c r="H466" s="3" t="n">
        <v>0</v>
      </c>
      <c r="I466" s="3" t="n">
        <v>1529.98</v>
      </c>
      <c r="J466" s="3" t="n">
        <v>0</v>
      </c>
      <c r="K466" s="3" t="n">
        <v>0</v>
      </c>
      <c r="L466" s="3" t="n">
        <v>0</v>
      </c>
      <c r="M466" s="2" t="n"/>
    </row>
    <row r="467">
      <c r="A467" s="3" t="n">
        <v>377</v>
      </c>
      <c r="B467" s="3" t="n">
        <v>1860000210001</v>
      </c>
      <c r="C467" s="3" t="inlineStr">
        <is>
          <t>G.A.D. MUNICIPALIDAD DE AMBATO</t>
        </is>
      </c>
      <c r="D467" s="4" t="n">
        <v>46077</v>
      </c>
      <c r="E467" s="3" t="inlineStr">
        <is>
          <t>OT</t>
        </is>
      </c>
      <c r="F467" s="3" t="n">
        <v>9283244</v>
      </c>
      <c r="G467" s="3" t="n">
        <v>59.16</v>
      </c>
      <c r="H467" s="3" t="n">
        <v>0</v>
      </c>
      <c r="I467" s="3" t="n">
        <v>59.16</v>
      </c>
      <c r="J467" s="3" t="n">
        <v>0</v>
      </c>
      <c r="K467" s="3" t="n">
        <v>0</v>
      </c>
      <c r="L467" s="3" t="n">
        <v>0</v>
      </c>
      <c r="M467" s="2" t="n"/>
    </row>
    <row r="468">
      <c r="A468" s="3" t="n">
        <v>377</v>
      </c>
      <c r="B468" s="3" t="n">
        <v>1860000210001</v>
      </c>
      <c r="C468" s="3" t="inlineStr">
        <is>
          <t>G.A.D. MUNICIPALIDAD DE AMBATO</t>
        </is>
      </c>
      <c r="D468" s="4" t="n">
        <v>46077</v>
      </c>
      <c r="E468" s="3" t="inlineStr">
        <is>
          <t>OT</t>
        </is>
      </c>
      <c r="F468" s="3" t="n">
        <v>9283245</v>
      </c>
      <c r="G468" s="3" t="n">
        <v>93.16</v>
      </c>
      <c r="H468" s="3" t="n">
        <v>0</v>
      </c>
      <c r="I468" s="3" t="n">
        <v>93.16</v>
      </c>
      <c r="J468" s="3" t="n">
        <v>0</v>
      </c>
      <c r="K468" s="3" t="n">
        <v>0</v>
      </c>
      <c r="L468" s="3" t="n">
        <v>0</v>
      </c>
      <c r="M468" s="2" t="n"/>
    </row>
    <row r="469">
      <c r="A469" s="3" t="n">
        <v>377</v>
      </c>
      <c r="B469" s="3" t="n">
        <v>1860000210001</v>
      </c>
      <c r="C469" s="3" t="inlineStr">
        <is>
          <t>G.A.D. MUNICIPALIDAD DE AMBATO</t>
        </is>
      </c>
      <c r="D469" s="4" t="n">
        <v>46077</v>
      </c>
      <c r="E469" s="3" t="inlineStr">
        <is>
          <t>OT</t>
        </is>
      </c>
      <c r="F469" s="3" t="n">
        <v>9283246</v>
      </c>
      <c r="G469" s="3" t="n">
        <v>163.4</v>
      </c>
      <c r="H469" s="3" t="n">
        <v>0</v>
      </c>
      <c r="I469" s="3" t="n">
        <v>163.4</v>
      </c>
      <c r="J469" s="3" t="n">
        <v>0</v>
      </c>
      <c r="K469" s="3" t="n">
        <v>0</v>
      </c>
      <c r="L469" s="3" t="n">
        <v>0</v>
      </c>
      <c r="M469" s="2" t="n"/>
    </row>
    <row r="470">
      <c r="A470" s="3" t="n">
        <v>377</v>
      </c>
      <c r="B470" s="3" t="n">
        <v>1860000210001</v>
      </c>
      <c r="C470" s="3" t="inlineStr">
        <is>
          <t>G.A.D. MUNICIPALIDAD DE AMBATO</t>
        </is>
      </c>
      <c r="D470" s="4" t="n">
        <v>46077</v>
      </c>
      <c r="E470" s="3" t="inlineStr">
        <is>
          <t>OT</t>
        </is>
      </c>
      <c r="F470" s="3" t="n">
        <v>9283247</v>
      </c>
      <c r="G470" s="3" t="n">
        <v>115.3</v>
      </c>
      <c r="H470" s="3" t="n">
        <v>0</v>
      </c>
      <c r="I470" s="3" t="n">
        <v>115.3</v>
      </c>
      <c r="J470" s="3" t="n">
        <v>0</v>
      </c>
      <c r="K470" s="3" t="n">
        <v>0</v>
      </c>
      <c r="L470" s="3" t="n">
        <v>0</v>
      </c>
      <c r="M470" s="2" t="n"/>
    </row>
    <row r="471">
      <c r="A471" s="3" t="n">
        <v>377</v>
      </c>
      <c r="B471" s="3" t="n">
        <v>1860000210001</v>
      </c>
      <c r="C471" s="3" t="inlineStr">
        <is>
          <t>G.A.D. MUNICIPALIDAD DE AMBATO</t>
        </is>
      </c>
      <c r="D471" s="4" t="n">
        <v>46077</v>
      </c>
      <c r="E471" s="3" t="inlineStr">
        <is>
          <t>OT</t>
        </is>
      </c>
      <c r="F471" s="3" t="n">
        <v>9283252</v>
      </c>
      <c r="G471" s="3" t="n">
        <v>3.2</v>
      </c>
      <c r="H471" s="3" t="n">
        <v>0</v>
      </c>
      <c r="I471" s="3" t="n">
        <v>3.2</v>
      </c>
      <c r="J471" s="3" t="n">
        <v>0</v>
      </c>
      <c r="K471" s="3" t="n">
        <v>0</v>
      </c>
      <c r="L471" s="3" t="n">
        <v>0</v>
      </c>
      <c r="M471" s="2" t="n"/>
    </row>
    <row r="472">
      <c r="A472" s="3" t="n">
        <v>377</v>
      </c>
      <c r="B472" s="3" t="n">
        <v>1860000210001</v>
      </c>
      <c r="C472" s="3" t="inlineStr">
        <is>
          <t>G.A.D. MUNICIPALIDAD DE AMBATO</t>
        </is>
      </c>
      <c r="D472" s="4" t="n">
        <v>46077</v>
      </c>
      <c r="E472" s="3" t="inlineStr">
        <is>
          <t>OT</t>
        </is>
      </c>
      <c r="F472" s="3" t="n">
        <v>9283226</v>
      </c>
      <c r="G472" s="3" t="n">
        <v>1208</v>
      </c>
      <c r="H472" s="3" t="n">
        <v>0</v>
      </c>
      <c r="I472" s="3" t="n">
        <v>1208</v>
      </c>
      <c r="J472" s="3" t="n">
        <v>0</v>
      </c>
      <c r="K472" s="3" t="n">
        <v>0</v>
      </c>
      <c r="L472" s="3" t="n">
        <v>0</v>
      </c>
      <c r="M472" s="2" t="n"/>
    </row>
    <row r="473">
      <c r="A473" s="3" t="n">
        <v>377</v>
      </c>
      <c r="B473" s="3" t="n">
        <v>1860000210001</v>
      </c>
      <c r="C473" s="3" t="inlineStr">
        <is>
          <t>G.A.D. MUNICIPALIDAD DE AMBATO</t>
        </is>
      </c>
      <c r="D473" s="4" t="n">
        <v>46077</v>
      </c>
      <c r="E473" s="3" t="inlineStr">
        <is>
          <t>OT</t>
        </is>
      </c>
      <c r="F473" s="3" t="n">
        <v>9283227</v>
      </c>
      <c r="G473" s="3" t="n">
        <v>118.68</v>
      </c>
      <c r="H473" s="3" t="n">
        <v>0</v>
      </c>
      <c r="I473" s="3" t="n">
        <v>118.68</v>
      </c>
      <c r="J473" s="3" t="n">
        <v>0</v>
      </c>
      <c r="K473" s="3" t="n">
        <v>0</v>
      </c>
      <c r="L473" s="3" t="n">
        <v>0</v>
      </c>
      <c r="M473" s="2" t="n"/>
    </row>
    <row r="474">
      <c r="A474" s="3" t="n">
        <v>377</v>
      </c>
      <c r="B474" s="3" t="n">
        <v>1860000210001</v>
      </c>
      <c r="C474" s="3" t="inlineStr">
        <is>
          <t>G.A.D. MUNICIPALIDAD DE AMBATO</t>
        </is>
      </c>
      <c r="D474" s="4" t="n">
        <v>46077</v>
      </c>
      <c r="E474" s="3" t="inlineStr">
        <is>
          <t>OT</t>
        </is>
      </c>
      <c r="F474" s="3" t="n">
        <v>9283228</v>
      </c>
      <c r="G474" s="3" t="n">
        <v>195.8</v>
      </c>
      <c r="H474" s="3" t="n">
        <v>0</v>
      </c>
      <c r="I474" s="3" t="n">
        <v>195.8</v>
      </c>
      <c r="J474" s="3" t="n">
        <v>0</v>
      </c>
      <c r="K474" s="3" t="n">
        <v>0</v>
      </c>
      <c r="L474" s="3" t="n">
        <v>0</v>
      </c>
      <c r="M474" s="2" t="n"/>
    </row>
    <row r="475">
      <c r="A475" s="3" t="n">
        <v>377</v>
      </c>
      <c r="B475" s="3" t="n">
        <v>1860000210001</v>
      </c>
      <c r="C475" s="3" t="inlineStr">
        <is>
          <t>G.A.D. MUNICIPALIDAD DE AMBATO</t>
        </is>
      </c>
      <c r="D475" s="4" t="n">
        <v>46077</v>
      </c>
      <c r="E475" s="3" t="inlineStr">
        <is>
          <t>OT</t>
        </is>
      </c>
      <c r="F475" s="3" t="n">
        <v>9283248</v>
      </c>
      <c r="G475" s="3" t="n">
        <v>99.40000000000001</v>
      </c>
      <c r="H475" s="3" t="n">
        <v>0</v>
      </c>
      <c r="I475" s="3" t="n">
        <v>99.40000000000001</v>
      </c>
      <c r="J475" s="3" t="n">
        <v>0</v>
      </c>
      <c r="K475" s="3" t="n">
        <v>0</v>
      </c>
      <c r="L475" s="3" t="n">
        <v>0</v>
      </c>
      <c r="M475" s="2" t="n"/>
    </row>
    <row r="476">
      <c r="A476" s="3" t="n">
        <v>377</v>
      </c>
      <c r="B476" s="3" t="n">
        <v>1860000210001</v>
      </c>
      <c r="C476" s="3" t="inlineStr">
        <is>
          <t>G.A.D. MUNICIPALIDAD DE AMBATO</t>
        </is>
      </c>
      <c r="D476" s="4" t="n">
        <v>46077</v>
      </c>
      <c r="E476" s="3" t="inlineStr">
        <is>
          <t>OT</t>
        </is>
      </c>
      <c r="F476" s="3" t="n">
        <v>9283249</v>
      </c>
      <c r="G476" s="3" t="n">
        <v>99.40000000000001</v>
      </c>
      <c r="H476" s="3" t="n">
        <v>0</v>
      </c>
      <c r="I476" s="3" t="n">
        <v>99.40000000000001</v>
      </c>
      <c r="J476" s="3" t="n">
        <v>0</v>
      </c>
      <c r="K476" s="3" t="n">
        <v>0</v>
      </c>
      <c r="L476" s="3" t="n">
        <v>0</v>
      </c>
      <c r="M476" s="2" t="n"/>
    </row>
    <row r="477">
      <c r="A477" s="3" t="n">
        <v>377</v>
      </c>
      <c r="B477" s="3" t="n">
        <v>1860000210001</v>
      </c>
      <c r="C477" s="3" t="inlineStr">
        <is>
          <t>G.A.D. MUNICIPALIDAD DE AMBATO</t>
        </is>
      </c>
      <c r="D477" s="4" t="n">
        <v>46077</v>
      </c>
      <c r="E477" s="3" t="inlineStr">
        <is>
          <t>OT</t>
        </is>
      </c>
      <c r="F477" s="3" t="n">
        <v>9283250</v>
      </c>
      <c r="G477" s="3" t="n">
        <v>118.68</v>
      </c>
      <c r="H477" s="3" t="n">
        <v>0</v>
      </c>
      <c r="I477" s="3" t="n">
        <v>118.68</v>
      </c>
      <c r="J477" s="3" t="n">
        <v>0</v>
      </c>
      <c r="K477" s="3" t="n">
        <v>0</v>
      </c>
      <c r="L477" s="3" t="n">
        <v>0</v>
      </c>
      <c r="M477" s="2" t="n"/>
    </row>
    <row r="478">
      <c r="A478" s="3" t="n">
        <v>1217</v>
      </c>
      <c r="B478" s="3" t="n">
        <v>1891725309001</v>
      </c>
      <c r="C478" s="3" t="inlineStr">
        <is>
          <t>BODESUR</t>
        </is>
      </c>
      <c r="D478" s="4" t="n">
        <v>46059</v>
      </c>
      <c r="E478" s="3" t="inlineStr">
        <is>
          <t>OT</t>
        </is>
      </c>
      <c r="F478" s="3" t="n">
        <v>5627</v>
      </c>
      <c r="G478" s="3" t="n">
        <v>110.26</v>
      </c>
      <c r="H478" s="3" t="n">
        <v>0</v>
      </c>
      <c r="I478" s="3" t="n">
        <v>110.26</v>
      </c>
      <c r="J478" s="3" t="n">
        <v>0</v>
      </c>
      <c r="K478" s="3" t="n">
        <v>0</v>
      </c>
      <c r="L478" s="3" t="n">
        <v>0</v>
      </c>
      <c r="M478" s="2" t="n"/>
    </row>
    <row r="479">
      <c r="A479" s="2" t="n"/>
      <c r="B479" s="2" t="n"/>
      <c r="C479" s="2" t="n"/>
      <c r="D479" s="5" t="n"/>
      <c r="E479" s="2" t="n"/>
      <c r="F479" s="2" t="n"/>
      <c r="G479" s="2" t="n"/>
      <c r="H479" s="6" t="n">
        <v>3259124.2</v>
      </c>
      <c r="I479" s="6" t="n">
        <v>132203.53</v>
      </c>
      <c r="J479" s="6" t="n">
        <v>488868.66</v>
      </c>
      <c r="K479" s="2" t="n"/>
      <c r="L479" s="2" t="n"/>
      <c r="M479" s="2" t="n"/>
    </row>
    <row r="480">
      <c r="A480" s="2" t="n"/>
      <c r="B480" s="2" t="n"/>
      <c r="C480" s="2" t="n"/>
      <c r="D480" s="5" t="n"/>
      <c r="E480" s="2" t="n"/>
      <c r="F480" s="2" t="n"/>
      <c r="G480" s="2" t="n"/>
      <c r="H480" s="2" t="n"/>
      <c r="I480" s="2" t="n"/>
      <c r="J480" s="7" t="n">
        <v>489053.36</v>
      </c>
      <c r="K480" s="7" t="n">
        <v>489053.36</v>
      </c>
      <c r="L480" s="8" t="inlineStr">
        <is>
          <t>MAYOR IVA</t>
        </is>
      </c>
      <c r="M480" s="2" t="n"/>
    </row>
    <row r="481">
      <c r="A481" s="2" t="n"/>
      <c r="B481" s="2" t="n"/>
      <c r="C481" s="2" t="n"/>
      <c r="D481" s="5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3" t="n">
        <v>306</v>
      </c>
      <c r="B482" s="3" t="n">
        <v>1791251237001</v>
      </c>
      <c r="C482" s="3" t="inlineStr">
        <is>
          <t>CONECEL</t>
        </is>
      </c>
      <c r="D482" s="4" t="n">
        <v>46077</v>
      </c>
      <c r="E482" s="3" t="inlineStr">
        <is>
          <t>FE</t>
        </is>
      </c>
      <c r="F482" s="3" t="n">
        <v>108173481</v>
      </c>
      <c r="G482" s="3" t="n">
        <v>187.44</v>
      </c>
      <c r="H482" s="3" t="n">
        <v>162.99</v>
      </c>
      <c r="I482" s="3" t="n">
        <v>0</v>
      </c>
      <c r="J482" s="3" t="n">
        <v>24.45</v>
      </c>
      <c r="K482" s="3" t="n">
        <v>0</v>
      </c>
      <c r="L482" s="3" t="n">
        <v>0</v>
      </c>
      <c r="M482" s="2" t="inlineStr">
        <is>
          <t>PLAN EMPLEADOS</t>
        </is>
      </c>
    </row>
    <row r="483">
      <c r="A483" s="3" t="n">
        <v>3300</v>
      </c>
      <c r="B483" s="3" t="n">
        <v>1793034942001</v>
      </c>
      <c r="C483" s="3" t="inlineStr">
        <is>
          <t>LAYOUT S.A.</t>
        </is>
      </c>
      <c r="D483" s="4" t="n">
        <v>46063</v>
      </c>
      <c r="E483" s="3" t="inlineStr">
        <is>
          <t>FE</t>
        </is>
      </c>
      <c r="F483" s="3" t="n">
        <v>413</v>
      </c>
      <c r="G483" s="3" t="n">
        <v>1339.04</v>
      </c>
      <c r="H483" s="3" t="n">
        <v>1231.3</v>
      </c>
      <c r="I483" s="3" t="n">
        <v>0</v>
      </c>
      <c r="J483" s="3" t="n">
        <v>184.7</v>
      </c>
      <c r="K483" s="3" t="n">
        <v>76.95999999999999</v>
      </c>
      <c r="L483" s="3" t="n">
        <v>0</v>
      </c>
      <c r="M483" s="2" t="inlineStr">
        <is>
          <t>ACTIVO FIJO-MUEBLES Y ENSERES</t>
        </is>
      </c>
    </row>
    <row r="484" ht="15.75" customHeight="1">
      <c r="A484" s="2" t="n"/>
      <c r="B484" s="2" t="n"/>
      <c r="C484" s="2" t="n"/>
      <c r="D484" s="5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 ht="15.75" customHeight="1">
      <c r="A485" s="2" t="n"/>
      <c r="B485" s="2" t="n"/>
      <c r="C485" s="2" t="n"/>
      <c r="D485" s="5" t="n"/>
      <c r="E485" s="2" t="n"/>
      <c r="F485" s="2" t="n"/>
      <c r="G485" s="2" t="n"/>
      <c r="H485" s="9" t="n">
        <v>3260518.49</v>
      </c>
      <c r="I485" s="10" t="n">
        <v>132365.53</v>
      </c>
      <c r="J485" s="10" t="n">
        <v>489077.81</v>
      </c>
      <c r="K485" s="2" t="inlineStr">
        <is>
          <t>IVA ATS</t>
        </is>
      </c>
      <c r="L485" s="2" t="n"/>
      <c r="M485" s="2" t="n"/>
    </row>
    <row r="486">
      <c r="A486" s="2" t="n"/>
      <c r="B486" s="2" t="n"/>
      <c r="C486" s="2" t="n"/>
      <c r="D486" s="5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 ht="18.75" customHeight="1">
      <c r="A487" s="11" t="inlineStr">
        <is>
          <t>RIMPE NEGOCIO POPULAR</t>
        </is>
      </c>
      <c r="B487" s="2" t="n"/>
      <c r="C487" s="2" t="n"/>
      <c r="D487" s="5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1" t="inlineStr">
        <is>
          <t>CODIGO</t>
        </is>
      </c>
      <c r="B488" s="1" t="inlineStr">
        <is>
          <t>CEDULA</t>
        </is>
      </c>
      <c r="C488" s="1" t="inlineStr">
        <is>
          <t>NOMBRE</t>
        </is>
      </c>
      <c r="D488" s="1" t="inlineStr">
        <is>
          <t>FECHA</t>
        </is>
      </c>
      <c r="E488" s="1" t="inlineStr">
        <is>
          <t>TIPO</t>
        </is>
      </c>
      <c r="F488" s="1" t="inlineStr">
        <is>
          <t>DOCUMENTO</t>
        </is>
      </c>
      <c r="G488" s="1" t="inlineStr">
        <is>
          <t>MONTO</t>
        </is>
      </c>
      <c r="H488" s="1" t="inlineStr">
        <is>
          <t>BASE IVA</t>
        </is>
      </c>
      <c r="I488" s="1" t="inlineStr">
        <is>
          <t>BASE 0</t>
        </is>
      </c>
      <c r="J488" s="1" t="inlineStr">
        <is>
          <t>IMPUESTOS</t>
        </is>
      </c>
      <c r="K488" s="1" t="inlineStr">
        <is>
          <t>RETENCION</t>
        </is>
      </c>
      <c r="L488" s="1" t="inlineStr">
        <is>
          <t>SALDO</t>
        </is>
      </c>
      <c r="M488" s="2" t="n"/>
    </row>
    <row r="489">
      <c r="A489" s="3" t="n">
        <v>2326</v>
      </c>
      <c r="B489" s="3" t="n">
        <v>202287389001</v>
      </c>
      <c r="C489" s="3" t="inlineStr">
        <is>
          <t>ROBAYO BORJA MARGOTH BEATRIZ</t>
        </is>
      </c>
      <c r="D489" s="4" t="n">
        <v>46056</v>
      </c>
      <c r="E489" s="3" t="inlineStr">
        <is>
          <t>NV</t>
        </is>
      </c>
      <c r="F489" s="3" t="n">
        <v>1157</v>
      </c>
      <c r="G489" s="3" t="n">
        <v>35</v>
      </c>
      <c r="H489" s="3" t="n">
        <v>0</v>
      </c>
      <c r="I489" s="3" t="n">
        <v>35</v>
      </c>
      <c r="J489" s="3" t="n">
        <v>0</v>
      </c>
      <c r="K489" s="3" t="n">
        <v>0</v>
      </c>
      <c r="L489" s="3" t="n">
        <v>0</v>
      </c>
      <c r="M489" s="2" t="n"/>
    </row>
    <row r="490">
      <c r="A490" s="3" t="n">
        <v>2564</v>
      </c>
      <c r="B490" s="3" t="n">
        <v>502986466001</v>
      </c>
      <c r="C490" s="3" t="inlineStr">
        <is>
          <t>CARASAYO ASHCA ANGEL GUSTAVO</t>
        </is>
      </c>
      <c r="D490" s="4" t="n">
        <v>46075</v>
      </c>
      <c r="E490" s="3" t="inlineStr">
        <is>
          <t>NV</t>
        </is>
      </c>
      <c r="F490" s="3" t="n">
        <v>812</v>
      </c>
      <c r="G490" s="3" t="n">
        <v>60</v>
      </c>
      <c r="H490" s="3" t="n">
        <v>0</v>
      </c>
      <c r="I490" s="3" t="n">
        <v>60</v>
      </c>
      <c r="J490" s="3" t="n">
        <v>0</v>
      </c>
      <c r="K490" s="3" t="n">
        <v>0</v>
      </c>
      <c r="L490" s="3" t="n">
        <v>0</v>
      </c>
      <c r="M490" s="2" t="n"/>
    </row>
    <row r="491">
      <c r="A491" s="3" t="n">
        <v>1161</v>
      </c>
      <c r="B491" s="3" t="n">
        <v>1801633395001</v>
      </c>
      <c r="C491" s="3" t="inlineStr">
        <is>
          <t>CEVALLOS CALLE NELSON RODRIGO</t>
        </is>
      </c>
      <c r="D491" s="4" t="n">
        <v>46058</v>
      </c>
      <c r="E491" s="3" t="inlineStr">
        <is>
          <t>NV</t>
        </is>
      </c>
      <c r="F491" s="3" t="n">
        <v>231</v>
      </c>
      <c r="G491" s="3" t="n">
        <v>30</v>
      </c>
      <c r="H491" s="3" t="n">
        <v>0</v>
      </c>
      <c r="I491" s="3" t="n">
        <v>30</v>
      </c>
      <c r="J491" s="3" t="n">
        <v>0</v>
      </c>
      <c r="K491" s="3" t="n">
        <v>0</v>
      </c>
      <c r="L491" s="3" t="n">
        <v>30</v>
      </c>
      <c r="M491" s="2" t="n"/>
    </row>
    <row r="492">
      <c r="A492" s="3" t="n">
        <v>1161</v>
      </c>
      <c r="B492" s="3" t="n">
        <v>1801633395001</v>
      </c>
      <c r="C492" s="3" t="inlineStr">
        <is>
          <t>CEVALLOS CALLE NELSON RODRIGO</t>
        </is>
      </c>
      <c r="D492" s="4" t="n">
        <v>46058</v>
      </c>
      <c r="E492" s="3" t="inlineStr">
        <is>
          <t>NV</t>
        </is>
      </c>
      <c r="F492" s="3" t="n">
        <v>230</v>
      </c>
      <c r="G492" s="3" t="n">
        <v>37</v>
      </c>
      <c r="H492" s="3" t="n">
        <v>0</v>
      </c>
      <c r="I492" s="3" t="n">
        <v>37</v>
      </c>
      <c r="J492" s="3" t="n">
        <v>0</v>
      </c>
      <c r="K492" s="3" t="n">
        <v>0</v>
      </c>
      <c r="L492" s="3" t="n">
        <v>37</v>
      </c>
      <c r="M492" s="2" t="n"/>
    </row>
    <row r="493">
      <c r="A493" s="2" t="n"/>
      <c r="B493" s="2" t="n"/>
      <c r="C493" s="2" t="n"/>
      <c r="D493" s="5" t="n"/>
      <c r="E493" s="2" t="n"/>
      <c r="F493" s="2" t="n"/>
      <c r="G493" s="2" t="n"/>
      <c r="H493" s="2" t="n"/>
      <c r="I493" s="12" t="n">
        <v>162</v>
      </c>
      <c r="J493" s="2" t="n"/>
      <c r="K493" s="2" t="n"/>
      <c r="L493" s="2" t="n"/>
      <c r="M493" s="2" t="n"/>
    </row>
    <row r="494">
      <c r="A494" s="2" t="n"/>
      <c r="B494" s="2" t="n"/>
      <c r="C494" s="2" t="n"/>
      <c r="D494" s="5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n"/>
      <c r="B495" s="2" t="n"/>
      <c r="C495" s="2" t="n"/>
      <c r="D495" s="5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5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 ht="18.75" customHeight="1">
      <c r="A497" s="11" t="inlineStr">
        <is>
          <t>NDS, TR, ANULACIONES</t>
        </is>
      </c>
      <c r="B497" s="2" t="n"/>
      <c r="C497" s="2" t="n"/>
      <c r="D497" s="5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1" t="inlineStr">
        <is>
          <t>CODIGO</t>
        </is>
      </c>
      <c r="B498" s="1" t="inlineStr">
        <is>
          <t>CEDULA</t>
        </is>
      </c>
      <c r="C498" s="1" t="inlineStr">
        <is>
          <t>NOMBRE</t>
        </is>
      </c>
      <c r="D498" s="1" t="inlineStr">
        <is>
          <t>FECHA</t>
        </is>
      </c>
      <c r="E498" s="1" t="inlineStr">
        <is>
          <t>TIPO</t>
        </is>
      </c>
      <c r="F498" s="1" t="inlineStr">
        <is>
          <t>DOCUMENTO</t>
        </is>
      </c>
      <c r="G498" s="1" t="inlineStr">
        <is>
          <t>MONTO</t>
        </is>
      </c>
      <c r="H498" s="1" t="inlineStr">
        <is>
          <t>BASE IVA</t>
        </is>
      </c>
      <c r="I498" s="1" t="inlineStr">
        <is>
          <t>BASE 0</t>
        </is>
      </c>
      <c r="J498" s="1" t="inlineStr">
        <is>
          <t>IMPUESTOS</t>
        </is>
      </c>
      <c r="K498" s="1" t="inlineStr">
        <is>
          <t>RETENCION</t>
        </is>
      </c>
      <c r="L498" s="1" t="inlineStr">
        <is>
          <t>SALDO</t>
        </is>
      </c>
      <c r="M498" s="2" t="n"/>
    </row>
    <row r="499">
      <c r="A499" s="3" t="n">
        <v>3272</v>
      </c>
      <c r="B499" s="3" t="n">
        <v>101861581001</v>
      </c>
      <c r="C499" s="3" t="inlineStr">
        <is>
          <t>CABRERA ROJAS DORIS MARIA</t>
        </is>
      </c>
      <c r="D499" s="4" t="n">
        <v>46075</v>
      </c>
      <c r="E499" s="3" t="inlineStr">
        <is>
          <t>ND</t>
        </is>
      </c>
      <c r="F499" s="3" t="n">
        <v>90193539</v>
      </c>
      <c r="G499" s="3" t="n">
        <v>70.55</v>
      </c>
      <c r="H499" s="3" t="n">
        <v>0</v>
      </c>
      <c r="I499" s="3" t="n">
        <v>70.55</v>
      </c>
      <c r="J499" s="3" t="n">
        <v>0</v>
      </c>
      <c r="K499" s="3" t="n">
        <v>0</v>
      </c>
      <c r="L499" s="3" t="n">
        <v>0</v>
      </c>
      <c r="M499" s="2" t="n"/>
    </row>
    <row r="500">
      <c r="A500" s="3" t="n">
        <v>150</v>
      </c>
      <c r="B500" s="3" t="n">
        <v>190123626001</v>
      </c>
      <c r="C500" s="3" t="inlineStr">
        <is>
          <t>ASEGURADORA DEL SUR C.A.</t>
        </is>
      </c>
      <c r="D500" s="4" t="n">
        <v>46075</v>
      </c>
      <c r="E500" s="3" t="inlineStr">
        <is>
          <t>ND</t>
        </is>
      </c>
      <c r="F500" s="3" t="n">
        <v>17835055</v>
      </c>
      <c r="G500" s="3" t="n">
        <v>1841.79</v>
      </c>
      <c r="H500" s="3" t="n">
        <v>1841.79</v>
      </c>
      <c r="I500" s="3" t="n">
        <v>0</v>
      </c>
      <c r="J500" s="3" t="n">
        <v>0</v>
      </c>
      <c r="K500" s="3" t="n">
        <v>0</v>
      </c>
      <c r="L500" s="3" t="n">
        <v>0</v>
      </c>
      <c r="M500" s="2" t="n"/>
    </row>
    <row r="501">
      <c r="A501" s="3" t="n">
        <v>150</v>
      </c>
      <c r="B501" s="3" t="n">
        <v>190123626001</v>
      </c>
      <c r="C501" s="3" t="inlineStr">
        <is>
          <t>ASEGURADORA DEL SUR C.A.</t>
        </is>
      </c>
      <c r="D501" s="4" t="n">
        <v>46075</v>
      </c>
      <c r="E501" s="3" t="inlineStr">
        <is>
          <t>ND</t>
        </is>
      </c>
      <c r="F501" s="3" t="n">
        <v>91783509</v>
      </c>
      <c r="G501" s="3" t="n">
        <v>1841.79</v>
      </c>
      <c r="H501" s="3" t="n">
        <v>0</v>
      </c>
      <c r="I501" s="3" t="n">
        <v>1841.79</v>
      </c>
      <c r="J501" s="3" t="n">
        <v>0</v>
      </c>
      <c r="K501" s="3" t="n">
        <v>0</v>
      </c>
      <c r="L501" s="3" t="n">
        <v>0</v>
      </c>
      <c r="M501" s="2" t="n"/>
    </row>
    <row r="502">
      <c r="A502" s="3" t="n">
        <v>150</v>
      </c>
      <c r="B502" s="3" t="n">
        <v>190123626001</v>
      </c>
      <c r="C502" s="3" t="inlineStr">
        <is>
          <t>ASEGURADORA DEL SUR C.A.</t>
        </is>
      </c>
      <c r="D502" s="4" t="n">
        <v>46065</v>
      </c>
      <c r="E502" s="3" t="inlineStr">
        <is>
          <t>FE</t>
        </is>
      </c>
      <c r="F502" s="3" t="inlineStr">
        <is>
          <t>A017835055</t>
        </is>
      </c>
      <c r="G502" s="3" t="n">
        <v>1841.79</v>
      </c>
      <c r="H502" s="3" t="n">
        <v>1644.45</v>
      </c>
      <c r="I502" s="3" t="n">
        <v>0</v>
      </c>
      <c r="J502" s="3" t="n">
        <v>246.67</v>
      </c>
      <c r="K502" s="3" t="n">
        <v>49.33</v>
      </c>
      <c r="L502" s="3" t="n">
        <v>0</v>
      </c>
      <c r="M502" s="2" t="n"/>
    </row>
    <row r="503">
      <c r="A503" s="3" t="n">
        <v>2759</v>
      </c>
      <c r="B503" s="3" t="n">
        <v>605524545</v>
      </c>
      <c r="C503" s="3" t="inlineStr">
        <is>
          <t>MANOBANDA YUBILLO JHON EDY</t>
        </is>
      </c>
      <c r="D503" s="4" t="n">
        <v>46077</v>
      </c>
      <c r="E503" s="3" t="inlineStr">
        <is>
          <t>ND</t>
        </is>
      </c>
      <c r="F503" s="3" t="n">
        <v>90000523</v>
      </c>
      <c r="G503" s="3" t="n">
        <v>49.5</v>
      </c>
      <c r="H503" s="3" t="n">
        <v>0</v>
      </c>
      <c r="I503" s="3" t="n">
        <v>49.5</v>
      </c>
      <c r="J503" s="3" t="n">
        <v>0</v>
      </c>
      <c r="K503" s="3" t="n">
        <v>0</v>
      </c>
      <c r="L503" s="3" t="n">
        <v>0</v>
      </c>
      <c r="M503" s="2" t="n"/>
    </row>
    <row r="504">
      <c r="A504" s="3" t="n">
        <v>1993</v>
      </c>
      <c r="B504" s="3" t="n">
        <v>660836910001</v>
      </c>
      <c r="C504" s="3" t="inlineStr">
        <is>
          <t>EMPRESA MUNICIPAL DE AGUA POTABLE Y ALCANTARILLADO DE RIOBAM</t>
        </is>
      </c>
      <c r="D504" s="4" t="n">
        <v>46081</v>
      </c>
      <c r="E504" s="3" t="inlineStr">
        <is>
          <t>ND</t>
        </is>
      </c>
      <c r="F504" s="3" t="n">
        <v>900001234</v>
      </c>
      <c r="G504" s="3" t="n">
        <v>12.49</v>
      </c>
      <c r="H504" s="3" t="n">
        <v>0</v>
      </c>
      <c r="I504" s="3" t="n">
        <v>12.49</v>
      </c>
      <c r="J504" s="3" t="n">
        <v>0</v>
      </c>
      <c r="K504" s="3" t="n">
        <v>0</v>
      </c>
      <c r="L504" s="3" t="n">
        <v>0</v>
      </c>
      <c r="M504" s="2" t="n"/>
    </row>
    <row r="505">
      <c r="A505" s="3" t="n">
        <v>3308</v>
      </c>
      <c r="B505" s="3" t="n">
        <v>1712083342001</v>
      </c>
      <c r="C505" s="3" t="inlineStr">
        <is>
          <t>CARRERA KUMMERFELD MANUEL FABIAN</t>
        </is>
      </c>
      <c r="D505" s="4" t="n">
        <v>46075</v>
      </c>
      <c r="E505" s="3" t="inlineStr">
        <is>
          <t>ND</t>
        </is>
      </c>
      <c r="F505" s="3" t="n">
        <v>90000538</v>
      </c>
      <c r="G505" s="3" t="n">
        <v>179.37</v>
      </c>
      <c r="H505" s="3" t="n">
        <v>0</v>
      </c>
      <c r="I505" s="3" t="n">
        <v>179.37</v>
      </c>
      <c r="J505" s="3" t="n">
        <v>0</v>
      </c>
      <c r="K505" s="3" t="n">
        <v>0</v>
      </c>
      <c r="L505" s="3" t="n">
        <v>0</v>
      </c>
      <c r="M505" s="2" t="n"/>
    </row>
    <row r="506">
      <c r="A506" s="3" t="n">
        <v>2548</v>
      </c>
      <c r="B506" s="3" t="n">
        <v>1722328174001</v>
      </c>
      <c r="C506" s="3" t="inlineStr">
        <is>
          <t>FILLIPPO SANCHEZ ALEXANDER</t>
        </is>
      </c>
      <c r="D506" s="4" t="n">
        <v>46077</v>
      </c>
      <c r="E506" s="3" t="inlineStr">
        <is>
          <t>ND</t>
        </is>
      </c>
      <c r="F506" s="3" t="n">
        <v>90000177</v>
      </c>
      <c r="G506" s="3" t="n">
        <v>17625.46</v>
      </c>
      <c r="H506" s="3" t="n">
        <v>0</v>
      </c>
      <c r="I506" s="3" t="n">
        <v>17625.46</v>
      </c>
      <c r="J506" s="3" t="n">
        <v>0</v>
      </c>
      <c r="K506" s="3" t="n">
        <v>0</v>
      </c>
      <c r="L506" s="3" t="n">
        <v>0</v>
      </c>
      <c r="M506" s="2" t="n"/>
    </row>
    <row r="507">
      <c r="A507" s="3" t="n">
        <v>2548</v>
      </c>
      <c r="B507" s="3" t="n">
        <v>1722328174001</v>
      </c>
      <c r="C507" s="3" t="inlineStr">
        <is>
          <t>FILLIPPO SANCHEZ ALEXANDER</t>
        </is>
      </c>
      <c r="D507" s="4" t="n">
        <v>46077</v>
      </c>
      <c r="E507" s="3" t="inlineStr">
        <is>
          <t>ND</t>
        </is>
      </c>
      <c r="F507" s="3" t="n">
        <v>91000177</v>
      </c>
      <c r="G507" s="3" t="n">
        <v>8800</v>
      </c>
      <c r="H507" s="3" t="n">
        <v>0</v>
      </c>
      <c r="I507" s="3" t="n">
        <v>8800</v>
      </c>
      <c r="J507" s="3" t="n">
        <v>0</v>
      </c>
      <c r="K507" s="3" t="n">
        <v>0</v>
      </c>
      <c r="L507" s="3" t="n">
        <v>0</v>
      </c>
      <c r="M507" s="2" t="n"/>
    </row>
    <row r="508">
      <c r="A508" s="3" t="n">
        <v>3306</v>
      </c>
      <c r="B508" s="3" t="n">
        <v>1759087313001</v>
      </c>
      <c r="C508" s="3" t="inlineStr">
        <is>
          <t>VALENZUELA SALAZAR JAVIER EDMUNDO</t>
        </is>
      </c>
      <c r="D508" s="4" t="n">
        <v>46075</v>
      </c>
      <c r="E508" s="3" t="inlineStr">
        <is>
          <t>ND</t>
        </is>
      </c>
      <c r="F508" s="3" t="n">
        <v>90000002</v>
      </c>
      <c r="G508" s="3" t="n">
        <v>2976.75</v>
      </c>
      <c r="H508" s="3" t="n">
        <v>0</v>
      </c>
      <c r="I508" s="3" t="n">
        <v>2976.75</v>
      </c>
      <c r="J508" s="3" t="n">
        <v>0</v>
      </c>
      <c r="K508" s="3" t="n">
        <v>0</v>
      </c>
      <c r="L508" s="3" t="n">
        <v>0</v>
      </c>
      <c r="M508" s="2" t="n"/>
    </row>
    <row r="509">
      <c r="A509" s="3" t="n">
        <v>373</v>
      </c>
      <c r="B509" s="3" t="n">
        <v>1768152560001</v>
      </c>
      <c r="C509" s="3" t="inlineStr">
        <is>
          <t>CORP. NAC. DE TELECOMUNICACIONES CNT E.P.</t>
        </is>
      </c>
      <c r="D509" s="4" t="n">
        <v>46081</v>
      </c>
      <c r="E509" s="3" t="inlineStr">
        <is>
          <t>ND</t>
        </is>
      </c>
      <c r="F509" s="3" t="n">
        <v>90000123</v>
      </c>
      <c r="G509" s="3" t="n">
        <v>171.43</v>
      </c>
      <c r="H509" s="3" t="n">
        <v>0</v>
      </c>
      <c r="I509" s="3" t="n">
        <v>171.43</v>
      </c>
      <c r="J509" s="3" t="n">
        <v>0</v>
      </c>
      <c r="K509" s="3" t="n">
        <v>0</v>
      </c>
      <c r="L509" s="3" t="n">
        <v>0</v>
      </c>
      <c r="M509" s="2" t="n"/>
    </row>
    <row r="510">
      <c r="A510" s="3" t="n">
        <v>306</v>
      </c>
      <c r="B510" s="3" t="n">
        <v>1791251237001</v>
      </c>
      <c r="C510" s="3" t="inlineStr">
        <is>
          <t>CONECEL</t>
        </is>
      </c>
      <c r="D510" s="4" t="n">
        <v>46079</v>
      </c>
      <c r="E510" s="3" t="inlineStr">
        <is>
          <t>ND</t>
        </is>
      </c>
      <c r="F510" s="3" t="n">
        <v>90173481</v>
      </c>
      <c r="G510" s="3" t="n">
        <v>187.44</v>
      </c>
      <c r="H510" s="3" t="n">
        <v>0</v>
      </c>
      <c r="I510" s="3" t="n">
        <v>187.44</v>
      </c>
      <c r="J510" s="3" t="n">
        <v>0</v>
      </c>
      <c r="K510" s="3" t="n">
        <v>0</v>
      </c>
      <c r="L510" s="3" t="n">
        <v>0</v>
      </c>
      <c r="M510" s="2" t="n"/>
    </row>
    <row r="511">
      <c r="A511" s="3" t="n">
        <v>306</v>
      </c>
      <c r="B511" s="3" t="n">
        <v>1791251237001</v>
      </c>
      <c r="C511" s="3" t="inlineStr">
        <is>
          <t>CONECEL</t>
        </is>
      </c>
      <c r="D511" s="4" t="n">
        <v>46079</v>
      </c>
      <c r="E511" s="3" t="inlineStr">
        <is>
          <t>ND</t>
        </is>
      </c>
      <c r="F511" s="3" t="n">
        <v>90393250</v>
      </c>
      <c r="G511" s="3" t="n">
        <v>879.75</v>
      </c>
      <c r="H511" s="3" t="n">
        <v>0</v>
      </c>
      <c r="I511" s="3" t="n">
        <v>879.75</v>
      </c>
      <c r="J511" s="3" t="n">
        <v>0</v>
      </c>
      <c r="K511" s="3" t="n">
        <v>0</v>
      </c>
      <c r="L511" s="3" t="n">
        <v>0</v>
      </c>
      <c r="M511" s="2" t="n"/>
    </row>
    <row r="512">
      <c r="A512" s="3" t="n">
        <v>306</v>
      </c>
      <c r="B512" s="3" t="n">
        <v>1791251237001</v>
      </c>
      <c r="C512" s="3" t="inlineStr">
        <is>
          <t>CONECEL</t>
        </is>
      </c>
      <c r="D512" s="4" t="n">
        <v>46081</v>
      </c>
      <c r="E512" s="3" t="inlineStr">
        <is>
          <t>ND</t>
        </is>
      </c>
      <c r="F512" s="3" t="n">
        <v>90000826</v>
      </c>
      <c r="G512" s="3" t="n">
        <v>506</v>
      </c>
      <c r="H512" s="3" t="n">
        <v>0</v>
      </c>
      <c r="I512" s="3" t="n">
        <v>506</v>
      </c>
      <c r="J512" s="3" t="n">
        <v>0</v>
      </c>
      <c r="K512" s="3" t="n">
        <v>0</v>
      </c>
      <c r="L512" s="3" t="n">
        <v>0</v>
      </c>
      <c r="M512" s="2" t="n"/>
    </row>
    <row r="513">
      <c r="A513" s="3" t="n">
        <v>303</v>
      </c>
      <c r="B513" s="3" t="n">
        <v>1791256115001</v>
      </c>
      <c r="C513" s="3" t="inlineStr">
        <is>
          <t>OTECEL S.A.</t>
        </is>
      </c>
      <c r="D513" s="4" t="n">
        <v>46081</v>
      </c>
      <c r="E513" s="3" t="inlineStr">
        <is>
          <t>ND</t>
        </is>
      </c>
      <c r="F513" s="3" t="n">
        <v>90608744</v>
      </c>
      <c r="G513" s="3" t="n">
        <v>377.76</v>
      </c>
      <c r="H513" s="3" t="n">
        <v>0</v>
      </c>
      <c r="I513" s="3" t="n">
        <v>377.76</v>
      </c>
      <c r="J513" s="3" t="n">
        <v>0</v>
      </c>
      <c r="K513" s="3" t="n">
        <v>0</v>
      </c>
      <c r="L513" s="3" t="n">
        <v>0</v>
      </c>
      <c r="M513" s="2" t="n"/>
    </row>
    <row r="514">
      <c r="A514" s="3" t="n">
        <v>554</v>
      </c>
      <c r="B514" s="3" t="n">
        <v>1791287835001</v>
      </c>
      <c r="C514" s="3" t="inlineStr">
        <is>
          <t>CONSORCIO DEL PICHINCHA S.A CONDELPI</t>
        </is>
      </c>
      <c r="D514" s="4" t="n">
        <v>46081</v>
      </c>
      <c r="E514" s="3" t="inlineStr">
        <is>
          <t>ND</t>
        </is>
      </c>
      <c r="F514" s="3" t="n">
        <v>21531603</v>
      </c>
      <c r="G514" s="3" t="n">
        <v>67725</v>
      </c>
      <c r="H514" s="3" t="n">
        <v>0</v>
      </c>
      <c r="I514" s="3" t="n">
        <v>67725</v>
      </c>
      <c r="J514" s="3" t="n">
        <v>0</v>
      </c>
      <c r="K514" s="3" t="n">
        <v>0</v>
      </c>
      <c r="L514" s="3" t="n">
        <v>0</v>
      </c>
      <c r="M514" s="2" t="n"/>
    </row>
    <row r="515">
      <c r="A515" s="3" t="n">
        <v>1465</v>
      </c>
      <c r="B515" s="3" t="n">
        <v>1791310063001</v>
      </c>
      <c r="C515" s="3" t="inlineStr">
        <is>
          <t>DATAFAST S.A.</t>
        </is>
      </c>
      <c r="D515" s="4" t="n">
        <v>46081</v>
      </c>
      <c r="E515" s="3" t="inlineStr">
        <is>
          <t>ND</t>
        </is>
      </c>
      <c r="F515" s="3" t="n">
        <v>90000536</v>
      </c>
      <c r="G515" s="3" t="n">
        <v>27.57</v>
      </c>
      <c r="H515" s="3" t="n">
        <v>0</v>
      </c>
      <c r="I515" s="3" t="n">
        <v>27.57</v>
      </c>
      <c r="J515" s="3" t="n">
        <v>0</v>
      </c>
      <c r="K515" s="3" t="n">
        <v>0</v>
      </c>
      <c r="L515" s="3" t="n">
        <v>0</v>
      </c>
      <c r="M515" s="2" t="n"/>
    </row>
    <row r="516">
      <c r="A516" s="3" t="n">
        <v>1918</v>
      </c>
      <c r="B516" s="3" t="n">
        <v>1792670594001</v>
      </c>
      <c r="C516" s="3" t="inlineStr">
        <is>
          <t>DILIGENCIAS LEGALES</t>
        </is>
      </c>
      <c r="D516" s="4" t="n">
        <v>46063</v>
      </c>
      <c r="E516" s="3" t="inlineStr">
        <is>
          <t>ND</t>
        </is>
      </c>
      <c r="F516" s="3" t="n">
        <v>9001804</v>
      </c>
      <c r="G516" s="3" t="n">
        <v>212.09</v>
      </c>
      <c r="H516" s="3" t="n">
        <v>0</v>
      </c>
      <c r="I516" s="3" t="n">
        <v>212.09</v>
      </c>
      <c r="J516" s="3" t="n">
        <v>0</v>
      </c>
      <c r="K516" s="3" t="n">
        <v>0</v>
      </c>
      <c r="L516" s="3" t="n">
        <v>0</v>
      </c>
      <c r="M516" s="2" t="n"/>
    </row>
    <row r="517">
      <c r="A517" s="3" t="n">
        <v>3295</v>
      </c>
      <c r="B517" s="3" t="n">
        <v>1793219383001</v>
      </c>
      <c r="C517" s="3" t="inlineStr">
        <is>
          <t>LA BRICIOLA S.C.A</t>
        </is>
      </c>
      <c r="D517" s="4" t="n">
        <v>46077</v>
      </c>
      <c r="E517" s="3" t="inlineStr">
        <is>
          <t>ND</t>
        </is>
      </c>
      <c r="F517" s="3" t="n">
        <v>90038691</v>
      </c>
      <c r="G517" s="3" t="n">
        <v>42.19</v>
      </c>
      <c r="H517" s="3" t="n">
        <v>0</v>
      </c>
      <c r="I517" s="3" t="n">
        <v>42.19</v>
      </c>
      <c r="J517" s="3" t="n">
        <v>0</v>
      </c>
      <c r="K517" s="3" t="n">
        <v>0</v>
      </c>
      <c r="L517" s="3" t="n">
        <v>0</v>
      </c>
      <c r="M517" s="2" t="n"/>
    </row>
    <row r="518">
      <c r="A518" s="3" t="n">
        <v>3305</v>
      </c>
      <c r="B518" s="3" t="n">
        <v>1802182426001</v>
      </c>
      <c r="C518" s="3" t="inlineStr">
        <is>
          <t>ZEA ALTAMIRANO MARIA ELENA</t>
        </is>
      </c>
      <c r="D518" s="4" t="n">
        <v>46075</v>
      </c>
      <c r="E518" s="3" t="inlineStr">
        <is>
          <t>ND</t>
        </is>
      </c>
      <c r="F518" s="3" t="n">
        <v>91000003</v>
      </c>
      <c r="G518" s="3" t="n">
        <v>976.75</v>
      </c>
      <c r="H518" s="3" t="n">
        <v>0</v>
      </c>
      <c r="I518" s="3" t="n">
        <v>976.75</v>
      </c>
      <c r="J518" s="3" t="n">
        <v>0</v>
      </c>
      <c r="K518" s="3" t="n">
        <v>0</v>
      </c>
      <c r="L518" s="3" t="n">
        <v>0</v>
      </c>
      <c r="M518" s="2" t="n"/>
    </row>
    <row r="519">
      <c r="A519" s="3" t="n">
        <v>3305</v>
      </c>
      <c r="B519" s="3" t="n">
        <v>1802182426001</v>
      </c>
      <c r="C519" s="3" t="inlineStr">
        <is>
          <t>ZEA ALTAMIRANO MARIA ELENA</t>
        </is>
      </c>
      <c r="D519" s="4" t="n">
        <v>46075</v>
      </c>
      <c r="E519" s="3" t="inlineStr">
        <is>
          <t>ND</t>
        </is>
      </c>
      <c r="F519" s="3" t="n">
        <v>90000003</v>
      </c>
      <c r="G519" s="3" t="n">
        <v>2000</v>
      </c>
      <c r="H519" s="3" t="n">
        <v>0</v>
      </c>
      <c r="I519" s="3" t="n">
        <v>2000</v>
      </c>
      <c r="J519" s="3" t="n">
        <v>0</v>
      </c>
      <c r="K519" s="3" t="n">
        <v>0</v>
      </c>
      <c r="L519" s="3" t="n">
        <v>0</v>
      </c>
      <c r="M519" s="2" t="n"/>
    </row>
    <row r="520">
      <c r="A520" s="3" t="n">
        <v>3296</v>
      </c>
      <c r="B520" s="3" t="n">
        <v>1803701562001</v>
      </c>
      <c r="C520" s="3" t="inlineStr">
        <is>
          <t>SAENZ ALVARADO PABLO DANIEL</t>
        </is>
      </c>
      <c r="D520" s="4" t="n">
        <v>46077</v>
      </c>
      <c r="E520" s="3" t="inlineStr">
        <is>
          <t>ND</t>
        </is>
      </c>
      <c r="F520" s="3" t="n">
        <v>90000070</v>
      </c>
      <c r="G520" s="3" t="n">
        <v>62.5</v>
      </c>
      <c r="H520" s="3" t="n">
        <v>0</v>
      </c>
      <c r="I520" s="3" t="n">
        <v>62.5</v>
      </c>
      <c r="J520" s="3" t="n">
        <v>0</v>
      </c>
      <c r="K520" s="3" t="n">
        <v>0</v>
      </c>
      <c r="L520" s="3" t="n">
        <v>0</v>
      </c>
      <c r="M520" s="2" t="n"/>
    </row>
    <row r="521">
      <c r="A521" s="3" t="n">
        <v>1262</v>
      </c>
      <c r="B521" s="3" t="n">
        <v>1803980794001</v>
      </c>
      <c r="C521" s="3" t="inlineStr">
        <is>
          <t>PALACIOS LARREA CARLOS MATEO</t>
        </is>
      </c>
      <c r="D521" s="4" t="n">
        <v>46063</v>
      </c>
      <c r="E521" s="3" t="inlineStr">
        <is>
          <t>ND</t>
        </is>
      </c>
      <c r="F521" s="3" t="n">
        <v>900000100</v>
      </c>
      <c r="G521" s="3" t="n">
        <v>43766.7</v>
      </c>
      <c r="H521" s="3" t="n">
        <v>0</v>
      </c>
      <c r="I521" s="3" t="n">
        <v>43766.7</v>
      </c>
      <c r="J521" s="3" t="n">
        <v>0</v>
      </c>
      <c r="K521" s="3" t="n">
        <v>0</v>
      </c>
      <c r="L521" s="3" t="n">
        <v>0</v>
      </c>
      <c r="M521" s="2" t="n"/>
    </row>
    <row r="522">
      <c r="A522" s="3" t="n">
        <v>1262</v>
      </c>
      <c r="B522" s="3" t="n">
        <v>1803980794001</v>
      </c>
      <c r="C522" s="3" t="inlineStr">
        <is>
          <t>PALACIOS LARREA CARLOS MATEO</t>
        </is>
      </c>
      <c r="D522" s="4" t="n">
        <v>46075</v>
      </c>
      <c r="E522" s="3" t="inlineStr">
        <is>
          <t>ND</t>
        </is>
      </c>
      <c r="F522" s="3" t="n">
        <v>90000101</v>
      </c>
      <c r="G522" s="3" t="n">
        <v>2606.18</v>
      </c>
      <c r="H522" s="3" t="n">
        <v>0</v>
      </c>
      <c r="I522" s="3" t="n">
        <v>2606.18</v>
      </c>
      <c r="J522" s="3" t="n">
        <v>0</v>
      </c>
      <c r="K522" s="3" t="n">
        <v>0</v>
      </c>
      <c r="L522" s="3" t="n">
        <v>0</v>
      </c>
      <c r="M522" s="2" t="n"/>
    </row>
    <row r="523">
      <c r="A523" s="3" t="n">
        <v>1262</v>
      </c>
      <c r="B523" s="3" t="n">
        <v>1803980794001</v>
      </c>
      <c r="C523" s="3" t="inlineStr">
        <is>
          <t>PALACIOS LARREA CARLOS MATEO</t>
        </is>
      </c>
      <c r="D523" s="4" t="n">
        <v>46081</v>
      </c>
      <c r="E523" s="3" t="inlineStr">
        <is>
          <t>ND</t>
        </is>
      </c>
      <c r="F523" s="3" t="n">
        <v>900000101</v>
      </c>
      <c r="G523" s="3" t="n">
        <v>7419.78</v>
      </c>
      <c r="H523" s="3" t="n">
        <v>0</v>
      </c>
      <c r="I523" s="3" t="n">
        <v>7419.78</v>
      </c>
      <c r="J523" s="3" t="n">
        <v>0</v>
      </c>
      <c r="K523" s="3" t="n">
        <v>0</v>
      </c>
      <c r="L523" s="3" t="n">
        <v>0</v>
      </c>
      <c r="M523" s="2" t="n"/>
    </row>
    <row r="524">
      <c r="A524" s="3" t="n">
        <v>2404</v>
      </c>
      <c r="B524" s="3" t="n">
        <v>1803980943001</v>
      </c>
      <c r="C524" s="3" t="inlineStr">
        <is>
          <t>PALACIOS LARREA FRANCISCO JOSE</t>
        </is>
      </c>
      <c r="D524" s="4" t="n">
        <v>46063</v>
      </c>
      <c r="E524" s="3" t="inlineStr">
        <is>
          <t>ND</t>
        </is>
      </c>
      <c r="F524" s="3" t="n">
        <v>900000050</v>
      </c>
      <c r="G524" s="3" t="n">
        <v>1000</v>
      </c>
      <c r="H524" s="3" t="n">
        <v>0</v>
      </c>
      <c r="I524" s="3" t="n">
        <v>1000</v>
      </c>
      <c r="J524" s="3" t="n">
        <v>0</v>
      </c>
      <c r="K524" s="3" t="n">
        <v>0</v>
      </c>
      <c r="L524" s="3" t="n">
        <v>0</v>
      </c>
      <c r="M524" s="2" t="n"/>
    </row>
    <row r="525">
      <c r="A525" s="3" t="n">
        <v>1874</v>
      </c>
      <c r="B525" s="3" t="n">
        <v>1891713750001</v>
      </c>
      <c r="C525" s="3" t="inlineStr">
        <is>
          <t>COOPERATIVA DE AHORRO Y CREDITO CREDIAMBATO LTDA</t>
        </is>
      </c>
      <c r="D525" s="4" t="n">
        <v>46055</v>
      </c>
      <c r="E525" s="3" t="inlineStr">
        <is>
          <t>ND</t>
        </is>
      </c>
      <c r="F525" s="3" t="n">
        <v>24169</v>
      </c>
      <c r="G525" s="3" t="n">
        <v>15638.35</v>
      </c>
      <c r="H525" s="3" t="n">
        <v>15638.35</v>
      </c>
      <c r="I525" s="3" t="n">
        <v>0</v>
      </c>
      <c r="J525" s="3" t="n">
        <v>0</v>
      </c>
      <c r="K525" s="3" t="n">
        <v>0</v>
      </c>
      <c r="L525" s="3" t="n">
        <v>0</v>
      </c>
      <c r="M525" s="2" t="n"/>
    </row>
    <row r="526">
      <c r="A526" s="3" t="n">
        <v>1874</v>
      </c>
      <c r="B526" s="3" t="n">
        <v>1891713750001</v>
      </c>
      <c r="C526" s="3" t="inlineStr">
        <is>
          <t>COOPERATIVA DE AHORRO Y CREDITO CREDIAMBATO LTDA</t>
        </is>
      </c>
      <c r="D526" s="4" t="n">
        <v>46081</v>
      </c>
      <c r="E526" s="3" t="inlineStr">
        <is>
          <t>ND</t>
        </is>
      </c>
      <c r="F526" s="3" t="n">
        <v>24668</v>
      </c>
      <c r="G526" s="3" t="n">
        <v>5828.81</v>
      </c>
      <c r="H526" s="3" t="n">
        <v>5828.81</v>
      </c>
      <c r="I526" s="3" t="n">
        <v>0</v>
      </c>
      <c r="J526" s="3" t="n">
        <v>0</v>
      </c>
      <c r="K526" s="3" t="n">
        <v>0</v>
      </c>
      <c r="L526" s="3" t="n">
        <v>0</v>
      </c>
      <c r="M526" s="2" t="n"/>
    </row>
    <row r="527">
      <c r="A527" s="3" t="n">
        <v>2201</v>
      </c>
      <c r="B527" s="3" t="n">
        <v>1891804802001</v>
      </c>
      <c r="C527" s="3" t="inlineStr">
        <is>
          <t>BACLT INMOBILIARIA S.A.S.</t>
        </is>
      </c>
      <c r="D527" s="4" t="n">
        <v>46063</v>
      </c>
      <c r="E527" s="3" t="inlineStr">
        <is>
          <t>ND</t>
        </is>
      </c>
      <c r="F527" s="3" t="n">
        <v>9000196</v>
      </c>
      <c r="G527" s="3" t="n">
        <v>2529.6</v>
      </c>
      <c r="H527" s="3" t="n">
        <v>0</v>
      </c>
      <c r="I527" s="3" t="n">
        <v>2529.6</v>
      </c>
      <c r="J527" s="3" t="n">
        <v>0</v>
      </c>
      <c r="K527" s="3" t="n">
        <v>0</v>
      </c>
      <c r="L527" s="3" t="n">
        <v>0</v>
      </c>
      <c r="M527" s="2" t="n"/>
    </row>
    <row r="528">
      <c r="A528" s="3" t="n">
        <v>2201</v>
      </c>
      <c r="B528" s="3" t="n">
        <v>1891804802001</v>
      </c>
      <c r="C528" s="3" t="inlineStr">
        <is>
          <t>BACLT INMOBILIARIA S.A.S.</t>
        </is>
      </c>
      <c r="D528" s="4" t="n">
        <v>46063</v>
      </c>
      <c r="E528" s="3" t="inlineStr">
        <is>
          <t>ND</t>
        </is>
      </c>
      <c r="F528" s="3" t="n">
        <v>90000195</v>
      </c>
      <c r="G528" s="3" t="n">
        <v>16000</v>
      </c>
      <c r="H528" s="3" t="n">
        <v>0</v>
      </c>
      <c r="I528" s="3" t="n">
        <v>16000</v>
      </c>
      <c r="J528" s="3" t="n">
        <v>0</v>
      </c>
      <c r="K528" s="3" t="n">
        <v>0</v>
      </c>
      <c r="L528" s="3" t="n">
        <v>0</v>
      </c>
      <c r="M528" s="2" t="n"/>
    </row>
    <row r="529">
      <c r="A529" s="3" t="n">
        <v>3229</v>
      </c>
      <c r="B529" s="3" t="n">
        <v>195127328001</v>
      </c>
      <c r="C529" s="3" t="inlineStr">
        <is>
          <t>VAZCREDIT S.A.</t>
        </is>
      </c>
      <c r="D529" s="4" t="n">
        <v>46072</v>
      </c>
      <c r="E529" s="3" t="inlineStr">
        <is>
          <t>TR</t>
        </is>
      </c>
      <c r="F529" s="3" t="n">
        <v>21888702</v>
      </c>
      <c r="G529" s="3" t="n">
        <v>16642.57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2" t="n"/>
    </row>
    <row r="530">
      <c r="A530" s="3" t="n">
        <v>259</v>
      </c>
      <c r="B530" s="3" t="n">
        <v>992141913001</v>
      </c>
      <c r="C530" s="3" t="inlineStr">
        <is>
          <t>CORPORACION NEXUM NEXUMCORP S.A.</t>
        </is>
      </c>
      <c r="D530" s="4" t="n">
        <v>46076</v>
      </c>
      <c r="E530" s="3" t="inlineStr">
        <is>
          <t>TR</t>
        </is>
      </c>
      <c r="F530" s="3" t="n">
        <v>21901602</v>
      </c>
      <c r="G530" s="3" t="n">
        <v>51180.78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2" t="n"/>
    </row>
    <row r="531">
      <c r="A531" s="3" t="n">
        <v>259</v>
      </c>
      <c r="B531" s="3" t="n">
        <v>992141913001</v>
      </c>
      <c r="C531" s="3" t="inlineStr">
        <is>
          <t>CORPORACION NEXUM NEXUMCORP S.A.</t>
        </is>
      </c>
      <c r="D531" s="4" t="n">
        <v>46077</v>
      </c>
      <c r="E531" s="3" t="inlineStr">
        <is>
          <t>TR</t>
        </is>
      </c>
      <c r="F531" s="3" t="n">
        <v>21903302</v>
      </c>
      <c r="G531" s="3" t="n">
        <v>26387.48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2" t="n"/>
    </row>
    <row r="532">
      <c r="A532" s="3" t="n">
        <v>172</v>
      </c>
      <c r="B532" s="3" t="n">
        <v>1790009459001</v>
      </c>
      <c r="C532" s="3" t="inlineStr">
        <is>
          <t>CASABACA S.A.</t>
        </is>
      </c>
      <c r="D532" s="4" t="n">
        <v>46071</v>
      </c>
      <c r="E532" s="3" t="inlineStr">
        <is>
          <t>TR</t>
        </is>
      </c>
      <c r="F532" s="3" t="n">
        <v>21883802</v>
      </c>
      <c r="G532" s="3" t="n">
        <v>37346.48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2" t="n"/>
    </row>
    <row r="533">
      <c r="A533" s="3" t="n">
        <v>172</v>
      </c>
      <c r="B533" s="3" t="n">
        <v>1790009459001</v>
      </c>
      <c r="C533" s="3" t="inlineStr">
        <is>
          <t>CASABACA S.A.</t>
        </is>
      </c>
      <c r="D533" s="4" t="n">
        <v>46071</v>
      </c>
      <c r="E533" s="3" t="inlineStr">
        <is>
          <t>TR</t>
        </is>
      </c>
      <c r="F533" s="3" t="n">
        <v>21883702</v>
      </c>
      <c r="G533" s="3" t="n">
        <v>2074.07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2" t="n"/>
    </row>
    <row r="534">
      <c r="A534" s="3" t="n">
        <v>172</v>
      </c>
      <c r="B534" s="3" t="n">
        <v>1790009459001</v>
      </c>
      <c r="C534" s="3" t="inlineStr">
        <is>
          <t>CASABACA S.A.</t>
        </is>
      </c>
      <c r="D534" s="4" t="n">
        <v>46079</v>
      </c>
      <c r="E534" s="3" t="inlineStr">
        <is>
          <t>TR</t>
        </is>
      </c>
      <c r="F534" s="3" t="n">
        <v>21914702</v>
      </c>
      <c r="G534" s="3" t="n">
        <v>188859.74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2" t="n"/>
    </row>
    <row r="535">
      <c r="A535" s="3" t="n">
        <v>3300</v>
      </c>
      <c r="B535" s="3" t="n">
        <v>1793034942001</v>
      </c>
      <c r="C535" s="3" t="inlineStr">
        <is>
          <t>LAYOUT S.A.</t>
        </is>
      </c>
      <c r="D535" s="4" t="n">
        <v>46073</v>
      </c>
      <c r="E535" s="3" t="inlineStr">
        <is>
          <t>TR</t>
        </is>
      </c>
      <c r="F535" s="3" t="n">
        <v>21896502</v>
      </c>
      <c r="G535" s="3" t="n">
        <v>1471.31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2" t="n"/>
    </row>
    <row r="536">
      <c r="A536" s="3" t="n">
        <v>1880</v>
      </c>
      <c r="B536" s="3" t="n">
        <v>1793107958001</v>
      </c>
      <c r="C536" s="3" t="inlineStr">
        <is>
          <t>SZK DEL ECUADOR S.A.</t>
        </is>
      </c>
      <c r="D536" s="4" t="n">
        <v>46064</v>
      </c>
      <c r="E536" s="3" t="inlineStr">
        <is>
          <t>TR</t>
        </is>
      </c>
      <c r="F536" s="3" t="n">
        <v>21872402</v>
      </c>
      <c r="G536" s="3" t="n">
        <v>64828.05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2" t="n"/>
    </row>
    <row r="537">
      <c r="A537" s="3" t="n">
        <v>1880</v>
      </c>
      <c r="B537" s="3" t="n">
        <v>1793107958001</v>
      </c>
      <c r="C537" s="3" t="inlineStr">
        <is>
          <t>SZK DEL ECUADOR S.A.</t>
        </is>
      </c>
      <c r="D537" s="4" t="n">
        <v>46071</v>
      </c>
      <c r="E537" s="3" t="inlineStr">
        <is>
          <t>TR</t>
        </is>
      </c>
      <c r="F537" s="3" t="n">
        <v>21888502</v>
      </c>
      <c r="G537" s="3" t="n">
        <v>97750.66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2" t="n"/>
    </row>
    <row r="538">
      <c r="A538" s="3" t="n">
        <v>1880</v>
      </c>
      <c r="B538" s="3" t="n">
        <v>1793107958001</v>
      </c>
      <c r="C538" s="3" t="inlineStr">
        <is>
          <t>SZK DEL ECUADOR S.A.</t>
        </is>
      </c>
      <c r="D538" s="4" t="n">
        <v>46071</v>
      </c>
      <c r="E538" s="3" t="inlineStr">
        <is>
          <t>TR</t>
        </is>
      </c>
      <c r="F538" s="3" t="n">
        <v>21884202</v>
      </c>
      <c r="G538" s="3" t="n">
        <v>31591.64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2" t="n"/>
    </row>
    <row r="539">
      <c r="A539" s="3" t="n">
        <v>1880</v>
      </c>
      <c r="B539" s="3" t="n">
        <v>1793107958001</v>
      </c>
      <c r="C539" s="3" t="inlineStr">
        <is>
          <t>SZK DEL ECUADOR S.A.</t>
        </is>
      </c>
      <c r="D539" s="4" t="n">
        <v>46077</v>
      </c>
      <c r="E539" s="3" t="inlineStr">
        <is>
          <t>TR</t>
        </is>
      </c>
      <c r="F539" s="3" t="n">
        <v>21903402</v>
      </c>
      <c r="G539" s="3" t="n">
        <v>4993.9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2" t="n"/>
    </row>
    <row r="540">
      <c r="A540" s="3" t="n">
        <v>3142</v>
      </c>
      <c r="B540" s="3" t="n">
        <v>1793162797001</v>
      </c>
      <c r="C540" s="3" t="inlineStr">
        <is>
          <t>YANGTSE-AUTO DEL ECUADOR S.A.</t>
        </is>
      </c>
      <c r="D540" s="4" t="n">
        <v>46072</v>
      </c>
      <c r="E540" s="3" t="inlineStr">
        <is>
          <t>TR</t>
        </is>
      </c>
      <c r="F540" s="3" t="n">
        <v>21888802</v>
      </c>
      <c r="G540" s="3" t="n">
        <v>8733.51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2" t="n"/>
    </row>
    <row r="541">
      <c r="A541" s="3" t="n">
        <v>3142</v>
      </c>
      <c r="B541" s="3" t="n">
        <v>1793162797001</v>
      </c>
      <c r="C541" s="3" t="inlineStr">
        <is>
          <t>YANGTSE-AUTO DEL ECUADOR S.A.</t>
        </is>
      </c>
      <c r="D541" s="4" t="n">
        <v>46078</v>
      </c>
      <c r="E541" s="3" t="inlineStr">
        <is>
          <t>TR</t>
        </is>
      </c>
      <c r="F541" s="3" t="n">
        <v>21908302</v>
      </c>
      <c r="G541" s="3" t="n">
        <v>244.51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2" t="n"/>
    </row>
    <row r="542">
      <c r="A542" s="3" t="n">
        <v>3142</v>
      </c>
      <c r="B542" s="3" t="n">
        <v>1793162797001</v>
      </c>
      <c r="C542" s="3" t="inlineStr">
        <is>
          <t>YANGTSE-AUTO DEL ECUADOR S.A.</t>
        </is>
      </c>
      <c r="D542" s="4" t="n">
        <v>46078</v>
      </c>
      <c r="E542" s="3" t="inlineStr">
        <is>
          <t>TR</t>
        </is>
      </c>
      <c r="F542" s="3" t="n">
        <v>21908202</v>
      </c>
      <c r="G542" s="3" t="n">
        <v>23089.94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2" t="n"/>
    </row>
    <row r="543">
      <c r="A543" s="3" t="n">
        <v>115</v>
      </c>
      <c r="B543" s="3" t="n">
        <v>1891712215001</v>
      </c>
      <c r="C543" s="3" t="inlineStr">
        <is>
          <t>TOYOTASERVICIOS S.A.</t>
        </is>
      </c>
      <c r="D543" s="4" t="n">
        <v>46058</v>
      </c>
      <c r="E543" s="3" t="inlineStr">
        <is>
          <t>TR</t>
        </is>
      </c>
      <c r="F543" s="3" t="n">
        <v>21848402</v>
      </c>
      <c r="G543" s="3" t="n">
        <v>1225.05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2" t="n"/>
    </row>
    <row r="544">
      <c r="A544" s="3" t="n">
        <v>115</v>
      </c>
      <c r="B544" s="3" t="n">
        <v>1891712215001</v>
      </c>
      <c r="C544" s="3" t="inlineStr">
        <is>
          <t>TOYOTASERVICIOS S.A.</t>
        </is>
      </c>
      <c r="D544" s="4" t="n">
        <v>46058</v>
      </c>
      <c r="E544" s="3" t="inlineStr">
        <is>
          <t>TR</t>
        </is>
      </c>
      <c r="F544" s="3" t="n">
        <v>21848502</v>
      </c>
      <c r="G544" s="3" t="n">
        <v>11420.43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2" t="n"/>
    </row>
    <row r="545">
      <c r="A545" s="3" t="n">
        <v>115</v>
      </c>
      <c r="B545" s="3" t="n">
        <v>1891712215001</v>
      </c>
      <c r="C545" s="3" t="inlineStr">
        <is>
          <t>TOYOTASERVICIOS S.A.</t>
        </is>
      </c>
      <c r="D545" s="4" t="n">
        <v>46058</v>
      </c>
      <c r="E545" s="3" t="inlineStr">
        <is>
          <t>TR</t>
        </is>
      </c>
      <c r="F545" s="3" t="n">
        <v>21848602</v>
      </c>
      <c r="G545" s="3" t="n">
        <v>3957.37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2" t="n"/>
    </row>
    <row r="546">
      <c r="A546" s="3" t="n">
        <v>1595</v>
      </c>
      <c r="B546" s="3" t="n">
        <v>1891786383001</v>
      </c>
      <c r="C546" s="3" t="inlineStr">
        <is>
          <t>CARLARSERVICE CIA. LTDA</t>
        </is>
      </c>
      <c r="D546" s="4" t="n">
        <v>46058</v>
      </c>
      <c r="E546" s="3" t="inlineStr">
        <is>
          <t>TR</t>
        </is>
      </c>
      <c r="F546" s="3" t="n">
        <v>21848702</v>
      </c>
      <c r="G546" s="3" t="n">
        <v>7105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97"/>
  <sheetViews>
    <sheetView workbookViewId="0">
      <selection activeCell="A1" sqref="A1"/>
    </sheetView>
  </sheetViews>
  <sheetFormatPr baseColWidth="10" defaultRowHeight="15"/>
  <cols>
    <col width="10" bestFit="1" customWidth="1" min="1" max="1"/>
    <col width="64.85546875" bestFit="1" customWidth="1" min="2" max="2"/>
    <col width="12.85546875" bestFit="1" customWidth="1" min="4" max="4"/>
    <col width="17.85546875" bestFit="1" customWidth="1" min="12" max="12"/>
    <col width="13.7109375" bestFit="1" customWidth="1" min="13" max="13"/>
    <col width="20.140625" bestFit="1" customWidth="1" min="14" max="14"/>
  </cols>
  <sheetData>
    <row r="1">
      <c r="A1" s="13" t="inlineStr">
        <is>
          <t>NUM RT</t>
        </is>
      </c>
      <c r="B1" s="13" t="inlineStr">
        <is>
          <t>PROVEEDOR</t>
        </is>
      </c>
      <c r="C1" s="13" t="inlineStr">
        <is>
          <t>FECHA</t>
        </is>
      </c>
      <c r="D1" s="13" t="inlineStr">
        <is>
          <t>FECHA CONT</t>
        </is>
      </c>
      <c r="E1" s="13" t="inlineStr">
        <is>
          <t>TIPO</t>
        </is>
      </c>
      <c r="F1" s="13" t="inlineStr">
        <is>
          <t>COD</t>
        </is>
      </c>
      <c r="G1" s="13" t="inlineStr">
        <is>
          <t>FACT</t>
        </is>
      </c>
      <c r="H1" s="13" t="inlineStr">
        <is>
          <t>%</t>
        </is>
      </c>
      <c r="I1" s="13" t="inlineStr">
        <is>
          <t>BASE</t>
        </is>
      </c>
      <c r="J1" s="13" t="inlineStr">
        <is>
          <t>RETENCION</t>
        </is>
      </c>
      <c r="K1" s="2" t="n"/>
      <c r="L1" s="14" t="inlineStr">
        <is>
          <t>Etiquetas de fila</t>
        </is>
      </c>
      <c r="M1" s="2" t="inlineStr">
        <is>
          <t>Suma de BASE</t>
        </is>
      </c>
      <c r="N1" s="2" t="inlineStr">
        <is>
          <t>Suma de RETENCION</t>
        </is>
      </c>
      <c r="O1" s="2" t="n"/>
      <c r="P1" s="2" t="n"/>
    </row>
    <row r="2">
      <c r="A2" s="3" t="n">
        <v>47029</v>
      </c>
      <c r="B2" s="3" t="inlineStr">
        <is>
          <t>CONSEJO GUBERNATIVO DE LOS BIENES DE LA DIOCESIS DE AMBATO</t>
        </is>
      </c>
      <c r="C2" s="4" t="n">
        <v>46055</v>
      </c>
      <c r="D2" s="4" t="n">
        <v>46055</v>
      </c>
      <c r="E2" s="4" t="inlineStr">
        <is>
          <t>IVA</t>
        </is>
      </c>
      <c r="F2" s="3" t="n">
        <v>344</v>
      </c>
      <c r="G2" s="3" t="n">
        <v>811</v>
      </c>
      <c r="H2" s="3" t="n">
        <v>70</v>
      </c>
      <c r="I2" s="3" t="n">
        <v>65.22</v>
      </c>
      <c r="J2" s="3" t="n">
        <v>45.65</v>
      </c>
      <c r="K2" s="2" t="n"/>
      <c r="L2" s="15" t="inlineStr">
        <is>
          <t>IVA</t>
        </is>
      </c>
      <c r="M2" s="7" t="n">
        <v>488420.72</v>
      </c>
      <c r="N2" s="7" t="n">
        <v>63793.46</v>
      </c>
      <c r="O2" s="2" t="n"/>
      <c r="P2" s="2" t="n"/>
    </row>
    <row r="3">
      <c r="A3" s="3" t="n">
        <v>47030</v>
      </c>
      <c r="B3" s="3" t="inlineStr">
        <is>
          <t>REINOSO SALAS YAJAIRA CAROLINA</t>
        </is>
      </c>
      <c r="C3" s="4" t="n">
        <v>46055</v>
      </c>
      <c r="D3" s="4" t="n">
        <v>46055</v>
      </c>
      <c r="E3" s="4" t="inlineStr">
        <is>
          <t>IVA</t>
        </is>
      </c>
      <c r="F3" s="3" t="n">
        <v>307</v>
      </c>
      <c r="G3" s="3" t="n">
        <v>118</v>
      </c>
      <c r="H3" s="3" t="n">
        <v>70</v>
      </c>
      <c r="I3" s="3" t="n">
        <v>7.5</v>
      </c>
      <c r="J3" s="3" t="n">
        <v>5.25</v>
      </c>
      <c r="K3" s="2" t="n"/>
      <c r="L3" s="16" t="n">
        <v>10</v>
      </c>
      <c r="M3" s="7" t="n">
        <v>37137.77</v>
      </c>
      <c r="N3" s="7" t="n">
        <v>3713.76</v>
      </c>
      <c r="O3" s="6">
        <f>+GETPIVOTDATA("Suma de HABER",'[1]MAYOR RET'!$M$1,"CUENTA","RETENCION 10% IVA (BIENES)")</f>
        <v/>
      </c>
      <c r="P3" s="7">
        <f>+N3-O3</f>
        <v/>
      </c>
    </row>
    <row r="4">
      <c r="A4" s="3" t="n">
        <v>47030</v>
      </c>
      <c r="B4" s="3" t="inlineStr">
        <is>
          <t>REINOSO SALAS YAJAIRA CAROLINA</t>
        </is>
      </c>
      <c r="C4" s="4" t="n">
        <v>46055</v>
      </c>
      <c r="D4" s="4" t="n">
        <v>46055</v>
      </c>
      <c r="E4" s="4" t="inlineStr">
        <is>
          <t>RENTA</t>
        </is>
      </c>
      <c r="F4" s="3" t="n">
        <v>307</v>
      </c>
      <c r="G4" s="3" t="n">
        <v>118</v>
      </c>
      <c r="H4" s="3" t="n">
        <v>2</v>
      </c>
      <c r="I4" s="3" t="n">
        <v>50</v>
      </c>
      <c r="J4" s="3" t="n">
        <v>1</v>
      </c>
      <c r="K4" s="2" t="n"/>
      <c r="L4" s="16" t="n">
        <v>20</v>
      </c>
      <c r="M4" s="7" t="n">
        <v>1446.11</v>
      </c>
      <c r="N4" s="7" t="n">
        <v>289.18</v>
      </c>
      <c r="O4" s="6">
        <f>+'[1]MAYOR RET'!P12</f>
        <v/>
      </c>
      <c r="P4" s="7">
        <f>+N4+O4</f>
        <v/>
      </c>
    </row>
    <row r="5">
      <c r="A5" s="3" t="n">
        <v>47031</v>
      </c>
      <c r="B5" s="3" t="inlineStr">
        <is>
          <t>CARLARSERVICE CIA. LTDA</t>
        </is>
      </c>
      <c r="C5" s="4" t="n">
        <v>46055</v>
      </c>
      <c r="D5" s="4" t="n">
        <v>46055</v>
      </c>
      <c r="E5" s="4" t="inlineStr">
        <is>
          <t>RENTA</t>
        </is>
      </c>
      <c r="F5" s="3" t="n">
        <v>303</v>
      </c>
      <c r="G5" s="3" t="n">
        <v>448</v>
      </c>
      <c r="H5" s="3" t="n">
        <v>3</v>
      </c>
      <c r="I5" s="17" t="n">
        <v>7000</v>
      </c>
      <c r="J5" s="3" t="n">
        <v>210</v>
      </c>
      <c r="K5" s="2" t="n"/>
      <c r="L5" s="16" t="n">
        <v>30</v>
      </c>
      <c r="M5" s="7" t="n">
        <v>34533.79</v>
      </c>
      <c r="N5" s="7" t="n">
        <v>10360.18</v>
      </c>
      <c r="O5" s="6">
        <f>+GETPIVOTDATA("Suma de HABER",'[1]MAYOR RET'!$M$1,"CUENTA","30% RETENCION IVA - COMPRAS")</f>
        <v/>
      </c>
      <c r="P5" s="7">
        <f>+N5-O5</f>
        <v/>
      </c>
    </row>
    <row r="6">
      <c r="A6" s="3" t="n">
        <v>47031</v>
      </c>
      <c r="B6" s="3" t="inlineStr">
        <is>
          <t>CARLARSERVICE CIA. LTDA</t>
        </is>
      </c>
      <c r="C6" s="4" t="n">
        <v>46055</v>
      </c>
      <c r="D6" s="4" t="n">
        <v>46055</v>
      </c>
      <c r="E6" s="4" t="inlineStr">
        <is>
          <t>IVA</t>
        </is>
      </c>
      <c r="F6" s="3" t="n">
        <v>303</v>
      </c>
      <c r="G6" s="3" t="n">
        <v>448</v>
      </c>
      <c r="H6" s="3" t="n">
        <v>70</v>
      </c>
      <c r="I6" s="17" t="n">
        <v>1050</v>
      </c>
      <c r="J6" s="3" t="n">
        <v>735</v>
      </c>
      <c r="K6" s="2" t="n"/>
      <c r="L6" s="16" t="n">
        <v>70</v>
      </c>
      <c r="M6" s="7" t="n">
        <v>11703.77</v>
      </c>
      <c r="N6" s="7" t="n">
        <v>8192.700000000001</v>
      </c>
      <c r="O6" s="6">
        <f>+GETPIVOTDATA("Suma de HABER",'[1]MAYOR RET'!$M$1,"CUENTA","70% RETENCION IVA -SERVICIOS")</f>
        <v/>
      </c>
      <c r="P6" s="7">
        <f>+N6-O6</f>
        <v/>
      </c>
    </row>
    <row r="7">
      <c r="A7" s="3" t="n">
        <v>47032</v>
      </c>
      <c r="B7" s="3" t="inlineStr">
        <is>
          <t>BACLT INMOBILIARIA S.A.S.</t>
        </is>
      </c>
      <c r="C7" s="4" t="n">
        <v>46055</v>
      </c>
      <c r="D7" s="4" t="n">
        <v>46055</v>
      </c>
      <c r="E7" s="4" t="inlineStr">
        <is>
          <t>RENTA</t>
        </is>
      </c>
      <c r="F7" s="3" t="n">
        <v>320</v>
      </c>
      <c r="G7" s="3" t="n">
        <v>196</v>
      </c>
      <c r="H7" s="3" t="n">
        <v>10</v>
      </c>
      <c r="I7" s="17" t="n">
        <v>7500</v>
      </c>
      <c r="J7" s="3" t="n">
        <v>750</v>
      </c>
      <c r="K7" s="2" t="n"/>
      <c r="L7" s="16" t="n">
        <v>100</v>
      </c>
      <c r="M7" s="7" t="n">
        <v>975.15</v>
      </c>
      <c r="N7" s="7" t="n">
        <v>975.15</v>
      </c>
      <c r="O7" s="6">
        <f>+GETPIVOTDATA("Suma de HABER",'[1]MAYOR RET'!$M$1,"CUENTA","100 % RETENCION  IVA")</f>
        <v/>
      </c>
      <c r="P7" s="7">
        <f>+N7-O7</f>
        <v/>
      </c>
    </row>
    <row r="8">
      <c r="A8" s="3" t="n">
        <v>47032</v>
      </c>
      <c r="B8" s="3" t="inlineStr">
        <is>
          <t>BACLT INMOBILIARIA S.A.S.</t>
        </is>
      </c>
      <c r="C8" s="4" t="n">
        <v>46055</v>
      </c>
      <c r="D8" s="4" t="n">
        <v>46055</v>
      </c>
      <c r="E8" s="4" t="inlineStr">
        <is>
          <t>IVA</t>
        </is>
      </c>
      <c r="F8" s="3" t="n">
        <v>320</v>
      </c>
      <c r="G8" s="3" t="n">
        <v>196</v>
      </c>
      <c r="H8" s="3" t="n">
        <v>70</v>
      </c>
      <c r="I8" s="17" t="n">
        <v>1125</v>
      </c>
      <c r="J8" s="3" t="n">
        <v>787.5</v>
      </c>
      <c r="K8" s="2" t="n"/>
      <c r="L8" s="15" t="inlineStr">
        <is>
          <t>RENTA</t>
        </is>
      </c>
      <c r="M8" s="7" t="n">
        <v>377296.95</v>
      </c>
      <c r="N8" s="7" t="n">
        <v>10221.98</v>
      </c>
      <c r="O8" s="6" t="n"/>
      <c r="P8" s="7" t="n"/>
    </row>
    <row r="9">
      <c r="A9" s="3" t="n">
        <v>47033</v>
      </c>
      <c r="B9" s="3" t="inlineStr">
        <is>
          <t>VARGAS TORRES WALTTER DARIO</t>
        </is>
      </c>
      <c r="C9" s="4" t="n">
        <v>46055</v>
      </c>
      <c r="D9" s="4" t="n">
        <v>46055</v>
      </c>
      <c r="E9" s="4" t="inlineStr">
        <is>
          <t>IVA</t>
        </is>
      </c>
      <c r="F9" s="3" t="n">
        <v>312</v>
      </c>
      <c r="G9" s="3" t="n">
        <v>31786</v>
      </c>
      <c r="H9" s="3" t="n">
        <v>30</v>
      </c>
      <c r="I9" s="3" t="n">
        <v>25.5</v>
      </c>
      <c r="J9" s="3" t="n">
        <v>7.65</v>
      </c>
      <c r="K9" s="2" t="n"/>
      <c r="L9" s="16" t="n">
        <v>0</v>
      </c>
      <c r="M9" s="7" t="n">
        <v>162</v>
      </c>
      <c r="N9" s="7" t="n">
        <v>0</v>
      </c>
      <c r="O9" s="6" t="n"/>
      <c r="P9" s="7" t="n"/>
    </row>
    <row r="10">
      <c r="A10" s="3" t="n">
        <v>47033</v>
      </c>
      <c r="B10" s="3" t="inlineStr">
        <is>
          <t>VARGAS TORRES WALTTER DARIO</t>
        </is>
      </c>
      <c r="C10" s="4" t="n">
        <v>46055</v>
      </c>
      <c r="D10" s="4" t="n">
        <v>46055</v>
      </c>
      <c r="E10" s="4" t="inlineStr">
        <is>
          <t>RENTA</t>
        </is>
      </c>
      <c r="F10" s="3" t="n">
        <v>312</v>
      </c>
      <c r="G10" s="3" t="n">
        <v>31786</v>
      </c>
      <c r="H10" s="3" t="n">
        <v>1.75</v>
      </c>
      <c r="I10" s="3" t="n">
        <v>170</v>
      </c>
      <c r="J10" s="3" t="n">
        <v>2.98</v>
      </c>
      <c r="K10" s="2" t="n"/>
      <c r="L10" s="16" t="n">
        <v>1</v>
      </c>
      <c r="M10" s="7" t="n">
        <v>141.06</v>
      </c>
      <c r="N10" s="7" t="n">
        <v>1.41</v>
      </c>
      <c r="O10" s="6">
        <f>+GETPIVOTDATA("Suma de HABER",'[1]MAYOR RET'!$M$1,"CUENTA","1% RETENCION")</f>
        <v/>
      </c>
      <c r="P10" s="7">
        <f>+N10-O10</f>
        <v/>
      </c>
    </row>
    <row r="11">
      <c r="A11" s="3" t="n">
        <v>47034</v>
      </c>
      <c r="B11" s="3" t="inlineStr">
        <is>
          <t>REINOSO SALAS YAJAIRA CAROLINA</t>
        </is>
      </c>
      <c r="C11" s="4" t="n">
        <v>46055</v>
      </c>
      <c r="D11" s="4" t="n">
        <v>46055</v>
      </c>
      <c r="E11" s="4" t="inlineStr">
        <is>
          <t>IVA</t>
        </is>
      </c>
      <c r="F11" s="3" t="n">
        <v>307</v>
      </c>
      <c r="G11" s="3" t="n">
        <v>120</v>
      </c>
      <c r="H11" s="3" t="n">
        <v>70</v>
      </c>
      <c r="I11" s="3" t="n">
        <v>7.5</v>
      </c>
      <c r="J11" s="3" t="n">
        <v>5.25</v>
      </c>
      <c r="K11" s="2" t="n"/>
      <c r="L11" s="16" t="n">
        <v>1.75</v>
      </c>
      <c r="M11" s="7" t="n">
        <v>267750.8499999998</v>
      </c>
      <c r="N11" s="7" t="n">
        <v>4685.699999999999</v>
      </c>
      <c r="O11" s="6">
        <f>+GETPIVOTDATA("Suma de HABER",'[1]MAYOR RET'!$M$1,"CUENTA","1.75% RETENCION FUENTE")</f>
        <v/>
      </c>
      <c r="P11" s="7">
        <f>+N11-O11</f>
        <v/>
      </c>
    </row>
    <row r="12">
      <c r="A12" s="3" t="n">
        <v>47034</v>
      </c>
      <c r="B12" s="3" t="inlineStr">
        <is>
          <t>REINOSO SALAS YAJAIRA CAROLINA</t>
        </is>
      </c>
      <c r="C12" s="4" t="n">
        <v>46055</v>
      </c>
      <c r="D12" s="4" t="n">
        <v>46055</v>
      </c>
      <c r="E12" s="4" t="inlineStr">
        <is>
          <t>RENTA</t>
        </is>
      </c>
      <c r="F12" s="3" t="n">
        <v>307</v>
      </c>
      <c r="G12" s="3" t="n">
        <v>120</v>
      </c>
      <c r="H12" s="3" t="n">
        <v>2</v>
      </c>
      <c r="I12" s="3" t="n">
        <v>50</v>
      </c>
      <c r="J12" s="3" t="n">
        <v>1</v>
      </c>
      <c r="K12" s="2" t="n"/>
      <c r="L12" s="16" t="n">
        <v>2</v>
      </c>
      <c r="M12" s="7" t="n">
        <v>26014.64999999999</v>
      </c>
      <c r="N12" s="7" t="n">
        <v>520.3000000000001</v>
      </c>
      <c r="O12" s="6">
        <f>+GETPIVOTDATA("Suma de HABER",'[1]MAYOR RET'!$M$1,"CUENTA","2% RETENCION FUENTE")</f>
        <v/>
      </c>
      <c r="P12" s="7">
        <f>+N12-O12</f>
        <v/>
      </c>
    </row>
    <row r="13">
      <c r="A13" s="3" t="n">
        <v>47035</v>
      </c>
      <c r="B13" s="3" t="inlineStr">
        <is>
          <t>BACLT INMOBILIARIA S.A.S.</t>
        </is>
      </c>
      <c r="C13" s="4" t="n">
        <v>46055</v>
      </c>
      <c r="D13" s="4" t="n">
        <v>46055</v>
      </c>
      <c r="E13" s="4" t="inlineStr">
        <is>
          <t>RENTA</t>
        </is>
      </c>
      <c r="F13" s="3" t="n">
        <v>320</v>
      </c>
      <c r="G13" s="3" t="n">
        <v>195</v>
      </c>
      <c r="H13" s="3" t="n">
        <v>10</v>
      </c>
      <c r="I13" s="17" t="n">
        <v>12108.04</v>
      </c>
      <c r="J13" s="17" t="n">
        <v>1210.8</v>
      </c>
      <c r="K13" s="2" t="n"/>
      <c r="L13" s="16" t="n">
        <v>2.75</v>
      </c>
      <c r="M13" s="7" t="n">
        <v>32773.67</v>
      </c>
      <c r="N13" s="7" t="n">
        <v>901.29</v>
      </c>
      <c r="O13" s="6">
        <f>+GETPIVOTDATA("Suma de HABER",'[1]MAYOR RET'!$M$1,"CUENTA","2.75% RETENCION FUENTE")</f>
        <v/>
      </c>
      <c r="P13" s="7">
        <f>+N13-O13</f>
        <v/>
      </c>
    </row>
    <row r="14">
      <c r="A14" s="3" t="n">
        <v>47035</v>
      </c>
      <c r="B14" s="3" t="inlineStr">
        <is>
          <t>BACLT INMOBILIARIA S.A.S.</t>
        </is>
      </c>
      <c r="C14" s="4" t="n">
        <v>46055</v>
      </c>
      <c r="D14" s="4" t="n">
        <v>46055</v>
      </c>
      <c r="E14" s="4" t="inlineStr">
        <is>
          <t>IVA</t>
        </is>
      </c>
      <c r="F14" s="3" t="n">
        <v>320</v>
      </c>
      <c r="G14" s="3" t="n">
        <v>195</v>
      </c>
      <c r="H14" s="3" t="n">
        <v>70</v>
      </c>
      <c r="I14" s="17" t="n">
        <v>1816.21</v>
      </c>
      <c r="J14" s="17" t="n">
        <v>1271.35</v>
      </c>
      <c r="K14" s="2" t="n"/>
      <c r="L14" s="16" t="n">
        <v>3</v>
      </c>
      <c r="M14" s="7" t="n">
        <v>13316.95</v>
      </c>
      <c r="N14" s="7" t="n">
        <v>399.52</v>
      </c>
      <c r="O14" s="6">
        <f>+GETPIVOTDATA("Suma de HABER",'[1]MAYOR RET'!$M$1,"CUENTA","3% RETENCION FUENTE")</f>
        <v/>
      </c>
      <c r="P14" s="7">
        <f>+N14-O14</f>
        <v/>
      </c>
    </row>
    <row r="15">
      <c r="A15" s="3" t="n">
        <v>47036</v>
      </c>
      <c r="B15" s="3" t="inlineStr">
        <is>
          <t>REINOSO SALAS YAJAIRA CAROLINA</t>
        </is>
      </c>
      <c r="C15" s="4" t="n">
        <v>46055</v>
      </c>
      <c r="D15" s="4" t="n">
        <v>46055</v>
      </c>
      <c r="E15" s="4" t="inlineStr">
        <is>
          <t>IVA</t>
        </is>
      </c>
      <c r="F15" s="3" t="n">
        <v>307</v>
      </c>
      <c r="G15" s="3" t="n">
        <v>116</v>
      </c>
      <c r="H15" s="3" t="n">
        <v>70</v>
      </c>
      <c r="I15" s="3" t="n">
        <v>7.5</v>
      </c>
      <c r="J15" s="3" t="n">
        <v>5.25</v>
      </c>
      <c r="K15" s="2" t="n"/>
      <c r="L15" s="16" t="n">
        <v>10</v>
      </c>
      <c r="M15" s="7" t="n">
        <v>37137.77</v>
      </c>
      <c r="N15" s="7" t="n">
        <v>3713.76</v>
      </c>
      <c r="O15" s="6">
        <f>+GETPIVOTDATA("Suma de HABER",'[1]MAYOR RET'!$M$1,"CUENTA","10 % RETENCION FUENTE")</f>
        <v/>
      </c>
      <c r="P15" s="7">
        <f>+N15-O15</f>
        <v/>
      </c>
    </row>
    <row r="16">
      <c r="A16" s="3" t="n">
        <v>47036</v>
      </c>
      <c r="B16" s="3" t="inlineStr">
        <is>
          <t>REINOSO SALAS YAJAIRA CAROLINA</t>
        </is>
      </c>
      <c r="C16" s="4" t="n">
        <v>46055</v>
      </c>
      <c r="D16" s="4" t="n">
        <v>46055</v>
      </c>
      <c r="E16" s="4" t="inlineStr">
        <is>
          <t>RENTA</t>
        </is>
      </c>
      <c r="F16" s="3" t="n">
        <v>307</v>
      </c>
      <c r="G16" s="3" t="n">
        <v>116</v>
      </c>
      <c r="H16" s="3" t="n">
        <v>2</v>
      </c>
      <c r="I16" s="3" t="n">
        <v>50</v>
      </c>
      <c r="J16" s="3" t="n">
        <v>1</v>
      </c>
      <c r="K16" s="2" t="n"/>
      <c r="L16" s="15" t="inlineStr">
        <is>
          <t>Total general</t>
        </is>
      </c>
      <c r="M16" s="7" t="n">
        <v>865717.6700000002</v>
      </c>
      <c r="N16" s="7" t="n">
        <v>74015.43999999999</v>
      </c>
      <c r="O16" s="6" t="n"/>
      <c r="P16" s="2" t="n"/>
    </row>
    <row r="17">
      <c r="A17" s="3" t="n">
        <v>47037</v>
      </c>
      <c r="B17" s="3" t="inlineStr">
        <is>
          <t>REINOSO SALAS YAJAIRA CAROLINA</t>
        </is>
      </c>
      <c r="C17" s="4" t="n">
        <v>46055</v>
      </c>
      <c r="D17" s="4" t="n">
        <v>46055</v>
      </c>
      <c r="E17" s="4" t="inlineStr">
        <is>
          <t>RENTA</t>
        </is>
      </c>
      <c r="F17" s="3" t="n">
        <v>307</v>
      </c>
      <c r="G17" s="3" t="n">
        <v>119</v>
      </c>
      <c r="H17" s="3" t="n">
        <v>2</v>
      </c>
      <c r="I17" s="3" t="n">
        <v>50</v>
      </c>
      <c r="J17" s="3" t="n">
        <v>1</v>
      </c>
      <c r="K17" s="2" t="n"/>
      <c r="L17" s="2" t="n"/>
      <c r="M17" s="2" t="n"/>
      <c r="N17" s="2" t="n"/>
      <c r="O17" s="2" t="n"/>
      <c r="P17" s="2" t="n"/>
    </row>
    <row r="18">
      <c r="A18" s="3" t="n">
        <v>47037</v>
      </c>
      <c r="B18" s="3" t="inlineStr">
        <is>
          <t>REINOSO SALAS YAJAIRA CAROLINA</t>
        </is>
      </c>
      <c r="C18" s="4" t="n">
        <v>46055</v>
      </c>
      <c r="D18" s="4" t="n">
        <v>46055</v>
      </c>
      <c r="E18" s="4" t="inlineStr">
        <is>
          <t>IVA</t>
        </is>
      </c>
      <c r="F18" s="3" t="n">
        <v>307</v>
      </c>
      <c r="G18" s="3" t="n">
        <v>119</v>
      </c>
      <c r="H18" s="3" t="n">
        <v>70</v>
      </c>
      <c r="I18" s="3" t="n">
        <v>7.5</v>
      </c>
      <c r="J18" s="3" t="n">
        <v>5.25</v>
      </c>
      <c r="K18" s="2" t="n"/>
      <c r="L18" s="2" t="n"/>
      <c r="M18" s="2" t="n"/>
      <c r="N18" s="2" t="n"/>
      <c r="O18" s="2" t="n"/>
      <c r="P18" s="2" t="n"/>
    </row>
    <row r="19">
      <c r="A19" s="3" t="n">
        <v>47038</v>
      </c>
      <c r="B19" s="3" t="inlineStr">
        <is>
          <t>TELCONET S.A</t>
        </is>
      </c>
      <c r="C19" s="4" t="n">
        <v>46055</v>
      </c>
      <c r="D19" s="4" t="n">
        <v>46055</v>
      </c>
      <c r="E19" s="4" t="inlineStr">
        <is>
          <t>IVA</t>
        </is>
      </c>
      <c r="F19" s="3" t="n">
        <v>332</v>
      </c>
      <c r="G19" s="3" t="n">
        <v>423457</v>
      </c>
      <c r="H19" s="3" t="n">
        <v>20</v>
      </c>
      <c r="I19" s="3" t="n">
        <v>55.8</v>
      </c>
      <c r="J19" s="3" t="n">
        <v>11.16</v>
      </c>
      <c r="K19" s="2" t="n"/>
      <c r="L19" s="2" t="n"/>
      <c r="M19" s="2" t="n"/>
      <c r="N19" s="2" t="n"/>
      <c r="O19" s="2" t="n"/>
      <c r="P19" s="2" t="n"/>
    </row>
    <row r="20">
      <c r="A20" s="3" t="n">
        <v>47039</v>
      </c>
      <c r="B20" s="3" t="inlineStr">
        <is>
          <t>CAICEDO ALFONSO DAVID</t>
        </is>
      </c>
      <c r="C20" s="4" t="n">
        <v>46055</v>
      </c>
      <c r="D20" s="4" t="n">
        <v>46055</v>
      </c>
      <c r="E20" s="4" t="inlineStr">
        <is>
          <t>IVA</t>
        </is>
      </c>
      <c r="F20" s="3" t="n">
        <v>309</v>
      </c>
      <c r="G20" s="3" t="n">
        <v>820</v>
      </c>
      <c r="H20" s="3" t="n">
        <v>70</v>
      </c>
      <c r="I20" s="3" t="n">
        <v>37.5</v>
      </c>
      <c r="J20" s="3" t="n">
        <v>26.25</v>
      </c>
      <c r="K20" s="2" t="n"/>
      <c r="L20" s="2" t="n"/>
      <c r="M20" s="2" t="n"/>
      <c r="N20" s="2" t="n"/>
      <c r="O20" s="2" t="n"/>
      <c r="P20" s="2" t="n"/>
    </row>
    <row r="21">
      <c r="A21" s="3" t="n">
        <v>47039</v>
      </c>
      <c r="B21" s="3" t="inlineStr">
        <is>
          <t>CAICEDO ALFONSO DAVID</t>
        </is>
      </c>
      <c r="C21" s="4" t="n">
        <v>46055</v>
      </c>
      <c r="D21" s="4" t="n">
        <v>46055</v>
      </c>
      <c r="E21" s="4" t="inlineStr">
        <is>
          <t>RENTA</t>
        </is>
      </c>
      <c r="F21" s="3" t="n">
        <v>309</v>
      </c>
      <c r="G21" s="3" t="n">
        <v>820</v>
      </c>
      <c r="H21" s="3" t="n">
        <v>2.75</v>
      </c>
      <c r="I21" s="3" t="n">
        <v>250</v>
      </c>
      <c r="J21" s="3" t="n">
        <v>6.88</v>
      </c>
      <c r="K21" s="2" t="n"/>
      <c r="L21" s="2" t="n"/>
      <c r="M21" s="2" t="n"/>
      <c r="N21" s="2" t="n"/>
      <c r="O21" s="2" t="n"/>
      <c r="P21" s="2" t="n"/>
    </row>
    <row r="22">
      <c r="A22" s="3" t="n">
        <v>47040</v>
      </c>
      <c r="B22" s="3" t="inlineStr">
        <is>
          <t>NARANJO ABRIL VICTORIA ESTEFANIA</t>
        </is>
      </c>
      <c r="C22" s="4" t="n">
        <v>46055</v>
      </c>
      <c r="D22" s="4" t="n">
        <v>46055</v>
      </c>
      <c r="E22" s="4" t="inlineStr">
        <is>
          <t>IVA</t>
        </is>
      </c>
      <c r="F22" s="3" t="n">
        <v>307</v>
      </c>
      <c r="G22" s="3" t="n">
        <v>170</v>
      </c>
      <c r="H22" s="3" t="n">
        <v>70</v>
      </c>
      <c r="I22" s="3" t="n">
        <v>12</v>
      </c>
      <c r="J22" s="3" t="n">
        <v>8.4</v>
      </c>
      <c r="K22" s="2" t="n"/>
      <c r="L22" s="2" t="n"/>
      <c r="M22" s="2" t="n"/>
      <c r="N22" s="2" t="n"/>
      <c r="O22" s="2" t="n"/>
      <c r="P22" s="2" t="n"/>
    </row>
    <row r="23">
      <c r="A23" s="3" t="n">
        <v>47040</v>
      </c>
      <c r="B23" s="3" t="inlineStr">
        <is>
          <t>NARANJO ABRIL VICTORIA ESTEFANIA</t>
        </is>
      </c>
      <c r="C23" s="4" t="n">
        <v>46055</v>
      </c>
      <c r="D23" s="4" t="n">
        <v>46055</v>
      </c>
      <c r="E23" s="4" t="inlineStr">
        <is>
          <t>RENTA</t>
        </is>
      </c>
      <c r="F23" s="3" t="n">
        <v>307</v>
      </c>
      <c r="G23" s="3" t="n">
        <v>170</v>
      </c>
      <c r="H23" s="3" t="n">
        <v>2</v>
      </c>
      <c r="I23" s="3" t="n">
        <v>80</v>
      </c>
      <c r="J23" s="3" t="n">
        <v>1.6</v>
      </c>
      <c r="K23" s="2" t="n"/>
      <c r="L23" s="2" t="n"/>
      <c r="M23" s="2" t="n"/>
      <c r="N23" s="2" t="n"/>
      <c r="O23" s="2" t="n"/>
      <c r="P23" s="2" t="n"/>
    </row>
    <row r="24">
      <c r="A24" s="3" t="n">
        <v>47041</v>
      </c>
      <c r="B24" s="3" t="inlineStr">
        <is>
          <t>CARRO SEGURO CARSEG S.A.</t>
        </is>
      </c>
      <c r="C24" s="4" t="n">
        <v>46055</v>
      </c>
      <c r="D24" s="4" t="n">
        <v>46055</v>
      </c>
      <c r="E24" s="4" t="inlineStr">
        <is>
          <t>RENTA</t>
        </is>
      </c>
      <c r="F24" s="3" t="n">
        <v>312</v>
      </c>
      <c r="G24" s="3" t="n">
        <v>74969</v>
      </c>
      <c r="H24" s="3" t="n">
        <v>1.75</v>
      </c>
      <c r="I24" s="3" t="n">
        <v>540</v>
      </c>
      <c r="J24" s="3" t="n">
        <v>9.449999999999999</v>
      </c>
      <c r="K24" s="2" t="n"/>
      <c r="L24" s="2" t="n"/>
      <c r="M24" s="2" t="n"/>
      <c r="N24" s="2" t="n"/>
      <c r="O24" s="2" t="n"/>
      <c r="P24" s="2" t="n"/>
    </row>
    <row r="25">
      <c r="A25" s="3" t="n">
        <v>47041</v>
      </c>
      <c r="B25" s="3" t="inlineStr">
        <is>
          <t>CARRO SEGURO CARSEG S.A.</t>
        </is>
      </c>
      <c r="C25" s="4" t="n">
        <v>46055</v>
      </c>
      <c r="D25" s="4" t="n">
        <v>46055</v>
      </c>
      <c r="E25" s="4" t="inlineStr">
        <is>
          <t>IVA</t>
        </is>
      </c>
      <c r="F25" s="3" t="n">
        <v>312</v>
      </c>
      <c r="G25" s="3" t="n">
        <v>74969</v>
      </c>
      <c r="H25" s="3" t="n">
        <v>10</v>
      </c>
      <c r="I25" s="3" t="n">
        <v>81</v>
      </c>
      <c r="J25" s="3" t="n">
        <v>8.1</v>
      </c>
      <c r="K25" s="2" t="n"/>
      <c r="L25" s="2" t="n"/>
      <c r="M25" s="2" t="n"/>
      <c r="N25" s="2" t="n"/>
      <c r="O25" s="2" t="n"/>
      <c r="P25" s="2" t="n"/>
    </row>
    <row r="26">
      <c r="A26" s="3" t="n">
        <v>47042</v>
      </c>
      <c r="B26" s="3" t="inlineStr">
        <is>
          <t>PAEZ ORTIZ CHRISTIAN GONZALO</t>
        </is>
      </c>
      <c r="C26" s="4" t="n">
        <v>46056</v>
      </c>
      <c r="D26" s="4" t="n">
        <v>46056</v>
      </c>
      <c r="E26" s="4" t="inlineStr">
        <is>
          <t>IVA</t>
        </is>
      </c>
      <c r="F26" s="3" t="n">
        <v>312</v>
      </c>
      <c r="G26" s="3" t="n">
        <v>3601</v>
      </c>
      <c r="H26" s="3" t="n">
        <v>30</v>
      </c>
      <c r="I26" s="3" t="n">
        <v>69</v>
      </c>
      <c r="J26" s="3" t="n">
        <v>20.7</v>
      </c>
      <c r="K26" s="2" t="n"/>
      <c r="L26" s="2" t="n"/>
      <c r="M26" s="2" t="n"/>
      <c r="N26" s="2" t="n"/>
      <c r="O26" s="2" t="n"/>
      <c r="P26" s="2" t="n"/>
    </row>
    <row r="27">
      <c r="A27" s="3" t="n">
        <v>47042</v>
      </c>
      <c r="B27" s="3" t="inlineStr">
        <is>
          <t>PAEZ ORTIZ CHRISTIAN GONZALO</t>
        </is>
      </c>
      <c r="C27" s="4" t="n">
        <v>46056</v>
      </c>
      <c r="D27" s="4" t="n">
        <v>46056</v>
      </c>
      <c r="E27" s="4" t="inlineStr">
        <is>
          <t>RENTA</t>
        </is>
      </c>
      <c r="F27" s="3" t="n">
        <v>312</v>
      </c>
      <c r="G27" s="3" t="n">
        <v>3601</v>
      </c>
      <c r="H27" s="3" t="n">
        <v>1.75</v>
      </c>
      <c r="I27" s="3" t="n">
        <v>460</v>
      </c>
      <c r="J27" s="3" t="n">
        <v>8.050000000000001</v>
      </c>
      <c r="K27" s="2" t="n"/>
      <c r="L27" s="2" t="n"/>
      <c r="M27" s="2" t="n"/>
      <c r="N27" s="2" t="n"/>
      <c r="O27" s="2" t="n"/>
      <c r="P27" s="2" t="n"/>
    </row>
    <row r="28">
      <c r="A28" s="3" t="n">
        <v>47043</v>
      </c>
      <c r="B28" s="3" t="inlineStr">
        <is>
          <t>CORPORACION CONFIABLE S.A.</t>
        </is>
      </c>
      <c r="C28" s="4" t="n">
        <v>46056</v>
      </c>
      <c r="D28" s="4" t="n">
        <v>46056</v>
      </c>
      <c r="E28" s="4" t="inlineStr">
        <is>
          <t>RENTA</t>
        </is>
      </c>
      <c r="F28" s="3" t="n">
        <v>344</v>
      </c>
      <c r="G28" s="3" t="n">
        <v>5489</v>
      </c>
      <c r="H28" s="3" t="n">
        <v>2.75</v>
      </c>
      <c r="I28" s="3" t="n">
        <v>660</v>
      </c>
      <c r="J28" s="3" t="n">
        <v>18.15</v>
      </c>
      <c r="K28" s="2" t="n"/>
      <c r="L28" s="2" t="n"/>
      <c r="M28" s="2" t="n"/>
      <c r="N28" s="2" t="n"/>
      <c r="O28" s="2" t="n"/>
      <c r="P28" s="2" t="n"/>
    </row>
    <row r="29">
      <c r="A29" s="3" t="n">
        <v>47043</v>
      </c>
      <c r="B29" s="3" t="inlineStr">
        <is>
          <t>CORPORACION CONFIABLE S.A.</t>
        </is>
      </c>
      <c r="C29" s="4" t="n">
        <v>46056</v>
      </c>
      <c r="D29" s="4" t="n">
        <v>46056</v>
      </c>
      <c r="E29" s="4" t="inlineStr">
        <is>
          <t>IVA</t>
        </is>
      </c>
      <c r="F29" s="3" t="n">
        <v>344</v>
      </c>
      <c r="G29" s="3" t="n">
        <v>5489</v>
      </c>
      <c r="H29" s="3" t="n">
        <v>70</v>
      </c>
      <c r="I29" s="3" t="n">
        <v>99</v>
      </c>
      <c r="J29" s="3" t="n">
        <v>69.3</v>
      </c>
      <c r="K29" s="2" t="n"/>
      <c r="L29" s="2" t="n"/>
      <c r="M29" s="2" t="n"/>
      <c r="N29" s="2" t="n"/>
      <c r="O29" s="2" t="n"/>
      <c r="P29" s="2" t="n"/>
    </row>
    <row r="30">
      <c r="A30" s="3" t="n">
        <v>47044</v>
      </c>
      <c r="B30" s="3" t="inlineStr">
        <is>
          <t>VARGAS TORRES WALTTER DARIO</t>
        </is>
      </c>
      <c r="C30" s="4" t="n">
        <v>46056</v>
      </c>
      <c r="D30" s="4" t="n">
        <v>46056</v>
      </c>
      <c r="E30" s="4" t="inlineStr">
        <is>
          <t>RENTA</t>
        </is>
      </c>
      <c r="F30" s="3" t="n">
        <v>312</v>
      </c>
      <c r="G30" s="3" t="n">
        <v>31801</v>
      </c>
      <c r="H30" s="3" t="n">
        <v>1.75</v>
      </c>
      <c r="I30" s="3" t="n">
        <v>510</v>
      </c>
      <c r="J30" s="3" t="n">
        <v>8.93</v>
      </c>
      <c r="K30" s="2" t="n"/>
      <c r="L30" s="2" t="n"/>
      <c r="M30" s="2" t="n"/>
      <c r="N30" s="2" t="n"/>
      <c r="O30" s="2" t="n"/>
      <c r="P30" s="2" t="n"/>
    </row>
    <row r="31">
      <c r="A31" s="3" t="n">
        <v>47044</v>
      </c>
      <c r="B31" s="3" t="inlineStr">
        <is>
          <t>VARGAS TORRES WALTTER DARIO</t>
        </is>
      </c>
      <c r="C31" s="4" t="n">
        <v>46056</v>
      </c>
      <c r="D31" s="4" t="n">
        <v>46056</v>
      </c>
      <c r="E31" s="4" t="inlineStr">
        <is>
          <t>IVA</t>
        </is>
      </c>
      <c r="F31" s="3" t="n">
        <v>312</v>
      </c>
      <c r="G31" s="3" t="n">
        <v>31801</v>
      </c>
      <c r="H31" s="3" t="n">
        <v>30</v>
      </c>
      <c r="I31" s="3" t="n">
        <v>76.5</v>
      </c>
      <c r="J31" s="3" t="n">
        <v>22.95</v>
      </c>
      <c r="K31" s="2" t="n"/>
      <c r="L31" s="2" t="n"/>
      <c r="M31" s="2" t="n"/>
      <c r="N31" s="2" t="n"/>
      <c r="O31" s="2" t="n"/>
      <c r="P31" s="2" t="n"/>
    </row>
    <row r="32">
      <c r="A32" s="3" t="n">
        <v>47045</v>
      </c>
      <c r="B32" s="3" t="inlineStr">
        <is>
          <t>REINOSO SALAS YAJAIRA CAROLINA</t>
        </is>
      </c>
      <c r="C32" s="4" t="n">
        <v>46056</v>
      </c>
      <c r="D32" s="4" t="n">
        <v>46056</v>
      </c>
      <c r="E32" s="4" t="inlineStr">
        <is>
          <t>IVA</t>
        </is>
      </c>
      <c r="F32" s="3" t="n">
        <v>307</v>
      </c>
      <c r="G32" s="3" t="n">
        <v>125</v>
      </c>
      <c r="H32" s="3" t="n">
        <v>70</v>
      </c>
      <c r="I32" s="3" t="n">
        <v>6</v>
      </c>
      <c r="J32" s="3" t="n">
        <v>4.2</v>
      </c>
      <c r="K32" s="2" t="n"/>
      <c r="L32" s="2" t="n"/>
      <c r="M32" s="2" t="n"/>
      <c r="N32" s="2" t="n"/>
      <c r="O32" s="2" t="n"/>
      <c r="P32" s="2" t="n"/>
    </row>
    <row r="33">
      <c r="A33" s="3" t="n">
        <v>47045</v>
      </c>
      <c r="B33" s="3" t="inlineStr">
        <is>
          <t>REINOSO SALAS YAJAIRA CAROLINA</t>
        </is>
      </c>
      <c r="C33" s="4" t="n">
        <v>46056</v>
      </c>
      <c r="D33" s="4" t="n">
        <v>46056</v>
      </c>
      <c r="E33" s="4" t="inlineStr">
        <is>
          <t>RENTA</t>
        </is>
      </c>
      <c r="F33" s="3" t="n">
        <v>307</v>
      </c>
      <c r="G33" s="3" t="n">
        <v>125</v>
      </c>
      <c r="H33" s="3" t="n">
        <v>2</v>
      </c>
      <c r="I33" s="3" t="n">
        <v>40</v>
      </c>
      <c r="J33" s="3" t="n">
        <v>0.8</v>
      </c>
      <c r="K33" s="2" t="n"/>
      <c r="L33" s="2" t="n"/>
      <c r="M33" s="2" t="n"/>
      <c r="N33" s="2" t="n"/>
      <c r="O33" s="2" t="n"/>
      <c r="P33" s="2" t="n"/>
    </row>
    <row r="34">
      <c r="A34" s="3" t="n">
        <v>47046</v>
      </c>
      <c r="B34" s="3" t="inlineStr">
        <is>
          <t>PALACIOS LARREA FRANCISCO JOSE</t>
        </is>
      </c>
      <c r="C34" s="4" t="n">
        <v>46056</v>
      </c>
      <c r="D34" s="4" t="n">
        <v>46056</v>
      </c>
      <c r="E34" s="4" t="inlineStr">
        <is>
          <t>IVA</t>
        </is>
      </c>
      <c r="F34" s="3" t="n">
        <v>303</v>
      </c>
      <c r="G34" s="3" t="n">
        <v>50</v>
      </c>
      <c r="H34" s="3" t="n">
        <v>100</v>
      </c>
      <c r="I34" s="3" t="n">
        <v>166.67</v>
      </c>
      <c r="J34" s="3" t="n">
        <v>166.67</v>
      </c>
      <c r="K34" s="2" t="n"/>
      <c r="L34" s="2" t="n"/>
      <c r="M34" s="2" t="n"/>
      <c r="N34" s="2" t="n"/>
      <c r="O34" s="2" t="n"/>
      <c r="P34" s="2" t="n"/>
    </row>
    <row r="35">
      <c r="A35" s="3" t="n">
        <v>47046</v>
      </c>
      <c r="B35" s="3" t="inlineStr">
        <is>
          <t>PALACIOS LARREA FRANCISCO JOSE</t>
        </is>
      </c>
      <c r="C35" s="4" t="n">
        <v>46056</v>
      </c>
      <c r="D35" s="4" t="n">
        <v>46056</v>
      </c>
      <c r="E35" s="4" t="inlineStr">
        <is>
          <t>RENTA</t>
        </is>
      </c>
      <c r="F35" s="3" t="n">
        <v>303</v>
      </c>
      <c r="G35" s="3" t="n">
        <v>50</v>
      </c>
      <c r="H35" s="3" t="n">
        <v>10</v>
      </c>
      <c r="I35" s="17" t="n">
        <v>1111.11</v>
      </c>
      <c r="J35" s="3" t="n">
        <v>111.11</v>
      </c>
      <c r="K35" s="2" t="n"/>
      <c r="L35" s="2" t="n"/>
      <c r="M35" s="2" t="n"/>
      <c r="N35" s="2" t="n"/>
      <c r="O35" s="2" t="n"/>
      <c r="P35" s="2" t="n"/>
    </row>
    <row r="36">
      <c r="A36" s="3" t="n">
        <v>47047</v>
      </c>
      <c r="B36" s="3" t="inlineStr">
        <is>
          <t>PAEZ ORTIZ CHRISTIAN GONZALO</t>
        </is>
      </c>
      <c r="C36" s="4" t="n">
        <v>46056</v>
      </c>
      <c r="D36" s="4" t="n">
        <v>46056</v>
      </c>
      <c r="E36" s="4" t="inlineStr">
        <is>
          <t>RENTA</t>
        </is>
      </c>
      <c r="F36" s="3" t="n">
        <v>312</v>
      </c>
      <c r="G36" s="3" t="n">
        <v>3602</v>
      </c>
      <c r="H36" s="3" t="n">
        <v>1.75</v>
      </c>
      <c r="I36" s="3" t="n">
        <v>48</v>
      </c>
      <c r="J36" s="3" t="n">
        <v>0.84</v>
      </c>
      <c r="K36" s="2" t="n"/>
      <c r="L36" s="2" t="n"/>
      <c r="M36" s="2" t="n"/>
      <c r="N36" s="2" t="n"/>
      <c r="O36" s="2" t="n"/>
      <c r="P36" s="2" t="n"/>
    </row>
    <row r="37">
      <c r="A37" s="3" t="n">
        <v>47047</v>
      </c>
      <c r="B37" s="3" t="inlineStr">
        <is>
          <t>PAEZ ORTIZ CHRISTIAN GONZALO</t>
        </is>
      </c>
      <c r="C37" s="4" t="n">
        <v>46056</v>
      </c>
      <c r="D37" s="4" t="n">
        <v>46056</v>
      </c>
      <c r="E37" s="4" t="inlineStr">
        <is>
          <t>IVA</t>
        </is>
      </c>
      <c r="F37" s="3" t="n">
        <v>312</v>
      </c>
      <c r="G37" s="3" t="n">
        <v>3602</v>
      </c>
      <c r="H37" s="3" t="n">
        <v>30</v>
      </c>
      <c r="I37" s="3" t="n">
        <v>7.2</v>
      </c>
      <c r="J37" s="3" t="n">
        <v>2.16</v>
      </c>
      <c r="K37" s="2" t="n"/>
      <c r="L37" s="2" t="n"/>
      <c r="M37" s="2" t="n"/>
      <c r="N37" s="2" t="n"/>
      <c r="O37" s="2" t="n"/>
      <c r="P37" s="2" t="n"/>
    </row>
    <row r="38">
      <c r="A38" s="3" t="n">
        <v>47048</v>
      </c>
      <c r="B38" s="3" t="inlineStr">
        <is>
          <t>REINOSO SALAS YAJAIRA CAROLINA</t>
        </is>
      </c>
      <c r="C38" s="4" t="n">
        <v>46056</v>
      </c>
      <c r="D38" s="4" t="n">
        <v>46056</v>
      </c>
      <c r="E38" s="4" t="inlineStr">
        <is>
          <t>IVA</t>
        </is>
      </c>
      <c r="F38" s="3" t="n">
        <v>307</v>
      </c>
      <c r="G38" s="3" t="n">
        <v>122</v>
      </c>
      <c r="H38" s="3" t="n">
        <v>70</v>
      </c>
      <c r="I38" s="3" t="n">
        <v>6</v>
      </c>
      <c r="J38" s="3" t="n">
        <v>4.2</v>
      </c>
      <c r="K38" s="2" t="n"/>
      <c r="L38" s="2" t="n"/>
      <c r="M38" s="2" t="n"/>
      <c r="N38" s="2" t="n"/>
      <c r="O38" s="2" t="n"/>
      <c r="P38" s="2" t="n"/>
    </row>
    <row r="39">
      <c r="A39" s="3" t="n">
        <v>47048</v>
      </c>
      <c r="B39" s="3" t="inlineStr">
        <is>
          <t>REINOSO SALAS YAJAIRA CAROLINA</t>
        </is>
      </c>
      <c r="C39" s="4" t="n">
        <v>46056</v>
      </c>
      <c r="D39" s="4" t="n">
        <v>46056</v>
      </c>
      <c r="E39" s="4" t="inlineStr">
        <is>
          <t>RENTA</t>
        </is>
      </c>
      <c r="F39" s="3" t="n">
        <v>307</v>
      </c>
      <c r="G39" s="3" t="n">
        <v>122</v>
      </c>
      <c r="H39" s="3" t="n">
        <v>2</v>
      </c>
      <c r="I39" s="3" t="n">
        <v>40</v>
      </c>
      <c r="J39" s="3" t="n">
        <v>0.8</v>
      </c>
      <c r="K39" s="2" t="n"/>
      <c r="L39" s="2" t="n"/>
      <c r="M39" s="2" t="n"/>
      <c r="N39" s="2" t="n"/>
      <c r="O39" s="2" t="n"/>
      <c r="P39" s="2" t="n"/>
    </row>
    <row r="40">
      <c r="A40" s="3" t="n">
        <v>47049</v>
      </c>
      <c r="B40" s="3" t="inlineStr">
        <is>
          <t>PAEZ ORTIZ CHRISTIAN GONZALO</t>
        </is>
      </c>
      <c r="C40" s="4" t="n">
        <v>46056</v>
      </c>
      <c r="D40" s="4" t="n">
        <v>46056</v>
      </c>
      <c r="E40" s="4" t="inlineStr">
        <is>
          <t>RENTA</t>
        </is>
      </c>
      <c r="F40" s="3" t="n">
        <v>312</v>
      </c>
      <c r="G40" s="3" t="n">
        <v>3603</v>
      </c>
      <c r="H40" s="3" t="n">
        <v>1.75</v>
      </c>
      <c r="I40" s="3" t="n">
        <v>75.90000000000001</v>
      </c>
      <c r="J40" s="3" t="n">
        <v>1.33</v>
      </c>
      <c r="K40" s="2" t="n"/>
      <c r="L40" s="2" t="n"/>
      <c r="M40" s="2" t="n"/>
      <c r="N40" s="2" t="n"/>
      <c r="O40" s="2" t="n"/>
      <c r="P40" s="2" t="n"/>
    </row>
    <row r="41">
      <c r="A41" s="3" t="n">
        <v>47049</v>
      </c>
      <c r="B41" s="3" t="inlineStr">
        <is>
          <t>PAEZ ORTIZ CHRISTIAN GONZALO</t>
        </is>
      </c>
      <c r="C41" s="4" t="n">
        <v>46056</v>
      </c>
      <c r="D41" s="4" t="n">
        <v>46056</v>
      </c>
      <c r="E41" s="4" t="inlineStr">
        <is>
          <t>IVA</t>
        </is>
      </c>
      <c r="F41" s="3" t="n">
        <v>312</v>
      </c>
      <c r="G41" s="3" t="n">
        <v>3603</v>
      </c>
      <c r="H41" s="3" t="n">
        <v>30</v>
      </c>
      <c r="I41" s="3" t="n">
        <v>11.39</v>
      </c>
      <c r="J41" s="3" t="n">
        <v>3.42</v>
      </c>
      <c r="K41" s="2" t="n"/>
      <c r="L41" s="2" t="n"/>
      <c r="M41" s="2" t="n"/>
      <c r="N41" s="2" t="n"/>
      <c r="O41" s="2" t="n"/>
      <c r="P41" s="2" t="n"/>
    </row>
    <row r="42">
      <c r="A42" s="3" t="n">
        <v>47050</v>
      </c>
      <c r="B42" s="3" t="inlineStr">
        <is>
          <t>ROBAYO BORJA MARGOTH BEATRIZ</t>
        </is>
      </c>
      <c r="C42" s="4" t="n">
        <v>46056</v>
      </c>
      <c r="D42" s="4" t="n">
        <v>46056</v>
      </c>
      <c r="E42" s="4" t="inlineStr">
        <is>
          <t>RENTA</t>
        </is>
      </c>
      <c r="F42" s="3" t="n">
        <v>332</v>
      </c>
      <c r="G42" s="3" t="n">
        <v>1157</v>
      </c>
      <c r="H42" s="3" t="n">
        <v>0</v>
      </c>
      <c r="I42" s="3" t="n">
        <v>35</v>
      </c>
      <c r="J42" s="3" t="n">
        <v>0</v>
      </c>
      <c r="K42" s="2" t="n"/>
      <c r="L42" s="2" t="n"/>
      <c r="M42" s="2" t="n"/>
      <c r="N42" s="2" t="n"/>
      <c r="O42" s="2" t="n"/>
      <c r="P42" s="2" t="n"/>
    </row>
    <row r="43">
      <c r="A43" s="3" t="n">
        <v>47051</v>
      </c>
      <c r="B43" s="3" t="inlineStr">
        <is>
          <t>REINOSO SALAS YAJAIRA CAROLINA</t>
        </is>
      </c>
      <c r="C43" s="4" t="n">
        <v>46056</v>
      </c>
      <c r="D43" s="4" t="n">
        <v>46056</v>
      </c>
      <c r="E43" s="4" t="inlineStr">
        <is>
          <t>IVA</t>
        </is>
      </c>
      <c r="F43" s="3" t="n">
        <v>307</v>
      </c>
      <c r="G43" s="3" t="n">
        <v>124</v>
      </c>
      <c r="H43" s="3" t="n">
        <v>70</v>
      </c>
      <c r="I43" s="3" t="n">
        <v>22.5</v>
      </c>
      <c r="J43" s="3" t="n">
        <v>15.75</v>
      </c>
      <c r="K43" s="2" t="n"/>
      <c r="L43" s="2" t="n"/>
      <c r="M43" s="2" t="n"/>
      <c r="N43" s="2" t="n"/>
      <c r="O43" s="2" t="n"/>
      <c r="P43" s="2" t="n"/>
    </row>
    <row r="44">
      <c r="A44" s="3" t="n">
        <v>47051</v>
      </c>
      <c r="B44" s="3" t="inlineStr">
        <is>
          <t>REINOSO SALAS YAJAIRA CAROLINA</t>
        </is>
      </c>
      <c r="C44" s="4" t="n">
        <v>46056</v>
      </c>
      <c r="D44" s="4" t="n">
        <v>46056</v>
      </c>
      <c r="E44" s="4" t="inlineStr">
        <is>
          <t>RENTA</t>
        </is>
      </c>
      <c r="F44" s="3" t="n">
        <v>307</v>
      </c>
      <c r="G44" s="3" t="n">
        <v>124</v>
      </c>
      <c r="H44" s="3" t="n">
        <v>2</v>
      </c>
      <c r="I44" s="3" t="n">
        <v>150</v>
      </c>
      <c r="J44" s="3" t="n">
        <v>3</v>
      </c>
      <c r="K44" s="2" t="n"/>
      <c r="L44" s="2" t="n"/>
      <c r="M44" s="2" t="n"/>
      <c r="N44" s="2" t="n"/>
      <c r="O44" s="2" t="n"/>
      <c r="P44" s="2" t="n"/>
    </row>
    <row r="45">
      <c r="A45" s="3" t="n">
        <v>47052</v>
      </c>
      <c r="B45" s="3" t="inlineStr">
        <is>
          <t>FIDUCIARIA ECUADOR FIDUECUADOR S.A. ADMINISTRADORA DE FONDOS</t>
        </is>
      </c>
      <c r="C45" s="4" t="n">
        <v>46056</v>
      </c>
      <c r="D45" s="4" t="n">
        <v>46056</v>
      </c>
      <c r="E45" s="4" t="inlineStr">
        <is>
          <t>IVA</t>
        </is>
      </c>
      <c r="F45" s="3" t="n">
        <v>344</v>
      </c>
      <c r="G45" s="3" t="n">
        <v>13391</v>
      </c>
      <c r="H45" s="3" t="n">
        <v>70</v>
      </c>
      <c r="I45" s="3" t="n">
        <v>48.8</v>
      </c>
      <c r="J45" s="3" t="n">
        <v>34.16</v>
      </c>
      <c r="K45" s="2" t="n"/>
      <c r="L45" s="2" t="n"/>
      <c r="M45" s="2" t="n"/>
      <c r="N45" s="2" t="n"/>
      <c r="O45" s="2" t="n"/>
      <c r="P45" s="2" t="n"/>
    </row>
    <row r="46">
      <c r="A46" s="3" t="n">
        <v>47052</v>
      </c>
      <c r="B46" s="3" t="inlineStr">
        <is>
          <t>FIDUCIARIA ECUADOR FIDUECUADOR S.A. ADMINISTRADORA DE FONDOS</t>
        </is>
      </c>
      <c r="C46" s="4" t="n">
        <v>46056</v>
      </c>
      <c r="D46" s="4" t="n">
        <v>46056</v>
      </c>
      <c r="E46" s="4" t="inlineStr">
        <is>
          <t>RENTA</t>
        </is>
      </c>
      <c r="F46" s="3" t="n">
        <v>344</v>
      </c>
      <c r="G46" s="3" t="n">
        <v>13391</v>
      </c>
      <c r="H46" s="3" t="n">
        <v>2.75</v>
      </c>
      <c r="I46" s="3" t="n">
        <v>325.35</v>
      </c>
      <c r="J46" s="3" t="n">
        <v>8.949999999999999</v>
      </c>
      <c r="K46" s="2" t="n"/>
      <c r="L46" s="2" t="n"/>
      <c r="M46" s="2" t="n"/>
      <c r="N46" s="2" t="n"/>
      <c r="O46" s="2" t="n"/>
      <c r="P46" s="2" t="n"/>
    </row>
    <row r="47">
      <c r="A47" s="3" t="n">
        <v>47053</v>
      </c>
      <c r="B47" s="3" t="inlineStr">
        <is>
          <t>REINOSO SALAS YAJAIRA CAROLINA</t>
        </is>
      </c>
      <c r="C47" s="4" t="n">
        <v>46056</v>
      </c>
      <c r="D47" s="4" t="n">
        <v>46056</v>
      </c>
      <c r="E47" s="4" t="inlineStr">
        <is>
          <t>RENTA</t>
        </is>
      </c>
      <c r="F47" s="3" t="n">
        <v>307</v>
      </c>
      <c r="G47" s="3" t="n">
        <v>123</v>
      </c>
      <c r="H47" s="3" t="n">
        <v>2</v>
      </c>
      <c r="I47" s="3" t="n">
        <v>40</v>
      </c>
      <c r="J47" s="3" t="n">
        <v>0.8</v>
      </c>
      <c r="K47" s="2" t="n"/>
      <c r="L47" s="2" t="n"/>
      <c r="M47" s="2" t="n"/>
      <c r="N47" s="2" t="n"/>
      <c r="O47" s="2" t="n"/>
      <c r="P47" s="2" t="n"/>
    </row>
    <row r="48">
      <c r="A48" s="3" t="n">
        <v>47053</v>
      </c>
      <c r="B48" s="3" t="inlineStr">
        <is>
          <t>REINOSO SALAS YAJAIRA CAROLINA</t>
        </is>
      </c>
      <c r="C48" s="4" t="n">
        <v>46056</v>
      </c>
      <c r="D48" s="4" t="n">
        <v>46056</v>
      </c>
      <c r="E48" s="4" t="inlineStr">
        <is>
          <t>IVA</t>
        </is>
      </c>
      <c r="F48" s="3" t="n">
        <v>307</v>
      </c>
      <c r="G48" s="3" t="n">
        <v>123</v>
      </c>
      <c r="H48" s="3" t="n">
        <v>70</v>
      </c>
      <c r="I48" s="3" t="n">
        <v>6</v>
      </c>
      <c r="J48" s="3" t="n">
        <v>4.2</v>
      </c>
      <c r="K48" s="2" t="n"/>
      <c r="L48" s="2" t="n"/>
      <c r="M48" s="2" t="n"/>
      <c r="N48" s="2" t="n"/>
      <c r="O48" s="2" t="n"/>
      <c r="P48" s="2" t="n"/>
    </row>
    <row r="49">
      <c r="A49" s="3" t="n">
        <v>47054</v>
      </c>
      <c r="B49" s="3" t="inlineStr">
        <is>
          <t>YANGTSE-AUTO DEL ECUADOR S.A.</t>
        </is>
      </c>
      <c r="C49" s="4" t="n">
        <v>46056</v>
      </c>
      <c r="D49" s="4" t="n">
        <v>46056</v>
      </c>
      <c r="E49" s="4" t="inlineStr">
        <is>
          <t>RENTA</t>
        </is>
      </c>
      <c r="F49" s="3" t="n">
        <v>312</v>
      </c>
      <c r="G49" s="3" t="n">
        <v>629</v>
      </c>
      <c r="H49" s="3" t="n">
        <v>1.75</v>
      </c>
      <c r="I49" s="17" t="n">
        <v>13166.09</v>
      </c>
      <c r="J49" s="3" t="n">
        <v>230.41</v>
      </c>
      <c r="K49" s="2" t="n"/>
      <c r="L49" s="2" t="n"/>
      <c r="M49" s="2" t="n"/>
      <c r="N49" s="2" t="n"/>
      <c r="O49" s="2" t="n"/>
      <c r="P49" s="2" t="n"/>
    </row>
    <row r="50">
      <c r="A50" s="3" t="n">
        <v>47054</v>
      </c>
      <c r="B50" s="3" t="inlineStr">
        <is>
          <t>YANGTSE-AUTO DEL ECUADOR S.A.</t>
        </is>
      </c>
      <c r="C50" s="4" t="n">
        <v>46056</v>
      </c>
      <c r="D50" s="4" t="n">
        <v>46056</v>
      </c>
      <c r="E50" s="4" t="inlineStr">
        <is>
          <t>IVA</t>
        </is>
      </c>
      <c r="F50" s="3" t="n">
        <v>312</v>
      </c>
      <c r="G50" s="3" t="n">
        <v>629</v>
      </c>
      <c r="H50" s="3" t="n">
        <v>30</v>
      </c>
      <c r="I50" s="17" t="n">
        <v>1974.91</v>
      </c>
      <c r="J50" s="3" t="n">
        <v>592.47</v>
      </c>
      <c r="K50" s="2" t="n"/>
      <c r="L50" s="2" t="n"/>
      <c r="M50" s="2" t="n"/>
      <c r="N50" s="2" t="n"/>
      <c r="O50" s="2" t="n"/>
      <c r="P50" s="2" t="n"/>
    </row>
    <row r="51">
      <c r="A51" s="3" t="n">
        <v>47055</v>
      </c>
      <c r="B51" s="3" t="inlineStr">
        <is>
          <t>YANEZ APUANGO CRISTINA DE LOS ANGELES</t>
        </is>
      </c>
      <c r="C51" s="4" t="n">
        <v>46056</v>
      </c>
      <c r="D51" s="4" t="n">
        <v>46055</v>
      </c>
      <c r="E51" s="4" t="inlineStr">
        <is>
          <t>RENTA</t>
        </is>
      </c>
      <c r="F51" s="3" t="n">
        <v>312</v>
      </c>
      <c r="G51" s="3" t="n">
        <v>1912</v>
      </c>
      <c r="H51" s="3" t="n">
        <v>1.75</v>
      </c>
      <c r="I51" s="3" t="n">
        <v>40</v>
      </c>
      <c r="J51" s="3" t="n">
        <v>0.7</v>
      </c>
      <c r="K51" s="2" t="n"/>
      <c r="L51" s="2" t="n"/>
      <c r="M51" s="2" t="n"/>
      <c r="N51" s="2" t="n"/>
      <c r="O51" s="2" t="n"/>
      <c r="P51" s="2" t="n"/>
    </row>
    <row r="52">
      <c r="A52" s="3" t="n">
        <v>47055</v>
      </c>
      <c r="B52" s="3" t="inlineStr">
        <is>
          <t>YANEZ APUANGO CRISTINA DE LOS ANGELES</t>
        </is>
      </c>
      <c r="C52" s="4" t="n">
        <v>46056</v>
      </c>
      <c r="D52" s="4" t="n">
        <v>46055</v>
      </c>
      <c r="E52" s="4" t="inlineStr">
        <is>
          <t>IVA</t>
        </is>
      </c>
      <c r="F52" s="3" t="n">
        <v>312</v>
      </c>
      <c r="G52" s="3" t="n">
        <v>1912</v>
      </c>
      <c r="H52" s="3" t="n">
        <v>30</v>
      </c>
      <c r="I52" s="3" t="n">
        <v>6</v>
      </c>
      <c r="J52" s="3" t="n">
        <v>1.8</v>
      </c>
      <c r="K52" s="2" t="n"/>
      <c r="L52" s="2" t="n"/>
      <c r="M52" s="2" t="n"/>
      <c r="N52" s="2" t="n"/>
      <c r="O52" s="2" t="n"/>
      <c r="P52" s="2" t="n"/>
    </row>
    <row r="53">
      <c r="A53" s="3" t="n">
        <v>47056</v>
      </c>
      <c r="B53" s="3" t="inlineStr">
        <is>
          <t>LOPEZ PACA EDWIN MARCELO</t>
        </is>
      </c>
      <c r="C53" s="4" t="n">
        <v>46056</v>
      </c>
      <c r="D53" s="4" t="n">
        <v>46056</v>
      </c>
      <c r="E53" s="4" t="inlineStr">
        <is>
          <t>RENTA</t>
        </is>
      </c>
      <c r="F53" s="3" t="n">
        <v>307</v>
      </c>
      <c r="G53" s="3" t="n">
        <v>376</v>
      </c>
      <c r="H53" s="3" t="n">
        <v>2</v>
      </c>
      <c r="I53" s="3" t="n">
        <v>25</v>
      </c>
      <c r="J53" s="3" t="n">
        <v>0.5</v>
      </c>
      <c r="K53" s="2" t="n"/>
      <c r="L53" s="2" t="n"/>
      <c r="M53" s="2" t="n"/>
      <c r="N53" s="2" t="n"/>
      <c r="O53" s="2" t="n"/>
      <c r="P53" s="2" t="n"/>
    </row>
    <row r="54">
      <c r="A54" s="3" t="n">
        <v>47057</v>
      </c>
      <c r="B54" s="3" t="inlineStr">
        <is>
          <t>COMPAÑIA TECNOXPERTISE S.A.S.</t>
        </is>
      </c>
      <c r="C54" s="4" t="n">
        <v>46057</v>
      </c>
      <c r="D54" s="4" t="n">
        <v>46057</v>
      </c>
      <c r="E54" s="4" t="inlineStr">
        <is>
          <t>RENTA</t>
        </is>
      </c>
      <c r="F54" s="3" t="n">
        <v>344</v>
      </c>
      <c r="G54" s="3" t="n">
        <v>377</v>
      </c>
      <c r="H54" s="3" t="n">
        <v>2.75</v>
      </c>
      <c r="I54" s="3" t="n">
        <v>100</v>
      </c>
      <c r="J54" s="3" t="n">
        <v>2.75</v>
      </c>
      <c r="K54" s="2" t="n"/>
      <c r="L54" s="2" t="n"/>
      <c r="M54" s="2" t="n"/>
      <c r="N54" s="2" t="n"/>
      <c r="O54" s="2" t="n"/>
      <c r="P54" s="2" t="n"/>
    </row>
    <row r="55">
      <c r="A55" s="3" t="n">
        <v>47057</v>
      </c>
      <c r="B55" s="3" t="inlineStr">
        <is>
          <t>COMPAÑIA TECNOXPERTISE S.A.S.</t>
        </is>
      </c>
      <c r="C55" s="4" t="n">
        <v>46057</v>
      </c>
      <c r="D55" s="4" t="n">
        <v>46057</v>
      </c>
      <c r="E55" s="4" t="inlineStr">
        <is>
          <t>IVA</t>
        </is>
      </c>
      <c r="F55" s="3" t="n">
        <v>344</v>
      </c>
      <c r="G55" s="3" t="n">
        <v>377</v>
      </c>
      <c r="H55" s="3" t="n">
        <v>70</v>
      </c>
      <c r="I55" s="3" t="n">
        <v>15</v>
      </c>
      <c r="J55" s="3" t="n">
        <v>10.5</v>
      </c>
      <c r="K55" s="2" t="n"/>
      <c r="L55" s="2" t="n"/>
      <c r="M55" s="2" t="n"/>
      <c r="N55" s="2" t="n"/>
      <c r="O55" s="2" t="n"/>
      <c r="P55" s="2" t="n"/>
    </row>
    <row r="56">
      <c r="A56" s="3" t="n">
        <v>47058</v>
      </c>
      <c r="B56" s="3" t="inlineStr">
        <is>
          <t>MAYORGA MAYORGA WILSON RAMIRO</t>
        </is>
      </c>
      <c r="C56" s="4" t="n">
        <v>46057</v>
      </c>
      <c r="D56" s="4" t="n">
        <v>46057</v>
      </c>
      <c r="E56" s="4" t="inlineStr">
        <is>
          <t>RENTA</t>
        </is>
      </c>
      <c r="F56" s="3" t="n">
        <v>304</v>
      </c>
      <c r="G56" s="3" t="n">
        <v>76818</v>
      </c>
      <c r="H56" s="3" t="n">
        <v>10</v>
      </c>
      <c r="I56" s="3" t="n">
        <v>69.34</v>
      </c>
      <c r="J56" s="3" t="n">
        <v>6.93</v>
      </c>
      <c r="K56" s="2" t="n"/>
      <c r="L56" s="2" t="n"/>
      <c r="M56" s="2" t="n"/>
      <c r="N56" s="2" t="n"/>
      <c r="O56" s="2" t="n"/>
      <c r="P56" s="2" t="n"/>
    </row>
    <row r="57">
      <c r="A57" s="3" t="n">
        <v>47058</v>
      </c>
      <c r="B57" s="3" t="inlineStr">
        <is>
          <t>MAYORGA MAYORGA WILSON RAMIRO</t>
        </is>
      </c>
      <c r="C57" s="4" t="n">
        <v>46057</v>
      </c>
      <c r="D57" s="4" t="n">
        <v>46057</v>
      </c>
      <c r="E57" s="4" t="inlineStr">
        <is>
          <t>IVA</t>
        </is>
      </c>
      <c r="F57" s="3" t="n">
        <v>304</v>
      </c>
      <c r="G57" s="3" t="n">
        <v>76818</v>
      </c>
      <c r="H57" s="3" t="n">
        <v>70</v>
      </c>
      <c r="I57" s="3" t="n">
        <v>10.27</v>
      </c>
      <c r="J57" s="3" t="n">
        <v>7.19</v>
      </c>
      <c r="K57" s="2" t="n"/>
      <c r="L57" s="2" t="n"/>
      <c r="M57" s="2" t="n"/>
      <c r="N57" s="2" t="n"/>
      <c r="O57" s="2" t="n"/>
      <c r="P57" s="2" t="n"/>
    </row>
    <row r="58">
      <c r="A58" s="3" t="n">
        <v>47059</v>
      </c>
      <c r="B58" s="3" t="inlineStr">
        <is>
          <t>DILIGENCIAS LEGALES</t>
        </is>
      </c>
      <c r="C58" s="4" t="n">
        <v>46057</v>
      </c>
      <c r="D58" s="4" t="n">
        <v>46057</v>
      </c>
      <c r="E58" s="4" t="inlineStr">
        <is>
          <t>RENTA</t>
        </is>
      </c>
      <c r="F58" s="3" t="n">
        <v>303</v>
      </c>
      <c r="G58" s="3" t="n">
        <v>1804</v>
      </c>
      <c r="H58" s="3" t="n">
        <v>3</v>
      </c>
      <c r="I58" s="3" t="n">
        <v>208.96</v>
      </c>
      <c r="J58" s="3" t="n">
        <v>6.27</v>
      </c>
      <c r="K58" s="2" t="n"/>
      <c r="L58" s="2" t="n"/>
      <c r="M58" s="2" t="n"/>
      <c r="N58" s="2" t="n"/>
      <c r="O58" s="2" t="n"/>
      <c r="P58" s="2" t="n"/>
    </row>
    <row r="59">
      <c r="A59" s="3" t="n">
        <v>47059</v>
      </c>
      <c r="B59" s="3" t="inlineStr">
        <is>
          <t>DILIGENCIAS LEGALES</t>
        </is>
      </c>
      <c r="C59" s="4" t="n">
        <v>46057</v>
      </c>
      <c r="D59" s="4" t="n">
        <v>46057</v>
      </c>
      <c r="E59" s="4" t="inlineStr">
        <is>
          <t>IVA</t>
        </is>
      </c>
      <c r="F59" s="3" t="n">
        <v>303</v>
      </c>
      <c r="G59" s="3" t="n">
        <v>1804</v>
      </c>
      <c r="H59" s="3" t="n">
        <v>70</v>
      </c>
      <c r="I59" s="3" t="n">
        <v>31.34</v>
      </c>
      <c r="J59" s="3" t="n">
        <v>21.94</v>
      </c>
      <c r="K59" s="2" t="n"/>
      <c r="L59" s="2" t="n"/>
      <c r="M59" s="2" t="n"/>
      <c r="N59" s="2" t="n"/>
      <c r="O59" s="2" t="n"/>
      <c r="P59" s="2" t="n"/>
    </row>
    <row r="60">
      <c r="A60" s="3" t="n">
        <v>47060</v>
      </c>
      <c r="B60" s="3" t="inlineStr">
        <is>
          <t>MAYORGA MAYORGA WILSON RAMIRO</t>
        </is>
      </c>
      <c r="C60" s="4" t="n">
        <v>46057</v>
      </c>
      <c r="D60" s="4" t="n">
        <v>46057</v>
      </c>
      <c r="E60" s="4" t="inlineStr">
        <is>
          <t>RENTA</t>
        </is>
      </c>
      <c r="F60" s="3" t="n">
        <v>304</v>
      </c>
      <c r="G60" s="3" t="n">
        <v>76819</v>
      </c>
      <c r="H60" s="3" t="n">
        <v>10</v>
      </c>
      <c r="I60" s="3" t="n">
        <v>10.74</v>
      </c>
      <c r="J60" s="3" t="n">
        <v>1.07</v>
      </c>
      <c r="K60" s="2" t="n"/>
      <c r="L60" s="2" t="n"/>
      <c r="M60" s="2" t="n"/>
      <c r="N60" s="2" t="n"/>
      <c r="O60" s="2" t="n"/>
      <c r="P60" s="2" t="n"/>
    </row>
    <row r="61">
      <c r="A61" s="3" t="n">
        <v>47060</v>
      </c>
      <c r="B61" s="3" t="inlineStr">
        <is>
          <t>MAYORGA MAYORGA WILSON RAMIRO</t>
        </is>
      </c>
      <c r="C61" s="4" t="n">
        <v>46057</v>
      </c>
      <c r="D61" s="4" t="n">
        <v>46057</v>
      </c>
      <c r="E61" s="4" t="inlineStr">
        <is>
          <t>IVA</t>
        </is>
      </c>
      <c r="F61" s="3" t="n">
        <v>304</v>
      </c>
      <c r="G61" s="3" t="n">
        <v>76819</v>
      </c>
      <c r="H61" s="3" t="n">
        <v>70</v>
      </c>
      <c r="I61" s="3" t="n">
        <v>1.61</v>
      </c>
      <c r="J61" s="3" t="n">
        <v>1.13</v>
      </c>
      <c r="K61" s="2" t="n"/>
      <c r="L61" s="2" t="n"/>
      <c r="M61" s="2" t="n"/>
      <c r="N61" s="2" t="n"/>
      <c r="O61" s="2" t="n"/>
      <c r="P61" s="2" t="n"/>
    </row>
    <row r="62">
      <c r="A62" s="3" t="n">
        <v>47061</v>
      </c>
      <c r="B62" s="3" t="inlineStr">
        <is>
          <t>TITANIA TRACKING SOLUTIONS-EC S A S</t>
        </is>
      </c>
      <c r="C62" s="4" t="n">
        <v>46057</v>
      </c>
      <c r="D62" s="4" t="n">
        <v>46057</v>
      </c>
      <c r="E62" s="4" t="inlineStr">
        <is>
          <t>IVA</t>
        </is>
      </c>
      <c r="F62" s="3" t="n">
        <v>312</v>
      </c>
      <c r="G62" s="3" t="n">
        <v>17622</v>
      </c>
      <c r="H62" s="3" t="n">
        <v>30</v>
      </c>
      <c r="I62" s="3" t="n">
        <v>306</v>
      </c>
      <c r="J62" s="3" t="n">
        <v>91.8</v>
      </c>
      <c r="K62" s="2" t="n"/>
      <c r="L62" s="2" t="n"/>
      <c r="M62" s="2" t="n"/>
      <c r="N62" s="2" t="n"/>
      <c r="O62" s="2" t="n"/>
      <c r="P62" s="2" t="n"/>
    </row>
    <row r="63">
      <c r="A63" s="3" t="n">
        <v>47061</v>
      </c>
      <c r="B63" s="3" t="inlineStr">
        <is>
          <t>TITANIA TRACKING SOLUTIONS-EC S A S</t>
        </is>
      </c>
      <c r="C63" s="4" t="n">
        <v>46057</v>
      </c>
      <c r="D63" s="4" t="n">
        <v>46057</v>
      </c>
      <c r="E63" s="4" t="inlineStr">
        <is>
          <t>RENTA</t>
        </is>
      </c>
      <c r="F63" s="3" t="n">
        <v>312</v>
      </c>
      <c r="G63" s="3" t="n">
        <v>17622</v>
      </c>
      <c r="H63" s="3" t="n">
        <v>1.75</v>
      </c>
      <c r="I63" s="17" t="n">
        <v>2040</v>
      </c>
      <c r="J63" s="3" t="n">
        <v>35.7</v>
      </c>
      <c r="K63" s="2" t="n"/>
      <c r="L63" s="2" t="n"/>
      <c r="M63" s="2" t="n"/>
      <c r="N63" s="2" t="n"/>
      <c r="O63" s="2" t="n"/>
      <c r="P63" s="2" t="n"/>
    </row>
    <row r="64">
      <c r="A64" s="3" t="n">
        <v>47062</v>
      </c>
      <c r="B64" s="3" t="inlineStr">
        <is>
          <t>YANGTSE-AUTO DEL ECUADOR S.A.</t>
        </is>
      </c>
      <c r="C64" s="4" t="n">
        <v>46057</v>
      </c>
      <c r="D64" s="4" t="n">
        <v>46057</v>
      </c>
      <c r="E64" s="4" t="inlineStr">
        <is>
          <t>RENTA</t>
        </is>
      </c>
      <c r="F64" s="3" t="n">
        <v>312</v>
      </c>
      <c r="G64" s="3" t="n">
        <v>523</v>
      </c>
      <c r="H64" s="3" t="n">
        <v>1.75</v>
      </c>
      <c r="I64" s="3" t="n">
        <v>347.83</v>
      </c>
      <c r="J64" s="3" t="n">
        <v>6.09</v>
      </c>
      <c r="K64" s="2" t="n"/>
      <c r="L64" s="2" t="n"/>
      <c r="M64" s="2" t="n"/>
      <c r="N64" s="2" t="n"/>
      <c r="O64" s="2" t="n"/>
      <c r="P64" s="2" t="n"/>
    </row>
    <row r="65">
      <c r="A65" s="3" t="n">
        <v>47062</v>
      </c>
      <c r="B65" s="3" t="inlineStr">
        <is>
          <t>YANGTSE-AUTO DEL ECUADOR S.A.</t>
        </is>
      </c>
      <c r="C65" s="4" t="n">
        <v>46057</v>
      </c>
      <c r="D65" s="4" t="n">
        <v>46057</v>
      </c>
      <c r="E65" s="4" t="inlineStr">
        <is>
          <t>IVA</t>
        </is>
      </c>
      <c r="F65" s="3" t="n">
        <v>312</v>
      </c>
      <c r="G65" s="3" t="n">
        <v>523</v>
      </c>
      <c r="H65" s="3" t="n">
        <v>30</v>
      </c>
      <c r="I65" s="3" t="n">
        <v>52.17</v>
      </c>
      <c r="J65" s="3" t="n">
        <v>15.65</v>
      </c>
      <c r="K65" s="2" t="n"/>
      <c r="L65" s="2" t="n"/>
      <c r="M65" s="2" t="n"/>
      <c r="N65" s="2" t="n"/>
      <c r="O65" s="2" t="n"/>
      <c r="P65" s="2" t="n"/>
    </row>
    <row r="66">
      <c r="A66" s="3" t="n">
        <v>47063</v>
      </c>
      <c r="B66" s="3" t="inlineStr">
        <is>
          <t>TOYOTASERVICIOS S.A.</t>
        </is>
      </c>
      <c r="C66" s="4" t="n">
        <v>46057</v>
      </c>
      <c r="D66" s="4" t="n">
        <v>46056</v>
      </c>
      <c r="E66" s="4" t="inlineStr">
        <is>
          <t>IVA</t>
        </is>
      </c>
      <c r="F66" s="3" t="n">
        <v>344</v>
      </c>
      <c r="G66" s="3" t="n">
        <v>52803</v>
      </c>
      <c r="H66" s="3" t="n">
        <v>70</v>
      </c>
      <c r="I66" s="3" t="n">
        <v>2.91</v>
      </c>
      <c r="J66" s="3" t="n">
        <v>2.04</v>
      </c>
      <c r="K66" s="2" t="n"/>
      <c r="L66" s="2" t="n"/>
      <c r="M66" s="2" t="n"/>
      <c r="N66" s="2" t="n"/>
      <c r="O66" s="2" t="n"/>
      <c r="P66" s="2" t="n"/>
    </row>
    <row r="67">
      <c r="A67" s="3" t="n">
        <v>47063</v>
      </c>
      <c r="B67" s="3" t="inlineStr">
        <is>
          <t>TOYOTASERVICIOS S.A.</t>
        </is>
      </c>
      <c r="C67" s="4" t="n">
        <v>46057</v>
      </c>
      <c r="D67" s="4" t="n">
        <v>46056</v>
      </c>
      <c r="E67" s="4" t="inlineStr">
        <is>
          <t>RENTA</t>
        </is>
      </c>
      <c r="F67" s="3" t="n">
        <v>344</v>
      </c>
      <c r="G67" s="3" t="n">
        <v>52803</v>
      </c>
      <c r="H67" s="3" t="n">
        <v>2.75</v>
      </c>
      <c r="I67" s="3" t="n">
        <v>19.4</v>
      </c>
      <c r="J67" s="3" t="n">
        <v>0.53</v>
      </c>
      <c r="K67" s="2" t="n"/>
      <c r="L67" s="2" t="n"/>
      <c r="M67" s="2" t="n"/>
      <c r="N67" s="2" t="n"/>
      <c r="O67" s="2" t="n"/>
      <c r="P67" s="2" t="n"/>
    </row>
    <row r="68">
      <c r="A68" s="3" t="n">
        <v>47064</v>
      </c>
      <c r="B68" s="3" t="inlineStr">
        <is>
          <t>TOYOTASERVICIOS S.A.</t>
        </is>
      </c>
      <c r="C68" s="4" t="n">
        <v>46057</v>
      </c>
      <c r="D68" s="4" t="n">
        <v>46056</v>
      </c>
      <c r="E68" s="4" t="inlineStr">
        <is>
          <t>IVA</t>
        </is>
      </c>
      <c r="F68" s="3" t="n">
        <v>312</v>
      </c>
      <c r="G68" s="3" t="n">
        <v>52804</v>
      </c>
      <c r="H68" s="3" t="n">
        <v>30</v>
      </c>
      <c r="I68" s="3" t="n">
        <v>9.550000000000001</v>
      </c>
      <c r="J68" s="3" t="n">
        <v>2.87</v>
      </c>
      <c r="K68" s="2" t="n"/>
      <c r="L68" s="2" t="n"/>
      <c r="M68" s="2" t="n"/>
      <c r="N68" s="2" t="n"/>
      <c r="O68" s="2" t="n"/>
      <c r="P68" s="2" t="n"/>
    </row>
    <row r="69">
      <c r="A69" s="3" t="n">
        <v>47064</v>
      </c>
      <c r="B69" s="3" t="inlineStr">
        <is>
          <t>TOYOTASERVICIOS S.A.</t>
        </is>
      </c>
      <c r="C69" s="4" t="n">
        <v>46057</v>
      </c>
      <c r="D69" s="4" t="n">
        <v>46056</v>
      </c>
      <c r="E69" s="4" t="inlineStr">
        <is>
          <t>RENTA</t>
        </is>
      </c>
      <c r="F69" s="3" t="n">
        <v>312</v>
      </c>
      <c r="G69" s="3" t="n">
        <v>52804</v>
      </c>
      <c r="H69" s="3" t="n">
        <v>1.75</v>
      </c>
      <c r="I69" s="3" t="n">
        <v>63.66</v>
      </c>
      <c r="J69" s="3" t="n">
        <v>1.11</v>
      </c>
      <c r="K69" s="2" t="n"/>
      <c r="L69" s="2" t="n"/>
      <c r="M69" s="2" t="n"/>
      <c r="N69" s="2" t="n"/>
      <c r="O69" s="2" t="n"/>
      <c r="P69" s="2" t="n"/>
    </row>
    <row r="70">
      <c r="A70" s="3" t="n">
        <v>47065</v>
      </c>
      <c r="B70" s="3" t="inlineStr">
        <is>
          <t>TOYOTASERVICIOS S.A.</t>
        </is>
      </c>
      <c r="C70" s="4" t="n">
        <v>46058</v>
      </c>
      <c r="D70" s="4" t="n">
        <v>46058</v>
      </c>
      <c r="E70" s="4" t="inlineStr">
        <is>
          <t>RENTA</t>
        </is>
      </c>
      <c r="F70" s="3" t="n">
        <v>344</v>
      </c>
      <c r="G70" s="3" t="n">
        <v>52828</v>
      </c>
      <c r="H70" s="3" t="n">
        <v>2.75</v>
      </c>
      <c r="I70" s="3" t="n">
        <v>48.6</v>
      </c>
      <c r="J70" s="3" t="n">
        <v>1.34</v>
      </c>
      <c r="K70" s="2" t="n"/>
      <c r="L70" s="2" t="n"/>
      <c r="M70" s="2" t="n"/>
      <c r="N70" s="2" t="n"/>
      <c r="O70" s="2" t="n"/>
      <c r="P70" s="2" t="n"/>
    </row>
    <row r="71">
      <c r="A71" s="3" t="n">
        <v>47065</v>
      </c>
      <c r="B71" s="3" t="inlineStr">
        <is>
          <t>TOYOTASERVICIOS S.A.</t>
        </is>
      </c>
      <c r="C71" s="4" t="n">
        <v>46058</v>
      </c>
      <c r="D71" s="4" t="n">
        <v>46058</v>
      </c>
      <c r="E71" s="4" t="inlineStr">
        <is>
          <t>IVA</t>
        </is>
      </c>
      <c r="F71" s="3" t="n">
        <v>344</v>
      </c>
      <c r="G71" s="3" t="n">
        <v>52828</v>
      </c>
      <c r="H71" s="3" t="n">
        <v>70</v>
      </c>
      <c r="I71" s="3" t="n">
        <v>7.29</v>
      </c>
      <c r="J71" s="3" t="n">
        <v>5.1</v>
      </c>
      <c r="K71" s="2" t="n"/>
      <c r="L71" s="2" t="n"/>
      <c r="M71" s="2" t="n"/>
      <c r="N71" s="2" t="n"/>
      <c r="O71" s="2" t="n"/>
      <c r="P71" s="2" t="n"/>
    </row>
    <row r="72">
      <c r="A72" s="3" t="n">
        <v>47066</v>
      </c>
      <c r="B72" s="3" t="inlineStr">
        <is>
          <t>TITANIA TRACKING SOLUTIONS-EC S A S</t>
        </is>
      </c>
      <c r="C72" s="4" t="n">
        <v>46058</v>
      </c>
      <c r="D72" s="4" t="n">
        <v>46058</v>
      </c>
      <c r="E72" s="4" t="inlineStr">
        <is>
          <t>RENTA</t>
        </is>
      </c>
      <c r="F72" s="3" t="n">
        <v>312</v>
      </c>
      <c r="G72" s="3" t="n">
        <v>17621</v>
      </c>
      <c r="H72" s="3" t="n">
        <v>1.75</v>
      </c>
      <c r="I72" s="17" t="n">
        <v>2040</v>
      </c>
      <c r="J72" s="3" t="n">
        <v>35.7</v>
      </c>
      <c r="K72" s="2" t="n"/>
      <c r="L72" s="2" t="n"/>
      <c r="M72" s="2" t="n"/>
      <c r="N72" s="2" t="n"/>
      <c r="O72" s="2" t="n"/>
      <c r="P72" s="2" t="n"/>
    </row>
    <row r="73">
      <c r="A73" s="3" t="n">
        <v>47066</v>
      </c>
      <c r="B73" s="3" t="inlineStr">
        <is>
          <t>TITANIA TRACKING SOLUTIONS-EC S A S</t>
        </is>
      </c>
      <c r="C73" s="4" t="n">
        <v>46058</v>
      </c>
      <c r="D73" s="4" t="n">
        <v>46058</v>
      </c>
      <c r="E73" s="4" t="inlineStr">
        <is>
          <t>IVA</t>
        </is>
      </c>
      <c r="F73" s="3" t="n">
        <v>312</v>
      </c>
      <c r="G73" s="3" t="n">
        <v>17621</v>
      </c>
      <c r="H73" s="3" t="n">
        <v>30</v>
      </c>
      <c r="I73" s="3" t="n">
        <v>306</v>
      </c>
      <c r="J73" s="3" t="n">
        <v>91.8</v>
      </c>
      <c r="K73" s="2" t="n"/>
      <c r="L73" s="2" t="n"/>
      <c r="M73" s="2" t="n"/>
      <c r="N73" s="2" t="n"/>
      <c r="O73" s="2" t="n"/>
      <c r="P73" s="2" t="n"/>
    </row>
    <row r="74">
      <c r="A74" s="3" t="n">
        <v>47067</v>
      </c>
      <c r="B74" s="3" t="inlineStr">
        <is>
          <t>SZK DEL ECUADOR S.A.</t>
        </is>
      </c>
      <c r="C74" s="4" t="n">
        <v>46058</v>
      </c>
      <c r="D74" s="4" t="n">
        <v>46058</v>
      </c>
      <c r="E74" s="4" t="inlineStr">
        <is>
          <t>IVA</t>
        </is>
      </c>
      <c r="F74" s="3" t="n">
        <v>332</v>
      </c>
      <c r="G74" s="3" t="n">
        <v>1518</v>
      </c>
      <c r="H74" s="3" t="n">
        <v>10</v>
      </c>
      <c r="I74" s="3" t="n">
        <v>65.22</v>
      </c>
      <c r="J74" s="3" t="n">
        <v>6.52</v>
      </c>
      <c r="K74" s="2" t="n"/>
      <c r="L74" s="2" t="n"/>
      <c r="M74" s="2" t="n"/>
      <c r="N74" s="2" t="n"/>
      <c r="O74" s="2" t="n"/>
      <c r="P74" s="2" t="n"/>
    </row>
    <row r="75">
      <c r="A75" s="3" t="n">
        <v>47068</v>
      </c>
      <c r="B75" s="3" t="inlineStr">
        <is>
          <t>ARMAS MELENDEZ MONICA ALEXANDRA</t>
        </is>
      </c>
      <c r="C75" s="4" t="n">
        <v>46058</v>
      </c>
      <c r="D75" s="4" t="n">
        <v>46058</v>
      </c>
      <c r="E75" s="4" t="inlineStr">
        <is>
          <t>IVA</t>
        </is>
      </c>
      <c r="F75" s="3" t="n">
        <v>304</v>
      </c>
      <c r="G75" s="3" t="n">
        <v>212880</v>
      </c>
      <c r="H75" s="3" t="n">
        <v>70</v>
      </c>
      <c r="I75" s="3" t="n">
        <v>15.14</v>
      </c>
      <c r="J75" s="3" t="n">
        <v>10.6</v>
      </c>
      <c r="K75" s="2" t="n"/>
      <c r="L75" s="2" t="n"/>
      <c r="M75" s="2" t="n"/>
      <c r="N75" s="2" t="n"/>
      <c r="O75" s="2" t="n"/>
      <c r="P75" s="2" t="n"/>
    </row>
    <row r="76">
      <c r="A76" s="3" t="n">
        <v>47068</v>
      </c>
      <c r="B76" s="3" t="inlineStr">
        <is>
          <t>ARMAS MELENDEZ MONICA ALEXANDRA</t>
        </is>
      </c>
      <c r="C76" s="4" t="n">
        <v>46058</v>
      </c>
      <c r="D76" s="4" t="n">
        <v>46058</v>
      </c>
      <c r="E76" s="4" t="inlineStr">
        <is>
          <t>RENTA</t>
        </is>
      </c>
      <c r="F76" s="3" t="n">
        <v>304</v>
      </c>
      <c r="G76" s="3" t="n">
        <v>212880</v>
      </c>
      <c r="H76" s="3" t="n">
        <v>10</v>
      </c>
      <c r="I76" s="3" t="n">
        <v>101.83</v>
      </c>
      <c r="J76" s="3" t="n">
        <v>10.18</v>
      </c>
      <c r="K76" s="2" t="n"/>
      <c r="L76" s="2" t="n"/>
      <c r="M76" s="2" t="n"/>
      <c r="N76" s="2" t="n"/>
      <c r="O76" s="2" t="n"/>
      <c r="P76" s="2" t="n"/>
    </row>
    <row r="77">
      <c r="A77" s="3" t="n">
        <v>47069</v>
      </c>
      <c r="B77" s="3" t="inlineStr">
        <is>
          <t>TOYOTASERVICIOS S.A.</t>
        </is>
      </c>
      <c r="C77" s="4" t="n">
        <v>46058</v>
      </c>
      <c r="D77" s="4" t="n">
        <v>46058</v>
      </c>
      <c r="E77" s="4" t="inlineStr">
        <is>
          <t>IVA</t>
        </is>
      </c>
      <c r="F77" s="3" t="n">
        <v>312</v>
      </c>
      <c r="G77" s="3" t="n">
        <v>14870</v>
      </c>
      <c r="H77" s="3" t="n">
        <v>30</v>
      </c>
      <c r="I77" s="3" t="n">
        <v>102.09</v>
      </c>
      <c r="J77" s="3" t="n">
        <v>30.63</v>
      </c>
      <c r="K77" s="2" t="n"/>
      <c r="L77" s="2" t="n"/>
      <c r="M77" s="2" t="n"/>
      <c r="N77" s="2" t="n"/>
      <c r="O77" s="2" t="n"/>
      <c r="P77" s="2" t="n"/>
    </row>
    <row r="78">
      <c r="A78" s="3" t="n">
        <v>47069</v>
      </c>
      <c r="B78" s="3" t="inlineStr">
        <is>
          <t>TOYOTASERVICIOS S.A.</t>
        </is>
      </c>
      <c r="C78" s="4" t="n">
        <v>46058</v>
      </c>
      <c r="D78" s="4" t="n">
        <v>46058</v>
      </c>
      <c r="E78" s="4" t="inlineStr">
        <is>
          <t>RENTA</t>
        </is>
      </c>
      <c r="F78" s="3" t="n">
        <v>312</v>
      </c>
      <c r="G78" s="3" t="n">
        <v>14870</v>
      </c>
      <c r="H78" s="3" t="n">
        <v>1.75</v>
      </c>
      <c r="I78" s="3" t="n">
        <v>680.6</v>
      </c>
      <c r="J78" s="3" t="n">
        <v>11.91</v>
      </c>
      <c r="K78" s="2" t="n"/>
      <c r="L78" s="2" t="n"/>
      <c r="M78" s="2" t="n"/>
      <c r="N78" s="2" t="n"/>
      <c r="O78" s="2" t="n"/>
      <c r="P78" s="2" t="n"/>
    </row>
    <row r="79">
      <c r="A79" s="3" t="n">
        <v>47070</v>
      </c>
      <c r="B79" s="3" t="inlineStr">
        <is>
          <t>SZK DEL ECUADOR S.A.</t>
        </is>
      </c>
      <c r="C79" s="4" t="n">
        <v>46058</v>
      </c>
      <c r="D79" s="4" t="n">
        <v>46058</v>
      </c>
      <c r="E79" s="4" t="inlineStr">
        <is>
          <t>IVA</t>
        </is>
      </c>
      <c r="F79" s="3" t="n">
        <v>312</v>
      </c>
      <c r="G79" s="3" t="n">
        <v>3181</v>
      </c>
      <c r="H79" s="3" t="n">
        <v>10</v>
      </c>
      <c r="I79" s="17" t="n">
        <v>3316.73</v>
      </c>
      <c r="J79" s="3" t="n">
        <v>331.67</v>
      </c>
      <c r="K79" s="2" t="n"/>
      <c r="L79" s="2" t="n"/>
      <c r="M79" s="2" t="n"/>
      <c r="N79" s="2" t="n"/>
      <c r="O79" s="2" t="n"/>
      <c r="P79" s="2" t="n"/>
    </row>
    <row r="80">
      <c r="A80" s="3" t="n">
        <v>47071</v>
      </c>
      <c r="B80" s="3" t="inlineStr">
        <is>
          <t>ASEGURADORA DEL SUR C.A.</t>
        </is>
      </c>
      <c r="C80" s="4" t="n">
        <v>46058</v>
      </c>
      <c r="D80" s="4" t="n">
        <v>46058</v>
      </c>
      <c r="E80" s="4" t="inlineStr">
        <is>
          <t>IVA</t>
        </is>
      </c>
      <c r="F80" s="3" t="n">
        <v>332</v>
      </c>
      <c r="G80" s="3" t="n">
        <v>50763</v>
      </c>
      <c r="H80" s="3" t="n">
        <v>20</v>
      </c>
      <c r="I80" s="3" t="n">
        <v>72.81</v>
      </c>
      <c r="J80" s="3" t="n">
        <v>14.56</v>
      </c>
      <c r="K80" s="2" t="n"/>
      <c r="L80" s="2" t="n"/>
      <c r="M80" s="2" t="n"/>
      <c r="N80" s="2" t="n"/>
      <c r="O80" s="2" t="n"/>
      <c r="P80" s="2" t="n"/>
    </row>
    <row r="81">
      <c r="A81" s="3" t="n">
        <v>47072</v>
      </c>
      <c r="B81" s="3" t="inlineStr">
        <is>
          <t>REINOSO SALAS YAJAIRA CAROLINA</t>
        </is>
      </c>
      <c r="C81" s="4" t="n">
        <v>46058</v>
      </c>
      <c r="D81" s="4" t="n">
        <v>46057</v>
      </c>
      <c r="E81" s="4" t="inlineStr">
        <is>
          <t>IVA</t>
        </is>
      </c>
      <c r="F81" s="3" t="n">
        <v>307</v>
      </c>
      <c r="G81" s="3" t="n">
        <v>127</v>
      </c>
      <c r="H81" s="3" t="n">
        <v>70</v>
      </c>
      <c r="I81" s="3" t="n">
        <v>7.5</v>
      </c>
      <c r="J81" s="3" t="n">
        <v>5.25</v>
      </c>
      <c r="K81" s="2" t="n"/>
      <c r="L81" s="2" t="n"/>
      <c r="M81" s="2" t="n"/>
      <c r="N81" s="2" t="n"/>
      <c r="O81" s="2" t="n"/>
      <c r="P81" s="2" t="n"/>
    </row>
    <row r="82">
      <c r="A82" s="3" t="n">
        <v>47072</v>
      </c>
      <c r="B82" s="3" t="inlineStr">
        <is>
          <t>REINOSO SALAS YAJAIRA CAROLINA</t>
        </is>
      </c>
      <c r="C82" s="4" t="n">
        <v>46058</v>
      </c>
      <c r="D82" s="4" t="n">
        <v>46057</v>
      </c>
      <c r="E82" s="4" t="inlineStr">
        <is>
          <t>RENTA</t>
        </is>
      </c>
      <c r="F82" s="3" t="n">
        <v>307</v>
      </c>
      <c r="G82" s="3" t="n">
        <v>127</v>
      </c>
      <c r="H82" s="3" t="n">
        <v>2</v>
      </c>
      <c r="I82" s="3" t="n">
        <v>50</v>
      </c>
      <c r="J82" s="3" t="n">
        <v>1</v>
      </c>
      <c r="K82" s="2" t="n"/>
      <c r="L82" s="2" t="n"/>
      <c r="M82" s="2" t="n"/>
      <c r="N82" s="2" t="n"/>
      <c r="O82" s="2" t="n"/>
      <c r="P82" s="2" t="n"/>
    </row>
    <row r="83">
      <c r="A83" s="3" t="n">
        <v>47073</v>
      </c>
      <c r="B83" s="3" t="inlineStr">
        <is>
          <t>COLCHA AREVALO LIZARDO ENRIQUE</t>
        </is>
      </c>
      <c r="C83" s="4" t="n">
        <v>46058</v>
      </c>
      <c r="D83" s="4" t="n">
        <v>46058</v>
      </c>
      <c r="E83" s="4" t="inlineStr">
        <is>
          <t>IVA</t>
        </is>
      </c>
      <c r="F83" s="3" t="n">
        <v>307</v>
      </c>
      <c r="G83" s="3" t="n">
        <v>776</v>
      </c>
      <c r="H83" s="3" t="n">
        <v>70</v>
      </c>
      <c r="I83" s="3" t="n">
        <v>24</v>
      </c>
      <c r="J83" s="3" t="n">
        <v>16.8</v>
      </c>
      <c r="K83" s="2" t="n"/>
      <c r="L83" s="2" t="n"/>
      <c r="M83" s="2" t="n"/>
      <c r="N83" s="2" t="n"/>
      <c r="O83" s="2" t="n"/>
      <c r="P83" s="2" t="n"/>
    </row>
    <row r="84">
      <c r="A84" s="3" t="n">
        <v>47073</v>
      </c>
      <c r="B84" s="3" t="inlineStr">
        <is>
          <t>COLCHA AREVALO LIZARDO ENRIQUE</t>
        </is>
      </c>
      <c r="C84" s="4" t="n">
        <v>46058</v>
      </c>
      <c r="D84" s="4" t="n">
        <v>46058</v>
      </c>
      <c r="E84" s="4" t="inlineStr">
        <is>
          <t>RENTA</t>
        </is>
      </c>
      <c r="F84" s="3" t="n">
        <v>307</v>
      </c>
      <c r="G84" s="3" t="n">
        <v>776</v>
      </c>
      <c r="H84" s="3" t="n">
        <v>2</v>
      </c>
      <c r="I84" s="3" t="n">
        <v>160</v>
      </c>
      <c r="J84" s="3" t="n">
        <v>3.2</v>
      </c>
      <c r="K84" s="2" t="n"/>
      <c r="L84" s="2" t="n"/>
      <c r="M84" s="2" t="n"/>
      <c r="N84" s="2" t="n"/>
      <c r="O84" s="2" t="n"/>
      <c r="P84" s="2" t="n"/>
    </row>
    <row r="85">
      <c r="A85" s="3" t="n">
        <v>47074</v>
      </c>
      <c r="B85" s="3" t="inlineStr">
        <is>
          <t>REINOSO SALAS YAJAIRA CAROLINA</t>
        </is>
      </c>
      <c r="C85" s="4" t="n">
        <v>46058</v>
      </c>
      <c r="D85" s="4" t="n">
        <v>46057</v>
      </c>
      <c r="E85" s="4" t="inlineStr">
        <is>
          <t>IVA</t>
        </is>
      </c>
      <c r="F85" s="3" t="n">
        <v>307</v>
      </c>
      <c r="G85" s="3" t="n">
        <v>126</v>
      </c>
      <c r="H85" s="3" t="n">
        <v>70</v>
      </c>
      <c r="I85" s="3" t="n">
        <v>7.5</v>
      </c>
      <c r="J85" s="3" t="n">
        <v>5.25</v>
      </c>
      <c r="K85" s="2" t="n"/>
      <c r="L85" s="2" t="n"/>
      <c r="M85" s="2" t="n"/>
      <c r="N85" s="2" t="n"/>
      <c r="O85" s="2" t="n"/>
      <c r="P85" s="2" t="n"/>
    </row>
    <row r="86">
      <c r="A86" s="3" t="n">
        <v>47074</v>
      </c>
      <c r="B86" s="3" t="inlineStr">
        <is>
          <t>REINOSO SALAS YAJAIRA CAROLINA</t>
        </is>
      </c>
      <c r="C86" s="4" t="n">
        <v>46058</v>
      </c>
      <c r="D86" s="4" t="n">
        <v>46057</v>
      </c>
      <c r="E86" s="4" t="inlineStr">
        <is>
          <t>RENTA</t>
        </is>
      </c>
      <c r="F86" s="3" t="n">
        <v>307</v>
      </c>
      <c r="G86" s="3" t="n">
        <v>126</v>
      </c>
      <c r="H86" s="3" t="n">
        <v>2</v>
      </c>
      <c r="I86" s="3" t="n">
        <v>50</v>
      </c>
      <c r="J86" s="3" t="n">
        <v>1</v>
      </c>
      <c r="K86" s="2" t="n"/>
      <c r="L86" s="2" t="n"/>
      <c r="M86" s="2" t="n"/>
      <c r="N86" s="2" t="n"/>
      <c r="O86" s="2" t="n"/>
      <c r="P86" s="2" t="n"/>
    </row>
    <row r="87">
      <c r="A87" s="3" t="n">
        <v>47075</v>
      </c>
      <c r="B87" s="3" t="inlineStr">
        <is>
          <t>CEVALLOS CALLE NELSON RODRIGO</t>
        </is>
      </c>
      <c r="C87" s="4" t="n">
        <v>46058</v>
      </c>
      <c r="D87" s="4" t="n">
        <v>46057</v>
      </c>
      <c r="E87" s="4" t="inlineStr">
        <is>
          <t>RENTA</t>
        </is>
      </c>
      <c r="F87" s="3" t="n">
        <v>332</v>
      </c>
      <c r="G87" s="3" t="n">
        <v>230</v>
      </c>
      <c r="H87" s="3" t="n">
        <v>0</v>
      </c>
      <c r="I87" s="3" t="n">
        <v>37</v>
      </c>
      <c r="J87" s="3" t="n">
        <v>0</v>
      </c>
      <c r="K87" s="2" t="n"/>
      <c r="L87" s="2" t="n"/>
      <c r="M87" s="2" t="n"/>
      <c r="N87" s="2" t="n"/>
      <c r="O87" s="2" t="n"/>
      <c r="P87" s="2" t="n"/>
    </row>
    <row r="88">
      <c r="A88" s="3" t="n">
        <v>47076</v>
      </c>
      <c r="B88" s="3" t="inlineStr">
        <is>
          <t>COMP. DE SEGURIDAD PRIVADA AMBASEGURITY CIA.LTDA.</t>
        </is>
      </c>
      <c r="C88" s="4" t="n">
        <v>46058</v>
      </c>
      <c r="D88" s="4" t="n">
        <v>46056</v>
      </c>
      <c r="E88" s="4" t="inlineStr">
        <is>
          <t>IVA</t>
        </is>
      </c>
      <c r="F88" s="3" t="n">
        <v>344</v>
      </c>
      <c r="G88" s="3" t="n">
        <v>2473</v>
      </c>
      <c r="H88" s="3" t="n">
        <v>70</v>
      </c>
      <c r="I88" s="3" t="n">
        <v>170.26</v>
      </c>
      <c r="J88" s="3" t="n">
        <v>119.18</v>
      </c>
      <c r="K88" s="2" t="n"/>
      <c r="L88" s="2" t="n"/>
      <c r="M88" s="2" t="n"/>
      <c r="N88" s="2" t="n"/>
      <c r="O88" s="2" t="n"/>
      <c r="P88" s="2" t="n"/>
    </row>
    <row r="89">
      <c r="A89" s="3" t="n">
        <v>47076</v>
      </c>
      <c r="B89" s="3" t="inlineStr">
        <is>
          <t>COMP. DE SEGURIDAD PRIVADA AMBASEGURITY CIA.LTDA.</t>
        </is>
      </c>
      <c r="C89" s="4" t="n">
        <v>46058</v>
      </c>
      <c r="D89" s="4" t="n">
        <v>46056</v>
      </c>
      <c r="E89" s="4" t="inlineStr">
        <is>
          <t>RENTA</t>
        </is>
      </c>
      <c r="F89" s="3" t="n">
        <v>344</v>
      </c>
      <c r="G89" s="3" t="n">
        <v>2473</v>
      </c>
      <c r="H89" s="3" t="n">
        <v>2.75</v>
      </c>
      <c r="I89" s="17" t="n">
        <v>1135.04</v>
      </c>
      <c r="J89" s="3" t="n">
        <v>31.21</v>
      </c>
      <c r="K89" s="2" t="n"/>
      <c r="L89" s="2" t="n"/>
      <c r="M89" s="2" t="n"/>
      <c r="N89" s="2" t="n"/>
      <c r="O89" s="2" t="n"/>
      <c r="P89" s="2" t="n"/>
    </row>
    <row r="90">
      <c r="A90" s="3" t="n">
        <v>47077</v>
      </c>
      <c r="B90" s="3" t="inlineStr">
        <is>
          <t>GARCES PEREZ HECTOR BOLIVAR</t>
        </is>
      </c>
      <c r="C90" s="4" t="n">
        <v>46058</v>
      </c>
      <c r="D90" s="4" t="n">
        <v>46057</v>
      </c>
      <c r="E90" s="4" t="inlineStr">
        <is>
          <t>IVA</t>
        </is>
      </c>
      <c r="F90" s="3" t="n">
        <v>320</v>
      </c>
      <c r="G90" s="3" t="n">
        <v>21</v>
      </c>
      <c r="H90" s="3" t="n">
        <v>100</v>
      </c>
      <c r="I90" s="3" t="n">
        <v>675</v>
      </c>
      <c r="J90" s="3" t="n">
        <v>675</v>
      </c>
      <c r="K90" s="2" t="n"/>
      <c r="L90" s="2" t="n"/>
      <c r="M90" s="2" t="n"/>
      <c r="N90" s="2" t="n"/>
      <c r="O90" s="2" t="n"/>
      <c r="P90" s="2" t="n"/>
    </row>
    <row r="91">
      <c r="A91" s="3" t="n">
        <v>47077</v>
      </c>
      <c r="B91" s="3" t="inlineStr">
        <is>
          <t>GARCES PEREZ HECTOR BOLIVAR</t>
        </is>
      </c>
      <c r="C91" s="4" t="n">
        <v>46058</v>
      </c>
      <c r="D91" s="4" t="n">
        <v>46057</v>
      </c>
      <c r="E91" s="4" t="inlineStr">
        <is>
          <t>RENTA</t>
        </is>
      </c>
      <c r="F91" s="3" t="n">
        <v>320</v>
      </c>
      <c r="G91" s="3" t="n">
        <v>21</v>
      </c>
      <c r="H91" s="3" t="n">
        <v>10</v>
      </c>
      <c r="I91" s="17" t="n">
        <v>4500</v>
      </c>
      <c r="J91" s="3" t="n">
        <v>450</v>
      </c>
      <c r="K91" s="2" t="n"/>
      <c r="L91" s="2" t="n"/>
      <c r="M91" s="2" t="n"/>
      <c r="N91" s="2" t="n"/>
      <c r="O91" s="2" t="n"/>
      <c r="P91" s="2" t="n"/>
    </row>
    <row r="92">
      <c r="A92" s="3" t="n">
        <v>47078</v>
      </c>
      <c r="B92" s="3" t="inlineStr">
        <is>
          <t>CEVALLOS CALLE NELSON RODRIGO</t>
        </is>
      </c>
      <c r="C92" s="4" t="n">
        <v>46058</v>
      </c>
      <c r="D92" s="4" t="n">
        <v>46057</v>
      </c>
      <c r="E92" s="4" t="inlineStr">
        <is>
          <t>RENTA</t>
        </is>
      </c>
      <c r="F92" s="3" t="n">
        <v>332</v>
      </c>
      <c r="G92" s="3" t="n">
        <v>231</v>
      </c>
      <c r="H92" s="3" t="n">
        <v>0</v>
      </c>
      <c r="I92" s="3" t="n">
        <v>30</v>
      </c>
      <c r="J92" s="3" t="n">
        <v>0</v>
      </c>
      <c r="K92" s="2" t="n"/>
      <c r="L92" s="2" t="n"/>
      <c r="M92" s="2" t="n"/>
      <c r="N92" s="2" t="n"/>
      <c r="O92" s="2" t="n"/>
      <c r="P92" s="2" t="n"/>
    </row>
    <row r="93">
      <c r="A93" s="3" t="n">
        <v>47079</v>
      </c>
      <c r="B93" s="3" t="inlineStr">
        <is>
          <t>TALENTOPSA S.A</t>
        </is>
      </c>
      <c r="C93" s="4" t="n">
        <v>46058</v>
      </c>
      <c r="D93" s="4" t="n">
        <v>46054</v>
      </c>
      <c r="E93" s="4" t="inlineStr">
        <is>
          <t>RENTA</t>
        </is>
      </c>
      <c r="F93" s="3" t="n">
        <v>344</v>
      </c>
      <c r="G93" s="3" t="n">
        <v>5286</v>
      </c>
      <c r="H93" s="3" t="n">
        <v>2.75</v>
      </c>
      <c r="I93" s="3" t="n">
        <v>89.72</v>
      </c>
      <c r="J93" s="3" t="n">
        <v>2.47</v>
      </c>
      <c r="K93" s="2" t="n"/>
      <c r="L93" s="2" t="n"/>
      <c r="M93" s="2" t="n"/>
      <c r="N93" s="2" t="n"/>
      <c r="O93" s="2" t="n"/>
      <c r="P93" s="2" t="n"/>
    </row>
    <row r="94">
      <c r="A94" s="3" t="n">
        <v>47079</v>
      </c>
      <c r="B94" s="3" t="inlineStr">
        <is>
          <t>TALENTOPSA S.A</t>
        </is>
      </c>
      <c r="C94" s="4" t="n">
        <v>46058</v>
      </c>
      <c r="D94" s="4" t="n">
        <v>46054</v>
      </c>
      <c r="E94" s="4" t="inlineStr">
        <is>
          <t>IVA</t>
        </is>
      </c>
      <c r="F94" s="3" t="n">
        <v>344</v>
      </c>
      <c r="G94" s="3" t="n">
        <v>5286</v>
      </c>
      <c r="H94" s="3" t="n">
        <v>70</v>
      </c>
      <c r="I94" s="3" t="n">
        <v>13.46</v>
      </c>
      <c r="J94" s="3" t="n">
        <v>9.42</v>
      </c>
      <c r="K94" s="2" t="n"/>
      <c r="L94" s="2" t="n"/>
      <c r="M94" s="2" t="n"/>
      <c r="N94" s="2" t="n"/>
      <c r="O94" s="2" t="n"/>
      <c r="P94" s="2" t="n"/>
    </row>
    <row r="95">
      <c r="A95" s="3" t="n">
        <v>47080</v>
      </c>
      <c r="B95" s="3" t="inlineStr">
        <is>
          <t>SOCIEDAD INDIVISA VILLACIS LOZADA</t>
        </is>
      </c>
      <c r="C95" s="4" t="n">
        <v>46058</v>
      </c>
      <c r="D95" s="4" t="n">
        <v>46057</v>
      </c>
      <c r="E95" s="4" t="inlineStr">
        <is>
          <t>RENTA</t>
        </is>
      </c>
      <c r="F95" s="3" t="n">
        <v>320</v>
      </c>
      <c r="G95" s="3" t="n">
        <v>48</v>
      </c>
      <c r="H95" s="3" t="n">
        <v>10</v>
      </c>
      <c r="I95" s="3" t="n">
        <v>400</v>
      </c>
      <c r="J95" s="3" t="n">
        <v>40</v>
      </c>
      <c r="K95" s="2" t="n"/>
      <c r="L95" s="2" t="n"/>
      <c r="M95" s="2" t="n"/>
      <c r="N95" s="2" t="n"/>
      <c r="O95" s="2" t="n"/>
      <c r="P95" s="2" t="n"/>
    </row>
    <row r="96">
      <c r="A96" s="3" t="n">
        <v>47080</v>
      </c>
      <c r="B96" s="3" t="inlineStr">
        <is>
          <t>SOCIEDAD INDIVISA VILLACIS LOZADA</t>
        </is>
      </c>
      <c r="C96" s="4" t="n">
        <v>46058</v>
      </c>
      <c r="D96" s="4" t="n">
        <v>46057</v>
      </c>
      <c r="E96" s="4" t="inlineStr">
        <is>
          <t>IVA</t>
        </is>
      </c>
      <c r="F96" s="3" t="n">
        <v>320</v>
      </c>
      <c r="G96" s="3" t="n">
        <v>48</v>
      </c>
      <c r="H96" s="3" t="n">
        <v>70</v>
      </c>
      <c r="I96" s="3" t="n">
        <v>60</v>
      </c>
      <c r="J96" s="3" t="n">
        <v>42</v>
      </c>
      <c r="K96" s="2" t="n"/>
      <c r="L96" s="2" t="n"/>
      <c r="M96" s="2" t="n"/>
      <c r="N96" s="2" t="n"/>
      <c r="O96" s="2" t="n"/>
      <c r="P96" s="2" t="n"/>
    </row>
    <row r="97">
      <c r="A97" s="3" t="n">
        <v>47081</v>
      </c>
      <c r="B97" s="3" t="inlineStr">
        <is>
          <t>CALERO OLMOS NANCY DEL ROCIO</t>
        </is>
      </c>
      <c r="C97" s="4" t="n">
        <v>46058</v>
      </c>
      <c r="D97" s="4" t="n">
        <v>46055</v>
      </c>
      <c r="E97" s="4" t="inlineStr">
        <is>
          <t>IVA</t>
        </is>
      </c>
      <c r="F97" s="3" t="n">
        <v>320</v>
      </c>
      <c r="G97" s="3" t="n">
        <v>91</v>
      </c>
      <c r="H97" s="3" t="n">
        <v>100</v>
      </c>
      <c r="I97" s="3" t="n">
        <v>133.48</v>
      </c>
      <c r="J97" s="3" t="n">
        <v>133.48</v>
      </c>
      <c r="K97" s="2" t="n"/>
      <c r="L97" s="2" t="n"/>
      <c r="M97" s="2" t="n"/>
      <c r="N97" s="2" t="n"/>
      <c r="O97" s="2" t="n"/>
      <c r="P97" s="2" t="n"/>
    </row>
    <row r="98">
      <c r="A98" s="3" t="n">
        <v>47081</v>
      </c>
      <c r="B98" s="3" t="inlineStr">
        <is>
          <t>CALERO OLMOS NANCY DEL ROCIO</t>
        </is>
      </c>
      <c r="C98" s="4" t="n">
        <v>46058</v>
      </c>
      <c r="D98" s="4" t="n">
        <v>46055</v>
      </c>
      <c r="E98" s="4" t="inlineStr">
        <is>
          <t>RENTA</t>
        </is>
      </c>
      <c r="F98" s="3" t="n">
        <v>320</v>
      </c>
      <c r="G98" s="3" t="n">
        <v>91</v>
      </c>
      <c r="H98" s="3" t="n">
        <v>10</v>
      </c>
      <c r="I98" s="3" t="n">
        <v>889.89</v>
      </c>
      <c r="J98" s="3" t="n">
        <v>88.98999999999999</v>
      </c>
      <c r="K98" s="2" t="n"/>
      <c r="L98" s="2" t="n"/>
      <c r="M98" s="2" t="n"/>
      <c r="N98" s="2" t="n"/>
      <c r="O98" s="2" t="n"/>
      <c r="P98" s="2" t="n"/>
    </row>
    <row r="99">
      <c r="A99" s="3" t="n">
        <v>47082</v>
      </c>
      <c r="B99" s="3" t="inlineStr">
        <is>
          <t>REINOSO SALAS YAJAIRA CAROLINA</t>
        </is>
      </c>
      <c r="C99" s="4" t="n">
        <v>46058</v>
      </c>
      <c r="D99" s="4" t="n">
        <v>46057</v>
      </c>
      <c r="E99" s="4" t="inlineStr">
        <is>
          <t>RENTA</t>
        </is>
      </c>
      <c r="F99" s="3" t="n">
        <v>307</v>
      </c>
      <c r="G99" s="3" t="n">
        <v>129</v>
      </c>
      <c r="H99" s="3" t="n">
        <v>2</v>
      </c>
      <c r="I99" s="3" t="n">
        <v>50</v>
      </c>
      <c r="J99" s="3" t="n">
        <v>1</v>
      </c>
      <c r="K99" s="2" t="n"/>
      <c r="L99" s="2" t="n"/>
      <c r="M99" s="2" t="n"/>
      <c r="N99" s="2" t="n"/>
      <c r="O99" s="2" t="n"/>
      <c r="P99" s="2" t="n"/>
    </row>
    <row r="100">
      <c r="A100" s="3" t="n">
        <v>47082</v>
      </c>
      <c r="B100" s="3" t="inlineStr">
        <is>
          <t>REINOSO SALAS YAJAIRA CAROLINA</t>
        </is>
      </c>
      <c r="C100" s="4" t="n">
        <v>46058</v>
      </c>
      <c r="D100" s="4" t="n">
        <v>46057</v>
      </c>
      <c r="E100" s="4" t="inlineStr">
        <is>
          <t>IVA</t>
        </is>
      </c>
      <c r="F100" s="3" t="n">
        <v>307</v>
      </c>
      <c r="G100" s="3" t="n">
        <v>129</v>
      </c>
      <c r="H100" s="3" t="n">
        <v>70</v>
      </c>
      <c r="I100" s="3" t="n">
        <v>7.5</v>
      </c>
      <c r="J100" s="3" t="n">
        <v>5.25</v>
      </c>
      <c r="K100" s="2" t="n"/>
      <c r="L100" s="2" t="n"/>
      <c r="M100" s="2" t="n"/>
      <c r="N100" s="2" t="n"/>
      <c r="O100" s="2" t="n"/>
      <c r="P100" s="2" t="n"/>
    </row>
    <row r="101">
      <c r="A101" s="3" t="n">
        <v>47083</v>
      </c>
      <c r="B101" s="3" t="inlineStr">
        <is>
          <t>LAAR CIA. LTDA.</t>
        </is>
      </c>
      <c r="C101" s="4" t="n">
        <v>46058</v>
      </c>
      <c r="D101" s="4" t="n">
        <v>46055</v>
      </c>
      <c r="E101" s="4" t="inlineStr">
        <is>
          <t>RENTA</t>
        </is>
      </c>
      <c r="F101" s="3" t="n">
        <v>344</v>
      </c>
      <c r="G101" s="3" t="n">
        <v>123259</v>
      </c>
      <c r="H101" s="3" t="n">
        <v>2.75</v>
      </c>
      <c r="I101" s="3" t="n">
        <v>33.9</v>
      </c>
      <c r="J101" s="3" t="n">
        <v>0.93</v>
      </c>
      <c r="K101" s="2" t="n"/>
      <c r="L101" s="2" t="n"/>
      <c r="M101" s="2" t="n"/>
      <c r="N101" s="2" t="n"/>
      <c r="O101" s="2" t="n"/>
      <c r="P101" s="2" t="n"/>
    </row>
    <row r="102">
      <c r="A102" s="3" t="n">
        <v>47083</v>
      </c>
      <c r="B102" s="3" t="inlineStr">
        <is>
          <t>LAAR CIA. LTDA.</t>
        </is>
      </c>
      <c r="C102" s="4" t="n">
        <v>46058</v>
      </c>
      <c r="D102" s="4" t="n">
        <v>46055</v>
      </c>
      <c r="E102" s="4" t="inlineStr">
        <is>
          <t>IVA</t>
        </is>
      </c>
      <c r="F102" s="3" t="n">
        <v>344</v>
      </c>
      <c r="G102" s="3" t="n">
        <v>123259</v>
      </c>
      <c r="H102" s="3" t="n">
        <v>20</v>
      </c>
      <c r="I102" s="3" t="n">
        <v>5.09</v>
      </c>
      <c r="J102" s="3" t="n">
        <v>1.02</v>
      </c>
      <c r="K102" s="2" t="n"/>
      <c r="L102" s="2" t="n"/>
      <c r="M102" s="2" t="n"/>
      <c r="N102" s="2" t="n"/>
      <c r="O102" s="2" t="n"/>
      <c r="P102" s="2" t="n"/>
    </row>
    <row r="103">
      <c r="A103" s="3" t="n">
        <v>47084</v>
      </c>
      <c r="B103" s="3" t="inlineStr">
        <is>
          <t>LAAR CIA. LTDA.</t>
        </is>
      </c>
      <c r="C103" s="4" t="n">
        <v>46058</v>
      </c>
      <c r="D103" s="4" t="n">
        <v>46055</v>
      </c>
      <c r="E103" s="4" t="inlineStr">
        <is>
          <t>IVA</t>
        </is>
      </c>
      <c r="F103" s="3" t="n">
        <v>344</v>
      </c>
      <c r="G103" s="3" t="n">
        <v>123260</v>
      </c>
      <c r="H103" s="3" t="n">
        <v>20</v>
      </c>
      <c r="I103" s="3" t="n">
        <v>10.34</v>
      </c>
      <c r="J103" s="3" t="n">
        <v>2.07</v>
      </c>
      <c r="K103" s="2" t="n"/>
      <c r="L103" s="2" t="n"/>
      <c r="M103" s="2" t="n"/>
      <c r="N103" s="2" t="n"/>
      <c r="O103" s="2" t="n"/>
      <c r="P103" s="2" t="n"/>
    </row>
    <row r="104">
      <c r="A104" s="3" t="n">
        <v>47084</v>
      </c>
      <c r="B104" s="3" t="inlineStr">
        <is>
          <t>LAAR CIA. LTDA.</t>
        </is>
      </c>
      <c r="C104" s="4" t="n">
        <v>46058</v>
      </c>
      <c r="D104" s="4" t="n">
        <v>46055</v>
      </c>
      <c r="E104" s="4" t="inlineStr">
        <is>
          <t>RENTA</t>
        </is>
      </c>
      <c r="F104" s="3" t="n">
        <v>344</v>
      </c>
      <c r="G104" s="3" t="n">
        <v>123260</v>
      </c>
      <c r="H104" s="3" t="n">
        <v>2.75</v>
      </c>
      <c r="I104" s="3" t="n">
        <v>68.94</v>
      </c>
      <c r="J104" s="3" t="n">
        <v>1.9</v>
      </c>
      <c r="K104" s="2" t="n"/>
      <c r="L104" s="2" t="n"/>
      <c r="M104" s="2" t="n"/>
      <c r="N104" s="2" t="n"/>
      <c r="O104" s="2" t="n"/>
      <c r="P104" s="2" t="n"/>
    </row>
    <row r="105">
      <c r="A105" s="3" t="n">
        <v>47085</v>
      </c>
      <c r="B105" s="3" t="inlineStr">
        <is>
          <t>REINOSO SALAS YAJAIRA CAROLINA</t>
        </is>
      </c>
      <c r="C105" s="4" t="n">
        <v>46058</v>
      </c>
      <c r="D105" s="4" t="n">
        <v>46057</v>
      </c>
      <c r="E105" s="4" t="inlineStr">
        <is>
          <t>RENTA</t>
        </is>
      </c>
      <c r="F105" s="3" t="n">
        <v>307</v>
      </c>
      <c r="G105" s="3" t="n">
        <v>128</v>
      </c>
      <c r="H105" s="3" t="n">
        <v>2</v>
      </c>
      <c r="I105" s="3" t="n">
        <v>40</v>
      </c>
      <c r="J105" s="3" t="n">
        <v>0.8</v>
      </c>
      <c r="K105" s="2" t="n"/>
      <c r="L105" s="2" t="n"/>
      <c r="M105" s="2" t="n"/>
      <c r="N105" s="2" t="n"/>
      <c r="O105" s="2" t="n"/>
      <c r="P105" s="2" t="n"/>
    </row>
    <row r="106">
      <c r="A106" s="3" t="n">
        <v>47085</v>
      </c>
      <c r="B106" s="3" t="inlineStr">
        <is>
          <t>REINOSO SALAS YAJAIRA CAROLINA</t>
        </is>
      </c>
      <c r="C106" s="4" t="n">
        <v>46058</v>
      </c>
      <c r="D106" s="4" t="n">
        <v>46057</v>
      </c>
      <c r="E106" s="4" t="inlineStr">
        <is>
          <t>IVA</t>
        </is>
      </c>
      <c r="F106" s="3" t="n">
        <v>307</v>
      </c>
      <c r="G106" s="3" t="n">
        <v>128</v>
      </c>
      <c r="H106" s="3" t="n">
        <v>70</v>
      </c>
      <c r="I106" s="3" t="n">
        <v>6</v>
      </c>
      <c r="J106" s="3" t="n">
        <v>4.2</v>
      </c>
      <c r="K106" s="2" t="n"/>
      <c r="L106" s="2" t="n"/>
      <c r="M106" s="2" t="n"/>
      <c r="N106" s="2" t="n"/>
      <c r="O106" s="2" t="n"/>
      <c r="P106" s="2" t="n"/>
    </row>
    <row r="107">
      <c r="A107" s="3" t="n">
        <v>47086</v>
      </c>
      <c r="B107" s="3" t="inlineStr">
        <is>
          <t>ASO. EMPRESAS AUTOMOTRICES DEL ECUADOR</t>
        </is>
      </c>
      <c r="C107" s="4" t="n">
        <v>46059</v>
      </c>
      <c r="D107" s="4" t="n">
        <v>46059</v>
      </c>
      <c r="E107" s="4" t="inlineStr">
        <is>
          <t>IVA</t>
        </is>
      </c>
      <c r="F107" s="3" t="n">
        <v>344</v>
      </c>
      <c r="G107" s="3" t="n">
        <v>6748</v>
      </c>
      <c r="H107" s="3" t="n">
        <v>70</v>
      </c>
      <c r="I107" s="3" t="n">
        <v>270</v>
      </c>
      <c r="J107" s="3" t="n">
        <v>189</v>
      </c>
      <c r="K107" s="2" t="n"/>
      <c r="L107" s="2" t="n"/>
      <c r="M107" s="2" t="n"/>
      <c r="N107" s="2" t="n"/>
      <c r="O107" s="2" t="n"/>
      <c r="P107" s="2" t="n"/>
    </row>
    <row r="108">
      <c r="A108" s="3" t="n">
        <v>47087</v>
      </c>
      <c r="B108" s="3" t="inlineStr">
        <is>
          <t>TOYOTASERVICIOS S.A.</t>
        </is>
      </c>
      <c r="C108" s="4" t="n">
        <v>46059</v>
      </c>
      <c r="D108" s="4" t="n">
        <v>46059</v>
      </c>
      <c r="E108" s="4" t="inlineStr">
        <is>
          <t>RENTA</t>
        </is>
      </c>
      <c r="F108" s="3" t="n">
        <v>312</v>
      </c>
      <c r="G108" s="3" t="n">
        <v>14871</v>
      </c>
      <c r="H108" s="3" t="n">
        <v>1.75</v>
      </c>
      <c r="I108" s="3" t="n">
        <v>204.63</v>
      </c>
      <c r="J108" s="3" t="n">
        <v>3.58</v>
      </c>
      <c r="K108" s="2" t="n"/>
      <c r="L108" s="2" t="n"/>
      <c r="M108" s="2" t="n"/>
      <c r="N108" s="2" t="n"/>
      <c r="O108" s="2" t="n"/>
      <c r="P108" s="2" t="n"/>
    </row>
    <row r="109">
      <c r="A109" s="3" t="n">
        <v>47087</v>
      </c>
      <c r="B109" s="3" t="inlineStr">
        <is>
          <t>TOYOTASERVICIOS S.A.</t>
        </is>
      </c>
      <c r="C109" s="4" t="n">
        <v>46059</v>
      </c>
      <c r="D109" s="4" t="n">
        <v>46059</v>
      </c>
      <c r="E109" s="4" t="inlineStr">
        <is>
          <t>IVA</t>
        </is>
      </c>
      <c r="F109" s="3" t="n">
        <v>312</v>
      </c>
      <c r="G109" s="3" t="n">
        <v>14871</v>
      </c>
      <c r="H109" s="3" t="n">
        <v>30</v>
      </c>
      <c r="I109" s="3" t="n">
        <v>30.69</v>
      </c>
      <c r="J109" s="3" t="n">
        <v>9.210000000000001</v>
      </c>
      <c r="K109" s="2" t="n"/>
      <c r="L109" s="2" t="n"/>
      <c r="M109" s="2" t="n"/>
      <c r="N109" s="2" t="n"/>
      <c r="O109" s="2" t="n"/>
      <c r="P109" s="2" t="n"/>
    </row>
    <row r="110">
      <c r="A110" s="3" t="n">
        <v>47088</v>
      </c>
      <c r="B110" s="3" t="inlineStr">
        <is>
          <t>GARCIA ALLAUCA MERCEDES DEL CARMEN</t>
        </is>
      </c>
      <c r="C110" s="4" t="n">
        <v>46061</v>
      </c>
      <c r="D110" s="4" t="n">
        <v>46059</v>
      </c>
      <c r="E110" s="4" t="inlineStr">
        <is>
          <t>RENTA</t>
        </is>
      </c>
      <c r="F110" s="3" t="n">
        <v>312</v>
      </c>
      <c r="G110" s="3" t="n">
        <v>927</v>
      </c>
      <c r="H110" s="3" t="n">
        <v>1.75</v>
      </c>
      <c r="I110" s="3" t="n">
        <v>120</v>
      </c>
      <c r="J110" s="3" t="n">
        <v>2.1</v>
      </c>
      <c r="K110" s="2" t="n"/>
      <c r="L110" s="2" t="n"/>
      <c r="M110" s="2" t="n"/>
      <c r="N110" s="2" t="n"/>
      <c r="O110" s="2" t="n"/>
      <c r="P110" s="2" t="n"/>
    </row>
    <row r="111">
      <c r="A111" s="3" t="n">
        <v>47089</v>
      </c>
      <c r="B111" s="3" t="inlineStr">
        <is>
          <t>PAEZ ORTIZ CHRISTIAN GONZALO</t>
        </is>
      </c>
      <c r="C111" s="4" t="n">
        <v>46061</v>
      </c>
      <c r="D111" s="4" t="n">
        <v>46057</v>
      </c>
      <c r="E111" s="4" t="inlineStr">
        <is>
          <t>RENTA</t>
        </is>
      </c>
      <c r="F111" s="3" t="n">
        <v>312</v>
      </c>
      <c r="G111" s="3" t="n">
        <v>3607</v>
      </c>
      <c r="H111" s="3" t="n">
        <v>1.75</v>
      </c>
      <c r="I111" s="3" t="n">
        <v>60</v>
      </c>
      <c r="J111" s="3" t="n">
        <v>1.05</v>
      </c>
      <c r="K111" s="2" t="n"/>
      <c r="L111" s="2" t="n"/>
      <c r="M111" s="2" t="n"/>
      <c r="N111" s="2" t="n"/>
      <c r="O111" s="2" t="n"/>
      <c r="P111" s="2" t="n"/>
    </row>
    <row r="112">
      <c r="A112" s="3" t="n">
        <v>47089</v>
      </c>
      <c r="B112" s="3" t="inlineStr">
        <is>
          <t>PAEZ ORTIZ CHRISTIAN GONZALO</t>
        </is>
      </c>
      <c r="C112" s="4" t="n">
        <v>46061</v>
      </c>
      <c r="D112" s="4" t="n">
        <v>46057</v>
      </c>
      <c r="E112" s="4" t="inlineStr">
        <is>
          <t>IVA</t>
        </is>
      </c>
      <c r="F112" s="3" t="n">
        <v>312</v>
      </c>
      <c r="G112" s="3" t="n">
        <v>3607</v>
      </c>
      <c r="H112" s="3" t="n">
        <v>30</v>
      </c>
      <c r="I112" s="3" t="n">
        <v>9</v>
      </c>
      <c r="J112" s="3" t="n">
        <v>2.7</v>
      </c>
      <c r="K112" s="2" t="n"/>
      <c r="L112" s="2" t="n"/>
      <c r="M112" s="2" t="n"/>
      <c r="N112" s="2" t="n"/>
      <c r="O112" s="2" t="n"/>
      <c r="P112" s="2" t="n"/>
    </row>
    <row r="113">
      <c r="A113" s="3" t="n">
        <v>47090</v>
      </c>
      <c r="B113" s="3" t="inlineStr">
        <is>
          <t>POVEDA ALMEIDA EFRAIN ALEJANDRO</t>
        </is>
      </c>
      <c r="C113" s="4" t="n">
        <v>46061</v>
      </c>
      <c r="D113" s="4" t="n">
        <v>46060</v>
      </c>
      <c r="E113" s="4" t="inlineStr">
        <is>
          <t>IVA</t>
        </is>
      </c>
      <c r="F113" s="3" t="n">
        <v>312</v>
      </c>
      <c r="G113" s="3" t="n">
        <v>53</v>
      </c>
      <c r="H113" s="3" t="n">
        <v>30</v>
      </c>
      <c r="I113" s="3" t="n">
        <v>10.5</v>
      </c>
      <c r="J113" s="3" t="n">
        <v>3.15</v>
      </c>
      <c r="K113" s="2" t="n"/>
      <c r="L113" s="2" t="n"/>
      <c r="M113" s="2" t="n"/>
      <c r="N113" s="2" t="n"/>
      <c r="O113" s="2" t="n"/>
      <c r="P113" s="2" t="n"/>
    </row>
    <row r="114">
      <c r="A114" s="3" t="n">
        <v>47090</v>
      </c>
      <c r="B114" s="3" t="inlineStr">
        <is>
          <t>POVEDA ALMEIDA EFRAIN ALEJANDRO</t>
        </is>
      </c>
      <c r="C114" s="4" t="n">
        <v>46061</v>
      </c>
      <c r="D114" s="4" t="n">
        <v>46060</v>
      </c>
      <c r="E114" s="4" t="inlineStr">
        <is>
          <t>RENTA</t>
        </is>
      </c>
      <c r="F114" s="3" t="n">
        <v>312</v>
      </c>
      <c r="G114" s="3" t="n">
        <v>53</v>
      </c>
      <c r="H114" s="3" t="n">
        <v>1.75</v>
      </c>
      <c r="I114" s="3" t="n">
        <v>70</v>
      </c>
      <c r="J114" s="3" t="n">
        <v>1.23</v>
      </c>
      <c r="K114" s="2" t="n"/>
      <c r="L114" s="2" t="n"/>
      <c r="M114" s="2" t="n"/>
      <c r="N114" s="2" t="n"/>
      <c r="O114" s="2" t="n"/>
      <c r="P114" s="2" t="n"/>
    </row>
    <row r="115">
      <c r="A115" s="3" t="n">
        <v>47091</v>
      </c>
      <c r="B115" s="3" t="inlineStr">
        <is>
          <t>TOYOTASERVICIOS S.A.</t>
        </is>
      </c>
      <c r="C115" s="4" t="n">
        <v>46061</v>
      </c>
      <c r="D115" s="4" t="n">
        <v>46059</v>
      </c>
      <c r="E115" s="4" t="inlineStr">
        <is>
          <t>IVA</t>
        </is>
      </c>
      <c r="F115" s="3" t="n">
        <v>344</v>
      </c>
      <c r="G115" s="3" t="n">
        <v>6832</v>
      </c>
      <c r="H115" s="3" t="n">
        <v>70</v>
      </c>
      <c r="I115" s="3" t="n">
        <v>2.07</v>
      </c>
      <c r="J115" s="3" t="n">
        <v>1.45</v>
      </c>
      <c r="K115" s="2" t="n"/>
      <c r="L115" s="2" t="n"/>
      <c r="M115" s="2" t="n"/>
      <c r="N115" s="2" t="n"/>
      <c r="O115" s="2" t="n"/>
      <c r="P115" s="2" t="n"/>
    </row>
    <row r="116">
      <c r="A116" s="3" t="n">
        <v>47091</v>
      </c>
      <c r="B116" s="3" t="inlineStr">
        <is>
          <t>TOYOTASERVICIOS S.A.</t>
        </is>
      </c>
      <c r="C116" s="4" t="n">
        <v>46061</v>
      </c>
      <c r="D116" s="4" t="n">
        <v>46059</v>
      </c>
      <c r="E116" s="4" t="inlineStr">
        <is>
          <t>RENTA</t>
        </is>
      </c>
      <c r="F116" s="3" t="n">
        <v>344</v>
      </c>
      <c r="G116" s="3" t="n">
        <v>6832</v>
      </c>
      <c r="H116" s="3" t="n">
        <v>2.75</v>
      </c>
      <c r="I116" s="3" t="n">
        <v>13.83</v>
      </c>
      <c r="J116" s="3" t="n">
        <v>0.38</v>
      </c>
      <c r="K116" s="2" t="n"/>
      <c r="L116" s="2" t="n"/>
      <c r="M116" s="2" t="n"/>
      <c r="N116" s="2" t="n"/>
      <c r="O116" s="2" t="n"/>
      <c r="P116" s="2" t="n"/>
    </row>
    <row r="117">
      <c r="A117" s="3" t="n">
        <v>47092</v>
      </c>
      <c r="B117" s="3" t="inlineStr">
        <is>
          <t>TOYOTASERVICIOS S.A.</t>
        </is>
      </c>
      <c r="C117" s="4" t="n">
        <v>46061</v>
      </c>
      <c r="D117" s="4" t="n">
        <v>46058</v>
      </c>
      <c r="E117" s="4" t="inlineStr">
        <is>
          <t>RENTA</t>
        </is>
      </c>
      <c r="F117" s="3" t="n">
        <v>344</v>
      </c>
      <c r="G117" s="3" t="n">
        <v>52829</v>
      </c>
      <c r="H117" s="3" t="n">
        <v>2.75</v>
      </c>
      <c r="I117" s="3" t="n">
        <v>180</v>
      </c>
      <c r="J117" s="3" t="n">
        <v>4.95</v>
      </c>
      <c r="K117" s="2" t="n"/>
      <c r="L117" s="2" t="n"/>
      <c r="M117" s="2" t="n"/>
      <c r="N117" s="2" t="n"/>
      <c r="O117" s="2" t="n"/>
      <c r="P117" s="2" t="n"/>
    </row>
    <row r="118">
      <c r="A118" s="3" t="n">
        <v>47092</v>
      </c>
      <c r="B118" s="3" t="inlineStr">
        <is>
          <t>TOYOTASERVICIOS S.A.</t>
        </is>
      </c>
      <c r="C118" s="4" t="n">
        <v>46061</v>
      </c>
      <c r="D118" s="4" t="n">
        <v>46058</v>
      </c>
      <c r="E118" s="4" t="inlineStr">
        <is>
          <t>IVA</t>
        </is>
      </c>
      <c r="F118" s="3" t="n">
        <v>344</v>
      </c>
      <c r="G118" s="3" t="n">
        <v>52829</v>
      </c>
      <c r="H118" s="3" t="n">
        <v>70</v>
      </c>
      <c r="I118" s="3" t="n">
        <v>27</v>
      </c>
      <c r="J118" s="3" t="n">
        <v>18.9</v>
      </c>
      <c r="K118" s="2" t="n"/>
      <c r="L118" s="2" t="n"/>
      <c r="M118" s="2" t="n"/>
      <c r="N118" s="2" t="n"/>
      <c r="O118" s="2" t="n"/>
      <c r="P118" s="2" t="n"/>
    </row>
    <row r="119">
      <c r="A119" s="3" t="n">
        <v>47093</v>
      </c>
      <c r="B119" s="3" t="inlineStr">
        <is>
          <t>TOYOTASERVICIOS S.A.</t>
        </is>
      </c>
      <c r="C119" s="4" t="n">
        <v>46061</v>
      </c>
      <c r="D119" s="4" t="n">
        <v>46059</v>
      </c>
      <c r="E119" s="4" t="inlineStr">
        <is>
          <t>IVA</t>
        </is>
      </c>
      <c r="F119" s="3" t="n">
        <v>312</v>
      </c>
      <c r="G119" s="3" t="n">
        <v>6831</v>
      </c>
      <c r="H119" s="3" t="n">
        <v>30</v>
      </c>
      <c r="I119" s="3" t="n">
        <v>4.66</v>
      </c>
      <c r="J119" s="3" t="n">
        <v>1.4</v>
      </c>
      <c r="K119" s="2" t="n"/>
      <c r="L119" s="2" t="n"/>
      <c r="M119" s="2" t="n"/>
      <c r="N119" s="2" t="n"/>
      <c r="O119" s="2" t="n"/>
      <c r="P119" s="2" t="n"/>
    </row>
    <row r="120">
      <c r="A120" s="3" t="n">
        <v>47093</v>
      </c>
      <c r="B120" s="3" t="inlineStr">
        <is>
          <t>TOYOTASERVICIOS S.A.</t>
        </is>
      </c>
      <c r="C120" s="4" t="n">
        <v>46061</v>
      </c>
      <c r="D120" s="4" t="n">
        <v>46059</v>
      </c>
      <c r="E120" s="4" t="inlineStr">
        <is>
          <t>RENTA</t>
        </is>
      </c>
      <c r="F120" s="3" t="n">
        <v>312</v>
      </c>
      <c r="G120" s="3" t="n">
        <v>6831</v>
      </c>
      <c r="H120" s="3" t="n">
        <v>1.75</v>
      </c>
      <c r="I120" s="3" t="n">
        <v>31.07</v>
      </c>
      <c r="J120" s="3" t="n">
        <v>0.54</v>
      </c>
      <c r="K120" s="2" t="n"/>
      <c r="L120" s="2" t="n"/>
      <c r="M120" s="2" t="n"/>
      <c r="N120" s="2" t="n"/>
      <c r="O120" s="2" t="n"/>
      <c r="P120" s="2" t="n"/>
    </row>
    <row r="121">
      <c r="A121" s="3" t="n">
        <v>47094</v>
      </c>
      <c r="B121" s="3" t="inlineStr">
        <is>
          <t>TOYOTASERVICIOS S.A.</t>
        </is>
      </c>
      <c r="C121" s="4" t="n">
        <v>46061</v>
      </c>
      <c r="D121" s="4" t="n">
        <v>46059</v>
      </c>
      <c r="E121" s="4" t="inlineStr">
        <is>
          <t>RENTA</t>
        </is>
      </c>
      <c r="F121" s="3" t="n">
        <v>312</v>
      </c>
      <c r="G121" s="3" t="n">
        <v>6833</v>
      </c>
      <c r="H121" s="3" t="n">
        <v>1.75</v>
      </c>
      <c r="I121" s="3" t="n">
        <v>29.89</v>
      </c>
      <c r="J121" s="3" t="n">
        <v>0.52</v>
      </c>
      <c r="K121" s="2" t="n"/>
      <c r="L121" s="2" t="n"/>
      <c r="M121" s="2" t="n"/>
      <c r="N121" s="2" t="n"/>
      <c r="O121" s="2" t="n"/>
      <c r="P121" s="2" t="n"/>
    </row>
    <row r="122">
      <c r="A122" s="3" t="n">
        <v>47094</v>
      </c>
      <c r="B122" s="3" t="inlineStr">
        <is>
          <t>TOYOTASERVICIOS S.A.</t>
        </is>
      </c>
      <c r="C122" s="4" t="n">
        <v>46061</v>
      </c>
      <c r="D122" s="4" t="n">
        <v>46059</v>
      </c>
      <c r="E122" s="4" t="inlineStr">
        <is>
          <t>IVA</t>
        </is>
      </c>
      <c r="F122" s="3" t="n">
        <v>312</v>
      </c>
      <c r="G122" s="3" t="n">
        <v>6833</v>
      </c>
      <c r="H122" s="3" t="n">
        <v>30</v>
      </c>
      <c r="I122" s="3" t="n">
        <v>4.48</v>
      </c>
      <c r="J122" s="3" t="n">
        <v>1.34</v>
      </c>
      <c r="K122" s="2" t="n"/>
      <c r="L122" s="2" t="n"/>
      <c r="M122" s="2" t="n"/>
      <c r="N122" s="2" t="n"/>
      <c r="O122" s="2" t="n"/>
      <c r="P122" s="2" t="n"/>
    </row>
    <row r="123">
      <c r="A123" s="3" t="n">
        <v>47095</v>
      </c>
      <c r="B123" s="3" t="inlineStr">
        <is>
          <t>GONZALEZ VEGA EL MOTOR CIA LTDA</t>
        </is>
      </c>
      <c r="C123" s="4" t="n">
        <v>46061</v>
      </c>
      <c r="D123" s="4" t="n">
        <v>46059</v>
      </c>
      <c r="E123" s="4" t="inlineStr">
        <is>
          <t>RENTA</t>
        </is>
      </c>
      <c r="F123" s="3" t="n">
        <v>312</v>
      </c>
      <c r="G123" s="3" t="n">
        <v>125378</v>
      </c>
      <c r="H123" s="3" t="n">
        <v>1.75</v>
      </c>
      <c r="I123" s="3" t="n">
        <v>78.02</v>
      </c>
      <c r="J123" s="3" t="n">
        <v>1.37</v>
      </c>
      <c r="K123" s="2" t="n"/>
      <c r="L123" s="2" t="n"/>
      <c r="M123" s="2" t="n"/>
      <c r="N123" s="2" t="n"/>
      <c r="O123" s="2" t="n"/>
      <c r="P123" s="2" t="n"/>
    </row>
    <row r="124">
      <c r="A124" s="3" t="n">
        <v>47095</v>
      </c>
      <c r="B124" s="3" t="inlineStr">
        <is>
          <t>GONZALEZ VEGA EL MOTOR CIA LTDA</t>
        </is>
      </c>
      <c r="C124" s="4" t="n">
        <v>46061</v>
      </c>
      <c r="D124" s="4" t="n">
        <v>46059</v>
      </c>
      <c r="E124" s="4" t="inlineStr">
        <is>
          <t>IVA</t>
        </is>
      </c>
      <c r="F124" s="3" t="n">
        <v>312</v>
      </c>
      <c r="G124" s="3" t="n">
        <v>125378</v>
      </c>
      <c r="H124" s="3" t="n">
        <v>30</v>
      </c>
      <c r="I124" s="3" t="n">
        <v>11.7</v>
      </c>
      <c r="J124" s="3" t="n">
        <v>3.51</v>
      </c>
      <c r="K124" s="2" t="n"/>
      <c r="L124" s="2" t="n"/>
      <c r="M124" s="2" t="n"/>
      <c r="N124" s="2" t="n"/>
      <c r="O124" s="2" t="n"/>
      <c r="P124" s="2" t="n"/>
    </row>
    <row r="125">
      <c r="A125" s="3" t="n">
        <v>47096</v>
      </c>
      <c r="B125" s="3" t="inlineStr">
        <is>
          <t>COMERCIAL KYWI S.A.</t>
        </is>
      </c>
      <c r="C125" s="4" t="n">
        <v>46061</v>
      </c>
      <c r="D125" s="4" t="n">
        <v>46056</v>
      </c>
      <c r="E125" s="4" t="inlineStr">
        <is>
          <t>IVA</t>
        </is>
      </c>
      <c r="F125" s="3" t="n">
        <v>332</v>
      </c>
      <c r="G125" s="3" t="n">
        <v>730023</v>
      </c>
      <c r="H125" s="3" t="n">
        <v>10</v>
      </c>
      <c r="I125" s="3" t="n">
        <v>11.07</v>
      </c>
      <c r="J125" s="3" t="n">
        <v>1.11</v>
      </c>
      <c r="K125" s="2" t="n"/>
      <c r="L125" s="2" t="n"/>
      <c r="M125" s="2" t="n"/>
      <c r="N125" s="2" t="n"/>
      <c r="O125" s="2" t="n"/>
      <c r="P125" s="2" t="n"/>
    </row>
    <row r="126">
      <c r="A126" s="3" t="n">
        <v>47097</v>
      </c>
      <c r="B126" s="3" t="inlineStr">
        <is>
          <t>POVEDA ALMEIDA EFRAIN ALEJANDRO</t>
        </is>
      </c>
      <c r="C126" s="4" t="n">
        <v>46061</v>
      </c>
      <c r="D126" s="4" t="n">
        <v>46060</v>
      </c>
      <c r="E126" s="4" t="inlineStr">
        <is>
          <t>RENTA</t>
        </is>
      </c>
      <c r="F126" s="3" t="n">
        <v>312</v>
      </c>
      <c r="G126" s="3" t="n">
        <v>54</v>
      </c>
      <c r="H126" s="3" t="n">
        <v>1.75</v>
      </c>
      <c r="I126" s="3" t="n">
        <v>70</v>
      </c>
      <c r="J126" s="3" t="n">
        <v>1.23</v>
      </c>
      <c r="K126" s="2" t="n"/>
      <c r="L126" s="2" t="n"/>
      <c r="M126" s="2" t="n"/>
      <c r="N126" s="2" t="n"/>
      <c r="O126" s="2" t="n"/>
      <c r="P126" s="2" t="n"/>
    </row>
    <row r="127">
      <c r="A127" s="3" t="n">
        <v>47097</v>
      </c>
      <c r="B127" s="3" t="inlineStr">
        <is>
          <t>POVEDA ALMEIDA EFRAIN ALEJANDRO</t>
        </is>
      </c>
      <c r="C127" s="4" t="n">
        <v>46061</v>
      </c>
      <c r="D127" s="4" t="n">
        <v>46060</v>
      </c>
      <c r="E127" s="4" t="inlineStr">
        <is>
          <t>IVA</t>
        </is>
      </c>
      <c r="F127" s="3" t="n">
        <v>312</v>
      </c>
      <c r="G127" s="3" t="n">
        <v>54</v>
      </c>
      <c r="H127" s="3" t="n">
        <v>30</v>
      </c>
      <c r="I127" s="3" t="n">
        <v>10.5</v>
      </c>
      <c r="J127" s="3" t="n">
        <v>3.15</v>
      </c>
      <c r="K127" s="2" t="n"/>
      <c r="L127" s="2" t="n"/>
      <c r="M127" s="2" t="n"/>
      <c r="N127" s="2" t="n"/>
      <c r="O127" s="2" t="n"/>
      <c r="P127" s="2" t="n"/>
    </row>
    <row r="128">
      <c r="A128" s="3" t="n">
        <v>47098</v>
      </c>
      <c r="B128" s="3" t="inlineStr">
        <is>
          <t>CATAÑA DIAZ ANDREA BELEN</t>
        </is>
      </c>
      <c r="C128" s="4" t="n">
        <v>46061</v>
      </c>
      <c r="D128" s="4" t="n">
        <v>46057</v>
      </c>
      <c r="E128" s="4" t="inlineStr">
        <is>
          <t>RENTA</t>
        </is>
      </c>
      <c r="F128" s="3" t="n">
        <v>312</v>
      </c>
      <c r="G128" s="3" t="n">
        <v>1176</v>
      </c>
      <c r="H128" s="3" t="n">
        <v>1.75</v>
      </c>
      <c r="I128" s="3" t="n">
        <v>94</v>
      </c>
      <c r="J128" s="3" t="n">
        <v>1.65</v>
      </c>
      <c r="K128" s="2" t="n"/>
      <c r="L128" s="2" t="n"/>
      <c r="M128" s="2" t="n"/>
      <c r="N128" s="2" t="n"/>
      <c r="O128" s="2" t="n"/>
      <c r="P128" s="2" t="n"/>
    </row>
    <row r="129">
      <c r="A129" s="3" t="n">
        <v>47098</v>
      </c>
      <c r="B129" s="3" t="inlineStr">
        <is>
          <t>CATAÑA DIAZ ANDREA BELEN</t>
        </is>
      </c>
      <c r="C129" s="4" t="n">
        <v>46061</v>
      </c>
      <c r="D129" s="4" t="n">
        <v>46057</v>
      </c>
      <c r="E129" s="4" t="inlineStr">
        <is>
          <t>IVA</t>
        </is>
      </c>
      <c r="F129" s="3" t="n">
        <v>312</v>
      </c>
      <c r="G129" s="3" t="n">
        <v>1176</v>
      </c>
      <c r="H129" s="3" t="n">
        <v>30</v>
      </c>
      <c r="I129" s="3" t="n">
        <v>14.1</v>
      </c>
      <c r="J129" s="3" t="n">
        <v>4.23</v>
      </c>
      <c r="K129" s="2" t="n"/>
      <c r="L129" s="2" t="n"/>
      <c r="M129" s="2" t="n"/>
      <c r="N129" s="2" t="n"/>
      <c r="O129" s="2" t="n"/>
      <c r="P129" s="2" t="n"/>
    </row>
    <row r="130">
      <c r="A130" s="3" t="n">
        <v>47099</v>
      </c>
      <c r="B130" s="3" t="inlineStr">
        <is>
          <t>POVEDA ALMEIDA EFRAIN ALEJANDRO</t>
        </is>
      </c>
      <c r="C130" s="4" t="n">
        <v>46061</v>
      </c>
      <c r="D130" s="4" t="n">
        <v>46060</v>
      </c>
      <c r="E130" s="4" t="inlineStr">
        <is>
          <t>RENTA</t>
        </is>
      </c>
      <c r="F130" s="3" t="n">
        <v>307</v>
      </c>
      <c r="G130" s="3" t="n">
        <v>52</v>
      </c>
      <c r="H130" s="3" t="n">
        <v>2</v>
      </c>
      <c r="I130" s="3" t="n">
        <v>90</v>
      </c>
      <c r="J130" s="3" t="n">
        <v>1.8</v>
      </c>
      <c r="K130" s="2" t="n"/>
      <c r="L130" s="2" t="n"/>
      <c r="M130" s="2" t="n"/>
      <c r="N130" s="2" t="n"/>
      <c r="O130" s="2" t="n"/>
      <c r="P130" s="2" t="n"/>
    </row>
    <row r="131">
      <c r="A131" s="3" t="n">
        <v>47099</v>
      </c>
      <c r="B131" s="3" t="inlineStr">
        <is>
          <t>POVEDA ALMEIDA EFRAIN ALEJANDRO</t>
        </is>
      </c>
      <c r="C131" s="4" t="n">
        <v>46061</v>
      </c>
      <c r="D131" s="4" t="n">
        <v>46060</v>
      </c>
      <c r="E131" s="4" t="inlineStr">
        <is>
          <t>IVA</t>
        </is>
      </c>
      <c r="F131" s="3" t="n">
        <v>307</v>
      </c>
      <c r="G131" s="3" t="n">
        <v>52</v>
      </c>
      <c r="H131" s="3" t="n">
        <v>70</v>
      </c>
      <c r="I131" s="3" t="n">
        <v>13.5</v>
      </c>
      <c r="J131" s="3" t="n">
        <v>9.449999999999999</v>
      </c>
      <c r="K131" s="2" t="n"/>
      <c r="L131" s="2" t="n"/>
      <c r="M131" s="2" t="n"/>
      <c r="N131" s="2" t="n"/>
      <c r="O131" s="2" t="n"/>
      <c r="P131" s="2" t="n"/>
    </row>
    <row r="132">
      <c r="A132" s="3" t="n">
        <v>47100</v>
      </c>
      <c r="B132" s="3" t="inlineStr">
        <is>
          <t>TOYOTASERVICIOS S.A.</t>
        </is>
      </c>
      <c r="C132" s="4" t="n">
        <v>46061</v>
      </c>
      <c r="D132" s="4" t="n">
        <v>46059</v>
      </c>
      <c r="E132" s="4" t="inlineStr">
        <is>
          <t>RENTA</t>
        </is>
      </c>
      <c r="F132" s="3" t="n">
        <v>344</v>
      </c>
      <c r="G132" s="3" t="n">
        <v>6834</v>
      </c>
      <c r="H132" s="3" t="n">
        <v>2.75</v>
      </c>
      <c r="I132" s="3" t="n">
        <v>13.83</v>
      </c>
      <c r="J132" s="3" t="n">
        <v>0.38</v>
      </c>
      <c r="K132" s="2" t="n"/>
      <c r="L132" s="2" t="n"/>
      <c r="M132" s="2" t="n"/>
      <c r="N132" s="2" t="n"/>
      <c r="O132" s="2" t="n"/>
      <c r="P132" s="2" t="n"/>
    </row>
    <row r="133">
      <c r="A133" s="3" t="n">
        <v>47100</v>
      </c>
      <c r="B133" s="3" t="inlineStr">
        <is>
          <t>TOYOTASERVICIOS S.A.</t>
        </is>
      </c>
      <c r="C133" s="4" t="n">
        <v>46061</v>
      </c>
      <c r="D133" s="4" t="n">
        <v>46059</v>
      </c>
      <c r="E133" s="4" t="inlineStr">
        <is>
          <t>IVA</t>
        </is>
      </c>
      <c r="F133" s="3" t="n">
        <v>344</v>
      </c>
      <c r="G133" s="3" t="n">
        <v>6834</v>
      </c>
      <c r="H133" s="3" t="n">
        <v>70</v>
      </c>
      <c r="I133" s="3" t="n">
        <v>2.07</v>
      </c>
      <c r="J133" s="3" t="n">
        <v>1.45</v>
      </c>
      <c r="K133" s="2" t="n"/>
      <c r="L133" s="2" t="n"/>
      <c r="M133" s="2" t="n"/>
      <c r="N133" s="2" t="n"/>
      <c r="O133" s="2" t="n"/>
      <c r="P133" s="2" t="n"/>
    </row>
    <row r="134">
      <c r="A134" s="3" t="n">
        <v>47101</v>
      </c>
      <c r="B134" s="3" t="inlineStr">
        <is>
          <t>ASO. EMPRESAS AUTOMOTRICES DEL ECUADOR</t>
        </is>
      </c>
      <c r="C134" s="4" t="n">
        <v>46062</v>
      </c>
      <c r="D134" s="4" t="n">
        <v>46062</v>
      </c>
      <c r="E134" s="4" t="inlineStr">
        <is>
          <t>IVA</t>
        </is>
      </c>
      <c r="F134" s="3" t="n">
        <v>344</v>
      </c>
      <c r="G134" s="3" t="n">
        <v>6770</v>
      </c>
      <c r="H134" s="3" t="n">
        <v>70</v>
      </c>
      <c r="I134" s="3" t="n">
        <v>91.5</v>
      </c>
      <c r="J134" s="3" t="n">
        <v>64.05</v>
      </c>
      <c r="K134" s="2" t="n"/>
      <c r="L134" s="2" t="n"/>
      <c r="M134" s="2" t="n"/>
      <c r="N134" s="2" t="n"/>
      <c r="O134" s="2" t="n"/>
      <c r="P134" s="2" t="n"/>
    </row>
    <row r="135">
      <c r="A135" s="3" t="n">
        <v>47102</v>
      </c>
      <c r="B135" s="3" t="inlineStr">
        <is>
          <t>MANTELCOA CIA. LTDA.</t>
        </is>
      </c>
      <c r="C135" s="4" t="n">
        <v>46062</v>
      </c>
      <c r="D135" s="4" t="n">
        <v>46062</v>
      </c>
      <c r="E135" s="4" t="inlineStr">
        <is>
          <t>IVA</t>
        </is>
      </c>
      <c r="F135" s="3" t="n">
        <v>344</v>
      </c>
      <c r="G135" s="3" t="n">
        <v>10912</v>
      </c>
      <c r="H135" s="3" t="n">
        <v>70</v>
      </c>
      <c r="I135" s="3" t="n">
        <v>27</v>
      </c>
      <c r="J135" s="3" t="n">
        <v>18.9</v>
      </c>
      <c r="K135" s="2" t="n"/>
      <c r="L135" s="2" t="n"/>
      <c r="M135" s="2" t="n"/>
      <c r="N135" s="2" t="n"/>
      <c r="O135" s="2" t="n"/>
      <c r="P135" s="2" t="n"/>
    </row>
    <row r="136">
      <c r="A136" s="3" t="n">
        <v>47102</v>
      </c>
      <c r="B136" s="3" t="inlineStr">
        <is>
          <t>MANTELCOA CIA. LTDA.</t>
        </is>
      </c>
      <c r="C136" s="4" t="n">
        <v>46062</v>
      </c>
      <c r="D136" s="4" t="n">
        <v>46062</v>
      </c>
      <c r="E136" s="4" t="inlineStr">
        <is>
          <t>RENTA</t>
        </is>
      </c>
      <c r="F136" s="3" t="n">
        <v>344</v>
      </c>
      <c r="G136" s="3" t="n">
        <v>10912</v>
      </c>
      <c r="H136" s="3" t="n">
        <v>2.75</v>
      </c>
      <c r="I136" s="3" t="n">
        <v>180</v>
      </c>
      <c r="J136" s="3" t="n">
        <v>4.95</v>
      </c>
      <c r="K136" s="2" t="n"/>
      <c r="L136" s="2" t="n"/>
      <c r="M136" s="2" t="n"/>
      <c r="N136" s="2" t="n"/>
      <c r="O136" s="2" t="n"/>
      <c r="P136" s="2" t="n"/>
    </row>
    <row r="137">
      <c r="A137" s="3" t="n">
        <v>47103</v>
      </c>
      <c r="B137" s="3" t="inlineStr">
        <is>
          <t>YANGTSE-AUTO DEL ECUADOR S.A.</t>
        </is>
      </c>
      <c r="C137" s="4" t="n">
        <v>46062</v>
      </c>
      <c r="D137" s="4" t="n">
        <v>46062</v>
      </c>
      <c r="E137" s="4" t="inlineStr">
        <is>
          <t>RENTA</t>
        </is>
      </c>
      <c r="F137" s="3" t="n">
        <v>312</v>
      </c>
      <c r="G137" s="3" t="n">
        <v>640</v>
      </c>
      <c r="H137" s="3" t="n">
        <v>1.75</v>
      </c>
      <c r="I137" s="17" t="n">
        <v>13980.87</v>
      </c>
      <c r="J137" s="3" t="n">
        <v>244.67</v>
      </c>
      <c r="K137" s="2" t="n"/>
      <c r="L137" s="2" t="n"/>
      <c r="M137" s="2" t="n"/>
      <c r="N137" s="2" t="n"/>
      <c r="O137" s="2" t="n"/>
      <c r="P137" s="2" t="n"/>
    </row>
    <row r="138">
      <c r="A138" s="3" t="n">
        <v>47103</v>
      </c>
      <c r="B138" s="3" t="inlineStr">
        <is>
          <t>YANGTSE-AUTO DEL ECUADOR S.A.</t>
        </is>
      </c>
      <c r="C138" s="4" t="n">
        <v>46062</v>
      </c>
      <c r="D138" s="4" t="n">
        <v>46062</v>
      </c>
      <c r="E138" s="4" t="inlineStr">
        <is>
          <t>IVA</t>
        </is>
      </c>
      <c r="F138" s="3" t="n">
        <v>312</v>
      </c>
      <c r="G138" s="3" t="n">
        <v>640</v>
      </c>
      <c r="H138" s="3" t="n">
        <v>30</v>
      </c>
      <c r="I138" s="17" t="n">
        <v>2097.13</v>
      </c>
      <c r="J138" s="3" t="n">
        <v>629.14</v>
      </c>
      <c r="K138" s="2" t="n"/>
      <c r="L138" s="2" t="n"/>
      <c r="M138" s="2" t="n"/>
      <c r="N138" s="2" t="n"/>
      <c r="O138" s="2" t="n"/>
      <c r="P138" s="2" t="n"/>
    </row>
    <row r="139">
      <c r="A139" s="3" t="n">
        <v>47104</v>
      </c>
      <c r="B139" s="3" t="inlineStr">
        <is>
          <t>POVEDA ALMEIDA EFRAIN ALEJANDRO</t>
        </is>
      </c>
      <c r="C139" s="4" t="n">
        <v>46062</v>
      </c>
      <c r="D139" s="4" t="n">
        <v>46062</v>
      </c>
      <c r="E139" s="4" t="inlineStr">
        <is>
          <t>RENTA</t>
        </is>
      </c>
      <c r="F139" s="3" t="n">
        <v>312</v>
      </c>
      <c r="G139" s="3" t="n">
        <v>55</v>
      </c>
      <c r="H139" s="3" t="n">
        <v>1.75</v>
      </c>
      <c r="I139" s="3" t="n">
        <v>70</v>
      </c>
      <c r="J139" s="3" t="n">
        <v>1.23</v>
      </c>
      <c r="K139" s="2" t="n"/>
      <c r="L139" s="2" t="n"/>
      <c r="M139" s="2" t="n"/>
      <c r="N139" s="2" t="n"/>
      <c r="O139" s="2" t="n"/>
      <c r="P139" s="2" t="n"/>
    </row>
    <row r="140">
      <c r="A140" s="3" t="n">
        <v>47104</v>
      </c>
      <c r="B140" s="3" t="inlineStr">
        <is>
          <t>POVEDA ALMEIDA EFRAIN ALEJANDRO</t>
        </is>
      </c>
      <c r="C140" s="4" t="n">
        <v>46062</v>
      </c>
      <c r="D140" s="4" t="n">
        <v>46062</v>
      </c>
      <c r="E140" s="4" t="inlineStr">
        <is>
          <t>IVA</t>
        </is>
      </c>
      <c r="F140" s="3" t="n">
        <v>312</v>
      </c>
      <c r="G140" s="3" t="n">
        <v>55</v>
      </c>
      <c r="H140" s="3" t="n">
        <v>30</v>
      </c>
      <c r="I140" s="3" t="n">
        <v>10.5</v>
      </c>
      <c r="J140" s="3" t="n">
        <v>3.15</v>
      </c>
      <c r="K140" s="2" t="n"/>
      <c r="L140" s="2" t="n"/>
      <c r="M140" s="2" t="n"/>
      <c r="N140" s="2" t="n"/>
      <c r="O140" s="2" t="n"/>
      <c r="P140" s="2" t="n"/>
    </row>
    <row r="141">
      <c r="A141" s="3" t="n">
        <v>47105</v>
      </c>
      <c r="B141" s="3" t="inlineStr">
        <is>
          <t>CENTRO DE SERVICIOS COMPARTIDOS GBV S.A.</t>
        </is>
      </c>
      <c r="C141" s="4" t="n">
        <v>46062</v>
      </c>
      <c r="D141" s="4" t="n">
        <v>46062</v>
      </c>
      <c r="E141" s="4" t="inlineStr">
        <is>
          <t>RENTA</t>
        </is>
      </c>
      <c r="F141" s="3" t="n">
        <v>303</v>
      </c>
      <c r="G141" s="3" t="n">
        <v>932</v>
      </c>
      <c r="H141" s="3" t="n">
        <v>3</v>
      </c>
      <c r="I141" s="17" t="n">
        <v>1604.29</v>
      </c>
      <c r="J141" s="3" t="n">
        <v>48.13</v>
      </c>
      <c r="K141" s="2" t="n"/>
      <c r="L141" s="2" t="n"/>
      <c r="M141" s="2" t="n"/>
      <c r="N141" s="2" t="n"/>
      <c r="O141" s="2" t="n"/>
      <c r="P141" s="2" t="n"/>
    </row>
    <row r="142">
      <c r="A142" s="3" t="n">
        <v>47105</v>
      </c>
      <c r="B142" s="3" t="inlineStr">
        <is>
          <t>CENTRO DE SERVICIOS COMPARTIDOS GBV S.A.</t>
        </is>
      </c>
      <c r="C142" s="4" t="n">
        <v>46062</v>
      </c>
      <c r="D142" s="4" t="n">
        <v>46062</v>
      </c>
      <c r="E142" s="4" t="inlineStr">
        <is>
          <t>IVA</t>
        </is>
      </c>
      <c r="F142" s="3" t="n">
        <v>303</v>
      </c>
      <c r="G142" s="3" t="n">
        <v>932</v>
      </c>
      <c r="H142" s="3" t="n">
        <v>20</v>
      </c>
      <c r="I142" s="3" t="n">
        <v>240.64</v>
      </c>
      <c r="J142" s="3" t="n">
        <v>48.13</v>
      </c>
      <c r="K142" s="2" t="n"/>
      <c r="L142" s="2" t="n"/>
      <c r="M142" s="2" t="n"/>
      <c r="N142" s="2" t="n"/>
      <c r="O142" s="2" t="n"/>
      <c r="P142" s="2" t="n"/>
    </row>
    <row r="143">
      <c r="A143" s="3" t="n">
        <v>47106</v>
      </c>
      <c r="B143" s="3" t="inlineStr">
        <is>
          <t>POVEDA ALMEIDA EFRAIN ALEJANDRO</t>
        </is>
      </c>
      <c r="C143" s="4" t="n">
        <v>46062</v>
      </c>
      <c r="D143" s="4" t="n">
        <v>46062</v>
      </c>
      <c r="E143" s="4" t="inlineStr">
        <is>
          <t>RENTA</t>
        </is>
      </c>
      <c r="F143" s="3" t="n">
        <v>307</v>
      </c>
      <c r="G143" s="3" t="n">
        <v>56</v>
      </c>
      <c r="H143" s="3" t="n">
        <v>2</v>
      </c>
      <c r="I143" s="3" t="n">
        <v>90</v>
      </c>
      <c r="J143" s="3" t="n">
        <v>1.8</v>
      </c>
      <c r="K143" s="2" t="n"/>
      <c r="L143" s="2" t="n"/>
      <c r="M143" s="2" t="n"/>
      <c r="N143" s="2" t="n"/>
      <c r="O143" s="2" t="n"/>
      <c r="P143" s="2" t="n"/>
    </row>
    <row r="144">
      <c r="A144" s="3" t="n">
        <v>47106</v>
      </c>
      <c r="B144" s="3" t="inlineStr">
        <is>
          <t>POVEDA ALMEIDA EFRAIN ALEJANDRO</t>
        </is>
      </c>
      <c r="C144" s="4" t="n">
        <v>46062</v>
      </c>
      <c r="D144" s="4" t="n">
        <v>46062</v>
      </c>
      <c r="E144" s="4" t="inlineStr">
        <is>
          <t>IVA</t>
        </is>
      </c>
      <c r="F144" s="3" t="n">
        <v>307</v>
      </c>
      <c r="G144" s="3" t="n">
        <v>56</v>
      </c>
      <c r="H144" s="3" t="n">
        <v>70</v>
      </c>
      <c r="I144" s="3" t="n">
        <v>13.5</v>
      </c>
      <c r="J144" s="3" t="n">
        <v>9.449999999999999</v>
      </c>
      <c r="K144" s="2" t="n"/>
      <c r="L144" s="2" t="n"/>
      <c r="M144" s="2" t="n"/>
      <c r="N144" s="2" t="n"/>
      <c r="O144" s="2" t="n"/>
      <c r="P144" s="2" t="n"/>
    </row>
    <row r="145">
      <c r="A145" s="3" t="n">
        <v>47107</v>
      </c>
      <c r="B145" s="3" t="inlineStr">
        <is>
          <t>TOYOTASERVICIOS S.A.</t>
        </is>
      </c>
      <c r="C145" s="4" t="n">
        <v>46063</v>
      </c>
      <c r="D145" s="4" t="n">
        <v>46063</v>
      </c>
      <c r="E145" s="4" t="inlineStr">
        <is>
          <t>RENTA</t>
        </is>
      </c>
      <c r="F145" s="3" t="n">
        <v>312</v>
      </c>
      <c r="G145" s="3" t="n">
        <v>14882</v>
      </c>
      <c r="H145" s="3" t="n">
        <v>1.75</v>
      </c>
      <c r="I145" s="3" t="n">
        <v>130</v>
      </c>
      <c r="J145" s="3" t="n">
        <v>2.28</v>
      </c>
      <c r="K145" s="2" t="n"/>
      <c r="L145" s="2" t="n"/>
      <c r="M145" s="2" t="n"/>
      <c r="N145" s="2" t="n"/>
      <c r="O145" s="2" t="n"/>
      <c r="P145" s="2" t="n"/>
    </row>
    <row r="146">
      <c r="A146" s="3" t="n">
        <v>47107</v>
      </c>
      <c r="B146" s="3" t="inlineStr">
        <is>
          <t>TOYOTASERVICIOS S.A.</t>
        </is>
      </c>
      <c r="C146" s="4" t="n">
        <v>46063</v>
      </c>
      <c r="D146" s="4" t="n">
        <v>46063</v>
      </c>
      <c r="E146" s="4" t="inlineStr">
        <is>
          <t>IVA</t>
        </is>
      </c>
      <c r="F146" s="3" t="n">
        <v>312</v>
      </c>
      <c r="G146" s="3" t="n">
        <v>14882</v>
      </c>
      <c r="H146" s="3" t="n">
        <v>30</v>
      </c>
      <c r="I146" s="3" t="n">
        <v>19.5</v>
      </c>
      <c r="J146" s="3" t="n">
        <v>5.85</v>
      </c>
      <c r="K146" s="2" t="n"/>
      <c r="L146" s="2" t="n"/>
      <c r="M146" s="2" t="n"/>
      <c r="N146" s="2" t="n"/>
      <c r="O146" s="2" t="n"/>
      <c r="P146" s="2" t="n"/>
    </row>
    <row r="147">
      <c r="A147" s="3" t="n">
        <v>47108</v>
      </c>
      <c r="B147" s="3" t="inlineStr">
        <is>
          <t>LAYOUT S.A.</t>
        </is>
      </c>
      <c r="C147" s="4" t="n">
        <v>46063</v>
      </c>
      <c r="D147" s="4" t="n">
        <v>46062</v>
      </c>
      <c r="E147" s="4" t="inlineStr">
        <is>
          <t>RENTA</t>
        </is>
      </c>
      <c r="F147" s="3" t="n">
        <v>312</v>
      </c>
      <c r="G147" s="3" t="n">
        <v>413</v>
      </c>
      <c r="H147" s="3" t="n">
        <v>1.75</v>
      </c>
      <c r="I147" s="17" t="n">
        <v>1231.3</v>
      </c>
      <c r="J147" s="3" t="n">
        <v>21.55</v>
      </c>
      <c r="K147" s="2" t="n"/>
      <c r="L147" s="2" t="n"/>
      <c r="M147" s="2" t="n"/>
      <c r="N147" s="2" t="n"/>
      <c r="O147" s="2" t="n"/>
      <c r="P147" s="2" t="n"/>
    </row>
    <row r="148">
      <c r="A148" s="3" t="n">
        <v>47108</v>
      </c>
      <c r="B148" s="3" t="inlineStr">
        <is>
          <t>LAYOUT S.A.</t>
        </is>
      </c>
      <c r="C148" s="4" t="n">
        <v>46063</v>
      </c>
      <c r="D148" s="4" t="n">
        <v>46062</v>
      </c>
      <c r="E148" s="4" t="inlineStr">
        <is>
          <t>IVA</t>
        </is>
      </c>
      <c r="F148" s="3" t="n">
        <v>312</v>
      </c>
      <c r="G148" s="3" t="n">
        <v>413</v>
      </c>
      <c r="H148" s="3" t="n">
        <v>30</v>
      </c>
      <c r="I148" s="3" t="n">
        <v>184.7</v>
      </c>
      <c r="J148" s="3" t="n">
        <v>55.41</v>
      </c>
      <c r="K148" s="2" t="n"/>
      <c r="L148" s="2" t="n"/>
      <c r="M148" s="2" t="n"/>
      <c r="N148" s="2" t="n"/>
      <c r="O148" s="2" t="n"/>
      <c r="P148" s="2" t="n"/>
    </row>
    <row r="149">
      <c r="A149" s="3" t="n">
        <v>47109</v>
      </c>
      <c r="B149" s="3" t="inlineStr">
        <is>
          <t>LAYOUT S.A.</t>
        </is>
      </c>
      <c r="C149" s="4" t="n">
        <v>46063</v>
      </c>
      <c r="D149" s="4" t="n">
        <v>46062</v>
      </c>
      <c r="E149" s="4" t="inlineStr">
        <is>
          <t>IVA</t>
        </is>
      </c>
      <c r="F149" s="3" t="n">
        <v>344</v>
      </c>
      <c r="G149" s="3" t="n">
        <v>414</v>
      </c>
      <c r="H149" s="3" t="n">
        <v>70</v>
      </c>
      <c r="I149" s="3" t="n">
        <v>19.5</v>
      </c>
      <c r="J149" s="3" t="n">
        <v>13.65</v>
      </c>
      <c r="K149" s="2" t="n"/>
      <c r="L149" s="2" t="n"/>
      <c r="M149" s="2" t="n"/>
      <c r="N149" s="2" t="n"/>
      <c r="O149" s="2" t="n"/>
      <c r="P149" s="2" t="n"/>
    </row>
    <row r="150">
      <c r="A150" s="3" t="n">
        <v>47109</v>
      </c>
      <c r="B150" s="3" t="inlineStr">
        <is>
          <t>LAYOUT S.A.</t>
        </is>
      </c>
      <c r="C150" s="4" t="n">
        <v>46063</v>
      </c>
      <c r="D150" s="4" t="n">
        <v>46062</v>
      </c>
      <c r="E150" s="4" t="inlineStr">
        <is>
          <t>RENTA</t>
        </is>
      </c>
      <c r="F150" s="3" t="n">
        <v>344</v>
      </c>
      <c r="G150" s="3" t="n">
        <v>414</v>
      </c>
      <c r="H150" s="3" t="n">
        <v>2.75</v>
      </c>
      <c r="I150" s="3" t="n">
        <v>130</v>
      </c>
      <c r="J150" s="3" t="n">
        <v>3.58</v>
      </c>
      <c r="K150" s="2" t="n"/>
      <c r="L150" s="2" t="n"/>
      <c r="M150" s="2" t="n"/>
      <c r="N150" s="2" t="n"/>
      <c r="O150" s="2" t="n"/>
      <c r="P150" s="2" t="n"/>
    </row>
    <row r="151">
      <c r="A151" s="3" t="n">
        <v>47110</v>
      </c>
      <c r="B151" s="3" t="inlineStr">
        <is>
          <t>MEJIA CARRASCO VICTOR LEONEL</t>
        </is>
      </c>
      <c r="C151" s="4" t="n">
        <v>46063</v>
      </c>
      <c r="D151" s="4" t="n">
        <v>46063</v>
      </c>
      <c r="E151" s="4" t="inlineStr">
        <is>
          <t>RENTA</t>
        </is>
      </c>
      <c r="F151" s="3" t="n">
        <v>312</v>
      </c>
      <c r="G151" s="3" t="n">
        <v>142395</v>
      </c>
      <c r="H151" s="3" t="n">
        <v>1.75</v>
      </c>
      <c r="I151" s="3" t="n">
        <v>721.74</v>
      </c>
      <c r="J151" s="3" t="n">
        <v>12.63</v>
      </c>
      <c r="K151" s="2" t="n"/>
      <c r="L151" s="2" t="n"/>
      <c r="M151" s="2" t="n"/>
      <c r="N151" s="2" t="n"/>
      <c r="O151" s="2" t="n"/>
      <c r="P151" s="2" t="n"/>
    </row>
    <row r="152">
      <c r="A152" s="3" t="n">
        <v>47110</v>
      </c>
      <c r="B152" s="3" t="inlineStr">
        <is>
          <t>MEJIA CARRASCO VICTOR LEONEL</t>
        </is>
      </c>
      <c r="C152" s="4" t="n">
        <v>46063</v>
      </c>
      <c r="D152" s="4" t="n">
        <v>46063</v>
      </c>
      <c r="E152" s="4" t="inlineStr">
        <is>
          <t>IVA</t>
        </is>
      </c>
      <c r="F152" s="3" t="n">
        <v>312</v>
      </c>
      <c r="G152" s="3" t="n">
        <v>142395</v>
      </c>
      <c r="H152" s="3" t="n">
        <v>10</v>
      </c>
      <c r="I152" s="3" t="n">
        <v>108.26</v>
      </c>
      <c r="J152" s="3" t="n">
        <v>10.83</v>
      </c>
      <c r="K152" s="2" t="n"/>
      <c r="L152" s="2" t="n"/>
      <c r="M152" s="2" t="n"/>
      <c r="N152" s="2" t="n"/>
      <c r="O152" s="2" t="n"/>
      <c r="P152" s="2" t="n"/>
    </row>
    <row r="153">
      <c r="A153" s="3" t="n">
        <v>47111</v>
      </c>
      <c r="B153" s="3" t="inlineStr">
        <is>
          <t>ASEGURADORA DEL SUR C.A.</t>
        </is>
      </c>
      <c r="C153" s="4" t="n">
        <v>46063</v>
      </c>
      <c r="D153" s="4" t="n">
        <v>46063</v>
      </c>
      <c r="E153" s="4" t="inlineStr">
        <is>
          <t>IVA</t>
        </is>
      </c>
      <c r="F153" s="3" t="n">
        <v>332</v>
      </c>
      <c r="G153" s="3" t="n">
        <v>50792</v>
      </c>
      <c r="H153" s="3" t="n">
        <v>20</v>
      </c>
      <c r="I153" s="3" t="n">
        <v>151.18</v>
      </c>
      <c r="J153" s="3" t="n">
        <v>30.24</v>
      </c>
      <c r="K153" s="2" t="n"/>
      <c r="L153" s="2" t="n"/>
      <c r="M153" s="2" t="n"/>
      <c r="N153" s="2" t="n"/>
      <c r="O153" s="2" t="n"/>
      <c r="P153" s="2" t="n"/>
    </row>
    <row r="154">
      <c r="A154" s="3" t="n">
        <v>47112</v>
      </c>
      <c r="B154" s="3" t="inlineStr">
        <is>
          <t>REINOSO SALAS YAJAIRA CAROLINA</t>
        </is>
      </c>
      <c r="C154" s="4" t="n">
        <v>46063</v>
      </c>
      <c r="D154" s="4" t="n">
        <v>46063</v>
      </c>
      <c r="E154" s="4" t="inlineStr">
        <is>
          <t>IVA</t>
        </is>
      </c>
      <c r="F154" s="3" t="n">
        <v>307</v>
      </c>
      <c r="G154" s="3" t="n">
        <v>134</v>
      </c>
      <c r="H154" s="3" t="n">
        <v>70</v>
      </c>
      <c r="I154" s="3" t="n">
        <v>6</v>
      </c>
      <c r="J154" s="3" t="n">
        <v>4.2</v>
      </c>
      <c r="K154" s="2" t="n"/>
      <c r="L154" s="2" t="n"/>
      <c r="M154" s="2" t="n"/>
      <c r="N154" s="2" t="n"/>
      <c r="O154" s="2" t="n"/>
      <c r="P154" s="2" t="n"/>
    </row>
    <row r="155">
      <c r="A155" s="3" t="n">
        <v>47112</v>
      </c>
      <c r="B155" s="3" t="inlineStr">
        <is>
          <t>REINOSO SALAS YAJAIRA CAROLINA</t>
        </is>
      </c>
      <c r="C155" s="4" t="n">
        <v>46063</v>
      </c>
      <c r="D155" s="4" t="n">
        <v>46063</v>
      </c>
      <c r="E155" s="4" t="inlineStr">
        <is>
          <t>RENTA</t>
        </is>
      </c>
      <c r="F155" s="3" t="n">
        <v>307</v>
      </c>
      <c r="G155" s="3" t="n">
        <v>134</v>
      </c>
      <c r="H155" s="3" t="n">
        <v>2</v>
      </c>
      <c r="I155" s="3" t="n">
        <v>40</v>
      </c>
      <c r="J155" s="3" t="n">
        <v>0.8</v>
      </c>
      <c r="K155" s="2" t="n"/>
      <c r="L155" s="2" t="n"/>
      <c r="M155" s="2" t="n"/>
      <c r="N155" s="2" t="n"/>
      <c r="O155" s="2" t="n"/>
      <c r="P155" s="2" t="n"/>
    </row>
    <row r="156">
      <c r="A156" s="3" t="n">
        <v>47113</v>
      </c>
      <c r="B156" s="3" t="inlineStr">
        <is>
          <t>ASEGURADORA DEL SUR C.A.</t>
        </is>
      </c>
      <c r="C156" s="4" t="n">
        <v>46063</v>
      </c>
      <c r="D156" s="4" t="n">
        <v>46062</v>
      </c>
      <c r="E156" s="4" t="inlineStr">
        <is>
          <t>IVA</t>
        </is>
      </c>
      <c r="F156" s="3" t="n">
        <v>332</v>
      </c>
      <c r="G156" s="3" t="n">
        <v>50774</v>
      </c>
      <c r="H156" s="3" t="n">
        <v>20</v>
      </c>
      <c r="I156" s="3" t="n">
        <v>30.26</v>
      </c>
      <c r="J156" s="3" t="n">
        <v>6.05</v>
      </c>
      <c r="K156" s="2" t="n"/>
      <c r="L156" s="2" t="n"/>
      <c r="M156" s="2" t="n"/>
      <c r="N156" s="2" t="n"/>
      <c r="O156" s="2" t="n"/>
      <c r="P156" s="2" t="n"/>
    </row>
    <row r="157">
      <c r="A157" s="3" t="n">
        <v>47114</v>
      </c>
      <c r="B157" s="3" t="inlineStr">
        <is>
          <t>TOYOTASERVICIOS S.A.</t>
        </is>
      </c>
      <c r="C157" s="4" t="n">
        <v>46063</v>
      </c>
      <c r="D157" s="4" t="n">
        <v>46063</v>
      </c>
      <c r="E157" s="4" t="inlineStr">
        <is>
          <t>RENTA</t>
        </is>
      </c>
      <c r="F157" s="3" t="n">
        <v>312</v>
      </c>
      <c r="G157" s="3" t="n">
        <v>14881</v>
      </c>
      <c r="H157" s="3" t="n">
        <v>1.75</v>
      </c>
      <c r="I157" s="3" t="n">
        <v>676.11</v>
      </c>
      <c r="J157" s="3" t="n">
        <v>11.83</v>
      </c>
      <c r="K157" s="2" t="n"/>
      <c r="L157" s="2" t="n"/>
      <c r="M157" s="2" t="n"/>
      <c r="N157" s="2" t="n"/>
      <c r="O157" s="2" t="n"/>
      <c r="P157" s="2" t="n"/>
    </row>
    <row r="158">
      <c r="A158" s="3" t="n">
        <v>47114</v>
      </c>
      <c r="B158" s="3" t="inlineStr">
        <is>
          <t>TOYOTASERVICIOS S.A.</t>
        </is>
      </c>
      <c r="C158" s="4" t="n">
        <v>46063</v>
      </c>
      <c r="D158" s="4" t="n">
        <v>46063</v>
      </c>
      <c r="E158" s="4" t="inlineStr">
        <is>
          <t>IVA</t>
        </is>
      </c>
      <c r="F158" s="3" t="n">
        <v>312</v>
      </c>
      <c r="G158" s="3" t="n">
        <v>14881</v>
      </c>
      <c r="H158" s="3" t="n">
        <v>30</v>
      </c>
      <c r="I158" s="3" t="n">
        <v>101.42</v>
      </c>
      <c r="J158" s="3" t="n">
        <v>30.43</v>
      </c>
      <c r="K158" s="2" t="n"/>
      <c r="L158" s="2" t="n"/>
      <c r="M158" s="2" t="n"/>
      <c r="N158" s="2" t="n"/>
      <c r="O158" s="2" t="n"/>
      <c r="P158" s="2" t="n"/>
    </row>
    <row r="159">
      <c r="A159" s="3" t="n">
        <v>47115</v>
      </c>
      <c r="B159" s="3" t="inlineStr">
        <is>
          <t>FIDEVAL S.A</t>
        </is>
      </c>
      <c r="C159" s="4" t="n">
        <v>46064</v>
      </c>
      <c r="D159" s="4" t="n">
        <v>46064</v>
      </c>
      <c r="E159" s="4" t="inlineStr">
        <is>
          <t>RENTA</t>
        </is>
      </c>
      <c r="F159" s="3" t="n">
        <v>303</v>
      </c>
      <c r="G159" s="3" t="n">
        <v>226449</v>
      </c>
      <c r="H159" s="3" t="n">
        <v>3</v>
      </c>
      <c r="I159" s="3" t="n">
        <v>139.59</v>
      </c>
      <c r="J159" s="3" t="n">
        <v>4.19</v>
      </c>
      <c r="K159" s="2" t="n"/>
      <c r="L159" s="2" t="n"/>
      <c r="M159" s="2" t="n"/>
      <c r="N159" s="2" t="n"/>
      <c r="O159" s="2" t="n"/>
      <c r="P159" s="2" t="n"/>
    </row>
    <row r="160">
      <c r="A160" s="3" t="n">
        <v>47115</v>
      </c>
      <c r="B160" s="3" t="inlineStr">
        <is>
          <t>FIDEVAL S.A</t>
        </is>
      </c>
      <c r="C160" s="4" t="n">
        <v>46064</v>
      </c>
      <c r="D160" s="4" t="n">
        <v>46064</v>
      </c>
      <c r="E160" s="4" t="inlineStr">
        <is>
          <t>IVA</t>
        </is>
      </c>
      <c r="F160" s="3" t="n">
        <v>303</v>
      </c>
      <c r="G160" s="3" t="n">
        <v>226449</v>
      </c>
      <c r="H160" s="3" t="n">
        <v>20</v>
      </c>
      <c r="I160" s="3" t="n">
        <v>20.94</v>
      </c>
      <c r="J160" s="3" t="n">
        <v>4.19</v>
      </c>
      <c r="K160" s="2" t="n"/>
      <c r="L160" s="2" t="n"/>
      <c r="M160" s="2" t="n"/>
      <c r="N160" s="2" t="n"/>
      <c r="O160" s="2" t="n"/>
      <c r="P160" s="2" t="n"/>
    </row>
    <row r="161">
      <c r="A161" s="3" t="n">
        <v>47116</v>
      </c>
      <c r="B161" s="3" t="inlineStr">
        <is>
          <t>FIDEVAL S.A</t>
        </is>
      </c>
      <c r="C161" s="4" t="n">
        <v>46064</v>
      </c>
      <c r="D161" s="4" t="n">
        <v>46064</v>
      </c>
      <c r="E161" s="4" t="inlineStr">
        <is>
          <t>RENTA</t>
        </is>
      </c>
      <c r="F161" s="3" t="n">
        <v>303</v>
      </c>
      <c r="G161" s="3" t="n">
        <v>226448</v>
      </c>
      <c r="H161" s="3" t="n">
        <v>3</v>
      </c>
      <c r="I161" s="3" t="n">
        <v>380</v>
      </c>
      <c r="J161" s="3" t="n">
        <v>11.4</v>
      </c>
      <c r="K161" s="2" t="n"/>
      <c r="L161" s="2" t="n"/>
      <c r="M161" s="2" t="n"/>
      <c r="N161" s="2" t="n"/>
      <c r="O161" s="2" t="n"/>
      <c r="P161" s="2" t="n"/>
    </row>
    <row r="162">
      <c r="A162" s="3" t="n">
        <v>47116</v>
      </c>
      <c r="B162" s="3" t="inlineStr">
        <is>
          <t>FIDEVAL S.A</t>
        </is>
      </c>
      <c r="C162" s="4" t="n">
        <v>46064</v>
      </c>
      <c r="D162" s="4" t="n">
        <v>46064</v>
      </c>
      <c r="E162" s="4" t="inlineStr">
        <is>
          <t>IVA</t>
        </is>
      </c>
      <c r="F162" s="3" t="n">
        <v>303</v>
      </c>
      <c r="G162" s="3" t="n">
        <v>226448</v>
      </c>
      <c r="H162" s="3" t="n">
        <v>20</v>
      </c>
      <c r="I162" s="3" t="n">
        <v>57</v>
      </c>
      <c r="J162" s="3" t="n">
        <v>11.4</v>
      </c>
      <c r="K162" s="2" t="n"/>
      <c r="L162" s="2" t="n"/>
      <c r="M162" s="2" t="n"/>
      <c r="N162" s="2" t="n"/>
      <c r="O162" s="2" t="n"/>
      <c r="P162" s="2" t="n"/>
    </row>
    <row r="163">
      <c r="A163" s="3" t="n">
        <v>47117</v>
      </c>
      <c r="B163" s="3" t="inlineStr">
        <is>
          <t>PROANDES SECURITY CIA. LTDA.</t>
        </is>
      </c>
      <c r="C163" s="4" t="n">
        <v>46064</v>
      </c>
      <c r="D163" s="4" t="n">
        <v>46064</v>
      </c>
      <c r="E163" s="4" t="inlineStr">
        <is>
          <t>IVA</t>
        </is>
      </c>
      <c r="F163" s="3" t="n">
        <v>344</v>
      </c>
      <c r="G163" s="3" t="n">
        <v>12507</v>
      </c>
      <c r="H163" s="3" t="n">
        <v>70</v>
      </c>
      <c r="I163" s="3" t="n">
        <v>3</v>
      </c>
      <c r="J163" s="3" t="n">
        <v>2.1</v>
      </c>
      <c r="K163" s="2" t="n"/>
      <c r="L163" s="2" t="n"/>
      <c r="M163" s="2" t="n"/>
      <c r="N163" s="2" t="n"/>
      <c r="O163" s="2" t="n"/>
      <c r="P163" s="2" t="n"/>
    </row>
    <row r="164">
      <c r="A164" s="3" t="n">
        <v>47117</v>
      </c>
      <c r="B164" s="3" t="inlineStr">
        <is>
          <t>PROANDES SECURITY CIA. LTDA.</t>
        </is>
      </c>
      <c r="C164" s="4" t="n">
        <v>46064</v>
      </c>
      <c r="D164" s="4" t="n">
        <v>46064</v>
      </c>
      <c r="E164" s="4" t="inlineStr">
        <is>
          <t>RENTA</t>
        </is>
      </c>
      <c r="F164" s="3" t="n">
        <v>344</v>
      </c>
      <c r="G164" s="3" t="n">
        <v>12507</v>
      </c>
      <c r="H164" s="3" t="n">
        <v>2.75</v>
      </c>
      <c r="I164" s="3" t="n">
        <v>20</v>
      </c>
      <c r="J164" s="3" t="n">
        <v>0.55</v>
      </c>
      <c r="K164" s="2" t="n"/>
      <c r="L164" s="2" t="n"/>
      <c r="M164" s="2" t="n"/>
      <c r="N164" s="2" t="n"/>
      <c r="O164" s="2" t="n"/>
      <c r="P164" s="2" t="n"/>
    </row>
    <row r="165">
      <c r="A165" s="3" t="n">
        <v>47118</v>
      </c>
      <c r="B165" s="3" t="inlineStr">
        <is>
          <t>YANGTSE-AUTO DEL ECUADOR S.A.</t>
        </is>
      </c>
      <c r="C165" s="4" t="n">
        <v>46065</v>
      </c>
      <c r="D165" s="4" t="n">
        <v>46065</v>
      </c>
      <c r="E165" s="4" t="inlineStr">
        <is>
          <t>RENTA</t>
        </is>
      </c>
      <c r="F165" s="3" t="n">
        <v>312</v>
      </c>
      <c r="G165" s="3" t="n">
        <v>651</v>
      </c>
      <c r="H165" s="3" t="n">
        <v>1.75</v>
      </c>
      <c r="I165" s="17" t="n">
        <v>13980.87</v>
      </c>
      <c r="J165" s="3" t="n">
        <v>244.67</v>
      </c>
      <c r="K165" s="2" t="n"/>
      <c r="L165" s="2" t="n"/>
      <c r="M165" s="2" t="n"/>
      <c r="N165" s="2" t="n"/>
      <c r="O165" s="2" t="n"/>
      <c r="P165" s="2" t="n"/>
    </row>
    <row r="166">
      <c r="A166" s="3" t="n">
        <v>47118</v>
      </c>
      <c r="B166" s="3" t="inlineStr">
        <is>
          <t>YANGTSE-AUTO DEL ECUADOR S.A.</t>
        </is>
      </c>
      <c r="C166" s="4" t="n">
        <v>46065</v>
      </c>
      <c r="D166" s="4" t="n">
        <v>46065</v>
      </c>
      <c r="E166" s="4" t="inlineStr">
        <is>
          <t>IVA</t>
        </is>
      </c>
      <c r="F166" s="3" t="n">
        <v>312</v>
      </c>
      <c r="G166" s="3" t="n">
        <v>651</v>
      </c>
      <c r="H166" s="3" t="n">
        <v>30</v>
      </c>
      <c r="I166" s="17" t="n">
        <v>2097.13</v>
      </c>
      <c r="J166" s="3" t="n">
        <v>629.14</v>
      </c>
      <c r="K166" s="2" t="n"/>
      <c r="L166" s="2" t="n"/>
      <c r="M166" s="2" t="n"/>
      <c r="N166" s="2" t="n"/>
      <c r="O166" s="2" t="n"/>
      <c r="P166" s="2" t="n"/>
    </row>
    <row r="167">
      <c r="A167" s="3" t="n">
        <v>47119</v>
      </c>
      <c r="B167" s="3" t="inlineStr">
        <is>
          <t>MAYORGA MAYORGA WILSON RAMIRO</t>
        </is>
      </c>
      <c r="C167" s="4" t="n">
        <v>46065</v>
      </c>
      <c r="D167" s="4" t="n">
        <v>46065</v>
      </c>
      <c r="E167" s="4" t="inlineStr">
        <is>
          <t>IVA</t>
        </is>
      </c>
      <c r="F167" s="3" t="n">
        <v>304</v>
      </c>
      <c r="G167" s="3" t="n">
        <v>76915</v>
      </c>
      <c r="H167" s="3" t="n">
        <v>70</v>
      </c>
      <c r="I167" s="3" t="n">
        <v>1.61</v>
      </c>
      <c r="J167" s="3" t="n">
        <v>1.13</v>
      </c>
      <c r="K167" s="2" t="n"/>
      <c r="L167" s="2" t="n"/>
      <c r="M167" s="2" t="n"/>
      <c r="N167" s="2" t="n"/>
      <c r="O167" s="2" t="n"/>
      <c r="P167" s="2" t="n"/>
    </row>
    <row r="168">
      <c r="A168" s="3" t="n">
        <v>47119</v>
      </c>
      <c r="B168" s="3" t="inlineStr">
        <is>
          <t>MAYORGA MAYORGA WILSON RAMIRO</t>
        </is>
      </c>
      <c r="C168" s="4" t="n">
        <v>46065</v>
      </c>
      <c r="D168" s="4" t="n">
        <v>46065</v>
      </c>
      <c r="E168" s="4" t="inlineStr">
        <is>
          <t>RENTA</t>
        </is>
      </c>
      <c r="F168" s="3" t="n">
        <v>304</v>
      </c>
      <c r="G168" s="3" t="n">
        <v>76915</v>
      </c>
      <c r="H168" s="3" t="n">
        <v>10</v>
      </c>
      <c r="I168" s="3" t="n">
        <v>10.74</v>
      </c>
      <c r="J168" s="3" t="n">
        <v>1.07</v>
      </c>
      <c r="K168" s="2" t="n"/>
      <c r="L168" s="2" t="n"/>
      <c r="M168" s="2" t="n"/>
      <c r="N168" s="2" t="n"/>
      <c r="O168" s="2" t="n"/>
      <c r="P168" s="2" t="n"/>
    </row>
    <row r="169">
      <c r="A169" s="3" t="n">
        <v>47120</v>
      </c>
      <c r="B169" s="3" t="inlineStr">
        <is>
          <t>MAYORGA MAYORGA WILSON RAMIRO</t>
        </is>
      </c>
      <c r="C169" s="4" t="n">
        <v>46065</v>
      </c>
      <c r="D169" s="4" t="n">
        <v>46065</v>
      </c>
      <c r="E169" s="4" t="inlineStr">
        <is>
          <t>IVA</t>
        </is>
      </c>
      <c r="F169" s="3" t="n">
        <v>304</v>
      </c>
      <c r="G169" s="3" t="n">
        <v>76914</v>
      </c>
      <c r="H169" s="3" t="n">
        <v>70</v>
      </c>
      <c r="I169" s="3" t="n">
        <v>16.42</v>
      </c>
      <c r="J169" s="3" t="n">
        <v>11.49</v>
      </c>
      <c r="K169" s="2" t="n"/>
      <c r="L169" s="2" t="n"/>
      <c r="M169" s="2" t="n"/>
      <c r="N169" s="2" t="n"/>
      <c r="O169" s="2" t="n"/>
      <c r="P169" s="2" t="n"/>
    </row>
    <row r="170">
      <c r="A170" s="3" t="n">
        <v>47120</v>
      </c>
      <c r="B170" s="3" t="inlineStr">
        <is>
          <t>MAYORGA MAYORGA WILSON RAMIRO</t>
        </is>
      </c>
      <c r="C170" s="4" t="n">
        <v>46065</v>
      </c>
      <c r="D170" s="4" t="n">
        <v>46065</v>
      </c>
      <c r="E170" s="4" t="inlineStr">
        <is>
          <t>RENTA</t>
        </is>
      </c>
      <c r="F170" s="3" t="n">
        <v>304</v>
      </c>
      <c r="G170" s="3" t="n">
        <v>76914</v>
      </c>
      <c r="H170" s="3" t="n">
        <v>10</v>
      </c>
      <c r="I170" s="3" t="n">
        <v>110.07</v>
      </c>
      <c r="J170" s="3" t="n">
        <v>11.01</v>
      </c>
      <c r="K170" s="2" t="n"/>
      <c r="L170" s="2" t="n"/>
      <c r="M170" s="2" t="n"/>
      <c r="N170" s="2" t="n"/>
      <c r="O170" s="2" t="n"/>
      <c r="P170" s="2" t="n"/>
    </row>
    <row r="171">
      <c r="A171" s="3" t="n">
        <v>47122</v>
      </c>
      <c r="B171" s="3" t="inlineStr">
        <is>
          <t>ASEGURADORA DEL SUR C.A.</t>
        </is>
      </c>
      <c r="C171" s="4" t="n">
        <v>46065</v>
      </c>
      <c r="D171" s="4" t="n">
        <v>46065</v>
      </c>
      <c r="E171" s="4" t="inlineStr">
        <is>
          <t>IVA</t>
        </is>
      </c>
      <c r="F171" s="3" t="n">
        <v>332</v>
      </c>
      <c r="G171" s="3" t="n">
        <v>17835092</v>
      </c>
      <c r="H171" s="3" t="n">
        <v>20</v>
      </c>
      <c r="I171" s="3" t="n">
        <v>246.67</v>
      </c>
      <c r="J171" s="3" t="n">
        <v>49.33</v>
      </c>
      <c r="K171" s="2" t="n"/>
      <c r="L171" s="2" t="n"/>
      <c r="M171" s="2" t="n"/>
      <c r="N171" s="2" t="n"/>
      <c r="O171" s="2" t="n"/>
      <c r="P171" s="2" t="n"/>
    </row>
    <row r="172">
      <c r="A172" s="3" t="n">
        <v>47123</v>
      </c>
      <c r="B172" s="3" t="inlineStr">
        <is>
          <t>TOYOTASERVICIOS S.A.</t>
        </is>
      </c>
      <c r="C172" s="4" t="n">
        <v>46065</v>
      </c>
      <c r="D172" s="4" t="n">
        <v>46065</v>
      </c>
      <c r="E172" s="4" t="inlineStr">
        <is>
          <t>IVA</t>
        </is>
      </c>
      <c r="F172" s="3" t="n">
        <v>312</v>
      </c>
      <c r="G172" s="3" t="n">
        <v>6871</v>
      </c>
      <c r="H172" s="3" t="n">
        <v>30</v>
      </c>
      <c r="I172" s="3" t="n">
        <v>18.97</v>
      </c>
      <c r="J172" s="3" t="n">
        <v>5.69</v>
      </c>
      <c r="K172" s="2" t="n"/>
      <c r="L172" s="2" t="n"/>
      <c r="M172" s="2" t="n"/>
      <c r="N172" s="2" t="n"/>
      <c r="O172" s="2" t="n"/>
      <c r="P172" s="2" t="n"/>
    </row>
    <row r="173">
      <c r="A173" s="3" t="n">
        <v>47123</v>
      </c>
      <c r="B173" s="3" t="inlineStr">
        <is>
          <t>TOYOTASERVICIOS S.A.</t>
        </is>
      </c>
      <c r="C173" s="4" t="n">
        <v>46065</v>
      </c>
      <c r="D173" s="4" t="n">
        <v>46065</v>
      </c>
      <c r="E173" s="4" t="inlineStr">
        <is>
          <t>RENTA</t>
        </is>
      </c>
      <c r="F173" s="3" t="n">
        <v>312</v>
      </c>
      <c r="G173" s="3" t="n">
        <v>6871</v>
      </c>
      <c r="H173" s="3" t="n">
        <v>1.75</v>
      </c>
      <c r="I173" s="3" t="n">
        <v>126.44</v>
      </c>
      <c r="J173" s="3" t="n">
        <v>2.21</v>
      </c>
      <c r="K173" s="2" t="n"/>
      <c r="L173" s="2" t="n"/>
      <c r="M173" s="2" t="n"/>
      <c r="N173" s="2" t="n"/>
      <c r="O173" s="2" t="n"/>
      <c r="P173" s="2" t="n"/>
    </row>
    <row r="174">
      <c r="A174" s="3" t="n">
        <v>47124</v>
      </c>
      <c r="B174" s="3" t="inlineStr">
        <is>
          <t>CARRO SEGURO CARSEG S.A.</t>
        </is>
      </c>
      <c r="C174" s="4" t="n">
        <v>46065</v>
      </c>
      <c r="D174" s="4" t="n">
        <v>46065</v>
      </c>
      <c r="E174" s="4" t="inlineStr">
        <is>
          <t>RENTA</t>
        </is>
      </c>
      <c r="F174" s="3" t="n">
        <v>312</v>
      </c>
      <c r="G174" s="3" t="n">
        <v>75049</v>
      </c>
      <c r="H174" s="3" t="n">
        <v>1.75</v>
      </c>
      <c r="I174" s="3" t="n">
        <v>280</v>
      </c>
      <c r="J174" s="3" t="n">
        <v>4.9</v>
      </c>
      <c r="K174" s="2" t="n"/>
      <c r="L174" s="2" t="n"/>
      <c r="M174" s="2" t="n"/>
      <c r="N174" s="2" t="n"/>
      <c r="O174" s="2" t="n"/>
      <c r="P174" s="2" t="n"/>
    </row>
    <row r="175">
      <c r="A175" s="3" t="n">
        <v>47124</v>
      </c>
      <c r="B175" s="3" t="inlineStr">
        <is>
          <t>CARRO SEGURO CARSEG S.A.</t>
        </is>
      </c>
      <c r="C175" s="4" t="n">
        <v>46065</v>
      </c>
      <c r="D175" s="4" t="n">
        <v>46065</v>
      </c>
      <c r="E175" s="4" t="inlineStr">
        <is>
          <t>IVA</t>
        </is>
      </c>
      <c r="F175" s="3" t="n">
        <v>312</v>
      </c>
      <c r="G175" s="3" t="n">
        <v>75049</v>
      </c>
      <c r="H175" s="3" t="n">
        <v>10</v>
      </c>
      <c r="I175" s="3" t="n">
        <v>42</v>
      </c>
      <c r="J175" s="3" t="n">
        <v>4.2</v>
      </c>
      <c r="K175" s="2" t="n"/>
      <c r="L175" s="2" t="n"/>
      <c r="M175" s="2" t="n"/>
      <c r="N175" s="2" t="n"/>
      <c r="O175" s="2" t="n"/>
      <c r="P175" s="2" t="n"/>
    </row>
    <row r="176">
      <c r="A176" s="3" t="n">
        <v>47125</v>
      </c>
      <c r="B176" s="3" t="inlineStr">
        <is>
          <t>LARREAUTO CIA. LTDA.</t>
        </is>
      </c>
      <c r="C176" s="4" t="n">
        <v>46065</v>
      </c>
      <c r="D176" s="4" t="n">
        <v>46065</v>
      </c>
      <c r="E176" s="4" t="inlineStr">
        <is>
          <t>IVA</t>
        </is>
      </c>
      <c r="F176" s="3" t="n">
        <v>344</v>
      </c>
      <c r="G176" s="3" t="n">
        <v>6283</v>
      </c>
      <c r="H176" s="3" t="n">
        <v>70</v>
      </c>
      <c r="I176" s="3" t="n">
        <v>7.5</v>
      </c>
      <c r="J176" s="3" t="n">
        <v>5.25</v>
      </c>
      <c r="K176" s="2" t="n"/>
      <c r="L176" s="2" t="n"/>
      <c r="M176" s="2" t="n"/>
      <c r="N176" s="2" t="n"/>
      <c r="O176" s="2" t="n"/>
      <c r="P176" s="2" t="n"/>
    </row>
    <row r="177">
      <c r="A177" s="3" t="n">
        <v>47125</v>
      </c>
      <c r="B177" s="3" t="inlineStr">
        <is>
          <t>LARREAUTO CIA. LTDA.</t>
        </is>
      </c>
      <c r="C177" s="4" t="n">
        <v>46065</v>
      </c>
      <c r="D177" s="4" t="n">
        <v>46065</v>
      </c>
      <c r="E177" s="4" t="inlineStr">
        <is>
          <t>RENTA</t>
        </is>
      </c>
      <c r="F177" s="3" t="n">
        <v>344</v>
      </c>
      <c r="G177" s="3" t="n">
        <v>6283</v>
      </c>
      <c r="H177" s="3" t="n">
        <v>2.75</v>
      </c>
      <c r="I177" s="3" t="n">
        <v>50</v>
      </c>
      <c r="J177" s="3" t="n">
        <v>1.38</v>
      </c>
      <c r="K177" s="2" t="n"/>
      <c r="L177" s="2" t="n"/>
      <c r="M177" s="2" t="n"/>
      <c r="N177" s="2" t="n"/>
      <c r="O177" s="2" t="n"/>
      <c r="P177" s="2" t="n"/>
    </row>
    <row r="178">
      <c r="A178" s="3" t="n">
        <v>47126</v>
      </c>
      <c r="B178" s="3" t="inlineStr">
        <is>
          <t>TOYOTASERVICIOS S.A.</t>
        </is>
      </c>
      <c r="C178" s="4" t="n">
        <v>46065</v>
      </c>
      <c r="D178" s="4" t="n">
        <v>46065</v>
      </c>
      <c r="E178" s="4" t="inlineStr">
        <is>
          <t>IVA</t>
        </is>
      </c>
      <c r="F178" s="3" t="n">
        <v>344</v>
      </c>
      <c r="G178" s="3" t="n">
        <v>6870</v>
      </c>
      <c r="H178" s="3" t="n">
        <v>70</v>
      </c>
      <c r="I178" s="3" t="n">
        <v>6.83</v>
      </c>
      <c r="J178" s="3" t="n">
        <v>4.78</v>
      </c>
      <c r="K178" s="2" t="n"/>
      <c r="L178" s="2" t="n"/>
      <c r="M178" s="2" t="n"/>
      <c r="N178" s="2" t="n"/>
      <c r="O178" s="2" t="n"/>
      <c r="P178" s="2" t="n"/>
    </row>
    <row r="179">
      <c r="A179" s="3" t="n">
        <v>47126</v>
      </c>
      <c r="B179" s="3" t="inlineStr">
        <is>
          <t>TOYOTASERVICIOS S.A.</t>
        </is>
      </c>
      <c r="C179" s="4" t="n">
        <v>46065</v>
      </c>
      <c r="D179" s="4" t="n">
        <v>46065</v>
      </c>
      <c r="E179" s="4" t="inlineStr">
        <is>
          <t>RENTA</t>
        </is>
      </c>
      <c r="F179" s="3" t="n">
        <v>344</v>
      </c>
      <c r="G179" s="3" t="n">
        <v>6870</v>
      </c>
      <c r="H179" s="3" t="n">
        <v>2.75</v>
      </c>
      <c r="I179" s="3" t="n">
        <v>45.5</v>
      </c>
      <c r="J179" s="3" t="n">
        <v>1.25</v>
      </c>
      <c r="K179" s="2" t="n"/>
      <c r="L179" s="2" t="n"/>
      <c r="M179" s="2" t="n"/>
      <c r="N179" s="2" t="n"/>
      <c r="O179" s="2" t="n"/>
      <c r="P179" s="2" t="n"/>
    </row>
    <row r="180">
      <c r="A180" s="3" t="n">
        <v>47127</v>
      </c>
      <c r="B180" s="3" t="inlineStr">
        <is>
          <t>MERCANTIL TORRESCO CIA. LTDA.</t>
        </is>
      </c>
      <c r="C180" s="4" t="n">
        <v>46065</v>
      </c>
      <c r="D180" s="4" t="n">
        <v>46065</v>
      </c>
      <c r="E180" s="4" t="inlineStr">
        <is>
          <t>IVA</t>
        </is>
      </c>
      <c r="F180" s="3" t="n">
        <v>320</v>
      </c>
      <c r="G180" s="3" t="n">
        <v>46</v>
      </c>
      <c r="H180" s="3" t="n">
        <v>70</v>
      </c>
      <c r="I180" s="3" t="n">
        <v>412.7</v>
      </c>
      <c r="J180" s="3" t="n">
        <v>288.89</v>
      </c>
      <c r="K180" s="2" t="n"/>
      <c r="L180" s="2" t="n"/>
      <c r="M180" s="2" t="n"/>
      <c r="N180" s="2" t="n"/>
      <c r="O180" s="2" t="n"/>
      <c r="P180" s="2" t="n"/>
    </row>
    <row r="181">
      <c r="A181" s="3" t="n">
        <v>47127</v>
      </c>
      <c r="B181" s="3" t="inlineStr">
        <is>
          <t>MERCANTIL TORRESCO CIA. LTDA.</t>
        </is>
      </c>
      <c r="C181" s="4" t="n">
        <v>46065</v>
      </c>
      <c r="D181" s="4" t="n">
        <v>46065</v>
      </c>
      <c r="E181" s="4" t="inlineStr">
        <is>
          <t>RENTA</t>
        </is>
      </c>
      <c r="F181" s="3" t="n">
        <v>320</v>
      </c>
      <c r="G181" s="3" t="n">
        <v>46</v>
      </c>
      <c r="H181" s="3" t="n">
        <v>10</v>
      </c>
      <c r="I181" s="17" t="n">
        <v>2751.32</v>
      </c>
      <c r="J181" s="3" t="n">
        <v>275.13</v>
      </c>
      <c r="K181" s="2" t="n"/>
      <c r="L181" s="2" t="n"/>
      <c r="M181" s="2" t="n"/>
      <c r="N181" s="2" t="n"/>
      <c r="O181" s="2" t="n"/>
      <c r="P181" s="2" t="n"/>
    </row>
    <row r="182">
      <c r="A182" s="3" t="n">
        <v>47128</v>
      </c>
      <c r="B182" s="3" t="inlineStr">
        <is>
          <t>SEVILLA GALARZA JOSE MANUEL</t>
        </is>
      </c>
      <c r="C182" s="4" t="n">
        <v>46065</v>
      </c>
      <c r="D182" s="4" t="n">
        <v>46064</v>
      </c>
      <c r="E182" s="4" t="inlineStr">
        <is>
          <t>RENTA</t>
        </is>
      </c>
      <c r="F182" s="3" t="n">
        <v>307</v>
      </c>
      <c r="G182" s="3" t="n">
        <v>7220</v>
      </c>
      <c r="H182" s="3" t="n">
        <v>2</v>
      </c>
      <c r="I182" s="3" t="n">
        <v>63.13</v>
      </c>
      <c r="J182" s="3" t="n">
        <v>1.26</v>
      </c>
      <c r="K182" s="2" t="n"/>
      <c r="L182" s="2" t="n"/>
      <c r="M182" s="2" t="n"/>
      <c r="N182" s="2" t="n"/>
      <c r="O182" s="2" t="n"/>
      <c r="P182" s="2" t="n"/>
    </row>
    <row r="183">
      <c r="A183" s="3" t="n">
        <v>47128</v>
      </c>
      <c r="B183" s="3" t="inlineStr">
        <is>
          <t>SEVILLA GALARZA JOSE MANUEL</t>
        </is>
      </c>
      <c r="C183" s="4" t="n">
        <v>46065</v>
      </c>
      <c r="D183" s="4" t="n">
        <v>46064</v>
      </c>
      <c r="E183" s="4" t="inlineStr">
        <is>
          <t>IVA</t>
        </is>
      </c>
      <c r="F183" s="3" t="n">
        <v>307</v>
      </c>
      <c r="G183" s="3" t="n">
        <v>7220</v>
      </c>
      <c r="H183" s="3" t="n">
        <v>70</v>
      </c>
      <c r="I183" s="3" t="n">
        <v>9.470000000000001</v>
      </c>
      <c r="J183" s="3" t="n">
        <v>6.63</v>
      </c>
      <c r="K183" s="2" t="n"/>
      <c r="L183" s="2" t="n"/>
      <c r="M183" s="2" t="n"/>
      <c r="N183" s="2" t="n"/>
      <c r="O183" s="2" t="n"/>
      <c r="P183" s="2" t="n"/>
    </row>
    <row r="184">
      <c r="A184" s="3" t="n">
        <v>47129</v>
      </c>
      <c r="B184" s="3" t="inlineStr">
        <is>
          <t>AGUAS DIAS MARCO ANTONIO</t>
        </is>
      </c>
      <c r="C184" s="4" t="n">
        <v>46065</v>
      </c>
      <c r="D184" s="4" t="n">
        <v>46063</v>
      </c>
      <c r="E184" s="4" t="inlineStr">
        <is>
          <t>IVA</t>
        </is>
      </c>
      <c r="F184" s="3" t="n">
        <v>307</v>
      </c>
      <c r="G184" s="3" t="n">
        <v>1550</v>
      </c>
      <c r="H184" s="3" t="n">
        <v>70</v>
      </c>
      <c r="I184" s="3" t="n">
        <v>24.79</v>
      </c>
      <c r="J184" s="3" t="n">
        <v>17.35</v>
      </c>
      <c r="K184" s="2" t="n"/>
      <c r="L184" s="2" t="n"/>
      <c r="M184" s="2" t="n"/>
      <c r="N184" s="2" t="n"/>
      <c r="O184" s="2" t="n"/>
      <c r="P184" s="2" t="n"/>
    </row>
    <row r="185">
      <c r="A185" s="3" t="n">
        <v>47129</v>
      </c>
      <c r="B185" s="3" t="inlineStr">
        <is>
          <t>AGUAS DIAS MARCO ANTONIO</t>
        </is>
      </c>
      <c r="C185" s="4" t="n">
        <v>46065</v>
      </c>
      <c r="D185" s="4" t="n">
        <v>46063</v>
      </c>
      <c r="E185" s="4" t="inlineStr">
        <is>
          <t>RENTA</t>
        </is>
      </c>
      <c r="F185" s="3" t="n">
        <v>307</v>
      </c>
      <c r="G185" s="3" t="n">
        <v>1550</v>
      </c>
      <c r="H185" s="3" t="n">
        <v>2</v>
      </c>
      <c r="I185" s="3" t="n">
        <v>165.24</v>
      </c>
      <c r="J185" s="3" t="n">
        <v>3.3</v>
      </c>
      <c r="K185" s="2" t="n"/>
      <c r="L185" s="2" t="n"/>
      <c r="M185" s="2" t="n"/>
      <c r="N185" s="2" t="n"/>
      <c r="O185" s="2" t="n"/>
      <c r="P185" s="2" t="n"/>
    </row>
    <row r="186">
      <c r="A186" s="3" t="n">
        <v>47130</v>
      </c>
      <c r="B186" s="3" t="inlineStr">
        <is>
          <t>SZK DEL ECUADOR S.A.</t>
        </is>
      </c>
      <c r="C186" s="4" t="n">
        <v>46065</v>
      </c>
      <c r="D186" s="4" t="n">
        <v>46063</v>
      </c>
      <c r="E186" s="4" t="inlineStr">
        <is>
          <t>IVA</t>
        </is>
      </c>
      <c r="F186" s="3" t="n">
        <v>312</v>
      </c>
      <c r="G186" s="3" t="n">
        <v>3182</v>
      </c>
      <c r="H186" s="3" t="n">
        <v>10</v>
      </c>
      <c r="I186" s="17" t="n">
        <v>17283.52</v>
      </c>
      <c r="J186" s="17" t="n">
        <v>1728.35</v>
      </c>
      <c r="K186" s="2" t="n"/>
      <c r="L186" s="2" t="n"/>
      <c r="M186" s="2" t="n"/>
      <c r="N186" s="2" t="n"/>
      <c r="O186" s="2" t="n"/>
      <c r="P186" s="2" t="n"/>
    </row>
    <row r="187">
      <c r="A187" s="3" t="n">
        <v>47131</v>
      </c>
      <c r="B187" s="3" t="inlineStr">
        <is>
          <t>CASABACA S.A.</t>
        </is>
      </c>
      <c r="C187" s="4" t="n">
        <v>46065</v>
      </c>
      <c r="D187" s="4" t="n">
        <v>46065</v>
      </c>
      <c r="E187" s="4" t="inlineStr">
        <is>
          <t>IVA</t>
        </is>
      </c>
      <c r="F187" s="3" t="n">
        <v>332</v>
      </c>
      <c r="G187" s="3" t="n">
        <v>31420</v>
      </c>
      <c r="H187" s="3" t="n">
        <v>10</v>
      </c>
      <c r="I187" s="3" t="n">
        <v>398.9</v>
      </c>
      <c r="J187" s="3" t="n">
        <v>39.89</v>
      </c>
      <c r="K187" s="2" t="n"/>
      <c r="L187" s="2" t="n"/>
      <c r="M187" s="2" t="n"/>
      <c r="N187" s="2" t="n"/>
      <c r="O187" s="2" t="n"/>
      <c r="P187" s="2" t="n"/>
    </row>
    <row r="188">
      <c r="A188" s="3" t="n">
        <v>47132</v>
      </c>
      <c r="B188" s="3" t="inlineStr">
        <is>
          <t>CASABACA S.A.</t>
        </is>
      </c>
      <c r="C188" s="4" t="n">
        <v>46065</v>
      </c>
      <c r="D188" s="4" t="n">
        <v>46065</v>
      </c>
      <c r="E188" s="4" t="inlineStr">
        <is>
          <t>IVA</t>
        </is>
      </c>
      <c r="F188" s="3" t="n">
        <v>332</v>
      </c>
      <c r="G188" s="3" t="n">
        <v>31419</v>
      </c>
      <c r="H188" s="3" t="n">
        <v>10</v>
      </c>
      <c r="I188" s="3" t="n">
        <v>398.9</v>
      </c>
      <c r="J188" s="3" t="n">
        <v>39.89</v>
      </c>
      <c r="K188" s="2" t="n"/>
      <c r="L188" s="2" t="n"/>
      <c r="M188" s="2" t="n"/>
      <c r="N188" s="2" t="n"/>
      <c r="O188" s="2" t="n"/>
      <c r="P188" s="2" t="n"/>
    </row>
    <row r="189">
      <c r="A189" s="3" t="n">
        <v>47133</v>
      </c>
      <c r="B189" s="3" t="inlineStr">
        <is>
          <t>CASABACA S.A.</t>
        </is>
      </c>
      <c r="C189" s="4" t="n">
        <v>46065</v>
      </c>
      <c r="D189" s="4" t="n">
        <v>46065</v>
      </c>
      <c r="E189" s="4" t="inlineStr">
        <is>
          <t>IVA</t>
        </is>
      </c>
      <c r="F189" s="3" t="n">
        <v>332</v>
      </c>
      <c r="G189" s="3" t="n">
        <v>31421</v>
      </c>
      <c r="H189" s="3" t="n">
        <v>10</v>
      </c>
      <c r="I189" s="3" t="n">
        <v>398.9</v>
      </c>
      <c r="J189" s="3" t="n">
        <v>39.89</v>
      </c>
      <c r="K189" s="2" t="n"/>
      <c r="L189" s="2" t="n"/>
      <c r="M189" s="2" t="n"/>
      <c r="N189" s="2" t="n"/>
      <c r="O189" s="2" t="n"/>
      <c r="P189" s="2" t="n"/>
    </row>
    <row r="190">
      <c r="A190" s="3" t="n">
        <v>47134</v>
      </c>
      <c r="B190" s="3" t="inlineStr">
        <is>
          <t>CASABACA S.A.</t>
        </is>
      </c>
      <c r="C190" s="4" t="n">
        <v>46066</v>
      </c>
      <c r="D190" s="4" t="n">
        <v>46066</v>
      </c>
      <c r="E190" s="4" t="inlineStr">
        <is>
          <t>IVA</t>
        </is>
      </c>
      <c r="F190" s="3" t="n">
        <v>332</v>
      </c>
      <c r="G190" s="3" t="n">
        <v>9074</v>
      </c>
      <c r="H190" s="3" t="n">
        <v>10</v>
      </c>
      <c r="I190" s="17" t="n">
        <v>23011.2</v>
      </c>
      <c r="J190" s="17" t="n">
        <v>2301.12</v>
      </c>
      <c r="K190" s="2" t="n"/>
      <c r="L190" s="2" t="n"/>
      <c r="M190" s="2" t="n"/>
      <c r="N190" s="2" t="n"/>
      <c r="O190" s="2" t="n"/>
      <c r="P190" s="2" t="n"/>
    </row>
    <row r="191">
      <c r="A191" s="3" t="n">
        <v>47135</v>
      </c>
      <c r="B191" s="3" t="inlineStr">
        <is>
          <t>YANGTSE-AUTO DEL ECUADOR S.A.</t>
        </is>
      </c>
      <c r="C191" s="4" t="n">
        <v>46067</v>
      </c>
      <c r="D191" s="4" t="n">
        <v>46067</v>
      </c>
      <c r="E191" s="4" t="inlineStr">
        <is>
          <t>IVA</t>
        </is>
      </c>
      <c r="F191" s="3" t="n">
        <v>312</v>
      </c>
      <c r="G191" s="3" t="n">
        <v>660</v>
      </c>
      <c r="H191" s="3" t="n">
        <v>30</v>
      </c>
      <c r="I191" s="17" t="n">
        <v>2052.82</v>
      </c>
      <c r="J191" s="3" t="n">
        <v>615.85</v>
      </c>
      <c r="K191" s="2" t="n"/>
      <c r="L191" s="2" t="n"/>
      <c r="M191" s="2" t="n"/>
      <c r="N191" s="2" t="n"/>
      <c r="O191" s="2" t="n"/>
      <c r="P191" s="2" t="n"/>
    </row>
    <row r="192">
      <c r="A192" s="3" t="n">
        <v>47135</v>
      </c>
      <c r="B192" s="3" t="inlineStr">
        <is>
          <t>YANGTSE-AUTO DEL ECUADOR S.A.</t>
        </is>
      </c>
      <c r="C192" s="4" t="n">
        <v>46067</v>
      </c>
      <c r="D192" s="4" t="n">
        <v>46067</v>
      </c>
      <c r="E192" s="4" t="inlineStr">
        <is>
          <t>RENTA</t>
        </is>
      </c>
      <c r="F192" s="3" t="n">
        <v>312</v>
      </c>
      <c r="G192" s="3" t="n">
        <v>660</v>
      </c>
      <c r="H192" s="3" t="n">
        <v>1.75</v>
      </c>
      <c r="I192" s="17" t="n">
        <v>13685.48</v>
      </c>
      <c r="J192" s="3" t="n">
        <v>239.5</v>
      </c>
      <c r="K192" s="2" t="n"/>
      <c r="L192" s="2" t="n"/>
      <c r="M192" s="2" t="n"/>
      <c r="N192" s="2" t="n"/>
      <c r="O192" s="2" t="n"/>
      <c r="P192" s="2" t="n"/>
    </row>
    <row r="193">
      <c r="A193" s="3" t="n">
        <v>47136</v>
      </c>
      <c r="B193" s="3" t="inlineStr">
        <is>
          <t>YANGTSE-AUTO DEL ECUADOR S.A.</t>
        </is>
      </c>
      <c r="C193" s="4" t="n">
        <v>46067</v>
      </c>
      <c r="D193" s="4" t="n">
        <v>46067</v>
      </c>
      <c r="E193" s="4" t="inlineStr">
        <is>
          <t>RENTA</t>
        </is>
      </c>
      <c r="F193" s="3" t="n">
        <v>312</v>
      </c>
      <c r="G193" s="3" t="n">
        <v>662</v>
      </c>
      <c r="H193" s="3" t="n">
        <v>1.75</v>
      </c>
      <c r="I193" s="17" t="n">
        <v>13685.48</v>
      </c>
      <c r="J193" s="3" t="n">
        <v>239.5</v>
      </c>
      <c r="K193" s="2" t="n"/>
      <c r="L193" s="2" t="n"/>
      <c r="M193" s="2" t="n"/>
      <c r="N193" s="2" t="n"/>
      <c r="O193" s="2" t="n"/>
      <c r="P193" s="2" t="n"/>
    </row>
    <row r="194">
      <c r="A194" s="3" t="n">
        <v>47136</v>
      </c>
      <c r="B194" s="3" t="inlineStr">
        <is>
          <t>YANGTSE-AUTO DEL ECUADOR S.A.</t>
        </is>
      </c>
      <c r="C194" s="4" t="n">
        <v>46067</v>
      </c>
      <c r="D194" s="4" t="n">
        <v>46067</v>
      </c>
      <c r="E194" s="4" t="inlineStr">
        <is>
          <t>IVA</t>
        </is>
      </c>
      <c r="F194" s="3" t="n">
        <v>312</v>
      </c>
      <c r="G194" s="3" t="n">
        <v>662</v>
      </c>
      <c r="H194" s="3" t="n">
        <v>30</v>
      </c>
      <c r="I194" s="17" t="n">
        <v>2052.82</v>
      </c>
      <c r="J194" s="3" t="n">
        <v>615.85</v>
      </c>
      <c r="K194" s="2" t="n"/>
      <c r="L194" s="2" t="n"/>
      <c r="M194" s="2" t="n"/>
      <c r="N194" s="2" t="n"/>
      <c r="O194" s="2" t="n"/>
      <c r="P194" s="2" t="n"/>
    </row>
    <row r="195">
      <c r="A195" s="3" t="n">
        <v>47137</v>
      </c>
      <c r="B195" s="3" t="inlineStr">
        <is>
          <t>YANGTSE-AUTO DEL ECUADOR S.A.</t>
        </is>
      </c>
      <c r="C195" s="4" t="n">
        <v>46067</v>
      </c>
      <c r="D195" s="4" t="n">
        <v>46067</v>
      </c>
      <c r="E195" s="4" t="inlineStr">
        <is>
          <t>IVA</t>
        </is>
      </c>
      <c r="F195" s="3" t="n">
        <v>312</v>
      </c>
      <c r="G195" s="3" t="n">
        <v>659</v>
      </c>
      <c r="H195" s="3" t="n">
        <v>30</v>
      </c>
      <c r="I195" s="17" t="n">
        <v>2052.82</v>
      </c>
      <c r="J195" s="3" t="n">
        <v>615.85</v>
      </c>
      <c r="K195" s="2" t="n"/>
      <c r="L195" s="2" t="n"/>
      <c r="M195" s="2" t="n"/>
      <c r="N195" s="2" t="n"/>
      <c r="O195" s="2" t="n"/>
      <c r="P195" s="2" t="n"/>
    </row>
    <row r="196">
      <c r="A196" s="3" t="n">
        <v>47137</v>
      </c>
      <c r="B196" s="3" t="inlineStr">
        <is>
          <t>YANGTSE-AUTO DEL ECUADOR S.A.</t>
        </is>
      </c>
      <c r="C196" s="4" t="n">
        <v>46067</v>
      </c>
      <c r="D196" s="4" t="n">
        <v>46067</v>
      </c>
      <c r="E196" s="4" t="inlineStr">
        <is>
          <t>RENTA</t>
        </is>
      </c>
      <c r="F196" s="3" t="n">
        <v>312</v>
      </c>
      <c r="G196" s="3" t="n">
        <v>659</v>
      </c>
      <c r="H196" s="3" t="n">
        <v>1.75</v>
      </c>
      <c r="I196" s="17" t="n">
        <v>13685.48</v>
      </c>
      <c r="J196" s="3" t="n">
        <v>239.5</v>
      </c>
      <c r="K196" s="2" t="n"/>
      <c r="L196" s="2" t="n"/>
      <c r="M196" s="2" t="n"/>
      <c r="N196" s="2" t="n"/>
      <c r="O196" s="2" t="n"/>
      <c r="P196" s="2" t="n"/>
    </row>
    <row r="197">
      <c r="A197" s="3" t="n">
        <v>47138</v>
      </c>
      <c r="B197" s="3" t="inlineStr">
        <is>
          <t>YANGTSE-AUTO DEL ECUADOR S.A.</t>
        </is>
      </c>
      <c r="C197" s="4" t="n">
        <v>46067</v>
      </c>
      <c r="D197" s="4" t="n">
        <v>46067</v>
      </c>
      <c r="E197" s="4" t="inlineStr">
        <is>
          <t>RENTA</t>
        </is>
      </c>
      <c r="F197" s="3" t="n">
        <v>312</v>
      </c>
      <c r="G197" s="3" t="n">
        <v>664</v>
      </c>
      <c r="H197" s="3" t="n">
        <v>1.75</v>
      </c>
      <c r="I197" s="17" t="n">
        <v>13685.48</v>
      </c>
      <c r="J197" s="3" t="n">
        <v>239.5</v>
      </c>
      <c r="K197" s="2" t="n"/>
      <c r="L197" s="2" t="n"/>
      <c r="M197" s="2" t="n"/>
      <c r="N197" s="2" t="n"/>
      <c r="O197" s="2" t="n"/>
      <c r="P197" s="2" t="n"/>
    </row>
    <row r="198">
      <c r="A198" s="3" t="n">
        <v>47138</v>
      </c>
      <c r="B198" s="3" t="inlineStr">
        <is>
          <t>YANGTSE-AUTO DEL ECUADOR S.A.</t>
        </is>
      </c>
      <c r="C198" s="4" t="n">
        <v>46067</v>
      </c>
      <c r="D198" s="4" t="n">
        <v>46067</v>
      </c>
      <c r="E198" s="4" t="inlineStr">
        <is>
          <t>IVA</t>
        </is>
      </c>
      <c r="F198" s="3" t="n">
        <v>312</v>
      </c>
      <c r="G198" s="3" t="n">
        <v>664</v>
      </c>
      <c r="H198" s="3" t="n">
        <v>30</v>
      </c>
      <c r="I198" s="17" t="n">
        <v>2052.82</v>
      </c>
      <c r="J198" s="3" t="n">
        <v>615.85</v>
      </c>
      <c r="K198" s="2" t="n"/>
      <c r="L198" s="2" t="n"/>
      <c r="M198" s="2" t="n"/>
      <c r="N198" s="2" t="n"/>
      <c r="O198" s="2" t="n"/>
      <c r="P198" s="2" t="n"/>
    </row>
    <row r="199">
      <c r="A199" s="3" t="n">
        <v>47139</v>
      </c>
      <c r="B199" s="3" t="inlineStr">
        <is>
          <t>YANGTSE-AUTO DEL ECUADOR S.A.</t>
        </is>
      </c>
      <c r="C199" s="4" t="n">
        <v>46067</v>
      </c>
      <c r="D199" s="4" t="n">
        <v>46067</v>
      </c>
      <c r="E199" s="4" t="inlineStr">
        <is>
          <t>RENTA</t>
        </is>
      </c>
      <c r="F199" s="3" t="n">
        <v>312</v>
      </c>
      <c r="G199" s="3" t="n">
        <v>661</v>
      </c>
      <c r="H199" s="3" t="n">
        <v>1.75</v>
      </c>
      <c r="I199" s="17" t="n">
        <v>13685.48</v>
      </c>
      <c r="J199" s="3" t="n">
        <v>239.5</v>
      </c>
      <c r="K199" s="2" t="n"/>
      <c r="L199" s="2" t="n"/>
      <c r="M199" s="2" t="n"/>
      <c r="N199" s="2" t="n"/>
      <c r="O199" s="2" t="n"/>
      <c r="P199" s="2" t="n"/>
    </row>
    <row r="200">
      <c r="A200" s="3" t="n">
        <v>47139</v>
      </c>
      <c r="B200" s="3" t="inlineStr">
        <is>
          <t>YANGTSE-AUTO DEL ECUADOR S.A.</t>
        </is>
      </c>
      <c r="C200" s="4" t="n">
        <v>46067</v>
      </c>
      <c r="D200" s="4" t="n">
        <v>46067</v>
      </c>
      <c r="E200" s="4" t="inlineStr">
        <is>
          <t>IVA</t>
        </is>
      </c>
      <c r="F200" s="3" t="n">
        <v>312</v>
      </c>
      <c r="G200" s="3" t="n">
        <v>661</v>
      </c>
      <c r="H200" s="3" t="n">
        <v>30</v>
      </c>
      <c r="I200" s="17" t="n">
        <v>2052.82</v>
      </c>
      <c r="J200" s="3" t="n">
        <v>615.85</v>
      </c>
      <c r="K200" s="2" t="n"/>
      <c r="L200" s="2" t="n"/>
      <c r="M200" s="2" t="n"/>
      <c r="N200" s="2" t="n"/>
      <c r="O200" s="2" t="n"/>
      <c r="P200" s="2" t="n"/>
    </row>
    <row r="201">
      <c r="A201" s="3" t="n">
        <v>47140</v>
      </c>
      <c r="B201" s="3" t="inlineStr">
        <is>
          <t>VALENZUELA SALAZAR JAVIER EDMUNDO</t>
        </is>
      </c>
      <c r="C201" s="4" t="n">
        <v>46070</v>
      </c>
      <c r="D201" s="4" t="n">
        <v>46066</v>
      </c>
      <c r="E201" s="4" t="inlineStr">
        <is>
          <t>IVA</t>
        </is>
      </c>
      <c r="F201" s="3" t="n">
        <v>304</v>
      </c>
      <c r="G201" s="3" t="n">
        <v>2</v>
      </c>
      <c r="H201" s="3" t="n">
        <v>70</v>
      </c>
      <c r="I201" s="3" t="n">
        <v>472.5</v>
      </c>
      <c r="J201" s="3" t="n">
        <v>330.75</v>
      </c>
      <c r="K201" s="2" t="n"/>
      <c r="L201" s="2" t="n"/>
      <c r="M201" s="2" t="n"/>
      <c r="N201" s="2" t="n"/>
      <c r="O201" s="2" t="n"/>
      <c r="P201" s="2" t="n"/>
    </row>
    <row r="202">
      <c r="A202" s="3" t="n">
        <v>47140</v>
      </c>
      <c r="B202" s="3" t="inlineStr">
        <is>
          <t>VALENZUELA SALAZAR JAVIER EDMUNDO</t>
        </is>
      </c>
      <c r="C202" s="4" t="n">
        <v>46070</v>
      </c>
      <c r="D202" s="4" t="n">
        <v>46066</v>
      </c>
      <c r="E202" s="4" t="inlineStr">
        <is>
          <t>RENTA</t>
        </is>
      </c>
      <c r="F202" s="3" t="n">
        <v>304</v>
      </c>
      <c r="G202" s="3" t="n">
        <v>2</v>
      </c>
      <c r="H202" s="3" t="n">
        <v>10</v>
      </c>
      <c r="I202" s="17" t="n">
        <v>3150</v>
      </c>
      <c r="J202" s="3" t="n">
        <v>315</v>
      </c>
      <c r="K202" s="2" t="n"/>
      <c r="L202" s="2" t="n"/>
      <c r="M202" s="2" t="n"/>
      <c r="N202" s="2" t="n"/>
      <c r="O202" s="2" t="n"/>
      <c r="P202" s="2" t="n"/>
    </row>
    <row r="203">
      <c r="A203" s="3" t="n">
        <v>47141</v>
      </c>
      <c r="B203" s="3" t="inlineStr">
        <is>
          <t>YANGTSE-AUTO DEL ECUADOR S.A.</t>
        </is>
      </c>
      <c r="C203" s="4" t="n">
        <v>46070</v>
      </c>
      <c r="D203" s="4" t="n">
        <v>46067</v>
      </c>
      <c r="E203" s="4" t="inlineStr">
        <is>
          <t>RENTA</t>
        </is>
      </c>
      <c r="F203" s="3" t="n">
        <v>312</v>
      </c>
      <c r="G203" s="3" t="n">
        <v>657</v>
      </c>
      <c r="H203" s="3" t="n">
        <v>1.75</v>
      </c>
      <c r="I203" s="17" t="n">
        <v>33940</v>
      </c>
      <c r="J203" s="3" t="n">
        <v>593.95</v>
      </c>
      <c r="K203" s="2" t="n"/>
      <c r="L203" s="2" t="n"/>
      <c r="M203" s="2" t="n"/>
      <c r="N203" s="2" t="n"/>
      <c r="O203" s="2" t="n"/>
      <c r="P203" s="2" t="n"/>
    </row>
    <row r="204">
      <c r="A204" s="3" t="n">
        <v>47142</v>
      </c>
      <c r="B204" s="3" t="inlineStr">
        <is>
          <t>ZEA ALTAMIRANO MARIA ELENA</t>
        </is>
      </c>
      <c r="C204" s="4" t="n">
        <v>46071</v>
      </c>
      <c r="D204" s="4" t="n">
        <v>46071</v>
      </c>
      <c r="E204" s="4" t="inlineStr">
        <is>
          <t>RENTA</t>
        </is>
      </c>
      <c r="F204" s="3" t="n">
        <v>304</v>
      </c>
      <c r="G204" s="3" t="n">
        <v>3</v>
      </c>
      <c r="H204" s="3" t="n">
        <v>10</v>
      </c>
      <c r="I204" s="17" t="n">
        <v>3150</v>
      </c>
      <c r="J204" s="3" t="n">
        <v>315</v>
      </c>
      <c r="K204" s="2" t="n"/>
      <c r="L204" s="2" t="n"/>
      <c r="M204" s="2" t="n"/>
      <c r="N204" s="2" t="n"/>
      <c r="O204" s="2" t="n"/>
      <c r="P204" s="2" t="n"/>
    </row>
    <row r="205">
      <c r="A205" s="3" t="n">
        <v>47142</v>
      </c>
      <c r="B205" s="3" t="inlineStr">
        <is>
          <t>ZEA ALTAMIRANO MARIA ELENA</t>
        </is>
      </c>
      <c r="C205" s="4" t="n">
        <v>46071</v>
      </c>
      <c r="D205" s="4" t="n">
        <v>46071</v>
      </c>
      <c r="E205" s="4" t="inlineStr">
        <is>
          <t>IVA</t>
        </is>
      </c>
      <c r="F205" s="3" t="n">
        <v>304</v>
      </c>
      <c r="G205" s="3" t="n">
        <v>3</v>
      </c>
      <c r="H205" s="3" t="n">
        <v>70</v>
      </c>
      <c r="I205" s="3" t="n">
        <v>472.5</v>
      </c>
      <c r="J205" s="3" t="n">
        <v>330.75</v>
      </c>
      <c r="K205" s="2" t="n"/>
      <c r="L205" s="2" t="n"/>
      <c r="M205" s="2" t="n"/>
      <c r="N205" s="2" t="n"/>
      <c r="O205" s="2" t="n"/>
      <c r="P205" s="2" t="n"/>
    </row>
    <row r="206">
      <c r="A206" s="3" t="n">
        <v>47143</v>
      </c>
      <c r="B206" s="3" t="inlineStr">
        <is>
          <t>CASABACA S.A.</t>
        </is>
      </c>
      <c r="C206" s="4" t="n">
        <v>46071</v>
      </c>
      <c r="D206" s="4" t="n">
        <v>46071</v>
      </c>
      <c r="E206" s="4" t="inlineStr">
        <is>
          <t>IVA</t>
        </is>
      </c>
      <c r="F206" s="3" t="n">
        <v>332</v>
      </c>
      <c r="G206" s="3" t="n">
        <v>9084</v>
      </c>
      <c r="H206" s="3" t="n">
        <v>10</v>
      </c>
      <c r="I206" s="17" t="n">
        <v>23556.02</v>
      </c>
      <c r="J206" s="17" t="n">
        <v>2355.6</v>
      </c>
      <c r="K206" s="2" t="n"/>
      <c r="L206" s="2" t="n"/>
      <c r="M206" s="2" t="n"/>
      <c r="N206" s="2" t="n"/>
      <c r="O206" s="2" t="n"/>
      <c r="P206" s="2" t="n"/>
    </row>
    <row r="207">
      <c r="A207" s="3" t="n">
        <v>47144</v>
      </c>
      <c r="B207" s="3" t="inlineStr">
        <is>
          <t>CARLARSERVICE CIA. LTDA</t>
        </is>
      </c>
      <c r="C207" s="4" t="n">
        <v>46071</v>
      </c>
      <c r="D207" s="4" t="n">
        <v>46071</v>
      </c>
      <c r="E207" s="4" t="inlineStr">
        <is>
          <t>RENTA</t>
        </is>
      </c>
      <c r="F207" s="3" t="n">
        <v>303</v>
      </c>
      <c r="G207" s="3" t="n">
        <v>451</v>
      </c>
      <c r="H207" s="3" t="n">
        <v>3</v>
      </c>
      <c r="I207" s="3" t="n">
        <v>608</v>
      </c>
      <c r="J207" s="3" t="n">
        <v>18.24</v>
      </c>
      <c r="K207" s="2" t="n"/>
      <c r="L207" s="2" t="n"/>
      <c r="M207" s="2" t="n"/>
      <c r="N207" s="2" t="n"/>
      <c r="O207" s="2" t="n"/>
      <c r="P207" s="2" t="n"/>
    </row>
    <row r="208">
      <c r="A208" s="3" t="n">
        <v>47144</v>
      </c>
      <c r="B208" s="3" t="inlineStr">
        <is>
          <t>CARLARSERVICE CIA. LTDA</t>
        </is>
      </c>
      <c r="C208" s="4" t="n">
        <v>46071</v>
      </c>
      <c r="D208" s="4" t="n">
        <v>46071</v>
      </c>
      <c r="E208" s="4" t="inlineStr">
        <is>
          <t>IVA</t>
        </is>
      </c>
      <c r="F208" s="3" t="n">
        <v>303</v>
      </c>
      <c r="G208" s="3" t="n">
        <v>451</v>
      </c>
      <c r="H208" s="3" t="n">
        <v>70</v>
      </c>
      <c r="I208" s="3" t="n">
        <v>91.2</v>
      </c>
      <c r="J208" s="3" t="n">
        <v>63.84</v>
      </c>
      <c r="K208" s="2" t="n"/>
      <c r="L208" s="2" t="n"/>
      <c r="M208" s="2" t="n"/>
      <c r="N208" s="2" t="n"/>
      <c r="O208" s="2" t="n"/>
      <c r="P208" s="2" t="n"/>
    </row>
    <row r="209">
      <c r="A209" s="3" t="n">
        <v>47145</v>
      </c>
      <c r="B209" s="3" t="inlineStr">
        <is>
          <t>CARLARSERVICE CIA. LTDA</t>
        </is>
      </c>
      <c r="C209" s="4" t="n">
        <v>46071</v>
      </c>
      <c r="D209" s="4" t="n">
        <v>46071</v>
      </c>
      <c r="E209" s="4" t="inlineStr">
        <is>
          <t>IVA</t>
        </is>
      </c>
      <c r="F209" s="3" t="n">
        <v>303</v>
      </c>
      <c r="G209" s="3" t="n">
        <v>454</v>
      </c>
      <c r="H209" s="3" t="n">
        <v>70</v>
      </c>
      <c r="I209" s="3" t="n">
        <v>68.05</v>
      </c>
      <c r="J209" s="3" t="n">
        <v>47.64</v>
      </c>
      <c r="K209" s="2" t="n"/>
      <c r="L209" s="2" t="n"/>
      <c r="M209" s="2" t="n"/>
      <c r="N209" s="2" t="n"/>
      <c r="O209" s="2" t="n"/>
      <c r="P209" s="2" t="n"/>
    </row>
    <row r="210">
      <c r="A210" s="3" t="n">
        <v>47145</v>
      </c>
      <c r="B210" s="3" t="inlineStr">
        <is>
          <t>CARLARSERVICE CIA. LTDA</t>
        </is>
      </c>
      <c r="C210" s="4" t="n">
        <v>46071</v>
      </c>
      <c r="D210" s="4" t="n">
        <v>46071</v>
      </c>
      <c r="E210" s="4" t="inlineStr">
        <is>
          <t>RENTA</t>
        </is>
      </c>
      <c r="F210" s="3" t="n">
        <v>303</v>
      </c>
      <c r="G210" s="3" t="n">
        <v>454</v>
      </c>
      <c r="H210" s="3" t="n">
        <v>3</v>
      </c>
      <c r="I210" s="3" t="n">
        <v>453.67</v>
      </c>
      <c r="J210" s="3" t="n">
        <v>13.61</v>
      </c>
      <c r="K210" s="2" t="n"/>
      <c r="L210" s="2" t="n"/>
      <c r="M210" s="2" t="n"/>
      <c r="N210" s="2" t="n"/>
      <c r="O210" s="2" t="n"/>
      <c r="P210" s="2" t="n"/>
    </row>
    <row r="211">
      <c r="A211" s="3" t="n">
        <v>47146</v>
      </c>
      <c r="B211" s="3" t="inlineStr">
        <is>
          <t>CARLARSERVICE CIA. LTDA</t>
        </is>
      </c>
      <c r="C211" s="4" t="n">
        <v>46071</v>
      </c>
      <c r="D211" s="4" t="n">
        <v>46071</v>
      </c>
      <c r="E211" s="4" t="inlineStr">
        <is>
          <t>IVA</t>
        </is>
      </c>
      <c r="F211" s="3" t="n">
        <v>303</v>
      </c>
      <c r="G211" s="3" t="n">
        <v>456</v>
      </c>
      <c r="H211" s="3" t="n">
        <v>70</v>
      </c>
      <c r="I211" s="3" t="n">
        <v>148.93</v>
      </c>
      <c r="J211" s="3" t="n">
        <v>104.25</v>
      </c>
      <c r="K211" s="2" t="n"/>
      <c r="L211" s="2" t="n"/>
      <c r="M211" s="2" t="n"/>
      <c r="N211" s="2" t="n"/>
      <c r="O211" s="2" t="n"/>
      <c r="P211" s="2" t="n"/>
    </row>
    <row r="212">
      <c r="A212" s="3" t="n">
        <v>47146</v>
      </c>
      <c r="B212" s="3" t="inlineStr">
        <is>
          <t>CARLARSERVICE CIA. LTDA</t>
        </is>
      </c>
      <c r="C212" s="4" t="n">
        <v>46071</v>
      </c>
      <c r="D212" s="4" t="n">
        <v>46071</v>
      </c>
      <c r="E212" s="4" t="inlineStr">
        <is>
          <t>RENTA</t>
        </is>
      </c>
      <c r="F212" s="3" t="n">
        <v>303</v>
      </c>
      <c r="G212" s="3" t="n">
        <v>456</v>
      </c>
      <c r="H212" s="3" t="n">
        <v>3</v>
      </c>
      <c r="I212" s="3" t="n">
        <v>992.85</v>
      </c>
      <c r="J212" s="3" t="n">
        <v>29.79</v>
      </c>
      <c r="K212" s="2" t="n"/>
      <c r="L212" s="2" t="n"/>
      <c r="M212" s="2" t="n"/>
      <c r="N212" s="2" t="n"/>
      <c r="O212" s="2" t="n"/>
      <c r="P212" s="2" t="n"/>
    </row>
    <row r="213">
      <c r="A213" s="3" t="n">
        <v>47147</v>
      </c>
      <c r="B213" s="3" t="inlineStr">
        <is>
          <t>REINOSO SALAS YAJAIRA CAROLINA</t>
        </is>
      </c>
      <c r="C213" s="4" t="n">
        <v>46071</v>
      </c>
      <c r="D213" s="4" t="n">
        <v>46065</v>
      </c>
      <c r="E213" s="4" t="inlineStr">
        <is>
          <t>IVA</t>
        </is>
      </c>
      <c r="F213" s="3" t="n">
        <v>307</v>
      </c>
      <c r="G213" s="3" t="n">
        <v>137</v>
      </c>
      <c r="H213" s="3" t="n">
        <v>70</v>
      </c>
      <c r="I213" s="3" t="n">
        <v>7.5</v>
      </c>
      <c r="J213" s="3" t="n">
        <v>5.25</v>
      </c>
      <c r="K213" s="2" t="n"/>
      <c r="L213" s="2" t="n"/>
      <c r="M213" s="2" t="n"/>
      <c r="N213" s="2" t="n"/>
      <c r="O213" s="2" t="n"/>
      <c r="P213" s="2" t="n"/>
    </row>
    <row r="214">
      <c r="A214" s="3" t="n">
        <v>47147</v>
      </c>
      <c r="B214" s="3" t="inlineStr">
        <is>
          <t>REINOSO SALAS YAJAIRA CAROLINA</t>
        </is>
      </c>
      <c r="C214" s="4" t="n">
        <v>46071</v>
      </c>
      <c r="D214" s="4" t="n">
        <v>46065</v>
      </c>
      <c r="E214" s="4" t="inlineStr">
        <is>
          <t>RENTA</t>
        </is>
      </c>
      <c r="F214" s="3" t="n">
        <v>307</v>
      </c>
      <c r="G214" s="3" t="n">
        <v>137</v>
      </c>
      <c r="H214" s="3" t="n">
        <v>2</v>
      </c>
      <c r="I214" s="3" t="n">
        <v>50</v>
      </c>
      <c r="J214" s="3" t="n">
        <v>1</v>
      </c>
      <c r="K214" s="2" t="n"/>
      <c r="L214" s="2" t="n"/>
      <c r="M214" s="2" t="n"/>
      <c r="N214" s="2" t="n"/>
      <c r="O214" s="2" t="n"/>
      <c r="P214" s="2" t="n"/>
    </row>
    <row r="215">
      <c r="A215" s="3" t="n">
        <v>47148</v>
      </c>
      <c r="B215" s="3" t="inlineStr">
        <is>
          <t>VAZCREDIT S.A.</t>
        </is>
      </c>
      <c r="C215" s="4" t="n">
        <v>46071</v>
      </c>
      <c r="D215" s="4" t="n">
        <v>46066</v>
      </c>
      <c r="E215" s="4" t="inlineStr">
        <is>
          <t>RENTA</t>
        </is>
      </c>
      <c r="F215" s="3" t="n">
        <v>344</v>
      </c>
      <c r="G215" s="3" t="n">
        <v>39</v>
      </c>
      <c r="H215" s="3" t="n">
        <v>2.75</v>
      </c>
      <c r="I215" s="17" t="n">
        <v>17113.18</v>
      </c>
      <c r="J215" s="3" t="n">
        <v>470.61</v>
      </c>
      <c r="K215" s="2" t="n"/>
      <c r="L215" s="2" t="n"/>
      <c r="M215" s="2" t="n"/>
      <c r="N215" s="2" t="n"/>
      <c r="O215" s="2" t="n"/>
      <c r="P215" s="2" t="n"/>
    </row>
    <row r="216">
      <c r="A216" s="3" t="n">
        <v>47149</v>
      </c>
      <c r="B216" s="3" t="inlineStr">
        <is>
          <t>REINOSO SALAS YAJAIRA CAROLINA</t>
        </is>
      </c>
      <c r="C216" s="4" t="n">
        <v>46071</v>
      </c>
      <c r="D216" s="4" t="n">
        <v>46071</v>
      </c>
      <c r="E216" s="4" t="inlineStr">
        <is>
          <t>IVA</t>
        </is>
      </c>
      <c r="F216" s="3" t="n">
        <v>307</v>
      </c>
      <c r="G216" s="3" t="n">
        <v>141</v>
      </c>
      <c r="H216" s="3" t="n">
        <v>70</v>
      </c>
      <c r="I216" s="3" t="n">
        <v>6</v>
      </c>
      <c r="J216" s="3" t="n">
        <v>4.2</v>
      </c>
      <c r="K216" s="2" t="n"/>
      <c r="L216" s="2" t="n"/>
      <c r="M216" s="2" t="n"/>
      <c r="N216" s="2" t="n"/>
      <c r="O216" s="2" t="n"/>
      <c r="P216" s="2" t="n"/>
    </row>
    <row r="217">
      <c r="A217" s="3" t="n">
        <v>47149</v>
      </c>
      <c r="B217" s="3" t="inlineStr">
        <is>
          <t>REINOSO SALAS YAJAIRA CAROLINA</t>
        </is>
      </c>
      <c r="C217" s="4" t="n">
        <v>46071</v>
      </c>
      <c r="D217" s="4" t="n">
        <v>46071</v>
      </c>
      <c r="E217" s="4" t="inlineStr">
        <is>
          <t>RENTA</t>
        </is>
      </c>
      <c r="F217" s="3" t="n">
        <v>307</v>
      </c>
      <c r="G217" s="3" t="n">
        <v>141</v>
      </c>
      <c r="H217" s="3" t="n">
        <v>2</v>
      </c>
      <c r="I217" s="3" t="n">
        <v>40</v>
      </c>
      <c r="J217" s="3" t="n">
        <v>0.8</v>
      </c>
      <c r="K217" s="2" t="n"/>
      <c r="L217" s="2" t="n"/>
      <c r="M217" s="2" t="n"/>
      <c r="N217" s="2" t="n"/>
      <c r="O217" s="2" t="n"/>
      <c r="P217" s="2" t="n"/>
    </row>
    <row r="218">
      <c r="A218" s="3" t="n">
        <v>47150</v>
      </c>
      <c r="B218" s="3" t="inlineStr">
        <is>
          <t>REINOSO SALAS YAJAIRA CAROLINA</t>
        </is>
      </c>
      <c r="C218" s="4" t="n">
        <v>46071</v>
      </c>
      <c r="D218" s="4" t="n">
        <v>46071</v>
      </c>
      <c r="E218" s="4" t="inlineStr">
        <is>
          <t>RENTA</t>
        </is>
      </c>
      <c r="F218" s="3" t="n">
        <v>307</v>
      </c>
      <c r="G218" s="3" t="n">
        <v>142</v>
      </c>
      <c r="H218" s="3" t="n">
        <v>2</v>
      </c>
      <c r="I218" s="3" t="n">
        <v>40</v>
      </c>
      <c r="J218" s="3" t="n">
        <v>0.8</v>
      </c>
      <c r="K218" s="2" t="n"/>
      <c r="L218" s="2" t="n"/>
      <c r="M218" s="2" t="n"/>
      <c r="N218" s="2" t="n"/>
      <c r="O218" s="2" t="n"/>
      <c r="P218" s="2" t="n"/>
    </row>
    <row r="219">
      <c r="A219" s="3" t="n">
        <v>47150</v>
      </c>
      <c r="B219" s="3" t="inlineStr">
        <is>
          <t>REINOSO SALAS YAJAIRA CAROLINA</t>
        </is>
      </c>
      <c r="C219" s="4" t="n">
        <v>46071</v>
      </c>
      <c r="D219" s="4" t="n">
        <v>46071</v>
      </c>
      <c r="E219" s="4" t="inlineStr">
        <is>
          <t>IVA</t>
        </is>
      </c>
      <c r="F219" s="3" t="n">
        <v>307</v>
      </c>
      <c r="G219" s="3" t="n">
        <v>142</v>
      </c>
      <c r="H219" s="3" t="n">
        <v>70</v>
      </c>
      <c r="I219" s="3" t="n">
        <v>6</v>
      </c>
      <c r="J219" s="3" t="n">
        <v>4.2</v>
      </c>
      <c r="K219" s="2" t="n"/>
      <c r="L219" s="2" t="n"/>
      <c r="M219" s="2" t="n"/>
      <c r="N219" s="2" t="n"/>
      <c r="O219" s="2" t="n"/>
      <c r="P219" s="2" t="n"/>
    </row>
    <row r="220">
      <c r="A220" s="3" t="n">
        <v>47151</v>
      </c>
      <c r="B220" s="3" t="inlineStr">
        <is>
          <t>REINOSO SALAS YAJAIRA CAROLINA</t>
        </is>
      </c>
      <c r="C220" s="4" t="n">
        <v>46071</v>
      </c>
      <c r="D220" s="4" t="n">
        <v>46071</v>
      </c>
      <c r="E220" s="4" t="inlineStr">
        <is>
          <t>IVA</t>
        </is>
      </c>
      <c r="F220" s="3" t="n">
        <v>307</v>
      </c>
      <c r="G220" s="3" t="n">
        <v>143</v>
      </c>
      <c r="H220" s="3" t="n">
        <v>70</v>
      </c>
      <c r="I220" s="3" t="n">
        <v>6</v>
      </c>
      <c r="J220" s="3" t="n">
        <v>4.2</v>
      </c>
      <c r="K220" s="2" t="n"/>
      <c r="L220" s="2" t="n"/>
      <c r="M220" s="2" t="n"/>
      <c r="N220" s="2" t="n"/>
      <c r="O220" s="2" t="n"/>
      <c r="P220" s="2" t="n"/>
    </row>
    <row r="221">
      <c r="A221" s="3" t="n">
        <v>47151</v>
      </c>
      <c r="B221" s="3" t="inlineStr">
        <is>
          <t>REINOSO SALAS YAJAIRA CAROLINA</t>
        </is>
      </c>
      <c r="C221" s="4" t="n">
        <v>46071</v>
      </c>
      <c r="D221" s="4" t="n">
        <v>46071</v>
      </c>
      <c r="E221" s="4" t="inlineStr">
        <is>
          <t>RENTA</t>
        </is>
      </c>
      <c r="F221" s="3" t="n">
        <v>307</v>
      </c>
      <c r="G221" s="3" t="n">
        <v>143</v>
      </c>
      <c r="H221" s="3" t="n">
        <v>2</v>
      </c>
      <c r="I221" s="3" t="n">
        <v>40</v>
      </c>
      <c r="J221" s="3" t="n">
        <v>0.8</v>
      </c>
      <c r="K221" s="2" t="n"/>
      <c r="L221" s="2" t="n"/>
      <c r="M221" s="2" t="n"/>
      <c r="N221" s="2" t="n"/>
      <c r="O221" s="2" t="n"/>
      <c r="P221" s="2" t="n"/>
    </row>
    <row r="222">
      <c r="A222" s="3" t="n">
        <v>47152</v>
      </c>
      <c r="B222" s="3" t="inlineStr">
        <is>
          <t>ETL-EC AUDITORES S.A.</t>
        </is>
      </c>
      <c r="C222" s="4" t="n">
        <v>46071</v>
      </c>
      <c r="D222" s="4" t="n">
        <v>46063</v>
      </c>
      <c r="E222" s="4" t="inlineStr">
        <is>
          <t>IVA</t>
        </is>
      </c>
      <c r="F222" s="3" t="n">
        <v>303</v>
      </c>
      <c r="G222" s="3" t="n">
        <v>7432</v>
      </c>
      <c r="H222" s="3" t="n">
        <v>70</v>
      </c>
      <c r="I222" s="3" t="n">
        <v>247.5</v>
      </c>
      <c r="J222" s="3" t="n">
        <v>173.25</v>
      </c>
      <c r="K222" s="2" t="n"/>
      <c r="L222" s="2" t="n"/>
      <c r="M222" s="2" t="n"/>
      <c r="N222" s="2" t="n"/>
      <c r="O222" s="2" t="n"/>
      <c r="P222" s="2" t="n"/>
    </row>
    <row r="223">
      <c r="A223" s="3" t="n">
        <v>47152</v>
      </c>
      <c r="B223" s="3" t="inlineStr">
        <is>
          <t>ETL-EC AUDITORES S.A.</t>
        </is>
      </c>
      <c r="C223" s="4" t="n">
        <v>46071</v>
      </c>
      <c r="D223" s="4" t="n">
        <v>46063</v>
      </c>
      <c r="E223" s="4" t="inlineStr">
        <is>
          <t>RENTA</t>
        </is>
      </c>
      <c r="F223" s="3" t="n">
        <v>303</v>
      </c>
      <c r="G223" s="3" t="n">
        <v>7432</v>
      </c>
      <c r="H223" s="3" t="n">
        <v>3</v>
      </c>
      <c r="I223" s="17" t="n">
        <v>1650</v>
      </c>
      <c r="J223" s="3" t="n">
        <v>49.5</v>
      </c>
      <c r="K223" s="2" t="n"/>
      <c r="L223" s="2" t="n"/>
      <c r="M223" s="2" t="n"/>
      <c r="N223" s="2" t="n"/>
      <c r="O223" s="2" t="n"/>
      <c r="P223" s="2" t="n"/>
    </row>
    <row r="224">
      <c r="A224" s="3" t="n">
        <v>47153</v>
      </c>
      <c r="B224" s="3" t="inlineStr">
        <is>
          <t>LOPEZ ANDRANGO SEGUNDO MANUEL</t>
        </is>
      </c>
      <c r="C224" s="4" t="n">
        <v>46071</v>
      </c>
      <c r="D224" s="4" t="n">
        <v>46066</v>
      </c>
      <c r="E224" s="4" t="inlineStr">
        <is>
          <t>RENTA</t>
        </is>
      </c>
      <c r="F224" s="3" t="n">
        <v>307</v>
      </c>
      <c r="G224" s="3" t="n">
        <v>550</v>
      </c>
      <c r="H224" s="3" t="n">
        <v>2</v>
      </c>
      <c r="I224" s="3" t="n">
        <v>100</v>
      </c>
      <c r="J224" s="3" t="n">
        <v>2</v>
      </c>
      <c r="K224" s="2" t="n"/>
      <c r="L224" s="2" t="n"/>
      <c r="M224" s="2" t="n"/>
      <c r="N224" s="2" t="n"/>
      <c r="O224" s="2" t="n"/>
      <c r="P224" s="2" t="n"/>
    </row>
    <row r="225">
      <c r="A225" s="3" t="n">
        <v>47153</v>
      </c>
      <c r="B225" s="3" t="inlineStr">
        <is>
          <t>LOPEZ ANDRANGO SEGUNDO MANUEL</t>
        </is>
      </c>
      <c r="C225" s="4" t="n">
        <v>46071</v>
      </c>
      <c r="D225" s="4" t="n">
        <v>46066</v>
      </c>
      <c r="E225" s="4" t="inlineStr">
        <is>
          <t>IVA</t>
        </is>
      </c>
      <c r="F225" s="3" t="n">
        <v>307</v>
      </c>
      <c r="G225" s="3" t="n">
        <v>550</v>
      </c>
      <c r="H225" s="3" t="n">
        <v>70</v>
      </c>
      <c r="I225" s="3" t="n">
        <v>15</v>
      </c>
      <c r="J225" s="3" t="n">
        <v>10.5</v>
      </c>
      <c r="K225" s="2" t="n"/>
      <c r="L225" s="2" t="n"/>
      <c r="M225" s="2" t="n"/>
      <c r="N225" s="2" t="n"/>
      <c r="O225" s="2" t="n"/>
      <c r="P225" s="2" t="n"/>
    </row>
    <row r="226">
      <c r="A226" s="3" t="n">
        <v>47154</v>
      </c>
      <c r="B226" s="3" t="inlineStr">
        <is>
          <t>KMSOLUTIONS S.A.</t>
        </is>
      </c>
      <c r="C226" s="4" t="n">
        <v>46071</v>
      </c>
      <c r="D226" s="4" t="n">
        <v>46066</v>
      </c>
      <c r="E226" s="4" t="inlineStr">
        <is>
          <t>RENTA</t>
        </is>
      </c>
      <c r="F226" s="3" t="n">
        <v>344</v>
      </c>
      <c r="G226" s="3" t="n">
        <v>29230</v>
      </c>
      <c r="H226" s="3" t="n">
        <v>2.75</v>
      </c>
      <c r="I226" s="3" t="n">
        <v>784.3200000000001</v>
      </c>
      <c r="J226" s="3" t="n">
        <v>21.57</v>
      </c>
      <c r="K226" s="2" t="n"/>
      <c r="L226" s="2" t="n"/>
      <c r="M226" s="2" t="n"/>
      <c r="N226" s="2" t="n"/>
      <c r="O226" s="2" t="n"/>
      <c r="P226" s="2" t="n"/>
    </row>
    <row r="227">
      <c r="A227" s="3" t="n">
        <v>47154</v>
      </c>
      <c r="B227" s="3" t="inlineStr">
        <is>
          <t>KMSOLUTIONS S.A.</t>
        </is>
      </c>
      <c r="C227" s="4" t="n">
        <v>46071</v>
      </c>
      <c r="D227" s="4" t="n">
        <v>46066</v>
      </c>
      <c r="E227" s="4" t="inlineStr">
        <is>
          <t>IVA</t>
        </is>
      </c>
      <c r="F227" s="3" t="n">
        <v>344</v>
      </c>
      <c r="G227" s="3" t="n">
        <v>29230</v>
      </c>
      <c r="H227" s="3" t="n">
        <v>20</v>
      </c>
      <c r="I227" s="3" t="n">
        <v>117.65</v>
      </c>
      <c r="J227" s="3" t="n">
        <v>23.53</v>
      </c>
      <c r="K227" s="2" t="n"/>
      <c r="L227" s="2" t="n"/>
      <c r="M227" s="2" t="n"/>
      <c r="N227" s="2" t="n"/>
      <c r="O227" s="2" t="n"/>
      <c r="P227" s="2" t="n"/>
    </row>
    <row r="228">
      <c r="A228" s="3" t="n">
        <v>47155</v>
      </c>
      <c r="B228" s="3" t="inlineStr">
        <is>
          <t>REINOSO SALAS YAJAIRA CAROLINA</t>
        </is>
      </c>
      <c r="C228" s="4" t="n">
        <v>46071</v>
      </c>
      <c r="D228" s="4" t="n">
        <v>46071</v>
      </c>
      <c r="E228" s="4" t="inlineStr">
        <is>
          <t>RENTA</t>
        </is>
      </c>
      <c r="F228" s="3" t="n">
        <v>307</v>
      </c>
      <c r="G228" s="3" t="n">
        <v>140</v>
      </c>
      <c r="H228" s="3" t="n">
        <v>2</v>
      </c>
      <c r="I228" s="3" t="n">
        <v>40</v>
      </c>
      <c r="J228" s="3" t="n">
        <v>0.8</v>
      </c>
      <c r="K228" s="2" t="n"/>
      <c r="L228" s="2" t="n"/>
      <c r="M228" s="2" t="n"/>
      <c r="N228" s="2" t="n"/>
      <c r="O228" s="2" t="n"/>
      <c r="P228" s="2" t="n"/>
    </row>
    <row r="229">
      <c r="A229" s="3" t="n">
        <v>47155</v>
      </c>
      <c r="B229" s="3" t="inlineStr">
        <is>
          <t>REINOSO SALAS YAJAIRA CAROLINA</t>
        </is>
      </c>
      <c r="C229" s="4" t="n">
        <v>46071</v>
      </c>
      <c r="D229" s="4" t="n">
        <v>46071</v>
      </c>
      <c r="E229" s="4" t="inlineStr">
        <is>
          <t>IVA</t>
        </is>
      </c>
      <c r="F229" s="3" t="n">
        <v>307</v>
      </c>
      <c r="G229" s="3" t="n">
        <v>140</v>
      </c>
      <c r="H229" s="3" t="n">
        <v>70</v>
      </c>
      <c r="I229" s="3" t="n">
        <v>6</v>
      </c>
      <c r="J229" s="3" t="n">
        <v>4.2</v>
      </c>
      <c r="K229" s="2" t="n"/>
      <c r="L229" s="2" t="n"/>
      <c r="M229" s="2" t="n"/>
      <c r="N229" s="2" t="n"/>
      <c r="O229" s="2" t="n"/>
      <c r="P229" s="2" t="n"/>
    </row>
    <row r="230">
      <c r="A230" s="3" t="n">
        <v>47156</v>
      </c>
      <c r="B230" s="3" t="inlineStr">
        <is>
          <t>LALAMA MORALES CARMEN GUADALUPE</t>
        </is>
      </c>
      <c r="C230" s="4" t="n">
        <v>46071</v>
      </c>
      <c r="D230" s="4" t="n">
        <v>46063</v>
      </c>
      <c r="E230" s="4" t="inlineStr">
        <is>
          <t>RENTA</t>
        </is>
      </c>
      <c r="F230" s="3" t="n">
        <v>312</v>
      </c>
      <c r="G230" s="3" t="n">
        <v>5950</v>
      </c>
      <c r="H230" s="3" t="n">
        <v>1.75</v>
      </c>
      <c r="I230" s="3" t="n">
        <v>20.54</v>
      </c>
      <c r="J230" s="3" t="n">
        <v>0.36</v>
      </c>
      <c r="K230" s="2" t="n"/>
      <c r="L230" s="2" t="n"/>
      <c r="M230" s="2" t="n"/>
      <c r="N230" s="2" t="n"/>
      <c r="O230" s="2" t="n"/>
      <c r="P230" s="2" t="n"/>
    </row>
    <row r="231">
      <c r="A231" s="3" t="n">
        <v>47156</v>
      </c>
      <c r="B231" s="3" t="inlineStr">
        <is>
          <t>LALAMA MORALES CARMEN GUADALUPE</t>
        </is>
      </c>
      <c r="C231" s="4" t="n">
        <v>46071</v>
      </c>
      <c r="D231" s="4" t="n">
        <v>46063</v>
      </c>
      <c r="E231" s="4" t="inlineStr">
        <is>
          <t>IVA</t>
        </is>
      </c>
      <c r="F231" s="3" t="n">
        <v>312</v>
      </c>
      <c r="G231" s="3" t="n">
        <v>5950</v>
      </c>
      <c r="H231" s="3" t="n">
        <v>30</v>
      </c>
      <c r="I231" s="3" t="n">
        <v>3.08</v>
      </c>
      <c r="J231" s="3" t="n">
        <v>0.92</v>
      </c>
      <c r="K231" s="2" t="n"/>
      <c r="L231" s="2" t="n"/>
      <c r="M231" s="2" t="n"/>
      <c r="N231" s="2" t="n"/>
      <c r="O231" s="2" t="n"/>
      <c r="P231" s="2" t="n"/>
    </row>
    <row r="232">
      <c r="A232" s="3" t="n">
        <v>47157</v>
      </c>
      <c r="B232" s="3" t="inlineStr">
        <is>
          <t>REINOSO SALAS YAJAIRA CAROLINA</t>
        </is>
      </c>
      <c r="C232" s="4" t="n">
        <v>46071</v>
      </c>
      <c r="D232" s="4" t="n">
        <v>46071</v>
      </c>
      <c r="E232" s="4" t="inlineStr">
        <is>
          <t>IVA</t>
        </is>
      </c>
      <c r="F232" s="3" t="n">
        <v>307</v>
      </c>
      <c r="G232" s="3" t="n">
        <v>139</v>
      </c>
      <c r="H232" s="3" t="n">
        <v>70</v>
      </c>
      <c r="I232" s="3" t="n">
        <v>6</v>
      </c>
      <c r="J232" s="3" t="n">
        <v>4.2</v>
      </c>
      <c r="K232" s="2" t="n"/>
      <c r="L232" s="2" t="n"/>
      <c r="M232" s="2" t="n"/>
      <c r="N232" s="2" t="n"/>
      <c r="O232" s="2" t="n"/>
      <c r="P232" s="2" t="n"/>
    </row>
    <row r="233">
      <c r="A233" s="3" t="n">
        <v>47157</v>
      </c>
      <c r="B233" s="3" t="inlineStr">
        <is>
          <t>REINOSO SALAS YAJAIRA CAROLINA</t>
        </is>
      </c>
      <c r="C233" s="4" t="n">
        <v>46071</v>
      </c>
      <c r="D233" s="4" t="n">
        <v>46071</v>
      </c>
      <c r="E233" s="4" t="inlineStr">
        <is>
          <t>RENTA</t>
        </is>
      </c>
      <c r="F233" s="3" t="n">
        <v>307</v>
      </c>
      <c r="G233" s="3" t="n">
        <v>139</v>
      </c>
      <c r="H233" s="3" t="n">
        <v>2</v>
      </c>
      <c r="I233" s="3" t="n">
        <v>40</v>
      </c>
      <c r="J233" s="3" t="n">
        <v>0.8</v>
      </c>
      <c r="K233" s="2" t="n"/>
      <c r="L233" s="2" t="n"/>
      <c r="M233" s="2" t="n"/>
      <c r="N233" s="2" t="n"/>
      <c r="O233" s="2" t="n"/>
      <c r="P233" s="2" t="n"/>
    </row>
    <row r="234">
      <c r="A234" s="3" t="n">
        <v>47158</v>
      </c>
      <c r="B234" s="3" t="inlineStr">
        <is>
          <t>PAEZ ORTIZ CHRISTIAN GONZALO</t>
        </is>
      </c>
      <c r="C234" s="4" t="n">
        <v>46071</v>
      </c>
      <c r="D234" s="4" t="n">
        <v>46067</v>
      </c>
      <c r="E234" s="4" t="inlineStr">
        <is>
          <t>RENTA</t>
        </is>
      </c>
      <c r="F234" s="3" t="n">
        <v>312</v>
      </c>
      <c r="G234" s="3" t="n">
        <v>3630</v>
      </c>
      <c r="H234" s="3" t="n">
        <v>1.75</v>
      </c>
      <c r="I234" s="3" t="n">
        <v>92.5</v>
      </c>
      <c r="J234" s="3" t="n">
        <v>1.62</v>
      </c>
      <c r="K234" s="2" t="n"/>
      <c r="L234" s="2" t="n"/>
      <c r="M234" s="2" t="n"/>
      <c r="N234" s="2" t="n"/>
      <c r="O234" s="2" t="n"/>
      <c r="P234" s="2" t="n"/>
    </row>
    <row r="235">
      <c r="A235" s="3" t="n">
        <v>47158</v>
      </c>
      <c r="B235" s="3" t="inlineStr">
        <is>
          <t>PAEZ ORTIZ CHRISTIAN GONZALO</t>
        </is>
      </c>
      <c r="C235" s="4" t="n">
        <v>46071</v>
      </c>
      <c r="D235" s="4" t="n">
        <v>46067</v>
      </c>
      <c r="E235" s="4" t="inlineStr">
        <is>
          <t>IVA</t>
        </is>
      </c>
      <c r="F235" s="3" t="n">
        <v>312</v>
      </c>
      <c r="G235" s="3" t="n">
        <v>3630</v>
      </c>
      <c r="H235" s="3" t="n">
        <v>30</v>
      </c>
      <c r="I235" s="3" t="n">
        <v>13.88</v>
      </c>
      <c r="J235" s="3" t="n">
        <v>4.16</v>
      </c>
      <c r="K235" s="2" t="n"/>
      <c r="L235" s="2" t="n"/>
      <c r="M235" s="2" t="n"/>
      <c r="N235" s="2" t="n"/>
      <c r="O235" s="2" t="n"/>
      <c r="P235" s="2" t="n"/>
    </row>
    <row r="236">
      <c r="A236" s="3" t="n">
        <v>47159</v>
      </c>
      <c r="B236" s="3" t="inlineStr">
        <is>
          <t>ASTUDILLO RIVADENEIRA CRISTOPHER DANIEL</t>
        </is>
      </c>
      <c r="C236" s="4" t="n">
        <v>46071</v>
      </c>
      <c r="D236" s="4" t="n">
        <v>46066</v>
      </c>
      <c r="E236" s="4" t="inlineStr">
        <is>
          <t>IVA</t>
        </is>
      </c>
      <c r="F236" s="3" t="n">
        <v>307</v>
      </c>
      <c r="G236" s="3" t="n">
        <v>1114</v>
      </c>
      <c r="H236" s="3" t="n">
        <v>70</v>
      </c>
      <c r="I236" s="3" t="n">
        <v>285</v>
      </c>
      <c r="J236" s="3" t="n">
        <v>199.5</v>
      </c>
      <c r="K236" s="2" t="n"/>
      <c r="L236" s="2" t="n"/>
      <c r="M236" s="2" t="n"/>
      <c r="N236" s="2" t="n"/>
      <c r="O236" s="2" t="n"/>
      <c r="P236" s="2" t="n"/>
    </row>
    <row r="237">
      <c r="A237" s="3" t="n">
        <v>47159</v>
      </c>
      <c r="B237" s="3" t="inlineStr">
        <is>
          <t>ASTUDILLO RIVADENEIRA CRISTOPHER DANIEL</t>
        </is>
      </c>
      <c r="C237" s="4" t="n">
        <v>46071</v>
      </c>
      <c r="D237" s="4" t="n">
        <v>46066</v>
      </c>
      <c r="E237" s="4" t="inlineStr">
        <is>
          <t>RENTA</t>
        </is>
      </c>
      <c r="F237" s="3" t="n">
        <v>307</v>
      </c>
      <c r="G237" s="3" t="n">
        <v>1114</v>
      </c>
      <c r="H237" s="3" t="n">
        <v>2</v>
      </c>
      <c r="I237" s="17" t="n">
        <v>1900</v>
      </c>
      <c r="J237" s="3" t="n">
        <v>38</v>
      </c>
      <c r="K237" s="2" t="n"/>
      <c r="L237" s="2" t="n"/>
      <c r="M237" s="2" t="n"/>
      <c r="N237" s="2" t="n"/>
      <c r="O237" s="2" t="n"/>
      <c r="P237" s="2" t="n"/>
    </row>
    <row r="238">
      <c r="A238" s="3" t="n">
        <v>47160</v>
      </c>
      <c r="B238" s="3" t="inlineStr">
        <is>
          <t>PAEZ ORTIZ CHRISTIAN GONZALO</t>
        </is>
      </c>
      <c r="C238" s="4" t="n">
        <v>46071</v>
      </c>
      <c r="D238" s="4" t="n">
        <v>46067</v>
      </c>
      <c r="E238" s="4" t="inlineStr">
        <is>
          <t>RENTA</t>
        </is>
      </c>
      <c r="F238" s="3" t="n">
        <v>312</v>
      </c>
      <c r="G238" s="3" t="n">
        <v>3631</v>
      </c>
      <c r="H238" s="3" t="n">
        <v>1.75</v>
      </c>
      <c r="I238" s="3" t="n">
        <v>232.4</v>
      </c>
      <c r="J238" s="3" t="n">
        <v>4.07</v>
      </c>
      <c r="K238" s="2" t="n"/>
      <c r="L238" s="2" t="n"/>
      <c r="M238" s="2" t="n"/>
      <c r="N238" s="2" t="n"/>
      <c r="O238" s="2" t="n"/>
      <c r="P238" s="2" t="n"/>
    </row>
    <row r="239">
      <c r="A239" s="3" t="n">
        <v>47160</v>
      </c>
      <c r="B239" s="3" t="inlineStr">
        <is>
          <t>PAEZ ORTIZ CHRISTIAN GONZALO</t>
        </is>
      </c>
      <c r="C239" s="4" t="n">
        <v>46071</v>
      </c>
      <c r="D239" s="4" t="n">
        <v>46067</v>
      </c>
      <c r="E239" s="4" t="inlineStr">
        <is>
          <t>IVA</t>
        </is>
      </c>
      <c r="F239" s="3" t="n">
        <v>312</v>
      </c>
      <c r="G239" s="3" t="n">
        <v>3631</v>
      </c>
      <c r="H239" s="3" t="n">
        <v>30</v>
      </c>
      <c r="I239" s="3" t="n">
        <v>34.86</v>
      </c>
      <c r="J239" s="3" t="n">
        <v>10.46</v>
      </c>
      <c r="K239" s="2" t="n"/>
      <c r="L239" s="2" t="n"/>
      <c r="M239" s="2" t="n"/>
      <c r="N239" s="2" t="n"/>
      <c r="O239" s="2" t="n"/>
      <c r="P239" s="2" t="n"/>
    </row>
    <row r="240">
      <c r="A240" s="3" t="n">
        <v>47161</v>
      </c>
      <c r="B240" s="3" t="inlineStr">
        <is>
          <t>PAEZ ORTIZ CHRISTIAN GONZALO</t>
        </is>
      </c>
      <c r="C240" s="4" t="n">
        <v>46071</v>
      </c>
      <c r="D240" s="4" t="n">
        <v>46067</v>
      </c>
      <c r="E240" s="4" t="inlineStr">
        <is>
          <t>IVA</t>
        </is>
      </c>
      <c r="F240" s="3" t="n">
        <v>312</v>
      </c>
      <c r="G240" s="3" t="n">
        <v>3633</v>
      </c>
      <c r="H240" s="3" t="n">
        <v>30</v>
      </c>
      <c r="I240" s="3" t="n">
        <v>19.2</v>
      </c>
      <c r="J240" s="3" t="n">
        <v>5.76</v>
      </c>
      <c r="K240" s="2" t="n"/>
      <c r="L240" s="2" t="n"/>
      <c r="M240" s="2" t="n"/>
      <c r="N240" s="2" t="n"/>
      <c r="O240" s="2" t="n"/>
      <c r="P240" s="2" t="n"/>
    </row>
    <row r="241">
      <c r="A241" s="3" t="n">
        <v>47161</v>
      </c>
      <c r="B241" s="3" t="inlineStr">
        <is>
          <t>PAEZ ORTIZ CHRISTIAN GONZALO</t>
        </is>
      </c>
      <c r="C241" s="4" t="n">
        <v>46071</v>
      </c>
      <c r="D241" s="4" t="n">
        <v>46067</v>
      </c>
      <c r="E241" s="4" t="inlineStr">
        <is>
          <t>RENTA</t>
        </is>
      </c>
      <c r="F241" s="3" t="n">
        <v>312</v>
      </c>
      <c r="G241" s="3" t="n">
        <v>3633</v>
      </c>
      <c r="H241" s="3" t="n">
        <v>1.75</v>
      </c>
      <c r="I241" s="3" t="n">
        <v>128</v>
      </c>
      <c r="J241" s="3" t="n">
        <v>2.24</v>
      </c>
      <c r="K241" s="2" t="n"/>
      <c r="L241" s="2" t="n"/>
      <c r="M241" s="2" t="n"/>
      <c r="N241" s="2" t="n"/>
      <c r="O241" s="2" t="n"/>
      <c r="P241" s="2" t="n"/>
    </row>
    <row r="242">
      <c r="A242" s="3" t="n">
        <v>47162</v>
      </c>
      <c r="B242" s="3" t="inlineStr">
        <is>
          <t>PAEZ ORTIZ CHRISTIAN GONZALO</t>
        </is>
      </c>
      <c r="C242" s="4" t="n">
        <v>46071</v>
      </c>
      <c r="D242" s="4" t="n">
        <v>46067</v>
      </c>
      <c r="E242" s="4" t="inlineStr">
        <is>
          <t>IVA</t>
        </is>
      </c>
      <c r="F242" s="3" t="n">
        <v>312</v>
      </c>
      <c r="G242" s="3" t="n">
        <v>3634</v>
      </c>
      <c r="H242" s="3" t="n">
        <v>30</v>
      </c>
      <c r="I242" s="3" t="n">
        <v>34.56</v>
      </c>
      <c r="J242" s="3" t="n">
        <v>10.37</v>
      </c>
      <c r="K242" s="2" t="n"/>
      <c r="L242" s="2" t="n"/>
      <c r="M242" s="2" t="n"/>
      <c r="N242" s="2" t="n"/>
      <c r="O242" s="2" t="n"/>
      <c r="P242" s="2" t="n"/>
    </row>
    <row r="243">
      <c r="A243" s="3" t="n">
        <v>47162</v>
      </c>
      <c r="B243" s="3" t="inlineStr">
        <is>
          <t>PAEZ ORTIZ CHRISTIAN GONZALO</t>
        </is>
      </c>
      <c r="C243" s="4" t="n">
        <v>46071</v>
      </c>
      <c r="D243" s="4" t="n">
        <v>46067</v>
      </c>
      <c r="E243" s="4" t="inlineStr">
        <is>
          <t>RENTA</t>
        </is>
      </c>
      <c r="F243" s="3" t="n">
        <v>312</v>
      </c>
      <c r="G243" s="3" t="n">
        <v>3634</v>
      </c>
      <c r="H243" s="3" t="n">
        <v>1.75</v>
      </c>
      <c r="I243" s="3" t="n">
        <v>230.4</v>
      </c>
      <c r="J243" s="3" t="n">
        <v>4.03</v>
      </c>
      <c r="K243" s="2" t="n"/>
      <c r="L243" s="2" t="n"/>
      <c r="M243" s="2" t="n"/>
      <c r="N243" s="2" t="n"/>
      <c r="O243" s="2" t="n"/>
      <c r="P243" s="2" t="n"/>
    </row>
    <row r="244">
      <c r="A244" s="3" t="n">
        <v>47163</v>
      </c>
      <c r="B244" s="3" t="inlineStr">
        <is>
          <t>PAEZ ORTIZ CHRISTIAN GONZALO</t>
        </is>
      </c>
      <c r="C244" s="4" t="n">
        <v>46071</v>
      </c>
      <c r="D244" s="4" t="n">
        <v>46065</v>
      </c>
      <c r="E244" s="4" t="inlineStr">
        <is>
          <t>IVA</t>
        </is>
      </c>
      <c r="F244" s="3" t="n">
        <v>312</v>
      </c>
      <c r="G244" s="3" t="n">
        <v>3622</v>
      </c>
      <c r="H244" s="3" t="n">
        <v>30</v>
      </c>
      <c r="I244" s="3" t="n">
        <v>10.5</v>
      </c>
      <c r="J244" s="3" t="n">
        <v>3.15</v>
      </c>
      <c r="K244" s="2" t="n"/>
      <c r="L244" s="2" t="n"/>
      <c r="M244" s="2" t="n"/>
      <c r="N244" s="2" t="n"/>
      <c r="O244" s="2" t="n"/>
      <c r="P244" s="2" t="n"/>
    </row>
    <row r="245">
      <c r="A245" s="3" t="n">
        <v>47163</v>
      </c>
      <c r="B245" s="3" t="inlineStr">
        <is>
          <t>PAEZ ORTIZ CHRISTIAN GONZALO</t>
        </is>
      </c>
      <c r="C245" s="4" t="n">
        <v>46071</v>
      </c>
      <c r="D245" s="4" t="n">
        <v>46065</v>
      </c>
      <c r="E245" s="4" t="inlineStr">
        <is>
          <t>RENTA</t>
        </is>
      </c>
      <c r="F245" s="3" t="n">
        <v>312</v>
      </c>
      <c r="G245" s="3" t="n">
        <v>3622</v>
      </c>
      <c r="H245" s="3" t="n">
        <v>1.75</v>
      </c>
      <c r="I245" s="3" t="n">
        <v>70</v>
      </c>
      <c r="J245" s="3" t="n">
        <v>1.23</v>
      </c>
      <c r="K245" s="2" t="n"/>
      <c r="L245" s="2" t="n"/>
      <c r="M245" s="2" t="n"/>
      <c r="N245" s="2" t="n"/>
      <c r="O245" s="2" t="n"/>
      <c r="P245" s="2" t="n"/>
    </row>
    <row r="246">
      <c r="A246" s="3" t="n">
        <v>47164</v>
      </c>
      <c r="B246" s="3" t="inlineStr">
        <is>
          <t>ASTUDILLO RIVADENEIRA CRISTOPHER DANIEL</t>
        </is>
      </c>
      <c r="C246" s="4" t="n">
        <v>46071</v>
      </c>
      <c r="D246" s="4" t="n">
        <v>46066</v>
      </c>
      <c r="E246" s="4" t="inlineStr">
        <is>
          <t>IVA</t>
        </is>
      </c>
      <c r="F246" s="3" t="n">
        <v>307</v>
      </c>
      <c r="G246" s="3" t="n">
        <v>1113</v>
      </c>
      <c r="H246" s="3" t="n">
        <v>70</v>
      </c>
      <c r="I246" s="3" t="n">
        <v>285</v>
      </c>
      <c r="J246" s="3" t="n">
        <v>199.5</v>
      </c>
      <c r="K246" s="2" t="n"/>
      <c r="L246" s="2" t="n"/>
      <c r="M246" s="2" t="n"/>
      <c r="N246" s="2" t="n"/>
      <c r="O246" s="2" t="n"/>
      <c r="P246" s="2" t="n"/>
    </row>
    <row r="247">
      <c r="A247" s="3" t="n">
        <v>47164</v>
      </c>
      <c r="B247" s="3" t="inlineStr">
        <is>
          <t>ASTUDILLO RIVADENEIRA CRISTOPHER DANIEL</t>
        </is>
      </c>
      <c r="C247" s="4" t="n">
        <v>46071</v>
      </c>
      <c r="D247" s="4" t="n">
        <v>46066</v>
      </c>
      <c r="E247" s="4" t="inlineStr">
        <is>
          <t>RENTA</t>
        </is>
      </c>
      <c r="F247" s="3" t="n">
        <v>307</v>
      </c>
      <c r="G247" s="3" t="n">
        <v>1113</v>
      </c>
      <c r="H247" s="3" t="n">
        <v>2</v>
      </c>
      <c r="I247" s="17" t="n">
        <v>1900</v>
      </c>
      <c r="J247" s="3" t="n">
        <v>38</v>
      </c>
      <c r="K247" s="2" t="n"/>
      <c r="L247" s="2" t="n"/>
      <c r="M247" s="2" t="n"/>
      <c r="N247" s="2" t="n"/>
      <c r="O247" s="2" t="n"/>
      <c r="P247" s="2" t="n"/>
    </row>
    <row r="248">
      <c r="A248" s="3" t="n">
        <v>47165</v>
      </c>
      <c r="B248" s="3" t="inlineStr">
        <is>
          <t>PAEZ ORTIZ CHRISTIAN GONZALO</t>
        </is>
      </c>
      <c r="C248" s="4" t="n">
        <v>46071</v>
      </c>
      <c r="D248" s="4" t="n">
        <v>46067</v>
      </c>
      <c r="E248" s="4" t="inlineStr">
        <is>
          <t>RENTA</t>
        </is>
      </c>
      <c r="F248" s="3" t="n">
        <v>312</v>
      </c>
      <c r="G248" s="3" t="n">
        <v>3632</v>
      </c>
      <c r="H248" s="3" t="n">
        <v>1.75</v>
      </c>
      <c r="I248" s="3" t="n">
        <v>299</v>
      </c>
      <c r="J248" s="3" t="n">
        <v>5.23</v>
      </c>
      <c r="K248" s="2" t="n"/>
      <c r="L248" s="2" t="n"/>
      <c r="M248" s="2" t="n"/>
      <c r="N248" s="2" t="n"/>
      <c r="O248" s="2" t="n"/>
      <c r="P248" s="2" t="n"/>
    </row>
    <row r="249">
      <c r="A249" s="3" t="n">
        <v>47165</v>
      </c>
      <c r="B249" s="3" t="inlineStr">
        <is>
          <t>PAEZ ORTIZ CHRISTIAN GONZALO</t>
        </is>
      </c>
      <c r="C249" s="4" t="n">
        <v>46071</v>
      </c>
      <c r="D249" s="4" t="n">
        <v>46067</v>
      </c>
      <c r="E249" s="4" t="inlineStr">
        <is>
          <t>IVA</t>
        </is>
      </c>
      <c r="F249" s="3" t="n">
        <v>312</v>
      </c>
      <c r="G249" s="3" t="n">
        <v>3632</v>
      </c>
      <c r="H249" s="3" t="n">
        <v>30</v>
      </c>
      <c r="I249" s="3" t="n">
        <v>44.85</v>
      </c>
      <c r="J249" s="3" t="n">
        <v>13.46</v>
      </c>
      <c r="K249" s="2" t="n"/>
      <c r="L249" s="2" t="n"/>
      <c r="M249" s="2" t="n"/>
      <c r="N249" s="2" t="n"/>
      <c r="O249" s="2" t="n"/>
      <c r="P249" s="2" t="n"/>
    </row>
    <row r="250">
      <c r="A250" s="3" t="n">
        <v>47166</v>
      </c>
      <c r="B250" s="3" t="inlineStr">
        <is>
          <t>PAEZ ORTIZ CHRISTIAN GONZALO</t>
        </is>
      </c>
      <c r="C250" s="4" t="n">
        <v>46071</v>
      </c>
      <c r="D250" s="4" t="n">
        <v>46067</v>
      </c>
      <c r="E250" s="4" t="inlineStr">
        <is>
          <t>RENTA</t>
        </is>
      </c>
      <c r="F250" s="3" t="n">
        <v>307</v>
      </c>
      <c r="G250" s="3" t="n">
        <v>3635</v>
      </c>
      <c r="H250" s="3" t="n">
        <v>2</v>
      </c>
      <c r="I250" s="3" t="n">
        <v>487</v>
      </c>
      <c r="J250" s="3" t="n">
        <v>9.74</v>
      </c>
      <c r="K250" s="2" t="n"/>
      <c r="L250" s="2" t="n"/>
      <c r="M250" s="2" t="n"/>
      <c r="N250" s="2" t="n"/>
      <c r="O250" s="2" t="n"/>
      <c r="P250" s="2" t="n"/>
    </row>
    <row r="251">
      <c r="A251" s="3" t="n">
        <v>47166</v>
      </c>
      <c r="B251" s="3" t="inlineStr">
        <is>
          <t>PAEZ ORTIZ CHRISTIAN GONZALO</t>
        </is>
      </c>
      <c r="C251" s="4" t="n">
        <v>46071</v>
      </c>
      <c r="D251" s="4" t="n">
        <v>46067</v>
      </c>
      <c r="E251" s="4" t="inlineStr">
        <is>
          <t>IVA</t>
        </is>
      </c>
      <c r="F251" s="3" t="n">
        <v>307</v>
      </c>
      <c r="G251" s="3" t="n">
        <v>3635</v>
      </c>
      <c r="H251" s="3" t="n">
        <v>70</v>
      </c>
      <c r="I251" s="3" t="n">
        <v>73.05</v>
      </c>
      <c r="J251" s="3" t="n">
        <v>51.14</v>
      </c>
      <c r="K251" s="2" t="n"/>
      <c r="L251" s="2" t="n"/>
      <c r="M251" s="2" t="n"/>
      <c r="N251" s="2" t="n"/>
      <c r="O251" s="2" t="n"/>
      <c r="P251" s="2" t="n"/>
    </row>
    <row r="252">
      <c r="A252" s="3" t="n">
        <v>47167</v>
      </c>
      <c r="B252" s="3" t="inlineStr">
        <is>
          <t>TOYOTASERVICIOS S.A.</t>
        </is>
      </c>
      <c r="C252" s="4" t="n">
        <v>46071</v>
      </c>
      <c r="D252" s="4" t="n">
        <v>46071</v>
      </c>
      <c r="E252" s="4" t="inlineStr">
        <is>
          <t>RENTA</t>
        </is>
      </c>
      <c r="F252" s="3" t="n">
        <v>344</v>
      </c>
      <c r="G252" s="3" t="n">
        <v>6895</v>
      </c>
      <c r="H252" s="3" t="n">
        <v>2.75</v>
      </c>
      <c r="I252" s="3" t="n">
        <v>21.63</v>
      </c>
      <c r="J252" s="3" t="n">
        <v>0.59</v>
      </c>
      <c r="K252" s="2" t="n"/>
      <c r="L252" s="2" t="n"/>
      <c r="M252" s="2" t="n"/>
      <c r="N252" s="2" t="n"/>
      <c r="O252" s="2" t="n"/>
      <c r="P252" s="2" t="n"/>
    </row>
    <row r="253">
      <c r="A253" s="3" t="n">
        <v>47167</v>
      </c>
      <c r="B253" s="3" t="inlineStr">
        <is>
          <t>TOYOTASERVICIOS S.A.</t>
        </is>
      </c>
      <c r="C253" s="4" t="n">
        <v>46071</v>
      </c>
      <c r="D253" s="4" t="n">
        <v>46071</v>
      </c>
      <c r="E253" s="4" t="inlineStr">
        <is>
          <t>IVA</t>
        </is>
      </c>
      <c r="F253" s="3" t="n">
        <v>344</v>
      </c>
      <c r="G253" s="3" t="n">
        <v>6895</v>
      </c>
      <c r="H253" s="3" t="n">
        <v>70</v>
      </c>
      <c r="I253" s="3" t="n">
        <v>3.24</v>
      </c>
      <c r="J253" s="3" t="n">
        <v>2.27</v>
      </c>
      <c r="K253" s="2" t="n"/>
      <c r="L253" s="2" t="n"/>
      <c r="M253" s="2" t="n"/>
      <c r="N253" s="2" t="n"/>
      <c r="O253" s="2" t="n"/>
      <c r="P253" s="2" t="n"/>
    </row>
    <row r="254">
      <c r="A254" s="3" t="n">
        <v>47168</v>
      </c>
      <c r="B254" s="3" t="inlineStr">
        <is>
          <t>TOYOTASERVICIOS S.A.</t>
        </is>
      </c>
      <c r="C254" s="4" t="n">
        <v>46071</v>
      </c>
      <c r="D254" s="4" t="n">
        <v>46071</v>
      </c>
      <c r="E254" s="4" t="inlineStr">
        <is>
          <t>RENTA</t>
        </is>
      </c>
      <c r="F254" s="3" t="n">
        <v>312</v>
      </c>
      <c r="G254" s="3" t="n">
        <v>6894</v>
      </c>
      <c r="H254" s="3" t="n">
        <v>1.75</v>
      </c>
      <c r="I254" s="3" t="n">
        <v>29.89</v>
      </c>
      <c r="J254" s="3" t="n">
        <v>0.52</v>
      </c>
      <c r="K254" s="2" t="n"/>
      <c r="L254" s="2" t="n"/>
      <c r="M254" s="2" t="n"/>
      <c r="N254" s="2" t="n"/>
      <c r="O254" s="2" t="n"/>
      <c r="P254" s="2" t="n"/>
    </row>
    <row r="255">
      <c r="A255" s="3" t="n">
        <v>47168</v>
      </c>
      <c r="B255" s="3" t="inlineStr">
        <is>
          <t>TOYOTASERVICIOS S.A.</t>
        </is>
      </c>
      <c r="C255" s="4" t="n">
        <v>46071</v>
      </c>
      <c r="D255" s="4" t="n">
        <v>46071</v>
      </c>
      <c r="E255" s="4" t="inlineStr">
        <is>
          <t>IVA</t>
        </is>
      </c>
      <c r="F255" s="3" t="n">
        <v>312</v>
      </c>
      <c r="G255" s="3" t="n">
        <v>6894</v>
      </c>
      <c r="H255" s="3" t="n">
        <v>30</v>
      </c>
      <c r="I255" s="3" t="n">
        <v>4.48</v>
      </c>
      <c r="J255" s="3" t="n">
        <v>1.34</v>
      </c>
      <c r="K255" s="2" t="n"/>
      <c r="L255" s="2" t="n"/>
      <c r="M255" s="2" t="n"/>
      <c r="N255" s="2" t="n"/>
      <c r="O255" s="2" t="n"/>
      <c r="P255" s="2" t="n"/>
    </row>
    <row r="256">
      <c r="A256" s="3" t="n">
        <v>47169</v>
      </c>
      <c r="B256" s="3" t="inlineStr">
        <is>
          <t>GARCES REA JAVIER ALEJANDRO</t>
        </is>
      </c>
      <c r="C256" s="4" t="n">
        <v>46071</v>
      </c>
      <c r="D256" s="4" t="n">
        <v>46071</v>
      </c>
      <c r="E256" s="4" t="inlineStr">
        <is>
          <t>RENTA</t>
        </is>
      </c>
      <c r="F256" s="3" t="n">
        <v>312</v>
      </c>
      <c r="G256" s="3" t="n">
        <v>1096</v>
      </c>
      <c r="H256" s="3" t="n">
        <v>1.75</v>
      </c>
      <c r="I256" s="17" t="n">
        <v>1000</v>
      </c>
      <c r="J256" s="3" t="n">
        <v>17.5</v>
      </c>
      <c r="K256" s="2" t="n"/>
      <c r="L256" s="2" t="n"/>
      <c r="M256" s="2" t="n"/>
      <c r="N256" s="2" t="n"/>
      <c r="O256" s="2" t="n"/>
      <c r="P256" s="2" t="n"/>
    </row>
    <row r="257">
      <c r="A257" s="3" t="n">
        <v>47169</v>
      </c>
      <c r="B257" s="3" t="inlineStr">
        <is>
          <t>GARCES REA JAVIER ALEJANDRO</t>
        </is>
      </c>
      <c r="C257" s="4" t="n">
        <v>46071</v>
      </c>
      <c r="D257" s="4" t="n">
        <v>46071</v>
      </c>
      <c r="E257" s="4" t="inlineStr">
        <is>
          <t>IVA</t>
        </is>
      </c>
      <c r="F257" s="3" t="n">
        <v>312</v>
      </c>
      <c r="G257" s="3" t="n">
        <v>1096</v>
      </c>
      <c r="H257" s="3" t="n">
        <v>30</v>
      </c>
      <c r="I257" s="3" t="n">
        <v>150</v>
      </c>
      <c r="J257" s="3" t="n">
        <v>45</v>
      </c>
      <c r="K257" s="2" t="n"/>
      <c r="L257" s="2" t="n"/>
      <c r="M257" s="2" t="n"/>
      <c r="N257" s="2" t="n"/>
      <c r="O257" s="2" t="n"/>
      <c r="P257" s="2" t="n"/>
    </row>
    <row r="258">
      <c r="A258" s="3" t="n">
        <v>47170</v>
      </c>
      <c r="B258" s="3" t="inlineStr">
        <is>
          <t>TOYOTASERVICIOS S.A.</t>
        </is>
      </c>
      <c r="C258" s="4" t="n">
        <v>46071</v>
      </c>
      <c r="D258" s="4" t="n">
        <v>46071</v>
      </c>
      <c r="E258" s="4" t="inlineStr">
        <is>
          <t>RENTA</t>
        </is>
      </c>
      <c r="F258" s="3" t="n">
        <v>312</v>
      </c>
      <c r="G258" s="3" t="n">
        <v>14894</v>
      </c>
      <c r="H258" s="3" t="n">
        <v>1.75</v>
      </c>
      <c r="I258" s="3" t="n">
        <v>682.3</v>
      </c>
      <c r="J258" s="3" t="n">
        <v>11.94</v>
      </c>
      <c r="K258" s="2" t="n"/>
      <c r="L258" s="2" t="n"/>
      <c r="M258" s="2" t="n"/>
      <c r="N258" s="2" t="n"/>
      <c r="O258" s="2" t="n"/>
      <c r="P258" s="2" t="n"/>
    </row>
    <row r="259">
      <c r="A259" s="3" t="n">
        <v>47170</v>
      </c>
      <c r="B259" s="3" t="inlineStr">
        <is>
          <t>TOYOTASERVICIOS S.A.</t>
        </is>
      </c>
      <c r="C259" s="4" t="n">
        <v>46071</v>
      </c>
      <c r="D259" s="4" t="n">
        <v>46071</v>
      </c>
      <c r="E259" s="4" t="inlineStr">
        <is>
          <t>IVA</t>
        </is>
      </c>
      <c r="F259" s="3" t="n">
        <v>312</v>
      </c>
      <c r="G259" s="3" t="n">
        <v>14894</v>
      </c>
      <c r="H259" s="3" t="n">
        <v>30</v>
      </c>
      <c r="I259" s="3" t="n">
        <v>102.35</v>
      </c>
      <c r="J259" s="3" t="n">
        <v>30.71</v>
      </c>
      <c r="K259" s="2" t="n"/>
      <c r="L259" s="2" t="n"/>
      <c r="M259" s="2" t="n"/>
      <c r="N259" s="2" t="n"/>
      <c r="O259" s="2" t="n"/>
      <c r="P259" s="2" t="n"/>
    </row>
    <row r="260">
      <c r="A260" s="3" t="n">
        <v>47171</v>
      </c>
      <c r="B260" s="3" t="inlineStr">
        <is>
          <t>TOYOTASERVICIOS S.A.</t>
        </is>
      </c>
      <c r="C260" s="4" t="n">
        <v>46071</v>
      </c>
      <c r="D260" s="4" t="n">
        <v>46071</v>
      </c>
      <c r="E260" s="4" t="inlineStr">
        <is>
          <t>RENTA</t>
        </is>
      </c>
      <c r="F260" s="3" t="n">
        <v>312</v>
      </c>
      <c r="G260" s="3" t="n">
        <v>14895</v>
      </c>
      <c r="H260" s="3" t="n">
        <v>1.75</v>
      </c>
      <c r="I260" s="3" t="n">
        <v>220</v>
      </c>
      <c r="J260" s="3" t="n">
        <v>3.85</v>
      </c>
      <c r="K260" s="2" t="n"/>
      <c r="L260" s="2" t="n"/>
      <c r="M260" s="2" t="n"/>
      <c r="N260" s="2" t="n"/>
      <c r="O260" s="2" t="n"/>
      <c r="P260" s="2" t="n"/>
    </row>
    <row r="261">
      <c r="A261" s="3" t="n">
        <v>47171</v>
      </c>
      <c r="B261" s="3" t="inlineStr">
        <is>
          <t>TOYOTASERVICIOS S.A.</t>
        </is>
      </c>
      <c r="C261" s="4" t="n">
        <v>46071</v>
      </c>
      <c r="D261" s="4" t="n">
        <v>46071</v>
      </c>
      <c r="E261" s="4" t="inlineStr">
        <is>
          <t>IVA</t>
        </is>
      </c>
      <c r="F261" s="3" t="n">
        <v>312</v>
      </c>
      <c r="G261" s="3" t="n">
        <v>14895</v>
      </c>
      <c r="H261" s="3" t="n">
        <v>30</v>
      </c>
      <c r="I261" s="3" t="n">
        <v>33</v>
      </c>
      <c r="J261" s="3" t="n">
        <v>9.9</v>
      </c>
      <c r="K261" s="2" t="n"/>
      <c r="L261" s="2" t="n"/>
      <c r="M261" s="2" t="n"/>
      <c r="N261" s="2" t="n"/>
      <c r="O261" s="2" t="n"/>
      <c r="P261" s="2" t="n"/>
    </row>
    <row r="262">
      <c r="A262" s="3" t="n">
        <v>47172</v>
      </c>
      <c r="B262" s="3" t="inlineStr">
        <is>
          <t>CABRERA ROJAS DORIS MARIA</t>
        </is>
      </c>
      <c r="C262" s="4" t="n">
        <v>46072</v>
      </c>
      <c r="D262" s="4" t="n">
        <v>46072</v>
      </c>
      <c r="E262" s="4" t="inlineStr">
        <is>
          <t>RENTA</t>
        </is>
      </c>
      <c r="F262" s="3" t="n">
        <v>304</v>
      </c>
      <c r="G262" s="3" t="n">
        <v>193539</v>
      </c>
      <c r="H262" s="3" t="n">
        <v>10</v>
      </c>
      <c r="I262" s="3" t="n">
        <v>74.69</v>
      </c>
      <c r="J262" s="3" t="n">
        <v>7.47</v>
      </c>
      <c r="K262" s="2" t="n"/>
      <c r="L262" s="2" t="n"/>
      <c r="M262" s="2" t="n"/>
      <c r="N262" s="2" t="n"/>
      <c r="O262" s="2" t="n"/>
      <c r="P262" s="2" t="n"/>
    </row>
    <row r="263">
      <c r="A263" s="3" t="n">
        <v>47172</v>
      </c>
      <c r="B263" s="3" t="inlineStr">
        <is>
          <t>CABRERA ROJAS DORIS MARIA</t>
        </is>
      </c>
      <c r="C263" s="4" t="n">
        <v>46072</v>
      </c>
      <c r="D263" s="4" t="n">
        <v>46072</v>
      </c>
      <c r="E263" s="4" t="inlineStr">
        <is>
          <t>IVA</t>
        </is>
      </c>
      <c r="F263" s="3" t="n">
        <v>304</v>
      </c>
      <c r="G263" s="3" t="n">
        <v>193539</v>
      </c>
      <c r="H263" s="3" t="n">
        <v>70</v>
      </c>
      <c r="I263" s="3" t="n">
        <v>11.11</v>
      </c>
      <c r="J263" s="3" t="n">
        <v>7.78</v>
      </c>
      <c r="K263" s="2" t="n"/>
      <c r="L263" s="2" t="n"/>
      <c r="M263" s="2" t="n"/>
      <c r="N263" s="2" t="n"/>
      <c r="O263" s="2" t="n"/>
      <c r="P263" s="2" t="n"/>
    </row>
    <row r="264">
      <c r="A264" s="3" t="n">
        <v>47173</v>
      </c>
      <c r="B264" s="3" t="inlineStr">
        <is>
          <t>SZK DEL ECUADOR S.A.</t>
        </is>
      </c>
      <c r="C264" s="4" t="n">
        <v>46072</v>
      </c>
      <c r="D264" s="4" t="n">
        <v>46072</v>
      </c>
      <c r="E264" s="4" t="inlineStr">
        <is>
          <t>IVA</t>
        </is>
      </c>
      <c r="F264" s="3" t="n">
        <v>312</v>
      </c>
      <c r="G264" s="3" t="n">
        <v>3183</v>
      </c>
      <c r="H264" s="3" t="n">
        <v>10</v>
      </c>
      <c r="I264" s="17" t="n">
        <v>15525.44</v>
      </c>
      <c r="J264" s="17" t="n">
        <v>1552.54</v>
      </c>
      <c r="K264" s="2" t="n"/>
      <c r="L264" s="2" t="n"/>
      <c r="M264" s="2" t="n"/>
      <c r="N264" s="2" t="n"/>
      <c r="O264" s="2" t="n"/>
      <c r="P264" s="2" t="n"/>
    </row>
    <row r="265">
      <c r="A265" s="3" t="n">
        <v>47174</v>
      </c>
      <c r="B265" s="3" t="inlineStr">
        <is>
          <t>YANGTSE-AUTO DEL ECUADOR S.A.</t>
        </is>
      </c>
      <c r="C265" s="4" t="n">
        <v>46072</v>
      </c>
      <c r="D265" s="4" t="n">
        <v>46072</v>
      </c>
      <c r="E265" s="4" t="inlineStr">
        <is>
          <t>RENTA</t>
        </is>
      </c>
      <c r="F265" s="3" t="n">
        <v>312</v>
      </c>
      <c r="G265" s="3" t="n">
        <v>545</v>
      </c>
      <c r="H265" s="3" t="n">
        <v>1.75</v>
      </c>
      <c r="I265" s="3" t="n">
        <v>396.08</v>
      </c>
      <c r="J265" s="3" t="n">
        <v>6.93</v>
      </c>
      <c r="K265" s="2" t="n"/>
      <c r="L265" s="2" t="n"/>
      <c r="M265" s="2" t="n"/>
      <c r="N265" s="2" t="n"/>
      <c r="O265" s="2" t="n"/>
      <c r="P265" s="2" t="n"/>
    </row>
    <row r="266">
      <c r="A266" s="3" t="n">
        <v>47174</v>
      </c>
      <c r="B266" s="3" t="inlineStr">
        <is>
          <t>YANGTSE-AUTO DEL ECUADOR S.A.</t>
        </is>
      </c>
      <c r="C266" s="4" t="n">
        <v>46072</v>
      </c>
      <c r="D266" s="4" t="n">
        <v>46072</v>
      </c>
      <c r="E266" s="4" t="inlineStr">
        <is>
          <t>IVA</t>
        </is>
      </c>
      <c r="F266" s="3" t="n">
        <v>312</v>
      </c>
      <c r="G266" s="3" t="n">
        <v>545</v>
      </c>
      <c r="H266" s="3" t="n">
        <v>30</v>
      </c>
      <c r="I266" s="3" t="n">
        <v>3.91</v>
      </c>
      <c r="J266" s="3" t="n">
        <v>1.17</v>
      </c>
      <c r="K266" s="2" t="n"/>
      <c r="L266" s="2" t="n"/>
      <c r="M266" s="2" t="n"/>
      <c r="N266" s="2" t="n"/>
      <c r="O266" s="2" t="n"/>
      <c r="P266" s="2" t="n"/>
    </row>
    <row r="267">
      <c r="A267" s="3" t="n">
        <v>47175</v>
      </c>
      <c r="B267" s="3" t="inlineStr">
        <is>
          <t>SZK DEL ECUADOR S.A.</t>
        </is>
      </c>
      <c r="C267" s="4" t="n">
        <v>46073</v>
      </c>
      <c r="D267" s="4" t="n">
        <v>46073</v>
      </c>
      <c r="E267" s="4" t="inlineStr">
        <is>
          <t>IVA</t>
        </is>
      </c>
      <c r="F267" s="3" t="n">
        <v>312</v>
      </c>
      <c r="G267" s="3" t="n">
        <v>3184</v>
      </c>
      <c r="H267" s="3" t="n">
        <v>10</v>
      </c>
      <c r="I267" s="17" t="n">
        <v>9688.940000000001</v>
      </c>
      <c r="J267" s="3" t="n">
        <v>968.89</v>
      </c>
      <c r="K267" s="2" t="n"/>
      <c r="L267" s="2" t="n"/>
      <c r="M267" s="2" t="n"/>
      <c r="N267" s="2" t="n"/>
      <c r="O267" s="2" t="n"/>
      <c r="P267" s="2" t="n"/>
    </row>
    <row r="268">
      <c r="A268" s="3" t="n">
        <v>47176</v>
      </c>
      <c r="B268" s="3" t="inlineStr">
        <is>
          <t>COUSIN VALLEJO BYRON IVAN</t>
        </is>
      </c>
      <c r="C268" s="4" t="n">
        <v>46075</v>
      </c>
      <c r="D268" s="4" t="n">
        <v>46072</v>
      </c>
      <c r="E268" s="4" t="inlineStr">
        <is>
          <t>RENTA</t>
        </is>
      </c>
      <c r="F268" s="3" t="n">
        <v>307</v>
      </c>
      <c r="G268" s="3" t="n">
        <v>314</v>
      </c>
      <c r="H268" s="3" t="n">
        <v>2</v>
      </c>
      <c r="I268" s="3" t="n">
        <v>60</v>
      </c>
      <c r="J268" s="3" t="n">
        <v>1.2</v>
      </c>
      <c r="K268" s="2" t="n"/>
      <c r="L268" s="2" t="n"/>
      <c r="M268" s="2" t="n"/>
      <c r="N268" s="2" t="n"/>
      <c r="O268" s="2" t="n"/>
      <c r="P268" s="2" t="n"/>
    </row>
    <row r="269">
      <c r="A269" s="3" t="n">
        <v>47177</v>
      </c>
      <c r="B269" s="3" t="inlineStr">
        <is>
          <t>FILLIPPO SANCHEZ ALEXANDER</t>
        </is>
      </c>
      <c r="C269" s="4" t="n">
        <v>46075</v>
      </c>
      <c r="D269" s="4" t="n">
        <v>46072</v>
      </c>
      <c r="E269" s="4" t="inlineStr">
        <is>
          <t>RENTA</t>
        </is>
      </c>
      <c r="F269" s="3" t="n">
        <v>312</v>
      </c>
      <c r="G269" s="3" t="n">
        <v>178</v>
      </c>
      <c r="H269" s="3" t="n">
        <v>1.75</v>
      </c>
      <c r="I269" s="17" t="n">
        <v>11016.09</v>
      </c>
      <c r="J269" s="3" t="n">
        <v>192.78</v>
      </c>
      <c r="K269" s="2" t="n"/>
      <c r="L269" s="2" t="n"/>
      <c r="M269" s="2" t="n"/>
      <c r="N269" s="2" t="n"/>
      <c r="O269" s="2" t="n"/>
      <c r="P269" s="2" t="n"/>
    </row>
    <row r="270">
      <c r="A270" s="3" t="n">
        <v>47177</v>
      </c>
      <c r="B270" s="3" t="inlineStr">
        <is>
          <t>FILLIPPO SANCHEZ ALEXANDER</t>
        </is>
      </c>
      <c r="C270" s="4" t="n">
        <v>46075</v>
      </c>
      <c r="D270" s="4" t="n">
        <v>46072</v>
      </c>
      <c r="E270" s="4" t="inlineStr">
        <is>
          <t>IVA</t>
        </is>
      </c>
      <c r="F270" s="3" t="n">
        <v>312</v>
      </c>
      <c r="G270" s="3" t="n">
        <v>178</v>
      </c>
      <c r="H270" s="3" t="n">
        <v>30</v>
      </c>
      <c r="I270" s="17" t="n">
        <v>1652.41</v>
      </c>
      <c r="J270" s="3" t="n">
        <v>495.72</v>
      </c>
      <c r="K270" s="2" t="n"/>
      <c r="L270" s="2" t="n"/>
      <c r="M270" s="2" t="n"/>
      <c r="N270" s="2" t="n"/>
      <c r="O270" s="2" t="n"/>
      <c r="P270" s="2" t="n"/>
    </row>
    <row r="271">
      <c r="A271" s="3" t="n">
        <v>47178</v>
      </c>
      <c r="B271" s="3" t="inlineStr">
        <is>
          <t>FILLIPPO SANCHEZ ALEXANDER</t>
        </is>
      </c>
      <c r="C271" s="4" t="n">
        <v>46075</v>
      </c>
      <c r="D271" s="4" t="n">
        <v>46072</v>
      </c>
      <c r="E271" s="4" t="inlineStr">
        <is>
          <t>IVA</t>
        </is>
      </c>
      <c r="F271" s="3" t="n">
        <v>307</v>
      </c>
      <c r="G271" s="3" t="n">
        <v>177</v>
      </c>
      <c r="H271" s="3" t="n">
        <v>70</v>
      </c>
      <c r="I271" s="17" t="n">
        <v>2945.53</v>
      </c>
      <c r="J271" s="17" t="n">
        <v>2061.87</v>
      </c>
      <c r="K271" s="2" t="n"/>
      <c r="L271" s="2" t="n"/>
      <c r="M271" s="2" t="n"/>
      <c r="N271" s="2" t="n"/>
      <c r="O271" s="2" t="n"/>
      <c r="P271" s="2" t="n"/>
    </row>
    <row r="272">
      <c r="A272" s="3" t="n">
        <v>47178</v>
      </c>
      <c r="B272" s="3" t="inlineStr">
        <is>
          <t>FILLIPPO SANCHEZ ALEXANDER</t>
        </is>
      </c>
      <c r="C272" s="4" t="n">
        <v>46075</v>
      </c>
      <c r="D272" s="4" t="n">
        <v>46072</v>
      </c>
      <c r="E272" s="4" t="inlineStr">
        <is>
          <t>RENTA</t>
        </is>
      </c>
      <c r="F272" s="3" t="n">
        <v>307</v>
      </c>
      <c r="G272" s="3" t="n">
        <v>177</v>
      </c>
      <c r="H272" s="3" t="n">
        <v>2</v>
      </c>
      <c r="I272" s="17" t="n">
        <v>19636.88</v>
      </c>
      <c r="J272" s="3" t="n">
        <v>392.74</v>
      </c>
      <c r="K272" s="2" t="n"/>
      <c r="L272" s="2" t="n"/>
      <c r="M272" s="2" t="n"/>
      <c r="N272" s="2" t="n"/>
      <c r="O272" s="2" t="n"/>
      <c r="P272" s="2" t="n"/>
    </row>
    <row r="273">
      <c r="A273" s="3" t="n">
        <v>47179</v>
      </c>
      <c r="B273" s="3" t="inlineStr">
        <is>
          <t>INDUSTRIAL Y COMERCIAL CASTRO OJEDA I.C.C.O. S.A.</t>
        </is>
      </c>
      <c r="C273" s="4" t="n">
        <v>46075</v>
      </c>
      <c r="D273" s="4" t="n">
        <v>46071</v>
      </c>
      <c r="E273" s="4" t="inlineStr">
        <is>
          <t>RENTA</t>
        </is>
      </c>
      <c r="F273" s="3" t="n">
        <v>312</v>
      </c>
      <c r="G273" s="3" t="n">
        <v>239005</v>
      </c>
      <c r="H273" s="3" t="n">
        <v>1.75</v>
      </c>
      <c r="I273" s="3" t="n">
        <v>162.49</v>
      </c>
      <c r="J273" s="3" t="n">
        <v>2.84</v>
      </c>
      <c r="K273" s="2" t="n"/>
      <c r="L273" s="2" t="n"/>
      <c r="M273" s="2" t="n"/>
      <c r="N273" s="2" t="n"/>
      <c r="O273" s="2" t="n"/>
      <c r="P273" s="2" t="n"/>
    </row>
    <row r="274">
      <c r="A274" s="3" t="n">
        <v>47179</v>
      </c>
      <c r="B274" s="3" t="inlineStr">
        <is>
          <t>INDUSTRIAL Y COMERCIAL CASTRO OJEDA I.C.C.O. S.A.</t>
        </is>
      </c>
      <c r="C274" s="4" t="n">
        <v>46075</v>
      </c>
      <c r="D274" s="4" t="n">
        <v>46071</v>
      </c>
      <c r="E274" s="4" t="inlineStr">
        <is>
          <t>IVA</t>
        </is>
      </c>
      <c r="F274" s="3" t="n">
        <v>312</v>
      </c>
      <c r="G274" s="3" t="n">
        <v>239005</v>
      </c>
      <c r="H274" s="3" t="n">
        <v>10</v>
      </c>
      <c r="I274" s="3" t="n">
        <v>24.37</v>
      </c>
      <c r="J274" s="3" t="n">
        <v>2.44</v>
      </c>
      <c r="K274" s="2" t="n"/>
      <c r="L274" s="2" t="n"/>
      <c r="M274" s="2" t="n"/>
      <c r="N274" s="2" t="n"/>
      <c r="O274" s="2" t="n"/>
      <c r="P274" s="2" t="n"/>
    </row>
    <row r="275">
      <c r="A275" s="3" t="n">
        <v>47180</v>
      </c>
      <c r="B275" s="3" t="inlineStr">
        <is>
          <t>INDUSTRIAL Y COMERCIAL CASTRO OJEDA I.C.C.O. S.A.</t>
        </is>
      </c>
      <c r="C275" s="4" t="n">
        <v>46075</v>
      </c>
      <c r="D275" s="4" t="n">
        <v>46071</v>
      </c>
      <c r="E275" s="4" t="inlineStr">
        <is>
          <t>IVA</t>
        </is>
      </c>
      <c r="F275" s="3" t="n">
        <v>312</v>
      </c>
      <c r="G275" s="3" t="n">
        <v>239006</v>
      </c>
      <c r="H275" s="3" t="n">
        <v>10</v>
      </c>
      <c r="I275" s="3" t="n">
        <v>24.88</v>
      </c>
      <c r="J275" s="3" t="n">
        <v>2.49</v>
      </c>
      <c r="K275" s="2" t="n"/>
      <c r="L275" s="2" t="n"/>
      <c r="M275" s="2" t="n"/>
      <c r="N275" s="2" t="n"/>
      <c r="O275" s="2" t="n"/>
      <c r="P275" s="2" t="n"/>
    </row>
    <row r="276">
      <c r="A276" s="3" t="n">
        <v>47180</v>
      </c>
      <c r="B276" s="3" t="inlineStr">
        <is>
          <t>INDUSTRIAL Y COMERCIAL CASTRO OJEDA I.C.C.O. S.A.</t>
        </is>
      </c>
      <c r="C276" s="4" t="n">
        <v>46075</v>
      </c>
      <c r="D276" s="4" t="n">
        <v>46071</v>
      </c>
      <c r="E276" s="4" t="inlineStr">
        <is>
          <t>RENTA</t>
        </is>
      </c>
      <c r="F276" s="3" t="n">
        <v>312</v>
      </c>
      <c r="G276" s="3" t="n">
        <v>239006</v>
      </c>
      <c r="H276" s="3" t="n">
        <v>1.75</v>
      </c>
      <c r="I276" s="3" t="n">
        <v>165.89</v>
      </c>
      <c r="J276" s="3" t="n">
        <v>2.9</v>
      </c>
      <c r="K276" s="2" t="n"/>
      <c r="L276" s="2" t="n"/>
      <c r="M276" s="2" t="n"/>
      <c r="N276" s="2" t="n"/>
      <c r="O276" s="2" t="n"/>
      <c r="P276" s="2" t="n"/>
    </row>
    <row r="277">
      <c r="A277" s="3" t="n">
        <v>47181</v>
      </c>
      <c r="B277" s="3" t="inlineStr">
        <is>
          <t>CAMARA DE COMERCIO DE AMBATO</t>
        </is>
      </c>
      <c r="C277" s="4" t="n">
        <v>46075</v>
      </c>
      <c r="D277" s="4" t="n">
        <v>46072</v>
      </c>
      <c r="E277" s="4" t="inlineStr">
        <is>
          <t>IVA</t>
        </is>
      </c>
      <c r="F277" s="3" t="n">
        <v>320</v>
      </c>
      <c r="G277" s="3" t="n">
        <v>21000</v>
      </c>
      <c r="H277" s="3" t="n">
        <v>70</v>
      </c>
      <c r="I277" s="3" t="n">
        <v>16.31</v>
      </c>
      <c r="J277" s="3" t="n">
        <v>11.42</v>
      </c>
      <c r="K277" s="2" t="n"/>
      <c r="L277" s="2" t="n"/>
      <c r="M277" s="2" t="n"/>
      <c r="N277" s="2" t="n"/>
      <c r="O277" s="2" t="n"/>
      <c r="P277" s="2" t="n"/>
    </row>
    <row r="278">
      <c r="A278" s="3" t="n">
        <v>47182</v>
      </c>
      <c r="B278" s="3" t="inlineStr">
        <is>
          <t>CARRERA KUMMERFELD MANUEL FABIAN</t>
        </is>
      </c>
      <c r="C278" s="4" t="n">
        <v>46075</v>
      </c>
      <c r="D278" s="4" t="n">
        <v>46071</v>
      </c>
      <c r="E278" s="4" t="inlineStr">
        <is>
          <t>RENTA</t>
        </is>
      </c>
      <c r="F278" s="3" t="n">
        <v>307</v>
      </c>
      <c r="G278" s="3" t="n">
        <v>538</v>
      </c>
      <c r="H278" s="3" t="n">
        <v>2</v>
      </c>
      <c r="I278" s="3" t="n">
        <v>175</v>
      </c>
      <c r="J278" s="3" t="n">
        <v>3.5</v>
      </c>
      <c r="K278" s="2" t="n"/>
      <c r="L278" s="2" t="n"/>
      <c r="M278" s="2" t="n"/>
      <c r="N278" s="2" t="n"/>
      <c r="O278" s="2" t="n"/>
      <c r="P278" s="2" t="n"/>
    </row>
    <row r="279">
      <c r="A279" s="3" t="n">
        <v>47182</v>
      </c>
      <c r="B279" s="3" t="inlineStr">
        <is>
          <t>CARRERA KUMMERFELD MANUEL FABIAN</t>
        </is>
      </c>
      <c r="C279" s="4" t="n">
        <v>46075</v>
      </c>
      <c r="D279" s="4" t="n">
        <v>46071</v>
      </c>
      <c r="E279" s="4" t="inlineStr">
        <is>
          <t>IVA</t>
        </is>
      </c>
      <c r="F279" s="3" t="n">
        <v>307</v>
      </c>
      <c r="G279" s="3" t="n">
        <v>538</v>
      </c>
      <c r="H279" s="3" t="n">
        <v>70</v>
      </c>
      <c r="I279" s="3" t="n">
        <v>26.25</v>
      </c>
      <c r="J279" s="3" t="n">
        <v>18.38</v>
      </c>
      <c r="K279" s="2" t="n"/>
      <c r="L279" s="2" t="n"/>
      <c r="M279" s="2" t="n"/>
      <c r="N279" s="2" t="n"/>
      <c r="O279" s="2" t="n"/>
      <c r="P279" s="2" t="n"/>
    </row>
    <row r="280">
      <c r="A280" s="3" t="n">
        <v>47183</v>
      </c>
      <c r="B280" s="3" t="inlineStr">
        <is>
          <t>FABARA VILLACIS MANOLO ROBERTO</t>
        </is>
      </c>
      <c r="C280" s="4" t="n">
        <v>46075</v>
      </c>
      <c r="D280" s="4" t="n">
        <v>46073</v>
      </c>
      <c r="E280" s="4" t="inlineStr">
        <is>
          <t>RENTA</t>
        </is>
      </c>
      <c r="F280" s="3" t="n">
        <v>320</v>
      </c>
      <c r="G280" s="3" t="n">
        <v>11</v>
      </c>
      <c r="H280" s="3" t="n">
        <v>10</v>
      </c>
      <c r="I280" s="17" t="n">
        <v>1200</v>
      </c>
      <c r="J280" s="3" t="n">
        <v>120</v>
      </c>
      <c r="K280" s="2" t="n"/>
      <c r="L280" s="2" t="n"/>
      <c r="M280" s="2" t="n"/>
      <c r="N280" s="2" t="n"/>
      <c r="O280" s="2" t="n"/>
      <c r="P280" s="2" t="n"/>
    </row>
    <row r="281">
      <c r="A281" s="3" t="n">
        <v>47184</v>
      </c>
      <c r="B281" s="3" t="inlineStr">
        <is>
          <t>INDUSTRIAL Y COMERCIAL CASTRO OJEDA I.C.C.O. S.A.</t>
        </is>
      </c>
      <c r="C281" s="4" t="n">
        <v>46075</v>
      </c>
      <c r="D281" s="4" t="n">
        <v>46071</v>
      </c>
      <c r="E281" s="4" t="inlineStr">
        <is>
          <t>RENTA</t>
        </is>
      </c>
      <c r="F281" s="3" t="n">
        <v>312</v>
      </c>
      <c r="G281" s="3" t="n">
        <v>239004</v>
      </c>
      <c r="H281" s="3" t="n">
        <v>1.75</v>
      </c>
      <c r="I281" s="3" t="n">
        <v>335.63</v>
      </c>
      <c r="J281" s="3" t="n">
        <v>5.87</v>
      </c>
      <c r="K281" s="2" t="n"/>
      <c r="L281" s="2" t="n"/>
      <c r="M281" s="2" t="n"/>
      <c r="N281" s="2" t="n"/>
      <c r="O281" s="2" t="n"/>
      <c r="P281" s="2" t="n"/>
    </row>
    <row r="282">
      <c r="A282" s="3" t="n">
        <v>47184</v>
      </c>
      <c r="B282" s="3" t="inlineStr">
        <is>
          <t>INDUSTRIAL Y COMERCIAL CASTRO OJEDA I.C.C.O. S.A.</t>
        </is>
      </c>
      <c r="C282" s="4" t="n">
        <v>46075</v>
      </c>
      <c r="D282" s="4" t="n">
        <v>46071</v>
      </c>
      <c r="E282" s="4" t="inlineStr">
        <is>
          <t>IVA</t>
        </is>
      </c>
      <c r="F282" s="3" t="n">
        <v>312</v>
      </c>
      <c r="G282" s="3" t="n">
        <v>239004</v>
      </c>
      <c r="H282" s="3" t="n">
        <v>10</v>
      </c>
      <c r="I282" s="3" t="n">
        <v>50.34</v>
      </c>
      <c r="J282" s="3" t="n">
        <v>5.03</v>
      </c>
      <c r="K282" s="2" t="n"/>
      <c r="L282" s="2" t="n"/>
      <c r="M282" s="2" t="n"/>
      <c r="N282" s="2" t="n"/>
      <c r="O282" s="2" t="n"/>
      <c r="P282" s="2" t="n"/>
    </row>
    <row r="283">
      <c r="A283" s="3" t="n">
        <v>47185</v>
      </c>
      <c r="B283" s="3" t="inlineStr">
        <is>
          <t>SUAREZ JACOME DOLORES FERNANDA</t>
        </is>
      </c>
      <c r="C283" s="4" t="n">
        <v>46075</v>
      </c>
      <c r="D283" s="4" t="n">
        <v>46072</v>
      </c>
      <c r="E283" s="4" t="inlineStr">
        <is>
          <t>RENTA</t>
        </is>
      </c>
      <c r="F283" s="3" t="n">
        <v>312</v>
      </c>
      <c r="G283" s="3" t="n">
        <v>5599</v>
      </c>
      <c r="H283" s="3" t="n">
        <v>1.75</v>
      </c>
      <c r="I283" s="3" t="n">
        <v>179.2</v>
      </c>
      <c r="J283" s="3" t="n">
        <v>3.14</v>
      </c>
      <c r="K283" s="2" t="n"/>
      <c r="L283" s="2" t="n"/>
      <c r="M283" s="2" t="n"/>
      <c r="N283" s="2" t="n"/>
      <c r="O283" s="2" t="n"/>
      <c r="P283" s="2" t="n"/>
    </row>
    <row r="284">
      <c r="A284" s="3" t="n">
        <v>47185</v>
      </c>
      <c r="B284" s="3" t="inlineStr">
        <is>
          <t>SUAREZ JACOME DOLORES FERNANDA</t>
        </is>
      </c>
      <c r="C284" s="4" t="n">
        <v>46075</v>
      </c>
      <c r="D284" s="4" t="n">
        <v>46072</v>
      </c>
      <c r="E284" s="4" t="inlineStr">
        <is>
          <t>IVA</t>
        </is>
      </c>
      <c r="F284" s="3" t="n">
        <v>312</v>
      </c>
      <c r="G284" s="3" t="n">
        <v>5599</v>
      </c>
      <c r="H284" s="3" t="n">
        <v>30</v>
      </c>
      <c r="I284" s="3" t="n">
        <v>8.130000000000001</v>
      </c>
      <c r="J284" s="3" t="n">
        <v>2.44</v>
      </c>
      <c r="K284" s="2" t="n"/>
      <c r="L284" s="2" t="n"/>
      <c r="M284" s="2" t="n"/>
      <c r="N284" s="2" t="n"/>
      <c r="O284" s="2" t="n"/>
      <c r="P284" s="2" t="n"/>
    </row>
    <row r="285">
      <c r="A285" s="3" t="n">
        <v>47186</v>
      </c>
      <c r="B285" s="3" t="inlineStr">
        <is>
          <t>SUAREZ JACOME DOLORES FERNANDA</t>
        </is>
      </c>
      <c r="C285" s="4" t="n">
        <v>46075</v>
      </c>
      <c r="D285" s="4" t="n">
        <v>46072</v>
      </c>
      <c r="E285" s="4" t="inlineStr">
        <is>
          <t>RENTA</t>
        </is>
      </c>
      <c r="F285" s="3" t="n">
        <v>312</v>
      </c>
      <c r="G285" s="3" t="n">
        <v>5600</v>
      </c>
      <c r="H285" s="3" t="n">
        <v>1.75</v>
      </c>
      <c r="I285" s="3" t="n">
        <v>86.56999999999999</v>
      </c>
      <c r="J285" s="3" t="n">
        <v>1.51</v>
      </c>
      <c r="K285" s="2" t="n"/>
      <c r="L285" s="2" t="n"/>
      <c r="M285" s="2" t="n"/>
      <c r="N285" s="2" t="n"/>
      <c r="O285" s="2" t="n"/>
      <c r="P285" s="2" t="n"/>
    </row>
    <row r="286">
      <c r="A286" s="3" t="n">
        <v>47186</v>
      </c>
      <c r="B286" s="3" t="inlineStr">
        <is>
          <t>SUAREZ JACOME DOLORES FERNANDA</t>
        </is>
      </c>
      <c r="C286" s="4" t="n">
        <v>46075</v>
      </c>
      <c r="D286" s="4" t="n">
        <v>46072</v>
      </c>
      <c r="E286" s="4" t="inlineStr">
        <is>
          <t>IVA</t>
        </is>
      </c>
      <c r="F286" s="3" t="n">
        <v>312</v>
      </c>
      <c r="G286" s="3" t="n">
        <v>5600</v>
      </c>
      <c r="H286" s="3" t="n">
        <v>30</v>
      </c>
      <c r="I286" s="3" t="n">
        <v>5.49</v>
      </c>
      <c r="J286" s="3" t="n">
        <v>1.65</v>
      </c>
      <c r="K286" s="2" t="n"/>
      <c r="L286" s="2" t="n"/>
      <c r="M286" s="2" t="n"/>
      <c r="N286" s="2" t="n"/>
      <c r="O286" s="2" t="n"/>
      <c r="P286" s="2" t="n"/>
    </row>
    <row r="287">
      <c r="A287" s="3" t="n">
        <v>47187</v>
      </c>
      <c r="B287" s="3" t="inlineStr">
        <is>
          <t>SUAREZ JACOME DOLORES FERNANDA</t>
        </is>
      </c>
      <c r="C287" s="4" t="n">
        <v>46075</v>
      </c>
      <c r="D287" s="4" t="n">
        <v>46072</v>
      </c>
      <c r="E287" s="4" t="inlineStr">
        <is>
          <t>RENTA</t>
        </is>
      </c>
      <c r="F287" s="3" t="n">
        <v>312</v>
      </c>
      <c r="G287" s="3" t="n">
        <v>5602</v>
      </c>
      <c r="H287" s="3" t="n">
        <v>1.75</v>
      </c>
      <c r="I287" s="3" t="n">
        <v>55.19</v>
      </c>
      <c r="J287" s="3" t="n">
        <v>0.97</v>
      </c>
      <c r="K287" s="2" t="n"/>
      <c r="L287" s="2" t="n"/>
      <c r="M287" s="2" t="n"/>
      <c r="N287" s="2" t="n"/>
      <c r="O287" s="2" t="n"/>
      <c r="P287" s="2" t="n"/>
    </row>
    <row r="288">
      <c r="A288" s="3" t="n">
        <v>47187</v>
      </c>
      <c r="B288" s="3" t="inlineStr">
        <is>
          <t>SUAREZ JACOME DOLORES FERNANDA</t>
        </is>
      </c>
      <c r="C288" s="4" t="n">
        <v>46075</v>
      </c>
      <c r="D288" s="4" t="n">
        <v>46072</v>
      </c>
      <c r="E288" s="4" t="inlineStr">
        <is>
          <t>IVA</t>
        </is>
      </c>
      <c r="F288" s="3" t="n">
        <v>312</v>
      </c>
      <c r="G288" s="3" t="n">
        <v>5602</v>
      </c>
      <c r="H288" s="3" t="n">
        <v>30</v>
      </c>
      <c r="I288" s="3" t="n">
        <v>4.53</v>
      </c>
      <c r="J288" s="3" t="n">
        <v>1.36</v>
      </c>
      <c r="K288" s="2" t="n"/>
      <c r="L288" s="2" t="n"/>
      <c r="M288" s="2" t="n"/>
      <c r="N288" s="2" t="n"/>
      <c r="O288" s="2" t="n"/>
      <c r="P288" s="2" t="n"/>
    </row>
    <row r="289">
      <c r="A289" s="3" t="n">
        <v>47188</v>
      </c>
      <c r="B289" s="3" t="inlineStr">
        <is>
          <t>CASTRO MORALES OMAR VLADIMIR</t>
        </is>
      </c>
      <c r="C289" s="4" t="n">
        <v>46075</v>
      </c>
      <c r="D289" s="4" t="n">
        <v>46073</v>
      </c>
      <c r="E289" s="4" t="inlineStr">
        <is>
          <t>RENTA</t>
        </is>
      </c>
      <c r="F289" s="3" t="n">
        <v>307</v>
      </c>
      <c r="G289" s="3" t="n">
        <v>2706</v>
      </c>
      <c r="H289" s="3" t="n">
        <v>2</v>
      </c>
      <c r="I289" s="3" t="n">
        <v>24.35</v>
      </c>
      <c r="J289" s="3" t="n">
        <v>0.49</v>
      </c>
      <c r="K289" s="2" t="n"/>
      <c r="L289" s="2" t="n"/>
      <c r="M289" s="2" t="n"/>
      <c r="N289" s="2" t="n"/>
      <c r="O289" s="2" t="n"/>
      <c r="P289" s="2" t="n"/>
    </row>
    <row r="290">
      <c r="A290" s="3" t="n">
        <v>47188</v>
      </c>
      <c r="B290" s="3" t="inlineStr">
        <is>
          <t>CASTRO MORALES OMAR VLADIMIR</t>
        </is>
      </c>
      <c r="C290" s="4" t="n">
        <v>46075</v>
      </c>
      <c r="D290" s="4" t="n">
        <v>46073</v>
      </c>
      <c r="E290" s="4" t="inlineStr">
        <is>
          <t>IVA</t>
        </is>
      </c>
      <c r="F290" s="3" t="n">
        <v>307</v>
      </c>
      <c r="G290" s="3" t="n">
        <v>2706</v>
      </c>
      <c r="H290" s="3" t="n">
        <v>70</v>
      </c>
      <c r="I290" s="3" t="n">
        <v>3.65</v>
      </c>
      <c r="J290" s="3" t="n">
        <v>2.56</v>
      </c>
      <c r="K290" s="2" t="n"/>
      <c r="L290" s="2" t="n"/>
      <c r="M290" s="2" t="n"/>
      <c r="N290" s="2" t="n"/>
      <c r="O290" s="2" t="n"/>
      <c r="P290" s="2" t="n"/>
    </row>
    <row r="291">
      <c r="A291" s="3" t="n">
        <v>47189</v>
      </c>
      <c r="B291" s="3" t="inlineStr">
        <is>
          <t>SUAREZ JACOME DOLORES FERNANDA</t>
        </is>
      </c>
      <c r="C291" s="4" t="n">
        <v>46075</v>
      </c>
      <c r="D291" s="4" t="n">
        <v>46072</v>
      </c>
      <c r="E291" s="4" t="inlineStr">
        <is>
          <t>RENTA</t>
        </is>
      </c>
      <c r="F291" s="3" t="n">
        <v>312</v>
      </c>
      <c r="G291" s="3" t="n">
        <v>5606</v>
      </c>
      <c r="H291" s="3" t="n">
        <v>1.75</v>
      </c>
      <c r="I291" s="3" t="n">
        <v>144.27</v>
      </c>
      <c r="J291" s="3" t="n">
        <v>2.52</v>
      </c>
      <c r="K291" s="2" t="n"/>
      <c r="L291" s="2" t="n"/>
      <c r="M291" s="2" t="n"/>
      <c r="N291" s="2" t="n"/>
      <c r="O291" s="2" t="n"/>
      <c r="P291" s="2" t="n"/>
    </row>
    <row r="292">
      <c r="A292" s="3" t="n">
        <v>47189</v>
      </c>
      <c r="B292" s="3" t="inlineStr">
        <is>
          <t>SUAREZ JACOME DOLORES FERNANDA</t>
        </is>
      </c>
      <c r="C292" s="4" t="n">
        <v>46075</v>
      </c>
      <c r="D292" s="4" t="n">
        <v>46072</v>
      </c>
      <c r="E292" s="4" t="inlineStr">
        <is>
          <t>IVA</t>
        </is>
      </c>
      <c r="F292" s="3" t="n">
        <v>312</v>
      </c>
      <c r="G292" s="3" t="n">
        <v>5606</v>
      </c>
      <c r="H292" s="3" t="n">
        <v>30</v>
      </c>
      <c r="I292" s="3" t="n">
        <v>14.14</v>
      </c>
      <c r="J292" s="3" t="n">
        <v>4.24</v>
      </c>
      <c r="K292" s="2" t="n"/>
      <c r="L292" s="2" t="n"/>
      <c r="M292" s="2" t="n"/>
      <c r="N292" s="2" t="n"/>
      <c r="O292" s="2" t="n"/>
      <c r="P292" s="2" t="n"/>
    </row>
    <row r="293">
      <c r="A293" s="3" t="n">
        <v>47190</v>
      </c>
      <c r="B293" s="3" t="inlineStr">
        <is>
          <t>SUAREZ JACOME DOLORES FERNANDA</t>
        </is>
      </c>
      <c r="C293" s="4" t="n">
        <v>46075</v>
      </c>
      <c r="D293" s="4" t="n">
        <v>46072</v>
      </c>
      <c r="E293" s="4" t="inlineStr">
        <is>
          <t>RENTA</t>
        </is>
      </c>
      <c r="F293" s="3" t="n">
        <v>312</v>
      </c>
      <c r="G293" s="3" t="n">
        <v>5603</v>
      </c>
      <c r="H293" s="3" t="n">
        <v>1.75</v>
      </c>
      <c r="I293" s="3" t="n">
        <v>85.95999999999999</v>
      </c>
      <c r="J293" s="3" t="n">
        <v>1.5</v>
      </c>
      <c r="K293" s="2" t="n"/>
      <c r="L293" s="2" t="n"/>
      <c r="M293" s="2" t="n"/>
      <c r="N293" s="2" t="n"/>
      <c r="O293" s="2" t="n"/>
      <c r="P293" s="2" t="n"/>
    </row>
    <row r="294">
      <c r="A294" s="3" t="n">
        <v>47190</v>
      </c>
      <c r="B294" s="3" t="inlineStr">
        <is>
          <t>SUAREZ JACOME DOLORES FERNANDA</t>
        </is>
      </c>
      <c r="C294" s="4" t="n">
        <v>46075</v>
      </c>
      <c r="D294" s="4" t="n">
        <v>46072</v>
      </c>
      <c r="E294" s="4" t="inlineStr">
        <is>
          <t>IVA</t>
        </is>
      </c>
      <c r="F294" s="3" t="n">
        <v>312</v>
      </c>
      <c r="G294" s="3" t="n">
        <v>5603</v>
      </c>
      <c r="H294" s="3" t="n">
        <v>30</v>
      </c>
      <c r="I294" s="3" t="n">
        <v>9.140000000000001</v>
      </c>
      <c r="J294" s="3" t="n">
        <v>2.74</v>
      </c>
      <c r="K294" s="2" t="n"/>
      <c r="L294" s="2" t="n"/>
      <c r="M294" s="2" t="n"/>
      <c r="N294" s="2" t="n"/>
      <c r="O294" s="2" t="n"/>
      <c r="P294" s="2" t="n"/>
    </row>
    <row r="295">
      <c r="A295" s="3" t="n">
        <v>47191</v>
      </c>
      <c r="B295" s="3" t="inlineStr">
        <is>
          <t>CASTRO MORALES OMAR VLADIMIR</t>
        </is>
      </c>
      <c r="C295" s="4" t="n">
        <v>46075</v>
      </c>
      <c r="D295" s="4" t="n">
        <v>46073</v>
      </c>
      <c r="E295" s="4" t="inlineStr">
        <is>
          <t>RENTA</t>
        </is>
      </c>
      <c r="F295" s="3" t="n">
        <v>307</v>
      </c>
      <c r="G295" s="3" t="n">
        <v>2699</v>
      </c>
      <c r="H295" s="3" t="n">
        <v>2</v>
      </c>
      <c r="I295" s="3" t="n">
        <v>24.35</v>
      </c>
      <c r="J295" s="3" t="n">
        <v>0.49</v>
      </c>
      <c r="K295" s="2" t="n"/>
      <c r="L295" s="2" t="n"/>
      <c r="M295" s="2" t="n"/>
      <c r="N295" s="2" t="n"/>
      <c r="O295" s="2" t="n"/>
      <c r="P295" s="2" t="n"/>
    </row>
    <row r="296">
      <c r="A296" s="3" t="n">
        <v>47191</v>
      </c>
      <c r="B296" s="3" t="inlineStr">
        <is>
          <t>CASTRO MORALES OMAR VLADIMIR</t>
        </is>
      </c>
      <c r="C296" s="4" t="n">
        <v>46075</v>
      </c>
      <c r="D296" s="4" t="n">
        <v>46073</v>
      </c>
      <c r="E296" s="4" t="inlineStr">
        <is>
          <t>IVA</t>
        </is>
      </c>
      <c r="F296" s="3" t="n">
        <v>307</v>
      </c>
      <c r="G296" s="3" t="n">
        <v>2699</v>
      </c>
      <c r="H296" s="3" t="n">
        <v>70</v>
      </c>
      <c r="I296" s="3" t="n">
        <v>3.65</v>
      </c>
      <c r="J296" s="3" t="n">
        <v>2.56</v>
      </c>
      <c r="K296" s="2" t="n"/>
      <c r="L296" s="2" t="n"/>
      <c r="M296" s="2" t="n"/>
      <c r="N296" s="2" t="n"/>
      <c r="O296" s="2" t="n"/>
      <c r="P296" s="2" t="n"/>
    </row>
    <row r="297">
      <c r="A297" s="3" t="n">
        <v>47192</v>
      </c>
      <c r="B297" s="3" t="inlineStr">
        <is>
          <t>SUAREZ JACOME DOLORES FERNANDA</t>
        </is>
      </c>
      <c r="C297" s="4" t="n">
        <v>46075</v>
      </c>
      <c r="D297" s="4" t="n">
        <v>46072</v>
      </c>
      <c r="E297" s="4" t="inlineStr">
        <is>
          <t>RENTA</t>
        </is>
      </c>
      <c r="F297" s="3" t="n">
        <v>312</v>
      </c>
      <c r="G297" s="3" t="n">
        <v>5607</v>
      </c>
      <c r="H297" s="3" t="n">
        <v>1.75</v>
      </c>
      <c r="I297" s="3" t="n">
        <v>45.72</v>
      </c>
      <c r="J297" s="3" t="n">
        <v>0.8</v>
      </c>
      <c r="K297" s="2" t="n"/>
      <c r="L297" s="2" t="n"/>
      <c r="M297" s="2" t="n"/>
      <c r="N297" s="2" t="n"/>
      <c r="O297" s="2" t="n"/>
      <c r="P297" s="2" t="n"/>
    </row>
    <row r="298">
      <c r="A298" s="3" t="n">
        <v>47192</v>
      </c>
      <c r="B298" s="3" t="inlineStr">
        <is>
          <t>SUAREZ JACOME DOLORES FERNANDA</t>
        </is>
      </c>
      <c r="C298" s="4" t="n">
        <v>46075</v>
      </c>
      <c r="D298" s="4" t="n">
        <v>46072</v>
      </c>
      <c r="E298" s="4" t="inlineStr">
        <is>
          <t>IVA</t>
        </is>
      </c>
      <c r="F298" s="3" t="n">
        <v>312</v>
      </c>
      <c r="G298" s="3" t="n">
        <v>5607</v>
      </c>
      <c r="H298" s="3" t="n">
        <v>30</v>
      </c>
      <c r="I298" s="3" t="n">
        <v>3.11</v>
      </c>
      <c r="J298" s="3" t="n">
        <v>0.93</v>
      </c>
      <c r="K298" s="2" t="n"/>
      <c r="L298" s="2" t="n"/>
      <c r="M298" s="2" t="n"/>
      <c r="N298" s="2" t="n"/>
      <c r="O298" s="2" t="n"/>
      <c r="P298" s="2" t="n"/>
    </row>
    <row r="299">
      <c r="A299" s="3" t="n">
        <v>47193</v>
      </c>
      <c r="B299" s="3" t="inlineStr">
        <is>
          <t>CASTRO MORALES OMAR VLADIMIR</t>
        </is>
      </c>
      <c r="C299" s="4" t="n">
        <v>46075</v>
      </c>
      <c r="D299" s="4" t="n">
        <v>46073</v>
      </c>
      <c r="E299" s="4" t="inlineStr">
        <is>
          <t>RENTA</t>
        </is>
      </c>
      <c r="F299" s="3" t="n">
        <v>307</v>
      </c>
      <c r="G299" s="3" t="n">
        <v>2690</v>
      </c>
      <c r="H299" s="3" t="n">
        <v>2</v>
      </c>
      <c r="I299" s="3" t="n">
        <v>24.35</v>
      </c>
      <c r="J299" s="3" t="n">
        <v>0.49</v>
      </c>
      <c r="K299" s="2" t="n"/>
      <c r="L299" s="2" t="n"/>
      <c r="M299" s="2" t="n"/>
      <c r="N299" s="2" t="n"/>
      <c r="O299" s="2" t="n"/>
      <c r="P299" s="2" t="n"/>
    </row>
    <row r="300">
      <c r="A300" s="3" t="n">
        <v>47193</v>
      </c>
      <c r="B300" s="3" t="inlineStr">
        <is>
          <t>CASTRO MORALES OMAR VLADIMIR</t>
        </is>
      </c>
      <c r="C300" s="4" t="n">
        <v>46075</v>
      </c>
      <c r="D300" s="4" t="n">
        <v>46073</v>
      </c>
      <c r="E300" s="4" t="inlineStr">
        <is>
          <t>IVA</t>
        </is>
      </c>
      <c r="F300" s="3" t="n">
        <v>307</v>
      </c>
      <c r="G300" s="3" t="n">
        <v>2690</v>
      </c>
      <c r="H300" s="3" t="n">
        <v>70</v>
      </c>
      <c r="I300" s="3" t="n">
        <v>3.65</v>
      </c>
      <c r="J300" s="3" t="n">
        <v>2.56</v>
      </c>
      <c r="K300" s="2" t="n"/>
      <c r="L300" s="2" t="n"/>
      <c r="M300" s="2" t="n"/>
      <c r="N300" s="2" t="n"/>
      <c r="O300" s="2" t="n"/>
      <c r="P300" s="2" t="n"/>
    </row>
    <row r="301">
      <c r="A301" s="3" t="n">
        <v>47194</v>
      </c>
      <c r="B301" s="3" t="inlineStr">
        <is>
          <t>CASTRO MORALES OMAR VLADIMIR</t>
        </is>
      </c>
      <c r="C301" s="4" t="n">
        <v>46075</v>
      </c>
      <c r="D301" s="4" t="n">
        <v>46073</v>
      </c>
      <c r="E301" s="4" t="inlineStr">
        <is>
          <t>IVA</t>
        </is>
      </c>
      <c r="F301" s="3" t="n">
        <v>307</v>
      </c>
      <c r="G301" s="3" t="n">
        <v>2708</v>
      </c>
      <c r="H301" s="3" t="n">
        <v>70</v>
      </c>
      <c r="I301" s="3" t="n">
        <v>3.65</v>
      </c>
      <c r="J301" s="3" t="n">
        <v>2.56</v>
      </c>
      <c r="K301" s="2" t="n"/>
      <c r="L301" s="2" t="n"/>
      <c r="M301" s="2" t="n"/>
      <c r="N301" s="2" t="n"/>
      <c r="O301" s="2" t="n"/>
      <c r="P301" s="2" t="n"/>
    </row>
    <row r="302">
      <c r="A302" s="3" t="n">
        <v>47194</v>
      </c>
      <c r="B302" s="3" t="inlineStr">
        <is>
          <t>CASTRO MORALES OMAR VLADIMIR</t>
        </is>
      </c>
      <c r="C302" s="4" t="n">
        <v>46075</v>
      </c>
      <c r="D302" s="4" t="n">
        <v>46073</v>
      </c>
      <c r="E302" s="4" t="inlineStr">
        <is>
          <t>RENTA</t>
        </is>
      </c>
      <c r="F302" s="3" t="n">
        <v>307</v>
      </c>
      <c r="G302" s="3" t="n">
        <v>2708</v>
      </c>
      <c r="H302" s="3" t="n">
        <v>2</v>
      </c>
      <c r="I302" s="3" t="n">
        <v>24.35</v>
      </c>
      <c r="J302" s="3" t="n">
        <v>0.49</v>
      </c>
      <c r="K302" s="2" t="n"/>
      <c r="L302" s="2" t="n"/>
      <c r="M302" s="2" t="n"/>
      <c r="N302" s="2" t="n"/>
      <c r="O302" s="2" t="n"/>
      <c r="P302" s="2" t="n"/>
    </row>
    <row r="303">
      <c r="A303" s="3" t="n">
        <v>47195</v>
      </c>
      <c r="B303" s="3" t="inlineStr">
        <is>
          <t>GOMEZ CORDOVA EDWIN ROLANDO</t>
        </is>
      </c>
      <c r="C303" s="4" t="n">
        <v>46075</v>
      </c>
      <c r="D303" s="4" t="n">
        <v>46072</v>
      </c>
      <c r="E303" s="4" t="inlineStr">
        <is>
          <t>RENTA</t>
        </is>
      </c>
      <c r="F303" s="3" t="n">
        <v>343</v>
      </c>
      <c r="G303" s="3" t="n">
        <v>637</v>
      </c>
      <c r="H303" s="3" t="n">
        <v>1</v>
      </c>
      <c r="I303" s="3" t="n">
        <v>126.06</v>
      </c>
      <c r="J303" s="3" t="n">
        <v>1.26</v>
      </c>
      <c r="K303" s="2" t="n"/>
      <c r="L303" s="2" t="n"/>
      <c r="M303" s="2" t="n"/>
      <c r="N303" s="2" t="n"/>
      <c r="O303" s="2" t="n"/>
      <c r="P303" s="2" t="n"/>
    </row>
    <row r="304">
      <c r="A304" s="3" t="n">
        <v>47196</v>
      </c>
      <c r="B304" s="3" t="inlineStr">
        <is>
          <t>SERVICIOS DE RADIO Y TELEVISION RODALFE CIA LTDA</t>
        </is>
      </c>
      <c r="C304" s="4" t="n">
        <v>46075</v>
      </c>
      <c r="D304" s="4" t="n">
        <v>46073</v>
      </c>
      <c r="E304" s="4" t="inlineStr">
        <is>
          <t>RENTA</t>
        </is>
      </c>
      <c r="F304" s="3" t="n">
        <v>309</v>
      </c>
      <c r="G304" s="3" t="n">
        <v>2993</v>
      </c>
      <c r="H304" s="3" t="n">
        <v>2.75</v>
      </c>
      <c r="I304" s="3" t="n">
        <v>400</v>
      </c>
      <c r="J304" s="3" t="n">
        <v>11</v>
      </c>
      <c r="K304" s="2" t="n"/>
      <c r="L304" s="2" t="n"/>
      <c r="M304" s="2" t="n"/>
      <c r="N304" s="2" t="n"/>
      <c r="O304" s="2" t="n"/>
      <c r="P304" s="2" t="n"/>
    </row>
    <row r="305">
      <c r="A305" s="3" t="n">
        <v>47196</v>
      </c>
      <c r="B305" s="3" t="inlineStr">
        <is>
          <t>SERVICIOS DE RADIO Y TELEVISION RODALFE CIA LTDA</t>
        </is>
      </c>
      <c r="C305" s="4" t="n">
        <v>46075</v>
      </c>
      <c r="D305" s="4" t="n">
        <v>46073</v>
      </c>
      <c r="E305" s="4" t="inlineStr">
        <is>
          <t>IVA</t>
        </is>
      </c>
      <c r="F305" s="3" t="n">
        <v>309</v>
      </c>
      <c r="G305" s="3" t="n">
        <v>2993</v>
      </c>
      <c r="H305" s="3" t="n">
        <v>70</v>
      </c>
      <c r="I305" s="3" t="n">
        <v>60</v>
      </c>
      <c r="J305" s="3" t="n">
        <v>42</v>
      </c>
      <c r="K305" s="2" t="n"/>
      <c r="L305" s="2" t="n"/>
      <c r="M305" s="2" t="n"/>
      <c r="N305" s="2" t="n"/>
      <c r="O305" s="2" t="n"/>
      <c r="P305" s="2" t="n"/>
    </row>
    <row r="306">
      <c r="A306" s="3" t="n">
        <v>47197</v>
      </c>
      <c r="B306" s="3" t="inlineStr">
        <is>
          <t>CARASAYO ASHCA ANGEL GUSTAVO</t>
        </is>
      </c>
      <c r="C306" s="4" t="n">
        <v>46075</v>
      </c>
      <c r="D306" s="4" t="n">
        <v>46073</v>
      </c>
      <c r="E306" s="4" t="inlineStr">
        <is>
          <t>RENTA</t>
        </is>
      </c>
      <c r="F306" s="3" t="n">
        <v>332</v>
      </c>
      <c r="G306" s="3" t="n">
        <v>812</v>
      </c>
      <c r="H306" s="3" t="n">
        <v>0</v>
      </c>
      <c r="I306" s="3" t="n">
        <v>60</v>
      </c>
      <c r="J306" s="3" t="n">
        <v>0</v>
      </c>
      <c r="K306" s="2" t="n"/>
      <c r="L306" s="2" t="n"/>
      <c r="M306" s="2" t="n"/>
      <c r="N306" s="2" t="n"/>
      <c r="O306" s="2" t="n"/>
      <c r="P306" s="2" t="n"/>
    </row>
    <row r="307">
      <c r="A307" s="3" t="n">
        <v>47198</v>
      </c>
      <c r="B307" s="3" t="inlineStr">
        <is>
          <t>TOYOTASERVICIOS S.A.</t>
        </is>
      </c>
      <c r="C307" s="4" t="n">
        <v>46075</v>
      </c>
      <c r="D307" s="4" t="n">
        <v>46073</v>
      </c>
      <c r="E307" s="4" t="inlineStr">
        <is>
          <t>RENTA</t>
        </is>
      </c>
      <c r="F307" s="3" t="n">
        <v>344</v>
      </c>
      <c r="G307" s="3" t="n">
        <v>1442</v>
      </c>
      <c r="H307" s="3" t="n">
        <v>2.75</v>
      </c>
      <c r="I307" s="3" t="n">
        <v>412.88</v>
      </c>
      <c r="J307" s="3" t="n">
        <v>11.35</v>
      </c>
      <c r="K307" s="2" t="n"/>
      <c r="L307" s="2" t="n"/>
      <c r="M307" s="2" t="n"/>
      <c r="N307" s="2" t="n"/>
      <c r="O307" s="2" t="n"/>
      <c r="P307" s="2" t="n"/>
    </row>
    <row r="308">
      <c r="A308" s="3" t="n">
        <v>47198</v>
      </c>
      <c r="B308" s="3" t="inlineStr">
        <is>
          <t>TOYOTASERVICIOS S.A.</t>
        </is>
      </c>
      <c r="C308" s="4" t="n">
        <v>46075</v>
      </c>
      <c r="D308" s="4" t="n">
        <v>46073</v>
      </c>
      <c r="E308" s="4" t="inlineStr">
        <is>
          <t>IVA</t>
        </is>
      </c>
      <c r="F308" s="3" t="n">
        <v>344</v>
      </c>
      <c r="G308" s="3" t="n">
        <v>1442</v>
      </c>
      <c r="H308" s="3" t="n">
        <v>70</v>
      </c>
      <c r="I308" s="3" t="n">
        <v>61.93</v>
      </c>
      <c r="J308" s="3" t="n">
        <v>43.35</v>
      </c>
      <c r="K308" s="2" t="n"/>
      <c r="L308" s="2" t="n"/>
      <c r="M308" s="2" t="n"/>
      <c r="N308" s="2" t="n"/>
      <c r="O308" s="2" t="n"/>
      <c r="P308" s="2" t="n"/>
    </row>
    <row r="309">
      <c r="A309" s="3" t="n">
        <v>47199</v>
      </c>
      <c r="B309" s="3" t="inlineStr">
        <is>
          <t>PANTERA DE SEGURIDAD PHANTERSEG COMPAÑIA LIMITADA</t>
        </is>
      </c>
      <c r="C309" s="4" t="n">
        <v>46075</v>
      </c>
      <c r="D309" s="4" t="n">
        <v>46073</v>
      </c>
      <c r="E309" s="4" t="inlineStr">
        <is>
          <t>RENTA</t>
        </is>
      </c>
      <c r="F309" s="3" t="n">
        <v>344</v>
      </c>
      <c r="G309" s="3" t="n">
        <v>3768</v>
      </c>
      <c r="H309" s="3" t="n">
        <v>2.75</v>
      </c>
      <c r="I309" s="17" t="n">
        <v>2671.04</v>
      </c>
      <c r="J309" s="3" t="n">
        <v>73.45</v>
      </c>
      <c r="K309" s="2" t="n"/>
      <c r="L309" s="2" t="n"/>
      <c r="M309" s="2" t="n"/>
      <c r="N309" s="2" t="n"/>
      <c r="O309" s="2" t="n"/>
      <c r="P309" s="2" t="n"/>
    </row>
    <row r="310">
      <c r="A310" s="3" t="n">
        <v>47199</v>
      </c>
      <c r="B310" s="3" t="inlineStr">
        <is>
          <t>PANTERA DE SEGURIDAD PHANTERSEG COMPAÑIA LIMITADA</t>
        </is>
      </c>
      <c r="C310" s="4" t="n">
        <v>46075</v>
      </c>
      <c r="D310" s="4" t="n">
        <v>46073</v>
      </c>
      <c r="E310" s="4" t="inlineStr">
        <is>
          <t>IVA</t>
        </is>
      </c>
      <c r="F310" s="3" t="n">
        <v>344</v>
      </c>
      <c r="G310" s="3" t="n">
        <v>3768</v>
      </c>
      <c r="H310" s="3" t="n">
        <v>70</v>
      </c>
      <c r="I310" s="3" t="n">
        <v>400.66</v>
      </c>
      <c r="J310" s="3" t="n">
        <v>280.46</v>
      </c>
      <c r="K310" s="2" t="n"/>
      <c r="L310" s="2" t="n"/>
      <c r="M310" s="2" t="n"/>
      <c r="N310" s="2" t="n"/>
      <c r="O310" s="2" t="n"/>
      <c r="P310" s="2" t="n"/>
    </row>
    <row r="311">
      <c r="A311" s="3" t="n">
        <v>47200</v>
      </c>
      <c r="B311" s="3" t="inlineStr">
        <is>
          <t>TOYOTASERVICIOS S.A.</t>
        </is>
      </c>
      <c r="C311" s="4" t="n">
        <v>46075</v>
      </c>
      <c r="D311" s="4" t="n">
        <v>46073</v>
      </c>
      <c r="E311" s="4" t="inlineStr">
        <is>
          <t>RENTA</t>
        </is>
      </c>
      <c r="F311" s="3" t="n">
        <v>344</v>
      </c>
      <c r="G311" s="3" t="n">
        <v>7753</v>
      </c>
      <c r="H311" s="3" t="n">
        <v>2.75</v>
      </c>
      <c r="I311" s="3" t="n">
        <v>91.92</v>
      </c>
      <c r="J311" s="3" t="n">
        <v>2.53</v>
      </c>
      <c r="K311" s="2" t="n"/>
      <c r="L311" s="2" t="n"/>
      <c r="M311" s="2" t="n"/>
      <c r="N311" s="2" t="n"/>
      <c r="O311" s="2" t="n"/>
      <c r="P311" s="2" t="n"/>
    </row>
    <row r="312">
      <c r="A312" s="3" t="n">
        <v>47200</v>
      </c>
      <c r="B312" s="3" t="inlineStr">
        <is>
          <t>TOYOTASERVICIOS S.A.</t>
        </is>
      </c>
      <c r="C312" s="4" t="n">
        <v>46075</v>
      </c>
      <c r="D312" s="4" t="n">
        <v>46073</v>
      </c>
      <c r="E312" s="4" t="inlineStr">
        <is>
          <t>IVA</t>
        </is>
      </c>
      <c r="F312" s="3" t="n">
        <v>344</v>
      </c>
      <c r="G312" s="3" t="n">
        <v>7753</v>
      </c>
      <c r="H312" s="3" t="n">
        <v>70</v>
      </c>
      <c r="I312" s="3" t="n">
        <v>13.79</v>
      </c>
      <c r="J312" s="3" t="n">
        <v>9.65</v>
      </c>
      <c r="K312" s="2" t="n"/>
      <c r="L312" s="2" t="n"/>
      <c r="M312" s="2" t="n"/>
      <c r="N312" s="2" t="n"/>
      <c r="O312" s="2" t="n"/>
      <c r="P312" s="2" t="n"/>
    </row>
    <row r="313">
      <c r="A313" s="3" t="n">
        <v>47201</v>
      </c>
      <c r="B313" s="3" t="inlineStr">
        <is>
          <t>TOYOTASERVICIOS S.A.</t>
        </is>
      </c>
      <c r="C313" s="4" t="n">
        <v>46075</v>
      </c>
      <c r="D313" s="4" t="n">
        <v>46072</v>
      </c>
      <c r="E313" s="4" t="inlineStr">
        <is>
          <t>IVA</t>
        </is>
      </c>
      <c r="F313" s="3" t="n">
        <v>312</v>
      </c>
      <c r="G313" s="3" t="n">
        <v>6915</v>
      </c>
      <c r="H313" s="3" t="n">
        <v>30</v>
      </c>
      <c r="I313" s="3" t="n">
        <v>39</v>
      </c>
      <c r="J313" s="3" t="n">
        <v>11.7</v>
      </c>
      <c r="K313" s="2" t="n"/>
      <c r="L313" s="2" t="n"/>
      <c r="M313" s="2" t="n"/>
      <c r="N313" s="2" t="n"/>
      <c r="O313" s="2" t="n"/>
      <c r="P313" s="2" t="n"/>
    </row>
    <row r="314">
      <c r="A314" s="3" t="n">
        <v>47201</v>
      </c>
      <c r="B314" s="3" t="inlineStr">
        <is>
          <t>TOYOTASERVICIOS S.A.</t>
        </is>
      </c>
      <c r="C314" s="4" t="n">
        <v>46075</v>
      </c>
      <c r="D314" s="4" t="n">
        <v>46072</v>
      </c>
      <c r="E314" s="4" t="inlineStr">
        <is>
          <t>RENTA</t>
        </is>
      </c>
      <c r="F314" s="3" t="n">
        <v>312</v>
      </c>
      <c r="G314" s="3" t="n">
        <v>6915</v>
      </c>
      <c r="H314" s="3" t="n">
        <v>1.75</v>
      </c>
      <c r="I314" s="3" t="n">
        <v>260</v>
      </c>
      <c r="J314" s="3" t="n">
        <v>4.55</v>
      </c>
      <c r="K314" s="2" t="n"/>
      <c r="L314" s="2" t="n"/>
      <c r="M314" s="2" t="n"/>
      <c r="N314" s="2" t="n"/>
      <c r="O314" s="2" t="n"/>
      <c r="P314" s="2" t="n"/>
    </row>
    <row r="315">
      <c r="A315" s="3" t="n">
        <v>47202</v>
      </c>
      <c r="B315" s="3" t="inlineStr">
        <is>
          <t>TOYOTASERVICIOS S.A.</t>
        </is>
      </c>
      <c r="C315" s="4" t="n">
        <v>46075</v>
      </c>
      <c r="D315" s="4" t="n">
        <v>46073</v>
      </c>
      <c r="E315" s="4" t="inlineStr">
        <is>
          <t>IVA</t>
        </is>
      </c>
      <c r="F315" s="3" t="n">
        <v>312</v>
      </c>
      <c r="G315" s="3" t="n">
        <v>1443</v>
      </c>
      <c r="H315" s="3" t="n">
        <v>30</v>
      </c>
      <c r="I315" s="3" t="n">
        <v>74.92</v>
      </c>
      <c r="J315" s="3" t="n">
        <v>22.48</v>
      </c>
      <c r="K315" s="2" t="n"/>
      <c r="L315" s="2" t="n"/>
      <c r="M315" s="2" t="n"/>
      <c r="N315" s="2" t="n"/>
      <c r="O315" s="2" t="n"/>
      <c r="P315" s="2" t="n"/>
    </row>
    <row r="316">
      <c r="A316" s="3" t="n">
        <v>47202</v>
      </c>
      <c r="B316" s="3" t="inlineStr">
        <is>
          <t>TOYOTASERVICIOS S.A.</t>
        </is>
      </c>
      <c r="C316" s="4" t="n">
        <v>46075</v>
      </c>
      <c r="D316" s="4" t="n">
        <v>46073</v>
      </c>
      <c r="E316" s="4" t="inlineStr">
        <is>
          <t>RENTA</t>
        </is>
      </c>
      <c r="F316" s="3" t="n">
        <v>312</v>
      </c>
      <c r="G316" s="3" t="n">
        <v>1443</v>
      </c>
      <c r="H316" s="3" t="n">
        <v>1.75</v>
      </c>
      <c r="I316" s="3" t="n">
        <v>499.44</v>
      </c>
      <c r="J316" s="3" t="n">
        <v>8.74</v>
      </c>
      <c r="K316" s="2" t="n"/>
      <c r="L316" s="2" t="n"/>
      <c r="M316" s="2" t="n"/>
      <c r="N316" s="2" t="n"/>
      <c r="O316" s="2" t="n"/>
      <c r="P316" s="2" t="n"/>
    </row>
    <row r="317">
      <c r="A317" s="3" t="n">
        <v>47203</v>
      </c>
      <c r="B317" s="3" t="inlineStr">
        <is>
          <t>TOYOTASERVICIOS S.A.</t>
        </is>
      </c>
      <c r="C317" s="4" t="n">
        <v>46075</v>
      </c>
      <c r="D317" s="4" t="n">
        <v>46072</v>
      </c>
      <c r="E317" s="4" t="inlineStr">
        <is>
          <t>RENTA</t>
        </is>
      </c>
      <c r="F317" s="3" t="n">
        <v>344</v>
      </c>
      <c r="G317" s="3" t="n">
        <v>6916</v>
      </c>
      <c r="H317" s="3" t="n">
        <v>2.75</v>
      </c>
      <c r="I317" s="3" t="n">
        <v>14.3</v>
      </c>
      <c r="J317" s="3" t="n">
        <v>0.39</v>
      </c>
      <c r="K317" s="2" t="n"/>
      <c r="L317" s="2" t="n"/>
      <c r="M317" s="2" t="n"/>
      <c r="N317" s="2" t="n"/>
      <c r="O317" s="2" t="n"/>
      <c r="P317" s="2" t="n"/>
    </row>
    <row r="318">
      <c r="A318" s="3" t="n">
        <v>47203</v>
      </c>
      <c r="B318" s="3" t="inlineStr">
        <is>
          <t>TOYOTASERVICIOS S.A.</t>
        </is>
      </c>
      <c r="C318" s="4" t="n">
        <v>46075</v>
      </c>
      <c r="D318" s="4" t="n">
        <v>46072</v>
      </c>
      <c r="E318" s="4" t="inlineStr">
        <is>
          <t>IVA</t>
        </is>
      </c>
      <c r="F318" s="3" t="n">
        <v>344</v>
      </c>
      <c r="G318" s="3" t="n">
        <v>6916</v>
      </c>
      <c r="H318" s="3" t="n">
        <v>70</v>
      </c>
      <c r="I318" s="3" t="n">
        <v>2.15</v>
      </c>
      <c r="J318" s="3" t="n">
        <v>1.51</v>
      </c>
      <c r="K318" s="2" t="n"/>
      <c r="L318" s="2" t="n"/>
      <c r="M318" s="2" t="n"/>
      <c r="N318" s="2" t="n"/>
      <c r="O318" s="2" t="n"/>
      <c r="P318" s="2" t="n"/>
    </row>
    <row r="319">
      <c r="A319" s="3" t="n">
        <v>47204</v>
      </c>
      <c r="B319" s="3" t="inlineStr">
        <is>
          <t>ARELLANO YEPEZ ANDRES FERNANDO</t>
        </is>
      </c>
      <c r="C319" s="4" t="n">
        <v>46075</v>
      </c>
      <c r="D319" s="4" t="n">
        <v>46073</v>
      </c>
      <c r="E319" s="4" t="inlineStr">
        <is>
          <t>IVA</t>
        </is>
      </c>
      <c r="F319" s="3" t="n">
        <v>312</v>
      </c>
      <c r="G319" s="3" t="n">
        <v>7371</v>
      </c>
      <c r="H319" s="3" t="n">
        <v>30</v>
      </c>
      <c r="I319" s="3" t="n">
        <v>31.5</v>
      </c>
      <c r="J319" s="3" t="n">
        <v>9.449999999999999</v>
      </c>
      <c r="K319" s="2" t="n"/>
      <c r="L319" s="2" t="n"/>
      <c r="M319" s="2" t="n"/>
      <c r="N319" s="2" t="n"/>
      <c r="O319" s="2" t="n"/>
      <c r="P319" s="2" t="n"/>
    </row>
    <row r="320">
      <c r="A320" s="3" t="n">
        <v>47204</v>
      </c>
      <c r="B320" s="3" t="inlineStr">
        <is>
          <t>ARELLANO YEPEZ ANDRES FERNANDO</t>
        </is>
      </c>
      <c r="C320" s="4" t="n">
        <v>46075</v>
      </c>
      <c r="D320" s="4" t="n">
        <v>46073</v>
      </c>
      <c r="E320" s="4" t="inlineStr">
        <is>
          <t>RENTA</t>
        </is>
      </c>
      <c r="F320" s="3" t="n">
        <v>312</v>
      </c>
      <c r="G320" s="3" t="n">
        <v>7371</v>
      </c>
      <c r="H320" s="3" t="n">
        <v>1.75</v>
      </c>
      <c r="I320" s="3" t="n">
        <v>210</v>
      </c>
      <c r="J320" s="3" t="n">
        <v>3.68</v>
      </c>
      <c r="K320" s="2" t="n"/>
      <c r="L320" s="2" t="n"/>
      <c r="M320" s="2" t="n"/>
      <c r="N320" s="2" t="n"/>
      <c r="O320" s="2" t="n"/>
      <c r="P320" s="2" t="n"/>
    </row>
    <row r="321">
      <c r="A321" s="3" t="n">
        <v>47205</v>
      </c>
      <c r="B321" s="3" t="inlineStr">
        <is>
          <t>TOYOTASERVICIOS S.A.</t>
        </is>
      </c>
      <c r="C321" s="4" t="n">
        <v>46075</v>
      </c>
      <c r="D321" s="4" t="n">
        <v>46073</v>
      </c>
      <c r="E321" s="4" t="inlineStr">
        <is>
          <t>RENTA</t>
        </is>
      </c>
      <c r="F321" s="3" t="n">
        <v>312</v>
      </c>
      <c r="G321" s="3" t="n">
        <v>7752</v>
      </c>
      <c r="H321" s="3" t="n">
        <v>1.75</v>
      </c>
      <c r="I321" s="3" t="n">
        <v>349.58</v>
      </c>
      <c r="J321" s="3" t="n">
        <v>6.12</v>
      </c>
      <c r="K321" s="2" t="n"/>
      <c r="L321" s="2" t="n"/>
      <c r="M321" s="2" t="n"/>
      <c r="N321" s="2" t="n"/>
      <c r="O321" s="2" t="n"/>
      <c r="P321" s="2" t="n"/>
    </row>
    <row r="322">
      <c r="A322" s="3" t="n">
        <v>47205</v>
      </c>
      <c r="B322" s="3" t="inlineStr">
        <is>
          <t>TOYOTASERVICIOS S.A.</t>
        </is>
      </c>
      <c r="C322" s="4" t="n">
        <v>46075</v>
      </c>
      <c r="D322" s="4" t="n">
        <v>46073</v>
      </c>
      <c r="E322" s="4" t="inlineStr">
        <is>
          <t>IVA</t>
        </is>
      </c>
      <c r="F322" s="3" t="n">
        <v>312</v>
      </c>
      <c r="G322" s="3" t="n">
        <v>7752</v>
      </c>
      <c r="H322" s="3" t="n">
        <v>30</v>
      </c>
      <c r="I322" s="3" t="n">
        <v>52.44</v>
      </c>
      <c r="J322" s="3" t="n">
        <v>15.73</v>
      </c>
      <c r="K322" s="2" t="n"/>
      <c r="L322" s="2" t="n"/>
      <c r="M322" s="2" t="n"/>
      <c r="N322" s="2" t="n"/>
      <c r="O322" s="2" t="n"/>
      <c r="P322" s="2" t="n"/>
    </row>
    <row r="323">
      <c r="A323" s="3" t="n">
        <v>47206</v>
      </c>
      <c r="B323" s="3" t="inlineStr">
        <is>
          <t>SERVIENTREGA ECUADOR S.A.</t>
        </is>
      </c>
      <c r="C323" s="4" t="n">
        <v>46075</v>
      </c>
      <c r="D323" s="4" t="n">
        <v>46073</v>
      </c>
      <c r="E323" s="4" t="inlineStr">
        <is>
          <t>IVA</t>
        </is>
      </c>
      <c r="F323" s="3" t="n">
        <v>332</v>
      </c>
      <c r="G323" s="3" t="n">
        <v>131697</v>
      </c>
      <c r="H323" s="3" t="n">
        <v>20</v>
      </c>
      <c r="I323" s="3" t="n">
        <v>36.97</v>
      </c>
      <c r="J323" s="3" t="n">
        <v>7.39</v>
      </c>
      <c r="K323" s="2" t="n"/>
      <c r="L323" s="2" t="n"/>
      <c r="M323" s="2" t="n"/>
      <c r="N323" s="2" t="n"/>
      <c r="O323" s="2" t="n"/>
      <c r="P323" s="2" t="n"/>
    </row>
    <row r="324">
      <c r="A324" s="3" t="n">
        <v>47207</v>
      </c>
      <c r="B324" s="3" t="inlineStr">
        <is>
          <t>COOPERATIVA DE AHORRO Y CREDITO CREDIAMBATO LTDA</t>
        </is>
      </c>
      <c r="C324" s="4" t="n">
        <v>46075</v>
      </c>
      <c r="D324" s="4" t="n">
        <v>46073</v>
      </c>
      <c r="E324" s="4" t="inlineStr">
        <is>
          <t>RENTA</t>
        </is>
      </c>
      <c r="F324" s="3" t="n">
        <v>344</v>
      </c>
      <c r="G324" s="3" t="n">
        <v>24668</v>
      </c>
      <c r="H324" s="3" t="n">
        <v>2.75</v>
      </c>
      <c r="I324" s="17" t="n">
        <v>5993.64</v>
      </c>
      <c r="J324" s="3" t="n">
        <v>164.83</v>
      </c>
      <c r="K324" s="2" t="n"/>
      <c r="L324" s="2" t="n"/>
      <c r="M324" s="2" t="n"/>
      <c r="N324" s="2" t="n"/>
      <c r="O324" s="2" t="n"/>
      <c r="P324" s="2" t="n"/>
    </row>
    <row r="325">
      <c r="A325" s="3" t="n">
        <v>47208</v>
      </c>
      <c r="B325" s="3" t="inlineStr">
        <is>
          <t>YANGTSE-AUTO DEL ECUADOR S.A.</t>
        </is>
      </c>
      <c r="C325" s="4" t="n">
        <v>46076</v>
      </c>
      <c r="D325" s="4" t="n">
        <v>46076</v>
      </c>
      <c r="E325" s="4" t="inlineStr">
        <is>
          <t>IVA</t>
        </is>
      </c>
      <c r="F325" s="3" t="n">
        <v>312</v>
      </c>
      <c r="G325" s="3" t="n">
        <v>684</v>
      </c>
      <c r="H325" s="3" t="n">
        <v>30</v>
      </c>
      <c r="I325" s="17" t="n">
        <v>3066.62</v>
      </c>
      <c r="J325" s="3" t="n">
        <v>919.99</v>
      </c>
      <c r="K325" s="2" t="n"/>
      <c r="L325" s="2" t="n"/>
      <c r="M325" s="2" t="n"/>
      <c r="N325" s="2" t="n"/>
      <c r="O325" s="2" t="n"/>
      <c r="P325" s="2" t="n"/>
    </row>
    <row r="326">
      <c r="A326" s="3" t="n">
        <v>47208</v>
      </c>
      <c r="B326" s="3" t="inlineStr">
        <is>
          <t>YANGTSE-AUTO DEL ECUADOR S.A.</t>
        </is>
      </c>
      <c r="C326" s="4" t="n">
        <v>46076</v>
      </c>
      <c r="D326" s="4" t="n">
        <v>46076</v>
      </c>
      <c r="E326" s="4" t="inlineStr">
        <is>
          <t>RENTA</t>
        </is>
      </c>
      <c r="F326" s="3" t="n">
        <v>312</v>
      </c>
      <c r="G326" s="3" t="n">
        <v>684</v>
      </c>
      <c r="H326" s="3" t="n">
        <v>1.75</v>
      </c>
      <c r="I326" s="17" t="n">
        <v>20444.13</v>
      </c>
      <c r="J326" s="3" t="n">
        <v>357.77</v>
      </c>
      <c r="K326" s="2" t="n"/>
      <c r="L326" s="2" t="n"/>
      <c r="M326" s="2" t="n"/>
      <c r="N326" s="2" t="n"/>
      <c r="O326" s="2" t="n"/>
      <c r="P326" s="2" t="n"/>
    </row>
    <row r="327">
      <c r="A327" s="3" t="n">
        <v>47209</v>
      </c>
      <c r="B327" s="3" t="inlineStr">
        <is>
          <t>FIDEVAL S.A</t>
        </is>
      </c>
      <c r="C327" s="4" t="n">
        <v>46076</v>
      </c>
      <c r="D327" s="4" t="n">
        <v>46076</v>
      </c>
      <c r="E327" s="4" t="inlineStr">
        <is>
          <t>IVA</t>
        </is>
      </c>
      <c r="F327" s="3" t="n">
        <v>303</v>
      </c>
      <c r="G327" s="3" t="n">
        <v>227571</v>
      </c>
      <c r="H327" s="3" t="n">
        <v>20</v>
      </c>
      <c r="I327" s="3" t="n">
        <v>20.94</v>
      </c>
      <c r="J327" s="3" t="n">
        <v>4.19</v>
      </c>
      <c r="K327" s="2" t="n"/>
      <c r="L327" s="2" t="n"/>
      <c r="M327" s="2" t="n"/>
      <c r="N327" s="2" t="n"/>
      <c r="O327" s="2" t="n"/>
      <c r="P327" s="2" t="n"/>
    </row>
    <row r="328">
      <c r="A328" s="3" t="n">
        <v>47209</v>
      </c>
      <c r="B328" s="3" t="inlineStr">
        <is>
          <t>FIDEVAL S.A</t>
        </is>
      </c>
      <c r="C328" s="4" t="n">
        <v>46076</v>
      </c>
      <c r="D328" s="4" t="n">
        <v>46076</v>
      </c>
      <c r="E328" s="4" t="inlineStr">
        <is>
          <t>RENTA</t>
        </is>
      </c>
      <c r="F328" s="3" t="n">
        <v>303</v>
      </c>
      <c r="G328" s="3" t="n">
        <v>227571</v>
      </c>
      <c r="H328" s="3" t="n">
        <v>3</v>
      </c>
      <c r="I328" s="3" t="n">
        <v>139.59</v>
      </c>
      <c r="J328" s="3" t="n">
        <v>4.19</v>
      </c>
      <c r="K328" s="2" t="n"/>
      <c r="L328" s="2" t="n"/>
      <c r="M328" s="2" t="n"/>
      <c r="N328" s="2" t="n"/>
      <c r="O328" s="2" t="n"/>
      <c r="P328" s="2" t="n"/>
    </row>
    <row r="329">
      <c r="A329" s="3" t="n">
        <v>47210</v>
      </c>
      <c r="B329" s="3" t="inlineStr">
        <is>
          <t>FIDEVAL S.A</t>
        </is>
      </c>
      <c r="C329" s="4" t="n">
        <v>46076</v>
      </c>
      <c r="D329" s="4" t="n">
        <v>46076</v>
      </c>
      <c r="E329" s="4" t="inlineStr">
        <is>
          <t>IVA</t>
        </is>
      </c>
      <c r="F329" s="3" t="n">
        <v>303</v>
      </c>
      <c r="G329" s="3" t="n">
        <v>227570</v>
      </c>
      <c r="H329" s="3" t="n">
        <v>20</v>
      </c>
      <c r="I329" s="3" t="n">
        <v>21</v>
      </c>
      <c r="J329" s="3" t="n">
        <v>4.2</v>
      </c>
      <c r="K329" s="2" t="n"/>
      <c r="L329" s="2" t="n"/>
      <c r="M329" s="2" t="n"/>
      <c r="N329" s="2" t="n"/>
      <c r="O329" s="2" t="n"/>
      <c r="P329" s="2" t="n"/>
    </row>
    <row r="330">
      <c r="A330" s="3" t="n">
        <v>47210</v>
      </c>
      <c r="B330" s="3" t="inlineStr">
        <is>
          <t>FIDEVAL S.A</t>
        </is>
      </c>
      <c r="C330" s="4" t="n">
        <v>46076</v>
      </c>
      <c r="D330" s="4" t="n">
        <v>46076</v>
      </c>
      <c r="E330" s="4" t="inlineStr">
        <is>
          <t>RENTA</t>
        </is>
      </c>
      <c r="F330" s="3" t="n">
        <v>303</v>
      </c>
      <c r="G330" s="3" t="n">
        <v>227570</v>
      </c>
      <c r="H330" s="3" t="n">
        <v>3</v>
      </c>
      <c r="I330" s="3" t="n">
        <v>140</v>
      </c>
      <c r="J330" s="3" t="n">
        <v>4.2</v>
      </c>
      <c r="K330" s="2" t="n"/>
      <c r="L330" s="2" t="n"/>
      <c r="M330" s="2" t="n"/>
      <c r="N330" s="2" t="n"/>
      <c r="O330" s="2" t="n"/>
      <c r="P330" s="2" t="n"/>
    </row>
    <row r="331">
      <c r="A331" s="3" t="n">
        <v>47211</v>
      </c>
      <c r="B331" s="3" t="inlineStr">
        <is>
          <t>TOYOTASERVICIOS S.A.</t>
        </is>
      </c>
      <c r="C331" s="4" t="n">
        <v>46076</v>
      </c>
      <c r="D331" s="4" t="n">
        <v>46076</v>
      </c>
      <c r="E331" s="4" t="inlineStr">
        <is>
          <t>RENTA</t>
        </is>
      </c>
      <c r="F331" s="3" t="n">
        <v>312</v>
      </c>
      <c r="G331" s="3" t="n">
        <v>14906</v>
      </c>
      <c r="H331" s="3" t="n">
        <v>1.75</v>
      </c>
      <c r="I331" s="3" t="n">
        <v>220</v>
      </c>
      <c r="J331" s="3" t="n">
        <v>3.85</v>
      </c>
      <c r="K331" s="2" t="n"/>
      <c r="L331" s="2" t="n"/>
      <c r="M331" s="2" t="n"/>
      <c r="N331" s="2" t="n"/>
      <c r="O331" s="2" t="n"/>
      <c r="P331" s="2" t="n"/>
    </row>
    <row r="332">
      <c r="A332" s="3" t="n">
        <v>47211</v>
      </c>
      <c r="B332" s="3" t="inlineStr">
        <is>
          <t>TOYOTASERVICIOS S.A.</t>
        </is>
      </c>
      <c r="C332" s="4" t="n">
        <v>46076</v>
      </c>
      <c r="D332" s="4" t="n">
        <v>46076</v>
      </c>
      <c r="E332" s="4" t="inlineStr">
        <is>
          <t>IVA</t>
        </is>
      </c>
      <c r="F332" s="3" t="n">
        <v>312</v>
      </c>
      <c r="G332" s="3" t="n">
        <v>14906</v>
      </c>
      <c r="H332" s="3" t="n">
        <v>30</v>
      </c>
      <c r="I332" s="3" t="n">
        <v>33</v>
      </c>
      <c r="J332" s="3" t="n">
        <v>9.9</v>
      </c>
      <c r="K332" s="2" t="n"/>
      <c r="L332" s="2" t="n"/>
      <c r="M332" s="2" t="n"/>
      <c r="N332" s="2" t="n"/>
      <c r="O332" s="2" t="n"/>
      <c r="P332" s="2" t="n"/>
    </row>
    <row r="333">
      <c r="A333" s="3" t="n">
        <v>47212</v>
      </c>
      <c r="B333" s="3" t="inlineStr">
        <is>
          <t>YANGTSE-AUTO DEL ECUADOR S.A.</t>
        </is>
      </c>
      <c r="C333" s="4" t="n">
        <v>46076</v>
      </c>
      <c r="D333" s="4" t="n">
        <v>46076</v>
      </c>
      <c r="E333" s="4" t="inlineStr">
        <is>
          <t>RENTA</t>
        </is>
      </c>
      <c r="F333" s="3" t="n">
        <v>312</v>
      </c>
      <c r="G333" s="3" t="n">
        <v>561</v>
      </c>
      <c r="H333" s="3" t="n">
        <v>1.75</v>
      </c>
      <c r="I333" s="3" t="n">
        <v>246.08</v>
      </c>
      <c r="J333" s="3" t="n">
        <v>4.31</v>
      </c>
      <c r="K333" s="2" t="n"/>
      <c r="L333" s="2" t="n"/>
      <c r="M333" s="2" t="n"/>
      <c r="N333" s="2" t="n"/>
      <c r="O333" s="2" t="n"/>
      <c r="P333" s="2" t="n"/>
    </row>
    <row r="334">
      <c r="A334" s="3" t="n">
        <v>47212</v>
      </c>
      <c r="B334" s="3" t="inlineStr">
        <is>
          <t>YANGTSE-AUTO DEL ECUADOR S.A.</t>
        </is>
      </c>
      <c r="C334" s="4" t="n">
        <v>46076</v>
      </c>
      <c r="D334" s="4" t="n">
        <v>46076</v>
      </c>
      <c r="E334" s="4" t="inlineStr">
        <is>
          <t>IVA</t>
        </is>
      </c>
      <c r="F334" s="3" t="n">
        <v>312</v>
      </c>
      <c r="G334" s="3" t="n">
        <v>561</v>
      </c>
      <c r="H334" s="3" t="n">
        <v>30</v>
      </c>
      <c r="I334" s="3" t="n">
        <v>3.91</v>
      </c>
      <c r="J334" s="3" t="n">
        <v>1.17</v>
      </c>
      <c r="K334" s="2" t="n"/>
      <c r="L334" s="2" t="n"/>
      <c r="M334" s="2" t="n"/>
      <c r="N334" s="2" t="n"/>
      <c r="O334" s="2" t="n"/>
      <c r="P334" s="2" t="n"/>
    </row>
    <row r="335">
      <c r="A335" s="3" t="n">
        <v>47213</v>
      </c>
      <c r="B335" s="3" t="inlineStr">
        <is>
          <t>SZK DEL ECUADOR S.A.</t>
        </is>
      </c>
      <c r="C335" s="4" t="n">
        <v>46077</v>
      </c>
      <c r="D335" s="4" t="n">
        <v>46077</v>
      </c>
      <c r="E335" s="4" t="inlineStr">
        <is>
          <t>IVA</t>
        </is>
      </c>
      <c r="F335" s="3" t="n">
        <v>312</v>
      </c>
      <c r="G335" s="3" t="n">
        <v>3190</v>
      </c>
      <c r="H335" s="3" t="n">
        <v>10</v>
      </c>
      <c r="I335" s="17" t="n">
        <v>2212.53</v>
      </c>
      <c r="J335" s="3" t="n">
        <v>221.25</v>
      </c>
      <c r="K335" s="2" t="n"/>
      <c r="L335" s="2" t="n"/>
      <c r="M335" s="2" t="n"/>
      <c r="N335" s="2" t="n"/>
      <c r="O335" s="2" t="n"/>
      <c r="P335" s="2" t="n"/>
    </row>
    <row r="336">
      <c r="A336" s="3" t="n">
        <v>47214</v>
      </c>
      <c r="B336" s="3" t="inlineStr">
        <is>
          <t>SZK DEL ECUADOR S.A.</t>
        </is>
      </c>
      <c r="C336" s="4" t="n">
        <v>46077</v>
      </c>
      <c r="D336" s="4" t="n">
        <v>46077</v>
      </c>
      <c r="E336" s="4" t="inlineStr">
        <is>
          <t>IVA</t>
        </is>
      </c>
      <c r="F336" s="3" t="n">
        <v>312</v>
      </c>
      <c r="G336" s="3" t="n">
        <v>3188</v>
      </c>
      <c r="H336" s="3" t="n">
        <v>10</v>
      </c>
      <c r="I336" s="17" t="n">
        <v>6637.59</v>
      </c>
      <c r="J336" s="3" t="n">
        <v>663.76</v>
      </c>
      <c r="K336" s="2" t="n"/>
      <c r="L336" s="2" t="n"/>
      <c r="M336" s="2" t="n"/>
      <c r="N336" s="2" t="n"/>
      <c r="O336" s="2" t="n"/>
      <c r="P336" s="2" t="n"/>
    </row>
    <row r="337">
      <c r="A337" s="3" t="n">
        <v>47215</v>
      </c>
      <c r="B337" s="3" t="inlineStr">
        <is>
          <t>SZK DEL ECUADOR S.A.</t>
        </is>
      </c>
      <c r="C337" s="4" t="n">
        <v>46077</v>
      </c>
      <c r="D337" s="4" t="n">
        <v>46077</v>
      </c>
      <c r="E337" s="4" t="inlineStr">
        <is>
          <t>IVA</t>
        </is>
      </c>
      <c r="F337" s="3" t="n">
        <v>312</v>
      </c>
      <c r="G337" s="3" t="n">
        <v>3185</v>
      </c>
      <c r="H337" s="3" t="n">
        <v>10</v>
      </c>
      <c r="I337" s="17" t="n">
        <v>15788.05</v>
      </c>
      <c r="J337" s="17" t="n">
        <v>1578.81</v>
      </c>
      <c r="K337" s="2" t="n"/>
      <c r="L337" s="2" t="n"/>
      <c r="M337" s="2" t="n"/>
      <c r="N337" s="2" t="n"/>
      <c r="O337" s="2" t="n"/>
      <c r="P337" s="2" t="n"/>
    </row>
    <row r="338">
      <c r="A338" s="3" t="n">
        <v>47216</v>
      </c>
      <c r="B338" s="3" t="inlineStr">
        <is>
          <t>SZK DEL ECUADOR S.A.</t>
        </is>
      </c>
      <c r="C338" s="4" t="n">
        <v>46077</v>
      </c>
      <c r="D338" s="4" t="n">
        <v>46077</v>
      </c>
      <c r="E338" s="4" t="inlineStr">
        <is>
          <t>IVA</t>
        </is>
      </c>
      <c r="F338" s="3" t="n">
        <v>312</v>
      </c>
      <c r="G338" s="3" t="n">
        <v>3189</v>
      </c>
      <c r="H338" s="3" t="n">
        <v>10</v>
      </c>
      <c r="I338" s="17" t="n">
        <v>2631.34</v>
      </c>
      <c r="J338" s="3" t="n">
        <v>263.13</v>
      </c>
      <c r="K338" s="2" t="n"/>
      <c r="L338" s="2" t="n"/>
      <c r="M338" s="2" t="n"/>
      <c r="N338" s="2" t="n"/>
      <c r="O338" s="2" t="n"/>
      <c r="P338" s="2" t="n"/>
    </row>
    <row r="339">
      <c r="A339" s="3" t="n">
        <v>47217</v>
      </c>
      <c r="B339" s="3" t="inlineStr">
        <is>
          <t>SZK DEL ECUADOR S.A.</t>
        </is>
      </c>
      <c r="C339" s="4" t="n">
        <v>46077</v>
      </c>
      <c r="D339" s="4" t="n">
        <v>46077</v>
      </c>
      <c r="E339" s="4" t="inlineStr">
        <is>
          <t>IVA</t>
        </is>
      </c>
      <c r="F339" s="3" t="n">
        <v>312</v>
      </c>
      <c r="G339" s="3" t="n">
        <v>3187</v>
      </c>
      <c r="H339" s="3" t="n">
        <v>10</v>
      </c>
      <c r="I339" s="17" t="n">
        <v>10525.37</v>
      </c>
      <c r="J339" s="17" t="n">
        <v>1052.54</v>
      </c>
      <c r="K339" s="2" t="n"/>
      <c r="L339" s="2" t="n"/>
      <c r="M339" s="2" t="n"/>
      <c r="N339" s="2" t="n"/>
      <c r="O339" s="2" t="n"/>
      <c r="P339" s="2" t="n"/>
    </row>
    <row r="340">
      <c r="A340" s="3" t="n">
        <v>47218</v>
      </c>
      <c r="B340" s="3" t="inlineStr">
        <is>
          <t>SZK DEL ECUADOR S.A.</t>
        </is>
      </c>
      <c r="C340" s="4" t="n">
        <v>46077</v>
      </c>
      <c r="D340" s="4" t="n">
        <v>46077</v>
      </c>
      <c r="E340" s="4" t="inlineStr">
        <is>
          <t>IVA</t>
        </is>
      </c>
      <c r="F340" s="3" t="n">
        <v>312</v>
      </c>
      <c r="G340" s="3" t="n">
        <v>3186</v>
      </c>
      <c r="H340" s="3" t="n">
        <v>10</v>
      </c>
      <c r="I340" s="17" t="n">
        <v>15788.05</v>
      </c>
      <c r="J340" s="17" t="n">
        <v>1578.81</v>
      </c>
      <c r="K340" s="2" t="n"/>
      <c r="L340" s="2" t="n"/>
      <c r="M340" s="2" t="n"/>
      <c r="N340" s="2" t="n"/>
      <c r="O340" s="2" t="n"/>
      <c r="P340" s="2" t="n"/>
    </row>
    <row r="341">
      <c r="A341" s="3" t="n">
        <v>47219</v>
      </c>
      <c r="B341" s="3" t="inlineStr">
        <is>
          <t>PALACIOS DAVALOS MARCELO EDUARDO</t>
        </is>
      </c>
      <c r="C341" s="4" t="n">
        <v>46077</v>
      </c>
      <c r="D341" s="4" t="n">
        <v>46073</v>
      </c>
      <c r="E341" s="4" t="inlineStr">
        <is>
          <t>RENTA</t>
        </is>
      </c>
      <c r="F341" s="3" t="n">
        <v>307</v>
      </c>
      <c r="G341" s="3" t="n">
        <v>628</v>
      </c>
      <c r="H341" s="3" t="n">
        <v>2</v>
      </c>
      <c r="I341" s="3" t="n">
        <v>35</v>
      </c>
      <c r="J341" s="3" t="n">
        <v>0.7</v>
      </c>
      <c r="K341" s="2" t="n"/>
      <c r="L341" s="2" t="n"/>
      <c r="M341" s="2" t="n"/>
      <c r="N341" s="2" t="n"/>
      <c r="O341" s="2" t="n"/>
      <c r="P341" s="2" t="n"/>
    </row>
    <row r="342">
      <c r="A342" s="3" t="n">
        <v>47219</v>
      </c>
      <c r="B342" s="3" t="inlineStr">
        <is>
          <t>PALACIOS DAVALOS MARCELO EDUARDO</t>
        </is>
      </c>
      <c r="C342" s="4" t="n">
        <v>46077</v>
      </c>
      <c r="D342" s="4" t="n">
        <v>46073</v>
      </c>
      <c r="E342" s="4" t="inlineStr">
        <is>
          <t>IVA</t>
        </is>
      </c>
      <c r="F342" s="3" t="n">
        <v>307</v>
      </c>
      <c r="G342" s="3" t="n">
        <v>628</v>
      </c>
      <c r="H342" s="3" t="n">
        <v>70</v>
      </c>
      <c r="I342" s="3" t="n">
        <v>5.25</v>
      </c>
      <c r="J342" s="3" t="n">
        <v>3.68</v>
      </c>
      <c r="K342" s="2" t="n"/>
      <c r="L342" s="2" t="n"/>
      <c r="M342" s="2" t="n"/>
      <c r="N342" s="2" t="n"/>
      <c r="O342" s="2" t="n"/>
      <c r="P342" s="2" t="n"/>
    </row>
    <row r="343">
      <c r="A343" s="3" t="n">
        <v>47220</v>
      </c>
      <c r="B343" s="3" t="inlineStr">
        <is>
          <t>PALACIOS DAVALOS MARCELO EDUARDO</t>
        </is>
      </c>
      <c r="C343" s="4" t="n">
        <v>46077</v>
      </c>
      <c r="D343" s="4" t="n">
        <v>46073</v>
      </c>
      <c r="E343" s="4" t="inlineStr">
        <is>
          <t>RENTA</t>
        </is>
      </c>
      <c r="F343" s="3" t="n">
        <v>312</v>
      </c>
      <c r="G343" s="3" t="n">
        <v>629</v>
      </c>
      <c r="H343" s="3" t="n">
        <v>1.75</v>
      </c>
      <c r="I343" s="3" t="n">
        <v>15</v>
      </c>
      <c r="J343" s="3" t="n">
        <v>0.26</v>
      </c>
      <c r="K343" s="2" t="n"/>
      <c r="L343" s="2" t="n"/>
      <c r="M343" s="2" t="n"/>
      <c r="N343" s="2" t="n"/>
      <c r="O343" s="2" t="n"/>
      <c r="P343" s="2" t="n"/>
    </row>
    <row r="344">
      <c r="A344" s="3" t="n">
        <v>47220</v>
      </c>
      <c r="B344" s="3" t="inlineStr">
        <is>
          <t>PALACIOS DAVALOS MARCELO EDUARDO</t>
        </is>
      </c>
      <c r="C344" s="4" t="n">
        <v>46077</v>
      </c>
      <c r="D344" s="4" t="n">
        <v>46073</v>
      </c>
      <c r="E344" s="4" t="inlineStr">
        <is>
          <t>IVA</t>
        </is>
      </c>
      <c r="F344" s="3" t="n">
        <v>312</v>
      </c>
      <c r="G344" s="3" t="n">
        <v>629</v>
      </c>
      <c r="H344" s="3" t="n">
        <v>30</v>
      </c>
      <c r="I344" s="3" t="n">
        <v>2.25</v>
      </c>
      <c r="J344" s="3" t="n">
        <v>0.67</v>
      </c>
      <c r="K344" s="2" t="n"/>
      <c r="L344" s="2" t="n"/>
      <c r="M344" s="2" t="n"/>
      <c r="N344" s="2" t="n"/>
      <c r="O344" s="2" t="n"/>
      <c r="P344" s="2" t="n"/>
    </row>
    <row r="345">
      <c r="A345" s="3" t="n">
        <v>47221</v>
      </c>
      <c r="B345" s="3" t="inlineStr">
        <is>
          <t>TOYOTASERVICIOS S.A.</t>
        </is>
      </c>
      <c r="C345" s="4" t="n">
        <v>46077</v>
      </c>
      <c r="D345" s="4" t="n">
        <v>46076</v>
      </c>
      <c r="E345" s="4" t="inlineStr">
        <is>
          <t>IVA</t>
        </is>
      </c>
      <c r="F345" s="3" t="n">
        <v>344</v>
      </c>
      <c r="G345" s="3" t="n">
        <v>7760</v>
      </c>
      <c r="H345" s="3" t="n">
        <v>70</v>
      </c>
      <c r="I345" s="3" t="n">
        <v>9</v>
      </c>
      <c r="J345" s="3" t="n">
        <v>6.3</v>
      </c>
      <c r="K345" s="2" t="n"/>
      <c r="L345" s="2" t="n"/>
      <c r="M345" s="2" t="n"/>
      <c r="N345" s="2" t="n"/>
      <c r="O345" s="2" t="n"/>
      <c r="P345" s="2" t="n"/>
    </row>
    <row r="346">
      <c r="A346" s="3" t="n">
        <v>47221</v>
      </c>
      <c r="B346" s="3" t="inlineStr">
        <is>
          <t>TOYOTASERVICIOS S.A.</t>
        </is>
      </c>
      <c r="C346" s="4" t="n">
        <v>46077</v>
      </c>
      <c r="D346" s="4" t="n">
        <v>46076</v>
      </c>
      <c r="E346" s="4" t="inlineStr">
        <is>
          <t>RENTA</t>
        </is>
      </c>
      <c r="F346" s="3" t="n">
        <v>344</v>
      </c>
      <c r="G346" s="3" t="n">
        <v>7760</v>
      </c>
      <c r="H346" s="3" t="n">
        <v>2.75</v>
      </c>
      <c r="I346" s="3" t="n">
        <v>60</v>
      </c>
      <c r="J346" s="3" t="n">
        <v>1.65</v>
      </c>
      <c r="K346" s="2" t="n"/>
      <c r="L346" s="2" t="n"/>
      <c r="M346" s="2" t="n"/>
      <c r="N346" s="2" t="n"/>
      <c r="O346" s="2" t="n"/>
      <c r="P346" s="2" t="n"/>
    </row>
    <row r="347">
      <c r="A347" s="3" t="n">
        <v>47222</v>
      </c>
      <c r="B347" s="3" t="inlineStr">
        <is>
          <t>TOYOTASERVICIOS S.A.</t>
        </is>
      </c>
      <c r="C347" s="4" t="n">
        <v>46077</v>
      </c>
      <c r="D347" s="4" t="n">
        <v>46076</v>
      </c>
      <c r="E347" s="4" t="inlineStr">
        <is>
          <t>IVA</t>
        </is>
      </c>
      <c r="F347" s="3" t="n">
        <v>344</v>
      </c>
      <c r="G347" s="3" t="n">
        <v>7758</v>
      </c>
      <c r="H347" s="3" t="n">
        <v>70</v>
      </c>
      <c r="I347" s="3" t="n">
        <v>21</v>
      </c>
      <c r="J347" s="3" t="n">
        <v>14.7</v>
      </c>
      <c r="K347" s="2" t="n"/>
      <c r="L347" s="2" t="n"/>
      <c r="M347" s="2" t="n"/>
      <c r="N347" s="2" t="n"/>
      <c r="O347" s="2" t="n"/>
      <c r="P347" s="2" t="n"/>
    </row>
    <row r="348">
      <c r="A348" s="3" t="n">
        <v>47222</v>
      </c>
      <c r="B348" s="3" t="inlineStr">
        <is>
          <t>TOYOTASERVICIOS S.A.</t>
        </is>
      </c>
      <c r="C348" s="4" t="n">
        <v>46077</v>
      </c>
      <c r="D348" s="4" t="n">
        <v>46076</v>
      </c>
      <c r="E348" s="4" t="inlineStr">
        <is>
          <t>RENTA</t>
        </is>
      </c>
      <c r="F348" s="3" t="n">
        <v>344</v>
      </c>
      <c r="G348" s="3" t="n">
        <v>7758</v>
      </c>
      <c r="H348" s="3" t="n">
        <v>2.75</v>
      </c>
      <c r="I348" s="3" t="n">
        <v>140</v>
      </c>
      <c r="J348" s="3" t="n">
        <v>3.85</v>
      </c>
      <c r="K348" s="2" t="n"/>
      <c r="L348" s="2" t="n"/>
      <c r="M348" s="2" t="n"/>
      <c r="N348" s="2" t="n"/>
      <c r="O348" s="2" t="n"/>
      <c r="P348" s="2" t="n"/>
    </row>
    <row r="349">
      <c r="A349" s="3" t="n">
        <v>47223</v>
      </c>
      <c r="B349" s="3" t="inlineStr">
        <is>
          <t>TOYOTASERVICIOS S.A.</t>
        </is>
      </c>
      <c r="C349" s="4" t="n">
        <v>46077</v>
      </c>
      <c r="D349" s="4" t="n">
        <v>46076</v>
      </c>
      <c r="E349" s="4" t="inlineStr">
        <is>
          <t>IVA</t>
        </is>
      </c>
      <c r="F349" s="3" t="n">
        <v>344</v>
      </c>
      <c r="G349" s="3" t="n">
        <v>7761</v>
      </c>
      <c r="H349" s="3" t="n">
        <v>70</v>
      </c>
      <c r="I349" s="3" t="n">
        <v>9</v>
      </c>
      <c r="J349" s="3" t="n">
        <v>6.3</v>
      </c>
      <c r="K349" s="2" t="n"/>
      <c r="L349" s="2" t="n"/>
      <c r="M349" s="2" t="n"/>
      <c r="N349" s="2" t="n"/>
      <c r="O349" s="2" t="n"/>
      <c r="P349" s="2" t="n"/>
    </row>
    <row r="350">
      <c r="A350" s="3" t="n">
        <v>47223</v>
      </c>
      <c r="B350" s="3" t="inlineStr">
        <is>
          <t>TOYOTASERVICIOS S.A.</t>
        </is>
      </c>
      <c r="C350" s="4" t="n">
        <v>46077</v>
      </c>
      <c r="D350" s="4" t="n">
        <v>46076</v>
      </c>
      <c r="E350" s="4" t="inlineStr">
        <is>
          <t>RENTA</t>
        </is>
      </c>
      <c r="F350" s="3" t="n">
        <v>344</v>
      </c>
      <c r="G350" s="3" t="n">
        <v>7761</v>
      </c>
      <c r="H350" s="3" t="n">
        <v>2.75</v>
      </c>
      <c r="I350" s="3" t="n">
        <v>60</v>
      </c>
      <c r="J350" s="3" t="n">
        <v>1.65</v>
      </c>
      <c r="K350" s="2" t="n"/>
      <c r="L350" s="2" t="n"/>
      <c r="M350" s="2" t="n"/>
      <c r="N350" s="2" t="n"/>
      <c r="O350" s="2" t="n"/>
      <c r="P350" s="2" t="n"/>
    </row>
    <row r="351">
      <c r="A351" s="3" t="n">
        <v>47224</v>
      </c>
      <c r="B351" s="3" t="inlineStr">
        <is>
          <t>TOYOTASERVICIOS S.A.</t>
        </is>
      </c>
      <c r="C351" s="4" t="n">
        <v>46077</v>
      </c>
      <c r="D351" s="4" t="n">
        <v>46076</v>
      </c>
      <c r="E351" s="4" t="inlineStr">
        <is>
          <t>IVA</t>
        </is>
      </c>
      <c r="F351" s="3" t="n">
        <v>344</v>
      </c>
      <c r="G351" s="3" t="n">
        <v>7759</v>
      </c>
      <c r="H351" s="3" t="n">
        <v>70</v>
      </c>
      <c r="I351" s="3" t="n">
        <v>56.25</v>
      </c>
      <c r="J351" s="3" t="n">
        <v>39.38</v>
      </c>
      <c r="K351" s="2" t="n"/>
      <c r="L351" s="2" t="n"/>
      <c r="M351" s="2" t="n"/>
      <c r="N351" s="2" t="n"/>
      <c r="O351" s="2" t="n"/>
      <c r="P351" s="2" t="n"/>
    </row>
    <row r="352">
      <c r="A352" s="3" t="n">
        <v>47224</v>
      </c>
      <c r="B352" s="3" t="inlineStr">
        <is>
          <t>TOYOTASERVICIOS S.A.</t>
        </is>
      </c>
      <c r="C352" s="4" t="n">
        <v>46077</v>
      </c>
      <c r="D352" s="4" t="n">
        <v>46076</v>
      </c>
      <c r="E352" s="4" t="inlineStr">
        <is>
          <t>RENTA</t>
        </is>
      </c>
      <c r="F352" s="3" t="n">
        <v>344</v>
      </c>
      <c r="G352" s="3" t="n">
        <v>7759</v>
      </c>
      <c r="H352" s="3" t="n">
        <v>2.75</v>
      </c>
      <c r="I352" s="3" t="n">
        <v>375</v>
      </c>
      <c r="J352" s="3" t="n">
        <v>10.31</v>
      </c>
      <c r="K352" s="2" t="n"/>
      <c r="L352" s="2" t="n"/>
      <c r="M352" s="2" t="n"/>
      <c r="N352" s="2" t="n"/>
      <c r="O352" s="2" t="n"/>
      <c r="P352" s="2" t="n"/>
    </row>
    <row r="353">
      <c r="A353" s="3" t="n">
        <v>47225</v>
      </c>
      <c r="B353" s="3" t="inlineStr">
        <is>
          <t>TOYOTASERVICIOS S.A.</t>
        </is>
      </c>
      <c r="C353" s="4" t="n">
        <v>46077</v>
      </c>
      <c r="D353" s="4" t="n">
        <v>46076</v>
      </c>
      <c r="E353" s="4" t="inlineStr">
        <is>
          <t>IVA</t>
        </is>
      </c>
      <c r="F353" s="3" t="n">
        <v>344</v>
      </c>
      <c r="G353" s="3" t="n">
        <v>7757</v>
      </c>
      <c r="H353" s="3" t="n">
        <v>70</v>
      </c>
      <c r="I353" s="3" t="n">
        <v>7.5</v>
      </c>
      <c r="J353" s="3" t="n">
        <v>5.25</v>
      </c>
      <c r="K353" s="2" t="n"/>
      <c r="L353" s="2" t="n"/>
      <c r="M353" s="2" t="n"/>
      <c r="N353" s="2" t="n"/>
      <c r="O353" s="2" t="n"/>
      <c r="P353" s="2" t="n"/>
    </row>
    <row r="354">
      <c r="A354" s="3" t="n">
        <v>47225</v>
      </c>
      <c r="B354" s="3" t="inlineStr">
        <is>
          <t>TOYOTASERVICIOS S.A.</t>
        </is>
      </c>
      <c r="C354" s="4" t="n">
        <v>46077</v>
      </c>
      <c r="D354" s="4" t="n">
        <v>46076</v>
      </c>
      <c r="E354" s="4" t="inlineStr">
        <is>
          <t>RENTA</t>
        </is>
      </c>
      <c r="F354" s="3" t="n">
        <v>344</v>
      </c>
      <c r="G354" s="3" t="n">
        <v>7757</v>
      </c>
      <c r="H354" s="3" t="n">
        <v>2.75</v>
      </c>
      <c r="I354" s="3" t="n">
        <v>50</v>
      </c>
      <c r="J354" s="3" t="n">
        <v>1.38</v>
      </c>
      <c r="K354" s="2" t="n"/>
      <c r="L354" s="2" t="n"/>
      <c r="M354" s="2" t="n"/>
      <c r="N354" s="2" t="n"/>
      <c r="O354" s="2" t="n"/>
      <c r="P354" s="2" t="n"/>
    </row>
    <row r="355">
      <c r="A355" s="3" t="n">
        <v>47226</v>
      </c>
      <c r="B355" s="3" t="inlineStr">
        <is>
          <t>SZK DEL ECUADOR S.A.</t>
        </is>
      </c>
      <c r="C355" s="4" t="n">
        <v>46077</v>
      </c>
      <c r="D355" s="4" t="n">
        <v>46077</v>
      </c>
      <c r="E355" s="4" t="inlineStr">
        <is>
          <t>IVA</t>
        </is>
      </c>
      <c r="F355" s="3" t="n">
        <v>332</v>
      </c>
      <c r="G355" s="3" t="n">
        <v>1519</v>
      </c>
      <c r="H355" s="3" t="n">
        <v>10</v>
      </c>
      <c r="I355" s="3" t="n">
        <v>100.33</v>
      </c>
      <c r="J355" s="3" t="n">
        <v>10.03</v>
      </c>
      <c r="K355" s="2" t="n"/>
      <c r="L355" s="2" t="n"/>
      <c r="M355" s="2" t="n"/>
      <c r="N355" s="2" t="n"/>
      <c r="O355" s="2" t="n"/>
      <c r="P355" s="2" t="n"/>
    </row>
    <row r="356">
      <c r="A356" s="3" t="n">
        <v>47227</v>
      </c>
      <c r="B356" s="3" t="inlineStr">
        <is>
          <t>TOYOTASERVICIOS S.A.</t>
        </is>
      </c>
      <c r="C356" s="4" t="n">
        <v>46077</v>
      </c>
      <c r="D356" s="4" t="n">
        <v>46077</v>
      </c>
      <c r="E356" s="4" t="inlineStr">
        <is>
          <t>IVA</t>
        </is>
      </c>
      <c r="F356" s="3" t="n">
        <v>312</v>
      </c>
      <c r="G356" s="3" t="n">
        <v>14907</v>
      </c>
      <c r="H356" s="3" t="n">
        <v>30</v>
      </c>
      <c r="I356" s="3" t="n">
        <v>16.02</v>
      </c>
      <c r="J356" s="3" t="n">
        <v>4.81</v>
      </c>
      <c r="K356" s="2" t="n"/>
      <c r="L356" s="2" t="n"/>
      <c r="M356" s="2" t="n"/>
      <c r="N356" s="2" t="n"/>
      <c r="O356" s="2" t="n"/>
      <c r="P356" s="2" t="n"/>
    </row>
    <row r="357">
      <c r="A357" s="3" t="n">
        <v>47227</v>
      </c>
      <c r="B357" s="3" t="inlineStr">
        <is>
          <t>TOYOTASERVICIOS S.A.</t>
        </is>
      </c>
      <c r="C357" s="4" t="n">
        <v>46077</v>
      </c>
      <c r="D357" s="4" t="n">
        <v>46077</v>
      </c>
      <c r="E357" s="4" t="inlineStr">
        <is>
          <t>RENTA</t>
        </is>
      </c>
      <c r="F357" s="3" t="n">
        <v>312</v>
      </c>
      <c r="G357" s="3" t="n">
        <v>14907</v>
      </c>
      <c r="H357" s="3" t="n">
        <v>1.75</v>
      </c>
      <c r="I357" s="3" t="n">
        <v>106.8</v>
      </c>
      <c r="J357" s="3" t="n">
        <v>1.87</v>
      </c>
      <c r="K357" s="2" t="n"/>
      <c r="L357" s="2" t="n"/>
      <c r="M357" s="2" t="n"/>
      <c r="N357" s="2" t="n"/>
      <c r="O357" s="2" t="n"/>
      <c r="P357" s="2" t="n"/>
    </row>
    <row r="358">
      <c r="A358" s="3" t="n">
        <v>47228</v>
      </c>
      <c r="B358" s="3" t="inlineStr">
        <is>
          <t>SZK DEL ECUADOR S.A.</t>
        </is>
      </c>
      <c r="C358" s="4" t="n">
        <v>46078</v>
      </c>
      <c r="D358" s="4" t="n">
        <v>46078</v>
      </c>
      <c r="E358" s="4" t="inlineStr">
        <is>
          <t>IVA</t>
        </is>
      </c>
      <c r="F358" s="3" t="n">
        <v>332</v>
      </c>
      <c r="G358" s="3" t="n">
        <v>1521</v>
      </c>
      <c r="H358" s="3" t="n">
        <v>10</v>
      </c>
      <c r="I358" s="3" t="n">
        <v>100.33</v>
      </c>
      <c r="J358" s="3" t="n">
        <v>10.03</v>
      </c>
      <c r="K358" s="2" t="n"/>
      <c r="L358" s="2" t="n"/>
      <c r="M358" s="2" t="n"/>
      <c r="N358" s="2" t="n"/>
      <c r="O358" s="2" t="n"/>
      <c r="P358" s="2" t="n"/>
    </row>
    <row r="359">
      <c r="A359" s="3" t="n">
        <v>47229</v>
      </c>
      <c r="B359" s="3" t="inlineStr">
        <is>
          <t>TOYOTASERVICIOS S.A.</t>
        </is>
      </c>
      <c r="C359" s="4" t="n">
        <v>46078</v>
      </c>
      <c r="D359" s="4" t="n">
        <v>46078</v>
      </c>
      <c r="E359" s="4" t="inlineStr">
        <is>
          <t>RENTA</t>
        </is>
      </c>
      <c r="F359" s="3" t="n">
        <v>312</v>
      </c>
      <c r="G359" s="3" t="n">
        <v>6942</v>
      </c>
      <c r="H359" s="3" t="n">
        <v>1.75</v>
      </c>
      <c r="I359" s="3" t="n">
        <v>546</v>
      </c>
      <c r="J359" s="3" t="n">
        <v>9.56</v>
      </c>
      <c r="K359" s="2" t="n"/>
      <c r="L359" s="2" t="n"/>
      <c r="M359" s="2" t="n"/>
      <c r="N359" s="2" t="n"/>
      <c r="O359" s="2" t="n"/>
      <c r="P359" s="2" t="n"/>
    </row>
    <row r="360">
      <c r="A360" s="3" t="n">
        <v>47229</v>
      </c>
      <c r="B360" s="3" t="inlineStr">
        <is>
          <t>TOYOTASERVICIOS S.A.</t>
        </is>
      </c>
      <c r="C360" s="4" t="n">
        <v>46078</v>
      </c>
      <c r="D360" s="4" t="n">
        <v>46078</v>
      </c>
      <c r="E360" s="4" t="inlineStr">
        <is>
          <t>IVA</t>
        </is>
      </c>
      <c r="F360" s="3" t="n">
        <v>312</v>
      </c>
      <c r="G360" s="3" t="n">
        <v>6942</v>
      </c>
      <c r="H360" s="3" t="n">
        <v>30</v>
      </c>
      <c r="I360" s="3" t="n">
        <v>81.90000000000001</v>
      </c>
      <c r="J360" s="3" t="n">
        <v>24.57</v>
      </c>
      <c r="K360" s="2" t="n"/>
      <c r="L360" s="2" t="n"/>
      <c r="M360" s="2" t="n"/>
      <c r="N360" s="2" t="n"/>
      <c r="O360" s="2" t="n"/>
      <c r="P360" s="2" t="n"/>
    </row>
    <row r="361">
      <c r="A361" s="3" t="n">
        <v>47230</v>
      </c>
      <c r="B361" s="3" t="inlineStr">
        <is>
          <t>CASABACA S.A.</t>
        </is>
      </c>
      <c r="C361" s="4" t="n">
        <v>46078</v>
      </c>
      <c r="D361" s="4" t="n">
        <v>46078</v>
      </c>
      <c r="E361" s="4" t="inlineStr">
        <is>
          <t>IVA</t>
        </is>
      </c>
      <c r="F361" s="3" t="n">
        <v>332</v>
      </c>
      <c r="G361" s="3" t="n">
        <v>31451</v>
      </c>
      <c r="H361" s="3" t="n">
        <v>10</v>
      </c>
      <c r="I361" s="3" t="n">
        <v>329.88</v>
      </c>
      <c r="J361" s="3" t="n">
        <v>32.99</v>
      </c>
      <c r="K361" s="2" t="n"/>
      <c r="L361" s="2" t="n"/>
      <c r="M361" s="2" t="n"/>
      <c r="N361" s="2" t="n"/>
      <c r="O361" s="2" t="n"/>
      <c r="P361" s="2" t="n"/>
    </row>
    <row r="362">
      <c r="A362" s="3" t="n">
        <v>47231</v>
      </c>
      <c r="B362" s="3" t="inlineStr">
        <is>
          <t>TOYOTASERVICIOS S.A.</t>
        </is>
      </c>
      <c r="C362" s="4" t="n">
        <v>46078</v>
      </c>
      <c r="D362" s="4" t="n">
        <v>46078</v>
      </c>
      <c r="E362" s="4" t="inlineStr">
        <is>
          <t>RENTA</t>
        </is>
      </c>
      <c r="F362" s="3" t="n">
        <v>312</v>
      </c>
      <c r="G362" s="3" t="n">
        <v>14919</v>
      </c>
      <c r="H362" s="3" t="n">
        <v>1.75</v>
      </c>
      <c r="I362" s="3" t="n">
        <v>767.52</v>
      </c>
      <c r="J362" s="3" t="n">
        <v>13.43</v>
      </c>
      <c r="K362" s="2" t="n"/>
      <c r="L362" s="2" t="n"/>
      <c r="M362" s="2" t="n"/>
      <c r="N362" s="2" t="n"/>
      <c r="O362" s="2" t="n"/>
      <c r="P362" s="2" t="n"/>
    </row>
    <row r="363">
      <c r="A363" s="3" t="n">
        <v>47231</v>
      </c>
      <c r="B363" s="3" t="inlineStr">
        <is>
          <t>TOYOTASERVICIOS S.A.</t>
        </is>
      </c>
      <c r="C363" s="4" t="n">
        <v>46078</v>
      </c>
      <c r="D363" s="4" t="n">
        <v>46078</v>
      </c>
      <c r="E363" s="4" t="inlineStr">
        <is>
          <t>IVA</t>
        </is>
      </c>
      <c r="F363" s="3" t="n">
        <v>312</v>
      </c>
      <c r="G363" s="3" t="n">
        <v>14919</v>
      </c>
      <c r="H363" s="3" t="n">
        <v>30</v>
      </c>
      <c r="I363" s="3" t="n">
        <v>115.13</v>
      </c>
      <c r="J363" s="3" t="n">
        <v>34.54</v>
      </c>
      <c r="K363" s="2" t="n"/>
      <c r="L363" s="2" t="n"/>
      <c r="M363" s="2" t="n"/>
      <c r="N363" s="2" t="n"/>
      <c r="O363" s="2" t="n"/>
      <c r="P363" s="2" t="n"/>
    </row>
    <row r="364">
      <c r="A364" s="3" t="n">
        <v>47232</v>
      </c>
      <c r="B364" s="3" t="inlineStr">
        <is>
          <t>SZK DEL ECUADOR S.A.</t>
        </is>
      </c>
      <c r="C364" s="4" t="n">
        <v>46078</v>
      </c>
      <c r="D364" s="4" t="n">
        <v>46078</v>
      </c>
      <c r="E364" s="4" t="inlineStr">
        <is>
          <t>IVA</t>
        </is>
      </c>
      <c r="F364" s="3" t="n">
        <v>312</v>
      </c>
      <c r="G364" s="3" t="n">
        <v>3196</v>
      </c>
      <c r="H364" s="3" t="n">
        <v>10</v>
      </c>
      <c r="I364" s="17" t="n">
        <v>10855.08</v>
      </c>
      <c r="J364" s="17" t="n">
        <v>1085.51</v>
      </c>
      <c r="K364" s="2" t="n"/>
      <c r="L364" s="2" t="n"/>
      <c r="M364" s="2" t="n"/>
      <c r="N364" s="2" t="n"/>
      <c r="O364" s="2" t="n"/>
      <c r="P364" s="2" t="n"/>
    </row>
    <row r="365">
      <c r="A365" s="3" t="n">
        <v>47233</v>
      </c>
      <c r="B365" s="3" t="inlineStr">
        <is>
          <t>SZK DEL ECUADOR S.A.</t>
        </is>
      </c>
      <c r="C365" s="4" t="n">
        <v>46078</v>
      </c>
      <c r="D365" s="4" t="n">
        <v>46078</v>
      </c>
      <c r="E365" s="4" t="inlineStr">
        <is>
          <t>IVA</t>
        </is>
      </c>
      <c r="F365" s="3" t="n">
        <v>312</v>
      </c>
      <c r="G365" s="3" t="n">
        <v>3191</v>
      </c>
      <c r="H365" s="3" t="n">
        <v>10</v>
      </c>
      <c r="I365" s="17" t="n">
        <v>2212.53</v>
      </c>
      <c r="J365" s="3" t="n">
        <v>221.25</v>
      </c>
      <c r="K365" s="2" t="n"/>
      <c r="L365" s="2" t="n"/>
      <c r="M365" s="2" t="n"/>
      <c r="N365" s="2" t="n"/>
      <c r="O365" s="2" t="n"/>
      <c r="P365" s="2" t="n"/>
    </row>
    <row r="366">
      <c r="A366" s="3" t="n">
        <v>47234</v>
      </c>
      <c r="B366" s="3" t="inlineStr">
        <is>
          <t>SZK DEL ECUADOR S.A.</t>
        </is>
      </c>
      <c r="C366" s="4" t="n">
        <v>46078</v>
      </c>
      <c r="D366" s="4" t="n">
        <v>46078</v>
      </c>
      <c r="E366" s="4" t="inlineStr">
        <is>
          <t>IVA</t>
        </is>
      </c>
      <c r="F366" s="3" t="n">
        <v>312</v>
      </c>
      <c r="G366" s="3" t="n">
        <v>3193</v>
      </c>
      <c r="H366" s="3" t="n">
        <v>10</v>
      </c>
      <c r="I366" s="17" t="n">
        <v>13156.71</v>
      </c>
      <c r="J366" s="17" t="n">
        <v>1315.67</v>
      </c>
      <c r="K366" s="2" t="n"/>
      <c r="L366" s="2" t="n"/>
      <c r="M366" s="2" t="n"/>
      <c r="N366" s="2" t="n"/>
      <c r="O366" s="2" t="n"/>
      <c r="P366" s="2" t="n"/>
    </row>
    <row r="367">
      <c r="A367" s="3" t="n">
        <v>47235</v>
      </c>
      <c r="B367" s="3" t="inlineStr">
        <is>
          <t>CASABACA S.A.</t>
        </is>
      </c>
      <c r="C367" s="4" t="n">
        <v>46078</v>
      </c>
      <c r="D367" s="4" t="n">
        <v>46078</v>
      </c>
      <c r="E367" s="4" t="inlineStr">
        <is>
          <t>IVA</t>
        </is>
      </c>
      <c r="F367" s="3" t="n">
        <v>332</v>
      </c>
      <c r="G367" s="3" t="n">
        <v>9109</v>
      </c>
      <c r="H367" s="3" t="n">
        <v>10</v>
      </c>
      <c r="I367" s="17" t="n">
        <v>27673.52</v>
      </c>
      <c r="J367" s="17" t="n">
        <v>2767.35</v>
      </c>
      <c r="K367" s="2" t="n"/>
      <c r="L367" s="2" t="n"/>
      <c r="M367" s="2" t="n"/>
      <c r="N367" s="2" t="n"/>
      <c r="O367" s="2" t="n"/>
      <c r="P367" s="2" t="n"/>
    </row>
    <row r="368">
      <c r="A368" s="3" t="n">
        <v>47236</v>
      </c>
      <c r="B368" s="3" t="inlineStr">
        <is>
          <t>SZK DEL ECUADOR S.A.</t>
        </is>
      </c>
      <c r="C368" s="4" t="n">
        <v>46078</v>
      </c>
      <c r="D368" s="4" t="n">
        <v>46078</v>
      </c>
      <c r="E368" s="4" t="inlineStr">
        <is>
          <t>IVA</t>
        </is>
      </c>
      <c r="F368" s="3" t="n">
        <v>312</v>
      </c>
      <c r="G368" s="3" t="n">
        <v>3195</v>
      </c>
      <c r="H368" s="3" t="n">
        <v>10</v>
      </c>
      <c r="I368" s="17" t="n">
        <v>8850.120000000001</v>
      </c>
      <c r="J368" s="3" t="n">
        <v>885.01</v>
      </c>
      <c r="K368" s="2" t="n"/>
      <c r="L368" s="2" t="n"/>
      <c r="M368" s="2" t="n"/>
      <c r="N368" s="2" t="n"/>
      <c r="O368" s="2" t="n"/>
      <c r="P368" s="2" t="n"/>
    </row>
    <row r="369">
      <c r="A369" s="3" t="n">
        <v>47237</v>
      </c>
      <c r="B369" s="3" t="inlineStr">
        <is>
          <t>SZK DEL ECUADOR S.A.</t>
        </is>
      </c>
      <c r="C369" s="4" t="n">
        <v>46078</v>
      </c>
      <c r="D369" s="4" t="n">
        <v>46078</v>
      </c>
      <c r="E369" s="4" t="inlineStr">
        <is>
          <t>IVA</t>
        </is>
      </c>
      <c r="F369" s="3" t="n">
        <v>332</v>
      </c>
      <c r="G369" s="3" t="n">
        <v>1522</v>
      </c>
      <c r="H369" s="3" t="n">
        <v>10</v>
      </c>
      <c r="I369" s="3" t="n">
        <v>665.22</v>
      </c>
      <c r="J369" s="3" t="n">
        <v>66.52</v>
      </c>
      <c r="K369" s="2" t="n"/>
      <c r="L369" s="2" t="n"/>
      <c r="M369" s="2" t="n"/>
      <c r="N369" s="2" t="n"/>
      <c r="O369" s="2" t="n"/>
      <c r="P369" s="2" t="n"/>
    </row>
    <row r="370">
      <c r="A370" s="3" t="n">
        <v>47238</v>
      </c>
      <c r="B370" s="3" t="inlineStr">
        <is>
          <t>TOYOTASERVICIOS S.A.</t>
        </is>
      </c>
      <c r="C370" s="4" t="n">
        <v>46078</v>
      </c>
      <c r="D370" s="4" t="n">
        <v>46078</v>
      </c>
      <c r="E370" s="4" t="inlineStr">
        <is>
          <t>RENTA</t>
        </is>
      </c>
      <c r="F370" s="3" t="n">
        <v>312</v>
      </c>
      <c r="G370" s="3" t="n">
        <v>14918</v>
      </c>
      <c r="H370" s="3" t="n">
        <v>1.75</v>
      </c>
      <c r="I370" s="3" t="n">
        <v>682.3</v>
      </c>
      <c r="J370" s="3" t="n">
        <v>11.94</v>
      </c>
      <c r="K370" s="2" t="n"/>
      <c r="L370" s="2" t="n"/>
      <c r="M370" s="2" t="n"/>
      <c r="N370" s="2" t="n"/>
      <c r="O370" s="2" t="n"/>
      <c r="P370" s="2" t="n"/>
    </row>
    <row r="371">
      <c r="A371" s="3" t="n">
        <v>47238</v>
      </c>
      <c r="B371" s="3" t="inlineStr">
        <is>
          <t>TOYOTASERVICIOS S.A.</t>
        </is>
      </c>
      <c r="C371" s="4" t="n">
        <v>46078</v>
      </c>
      <c r="D371" s="4" t="n">
        <v>46078</v>
      </c>
      <c r="E371" s="4" t="inlineStr">
        <is>
          <t>IVA</t>
        </is>
      </c>
      <c r="F371" s="3" t="n">
        <v>312</v>
      </c>
      <c r="G371" s="3" t="n">
        <v>14918</v>
      </c>
      <c r="H371" s="3" t="n">
        <v>30</v>
      </c>
      <c r="I371" s="3" t="n">
        <v>102.35</v>
      </c>
      <c r="J371" s="3" t="n">
        <v>30.71</v>
      </c>
      <c r="K371" s="2" t="n"/>
      <c r="L371" s="2" t="n"/>
      <c r="M371" s="2" t="n"/>
      <c r="N371" s="2" t="n"/>
      <c r="O371" s="2" t="n"/>
      <c r="P371" s="2" t="n"/>
    </row>
    <row r="372">
      <c r="A372" s="3" t="n">
        <v>47239</v>
      </c>
      <c r="B372" s="3" t="inlineStr">
        <is>
          <t>SZK DEL ECUADOR S.A.</t>
        </is>
      </c>
      <c r="C372" s="4" t="n">
        <v>46078</v>
      </c>
      <c r="D372" s="4" t="n">
        <v>46078</v>
      </c>
      <c r="E372" s="4" t="inlineStr">
        <is>
          <t>IVA</t>
        </is>
      </c>
      <c r="F372" s="3" t="n">
        <v>312</v>
      </c>
      <c r="G372" s="3" t="n">
        <v>3194</v>
      </c>
      <c r="H372" s="3" t="n">
        <v>10</v>
      </c>
      <c r="I372" s="17" t="n">
        <v>13156.71</v>
      </c>
      <c r="J372" s="17" t="n">
        <v>1315.67</v>
      </c>
      <c r="K372" s="2" t="n"/>
      <c r="L372" s="2" t="n"/>
      <c r="M372" s="2" t="n"/>
      <c r="N372" s="2" t="n"/>
      <c r="O372" s="2" t="n"/>
      <c r="P372" s="2" t="n"/>
    </row>
    <row r="373">
      <c r="A373" s="3" t="n">
        <v>47240</v>
      </c>
      <c r="B373" s="3" t="inlineStr">
        <is>
          <t>SZK DEL ECUADOR S.A.</t>
        </is>
      </c>
      <c r="C373" s="4" t="n">
        <v>46078</v>
      </c>
      <c r="D373" s="4" t="n">
        <v>46078</v>
      </c>
      <c r="E373" s="4" t="inlineStr">
        <is>
          <t>IVA</t>
        </is>
      </c>
      <c r="F373" s="3" t="n">
        <v>332</v>
      </c>
      <c r="G373" s="3" t="n">
        <v>1520</v>
      </c>
      <c r="H373" s="3" t="n">
        <v>10</v>
      </c>
      <c r="I373" s="3" t="n">
        <v>365.21</v>
      </c>
      <c r="J373" s="3" t="n">
        <v>36.52</v>
      </c>
      <c r="K373" s="2" t="n"/>
      <c r="L373" s="2" t="n"/>
      <c r="M373" s="2" t="n"/>
      <c r="N373" s="2" t="n"/>
      <c r="O373" s="2" t="n"/>
      <c r="P373" s="2" t="n"/>
    </row>
    <row r="374">
      <c r="A374" s="3" t="n">
        <v>47241</v>
      </c>
      <c r="B374" s="3" t="inlineStr">
        <is>
          <t>SZK DEL ECUADOR S.A.</t>
        </is>
      </c>
      <c r="C374" s="4" t="n">
        <v>46078</v>
      </c>
      <c r="D374" s="4" t="n">
        <v>46078</v>
      </c>
      <c r="E374" s="4" t="inlineStr">
        <is>
          <t>IVA</t>
        </is>
      </c>
      <c r="F374" s="3" t="n">
        <v>312</v>
      </c>
      <c r="G374" s="3" t="n">
        <v>3192</v>
      </c>
      <c r="H374" s="3" t="n">
        <v>10</v>
      </c>
      <c r="I374" s="17" t="n">
        <v>18419.39</v>
      </c>
      <c r="J374" s="17" t="n">
        <v>1841.94</v>
      </c>
      <c r="K374" s="2" t="n"/>
      <c r="L374" s="2" t="n"/>
      <c r="M374" s="2" t="n"/>
      <c r="N374" s="2" t="n"/>
      <c r="O374" s="2" t="n"/>
      <c r="P374" s="2" t="n"/>
    </row>
    <row r="375">
      <c r="A375" s="3" t="n">
        <v>47242</v>
      </c>
      <c r="B375" s="3" t="inlineStr">
        <is>
          <t>TOYOTASERVICIOS S.A.</t>
        </is>
      </c>
      <c r="C375" s="4" t="n">
        <v>46078</v>
      </c>
      <c r="D375" s="4" t="n">
        <v>46078</v>
      </c>
      <c r="E375" s="4" t="inlineStr">
        <is>
          <t>RENTA</t>
        </is>
      </c>
      <c r="F375" s="3" t="n">
        <v>312</v>
      </c>
      <c r="G375" s="3" t="n">
        <v>14912</v>
      </c>
      <c r="H375" s="3" t="n">
        <v>1.75</v>
      </c>
      <c r="I375" s="3" t="n">
        <v>106.8</v>
      </c>
      <c r="J375" s="3" t="n">
        <v>1.87</v>
      </c>
      <c r="K375" s="2" t="n"/>
      <c r="L375" s="2" t="n"/>
      <c r="M375" s="2" t="n"/>
      <c r="N375" s="2" t="n"/>
      <c r="O375" s="2" t="n"/>
      <c r="P375" s="2" t="n"/>
    </row>
    <row r="376">
      <c r="A376" s="3" t="n">
        <v>47242</v>
      </c>
      <c r="B376" s="3" t="inlineStr">
        <is>
          <t>TOYOTASERVICIOS S.A.</t>
        </is>
      </c>
      <c r="C376" s="4" t="n">
        <v>46078</v>
      </c>
      <c r="D376" s="4" t="n">
        <v>46078</v>
      </c>
      <c r="E376" s="4" t="inlineStr">
        <is>
          <t>IVA</t>
        </is>
      </c>
      <c r="F376" s="3" t="n">
        <v>312</v>
      </c>
      <c r="G376" s="3" t="n">
        <v>14912</v>
      </c>
      <c r="H376" s="3" t="n">
        <v>30</v>
      </c>
      <c r="I376" s="3" t="n">
        <v>16.02</v>
      </c>
      <c r="J376" s="3" t="n">
        <v>4.81</v>
      </c>
      <c r="K376" s="2" t="n"/>
      <c r="L376" s="2" t="n"/>
      <c r="M376" s="2" t="n"/>
      <c r="N376" s="2" t="n"/>
      <c r="O376" s="2" t="n"/>
      <c r="P376" s="2" t="n"/>
    </row>
    <row r="377">
      <c r="A377" s="3" t="n">
        <v>47243</v>
      </c>
      <c r="B377" s="3" t="inlineStr">
        <is>
          <t>CASABACA S.A.</t>
        </is>
      </c>
      <c r="C377" s="4" t="n">
        <v>46078</v>
      </c>
      <c r="D377" s="4" t="n">
        <v>46078</v>
      </c>
      <c r="E377" s="4" t="inlineStr">
        <is>
          <t>IVA</t>
        </is>
      </c>
      <c r="F377" s="3" t="n">
        <v>332</v>
      </c>
      <c r="G377" s="3" t="n">
        <v>31450</v>
      </c>
      <c r="H377" s="3" t="n">
        <v>10</v>
      </c>
      <c r="I377" s="3" t="n">
        <v>398.9</v>
      </c>
      <c r="J377" s="3" t="n">
        <v>39.89</v>
      </c>
      <c r="K377" s="2" t="n"/>
      <c r="L377" s="2" t="n"/>
      <c r="M377" s="2" t="n"/>
      <c r="N377" s="2" t="n"/>
      <c r="O377" s="2" t="n"/>
      <c r="P377" s="2" t="n"/>
    </row>
    <row r="378">
      <c r="A378" s="3" t="n">
        <v>47244</v>
      </c>
      <c r="B378" s="3" t="inlineStr">
        <is>
          <t>YANGTSE-AUTO DEL ECUADOR S.A.</t>
        </is>
      </c>
      <c r="C378" s="4" t="n">
        <v>46079</v>
      </c>
      <c r="D378" s="4" t="n">
        <v>46079</v>
      </c>
      <c r="E378" s="4" t="inlineStr">
        <is>
          <t>IVA</t>
        </is>
      </c>
      <c r="F378" s="3" t="n">
        <v>312</v>
      </c>
      <c r="G378" s="3" t="n">
        <v>697</v>
      </c>
      <c r="H378" s="3" t="n">
        <v>30</v>
      </c>
      <c r="I378" s="17" t="n">
        <v>4396.02</v>
      </c>
      <c r="J378" s="17" t="n">
        <v>1318.81</v>
      </c>
      <c r="K378" s="2" t="n"/>
      <c r="L378" s="2" t="n"/>
      <c r="M378" s="2" t="n"/>
      <c r="N378" s="2" t="n"/>
      <c r="O378" s="2" t="n"/>
      <c r="P378" s="2" t="n"/>
    </row>
    <row r="379">
      <c r="A379" s="3" t="n">
        <v>47244</v>
      </c>
      <c r="B379" s="3" t="inlineStr">
        <is>
          <t>YANGTSE-AUTO DEL ECUADOR S.A.</t>
        </is>
      </c>
      <c r="C379" s="4" t="n">
        <v>46079</v>
      </c>
      <c r="D379" s="4" t="n">
        <v>46079</v>
      </c>
      <c r="E379" s="4" t="inlineStr">
        <is>
          <t>RENTA</t>
        </is>
      </c>
      <c r="F379" s="3" t="n">
        <v>312</v>
      </c>
      <c r="G379" s="3" t="n">
        <v>697</v>
      </c>
      <c r="H379" s="3" t="n">
        <v>1.75</v>
      </c>
      <c r="I379" s="17" t="n">
        <v>29306.8</v>
      </c>
      <c r="J379" s="3" t="n">
        <v>512.87</v>
      </c>
      <c r="K379" s="2" t="n"/>
      <c r="L379" s="2" t="n"/>
      <c r="M379" s="2" t="n"/>
      <c r="N379" s="2" t="n"/>
      <c r="O379" s="2" t="n"/>
      <c r="P379" s="2" t="n"/>
    </row>
    <row r="380">
      <c r="A380" s="3" t="n">
        <v>47245</v>
      </c>
      <c r="B380" s="3" t="inlineStr">
        <is>
          <t>SZK DEL ECUADOR S.A.</t>
        </is>
      </c>
      <c r="C380" s="4" t="n">
        <v>46079</v>
      </c>
      <c r="D380" s="4" t="n">
        <v>46079</v>
      </c>
      <c r="E380" s="4" t="inlineStr">
        <is>
          <t>IVA</t>
        </is>
      </c>
      <c r="F380" s="3" t="n">
        <v>312</v>
      </c>
      <c r="G380" s="3" t="n">
        <v>3199</v>
      </c>
      <c r="H380" s="3" t="n">
        <v>10</v>
      </c>
      <c r="I380" s="17" t="n">
        <v>15788.05</v>
      </c>
      <c r="J380" s="17" t="n">
        <v>1578.81</v>
      </c>
      <c r="K380" s="2" t="n"/>
      <c r="L380" s="2" t="n"/>
      <c r="M380" s="2" t="n"/>
      <c r="N380" s="2" t="n"/>
      <c r="O380" s="2" t="n"/>
      <c r="P380" s="2" t="n"/>
    </row>
    <row r="381">
      <c r="A381" s="3" t="n">
        <v>47246</v>
      </c>
      <c r="B381" s="3" t="inlineStr">
        <is>
          <t>CASABACA S.A.</t>
        </is>
      </c>
      <c r="C381" s="4" t="n">
        <v>46079</v>
      </c>
      <c r="D381" s="4" t="n">
        <v>46079</v>
      </c>
      <c r="E381" s="4" t="inlineStr">
        <is>
          <t>IVA</t>
        </is>
      </c>
      <c r="F381" s="3" t="n">
        <v>332</v>
      </c>
      <c r="G381" s="3" t="n">
        <v>9120</v>
      </c>
      <c r="H381" s="3" t="n">
        <v>10</v>
      </c>
      <c r="I381" s="17" t="n">
        <v>23377.32</v>
      </c>
      <c r="J381" s="17" t="n">
        <v>2337.73</v>
      </c>
      <c r="K381" s="2" t="n"/>
      <c r="L381" s="2" t="n"/>
      <c r="M381" s="2" t="n"/>
      <c r="N381" s="2" t="n"/>
      <c r="O381" s="2" t="n"/>
      <c r="P381" s="2" t="n"/>
    </row>
    <row r="382">
      <c r="A382" s="3" t="n">
        <v>47247</v>
      </c>
      <c r="B382" s="3" t="inlineStr">
        <is>
          <t>CODEX</t>
        </is>
      </c>
      <c r="C382" s="4" t="n">
        <v>46079</v>
      </c>
      <c r="D382" s="4" t="n">
        <v>46079</v>
      </c>
      <c r="E382" s="4" t="inlineStr">
        <is>
          <t>RENTA</t>
        </is>
      </c>
      <c r="F382" s="3" t="n">
        <v>344</v>
      </c>
      <c r="G382" s="3" t="n">
        <v>11919</v>
      </c>
      <c r="H382" s="3" t="n">
        <v>2.75</v>
      </c>
      <c r="I382" s="3" t="n">
        <v>195.65</v>
      </c>
      <c r="J382" s="3" t="n">
        <v>5.38</v>
      </c>
      <c r="K382" s="2" t="n"/>
      <c r="L382" s="2" t="n"/>
      <c r="M382" s="2" t="n"/>
      <c r="N382" s="2" t="n"/>
      <c r="O382" s="2" t="n"/>
      <c r="P382" s="2" t="n"/>
    </row>
    <row r="383">
      <c r="A383" s="3" t="n">
        <v>47247</v>
      </c>
      <c r="B383" s="3" t="inlineStr">
        <is>
          <t>CODEX</t>
        </is>
      </c>
      <c r="C383" s="4" t="n">
        <v>46079</v>
      </c>
      <c r="D383" s="4" t="n">
        <v>46079</v>
      </c>
      <c r="E383" s="4" t="inlineStr">
        <is>
          <t>IVA</t>
        </is>
      </c>
      <c r="F383" s="3" t="n">
        <v>344</v>
      </c>
      <c r="G383" s="3" t="n">
        <v>11919</v>
      </c>
      <c r="H383" s="3" t="n">
        <v>70</v>
      </c>
      <c r="I383" s="3" t="n">
        <v>29.35</v>
      </c>
      <c r="J383" s="3" t="n">
        <v>20.55</v>
      </c>
      <c r="K383" s="2" t="n"/>
      <c r="L383" s="2" t="n"/>
      <c r="M383" s="2" t="n"/>
      <c r="N383" s="2" t="n"/>
      <c r="O383" s="2" t="n"/>
      <c r="P383" s="2" t="n"/>
    </row>
    <row r="384">
      <c r="A384" s="3" t="n">
        <v>47248</v>
      </c>
      <c r="B384" s="3" t="inlineStr">
        <is>
          <t>SZK DEL ECUADOR S.A.</t>
        </is>
      </c>
      <c r="C384" s="4" t="n">
        <v>46079</v>
      </c>
      <c r="D384" s="4" t="n">
        <v>46079</v>
      </c>
      <c r="E384" s="4" t="inlineStr">
        <is>
          <t>IVA</t>
        </is>
      </c>
      <c r="F384" s="3" t="n">
        <v>312</v>
      </c>
      <c r="G384" s="3" t="n">
        <v>3197</v>
      </c>
      <c r="H384" s="3" t="n">
        <v>10</v>
      </c>
      <c r="I384" s="17" t="n">
        <v>2870.66</v>
      </c>
      <c r="J384" s="3" t="n">
        <v>287.07</v>
      </c>
      <c r="K384" s="2" t="n"/>
      <c r="L384" s="2" t="n"/>
      <c r="M384" s="2" t="n"/>
      <c r="N384" s="2" t="n"/>
      <c r="O384" s="2" t="n"/>
      <c r="P384" s="2" t="n"/>
    </row>
    <row r="385">
      <c r="A385" s="3" t="n">
        <v>47249</v>
      </c>
      <c r="B385" s="3" t="inlineStr">
        <is>
          <t>SZK DEL ECUADOR S.A.</t>
        </is>
      </c>
      <c r="C385" s="4" t="n">
        <v>46079</v>
      </c>
      <c r="D385" s="4" t="n">
        <v>46079</v>
      </c>
      <c r="E385" s="4" t="inlineStr">
        <is>
          <t>IVA</t>
        </is>
      </c>
      <c r="F385" s="3" t="n">
        <v>312</v>
      </c>
      <c r="G385" s="3" t="n">
        <v>3198</v>
      </c>
      <c r="H385" s="3" t="n">
        <v>10</v>
      </c>
      <c r="I385" s="17" t="n">
        <v>15788.05</v>
      </c>
      <c r="J385" s="17" t="n">
        <v>1578.81</v>
      </c>
      <c r="K385" s="2" t="n"/>
      <c r="L385" s="2" t="n"/>
      <c r="M385" s="2" t="n"/>
      <c r="N385" s="2" t="n"/>
      <c r="O385" s="2" t="n"/>
      <c r="P385" s="2" t="n"/>
    </row>
    <row r="386">
      <c r="A386" s="3" t="n">
        <v>47250</v>
      </c>
      <c r="B386" s="3" t="inlineStr">
        <is>
          <t>SZK DEL ECUADOR S.A.</t>
        </is>
      </c>
      <c r="C386" s="4" t="n">
        <v>46079</v>
      </c>
      <c r="D386" s="4" t="n">
        <v>46079</v>
      </c>
      <c r="E386" s="4" t="inlineStr">
        <is>
          <t>IVA</t>
        </is>
      </c>
      <c r="F386" s="3" t="n">
        <v>312</v>
      </c>
      <c r="G386" s="3" t="n">
        <v>3200</v>
      </c>
      <c r="H386" s="3" t="n">
        <v>10</v>
      </c>
      <c r="I386" s="17" t="n">
        <v>3917.87</v>
      </c>
      <c r="J386" s="3" t="n">
        <v>391.79</v>
      </c>
      <c r="K386" s="2" t="n"/>
      <c r="L386" s="2" t="n"/>
      <c r="M386" s="2" t="n"/>
      <c r="N386" s="2" t="n"/>
      <c r="O386" s="2" t="n"/>
      <c r="P386" s="2" t="n"/>
    </row>
    <row r="387">
      <c r="A387" s="3" t="n">
        <v>47251</v>
      </c>
      <c r="B387" s="3" t="inlineStr">
        <is>
          <t>TOYOTASERVICIOS S.A.</t>
        </is>
      </c>
      <c r="C387" s="4" t="n">
        <v>46079</v>
      </c>
      <c r="D387" s="4" t="n">
        <v>46079</v>
      </c>
      <c r="E387" s="4" t="inlineStr">
        <is>
          <t>IVA</t>
        </is>
      </c>
      <c r="F387" s="3" t="n">
        <v>344</v>
      </c>
      <c r="G387" s="3" t="n">
        <v>7769</v>
      </c>
      <c r="H387" s="3" t="n">
        <v>70</v>
      </c>
      <c r="I387" s="3" t="n">
        <v>9</v>
      </c>
      <c r="J387" s="3" t="n">
        <v>6.3</v>
      </c>
      <c r="K387" s="2" t="n"/>
      <c r="L387" s="2" t="n"/>
      <c r="M387" s="2" t="n"/>
      <c r="N387" s="2" t="n"/>
      <c r="O387" s="2" t="n"/>
      <c r="P387" s="2" t="n"/>
    </row>
    <row r="388">
      <c r="A388" s="3" t="n">
        <v>47251</v>
      </c>
      <c r="B388" s="3" t="inlineStr">
        <is>
          <t>TOYOTASERVICIOS S.A.</t>
        </is>
      </c>
      <c r="C388" s="4" t="n">
        <v>46079</v>
      </c>
      <c r="D388" s="4" t="n">
        <v>46079</v>
      </c>
      <c r="E388" s="4" t="inlineStr">
        <is>
          <t>RENTA</t>
        </is>
      </c>
      <c r="F388" s="3" t="n">
        <v>344</v>
      </c>
      <c r="G388" s="3" t="n">
        <v>7769</v>
      </c>
      <c r="H388" s="3" t="n">
        <v>2.75</v>
      </c>
      <c r="I388" s="3" t="n">
        <v>60</v>
      </c>
      <c r="J388" s="3" t="n">
        <v>1.65</v>
      </c>
      <c r="K388" s="2" t="n"/>
      <c r="L388" s="2" t="n"/>
      <c r="M388" s="2" t="n"/>
      <c r="N388" s="2" t="n"/>
      <c r="O388" s="2" t="n"/>
      <c r="P388" s="2" t="n"/>
    </row>
    <row r="389">
      <c r="A389" s="3" t="n">
        <v>47252</v>
      </c>
      <c r="B389" s="3" t="inlineStr">
        <is>
          <t>CONSORCIO DEL PICHINCHA S.A CONDELPI</t>
        </is>
      </c>
      <c r="C389" s="4" t="n">
        <v>46079</v>
      </c>
      <c r="D389" s="4" t="n">
        <v>46078</v>
      </c>
      <c r="E389" s="4" t="inlineStr">
        <is>
          <t>IVA</t>
        </is>
      </c>
      <c r="F389" s="3" t="n">
        <v>332</v>
      </c>
      <c r="G389" s="3" t="n">
        <v>101390</v>
      </c>
      <c r="H389" s="3" t="n">
        <v>10</v>
      </c>
      <c r="I389" s="17" t="n">
        <v>1695.65</v>
      </c>
      <c r="J389" s="3" t="n">
        <v>169.57</v>
      </c>
      <c r="K389" s="2" t="n"/>
      <c r="L389" s="2" t="n"/>
      <c r="M389" s="2" t="n"/>
      <c r="N389" s="2" t="n"/>
      <c r="O389" s="2" t="n"/>
      <c r="P389" s="2" t="n"/>
    </row>
    <row r="390">
      <c r="A390" s="3" t="n">
        <v>47253</v>
      </c>
      <c r="B390" s="3" t="inlineStr">
        <is>
          <t>NOBOA CABRERA GALO HERNAN</t>
        </is>
      </c>
      <c r="C390" s="4" t="n">
        <v>46079</v>
      </c>
      <c r="D390" s="4" t="n">
        <v>46079</v>
      </c>
      <c r="E390" s="4" t="inlineStr">
        <is>
          <t>RENTA</t>
        </is>
      </c>
      <c r="F390" s="3" t="n">
        <v>343</v>
      </c>
      <c r="G390" s="3" t="n">
        <v>914</v>
      </c>
      <c r="H390" s="3" t="n">
        <v>1</v>
      </c>
      <c r="I390" s="3" t="n">
        <v>15</v>
      </c>
      <c r="J390" s="3" t="n">
        <v>0.15</v>
      </c>
      <c r="K390" s="2" t="n"/>
      <c r="L390" s="2" t="n"/>
      <c r="M390" s="2" t="n"/>
      <c r="N390" s="2" t="n"/>
      <c r="O390" s="2" t="n"/>
      <c r="P390" s="2" t="n"/>
    </row>
    <row r="391">
      <c r="A391" s="3" t="n">
        <v>47253</v>
      </c>
      <c r="B391" s="3" t="inlineStr">
        <is>
          <t>NOBOA CABRERA GALO HERNAN</t>
        </is>
      </c>
      <c r="C391" s="4" t="n">
        <v>46079</v>
      </c>
      <c r="D391" s="4" t="n">
        <v>46079</v>
      </c>
      <c r="E391" s="4" t="inlineStr">
        <is>
          <t>IVA</t>
        </is>
      </c>
      <c r="F391" s="3" t="n">
        <v>343</v>
      </c>
      <c r="G391" s="3" t="n">
        <v>914</v>
      </c>
      <c r="H391" s="3" t="n">
        <v>70</v>
      </c>
      <c r="I391" s="3" t="n">
        <v>2.25</v>
      </c>
      <c r="J391" s="3" t="n">
        <v>1.58</v>
      </c>
      <c r="K391" s="2" t="n"/>
      <c r="L391" s="2" t="n"/>
      <c r="M391" s="2" t="n"/>
      <c r="N391" s="2" t="n"/>
      <c r="O391" s="2" t="n"/>
      <c r="P391" s="2" t="n"/>
    </row>
    <row r="392">
      <c r="A392" s="3" t="n">
        <v>47254</v>
      </c>
      <c r="B392" s="3" t="inlineStr">
        <is>
          <t>TOYOTASERVICIOS S.A.</t>
        </is>
      </c>
      <c r="C392" s="4" t="n">
        <v>46079</v>
      </c>
      <c r="D392" s="4" t="n">
        <v>46079</v>
      </c>
      <c r="E392" s="4" t="inlineStr">
        <is>
          <t>RENTA</t>
        </is>
      </c>
      <c r="F392" s="3" t="n">
        <v>344</v>
      </c>
      <c r="G392" s="3" t="n">
        <v>7770</v>
      </c>
      <c r="H392" s="3" t="n">
        <v>2.75</v>
      </c>
      <c r="I392" s="3" t="n">
        <v>60</v>
      </c>
      <c r="J392" s="3" t="n">
        <v>1.65</v>
      </c>
      <c r="K392" s="2" t="n"/>
      <c r="L392" s="2" t="n"/>
      <c r="M392" s="2" t="n"/>
      <c r="N392" s="2" t="n"/>
      <c r="O392" s="2" t="n"/>
      <c r="P392" s="2" t="n"/>
    </row>
    <row r="393">
      <c r="A393" s="3" t="n">
        <v>47254</v>
      </c>
      <c r="B393" s="3" t="inlineStr">
        <is>
          <t>TOYOTASERVICIOS S.A.</t>
        </is>
      </c>
      <c r="C393" s="4" t="n">
        <v>46079</v>
      </c>
      <c r="D393" s="4" t="n">
        <v>46079</v>
      </c>
      <c r="E393" s="4" t="inlineStr">
        <is>
          <t>IVA</t>
        </is>
      </c>
      <c r="F393" s="3" t="n">
        <v>344</v>
      </c>
      <c r="G393" s="3" t="n">
        <v>7770</v>
      </c>
      <c r="H393" s="3" t="n">
        <v>70</v>
      </c>
      <c r="I393" s="3" t="n">
        <v>9</v>
      </c>
      <c r="J393" s="3" t="n">
        <v>6.3</v>
      </c>
      <c r="K393" s="2" t="n"/>
      <c r="L393" s="2" t="n"/>
      <c r="M393" s="2" t="n"/>
      <c r="N393" s="2" t="n"/>
      <c r="O393" s="2" t="n"/>
      <c r="P393" s="2" t="n"/>
    </row>
    <row r="394">
      <c r="A394" s="3" t="n">
        <v>47255</v>
      </c>
      <c r="B394" s="3" t="inlineStr">
        <is>
          <t>GONZALEZ VEGA EL MOTOR CIA LTDA</t>
        </is>
      </c>
      <c r="C394" s="4" t="n">
        <v>46079</v>
      </c>
      <c r="D394" s="4" t="n">
        <v>46078</v>
      </c>
      <c r="E394" s="4" t="inlineStr">
        <is>
          <t>RENTA</t>
        </is>
      </c>
      <c r="F394" s="3" t="n">
        <v>312</v>
      </c>
      <c r="G394" s="3" t="n">
        <v>125851</v>
      </c>
      <c r="H394" s="3" t="n">
        <v>1.75</v>
      </c>
      <c r="I394" s="3" t="n">
        <v>57.35</v>
      </c>
      <c r="J394" s="3" t="n">
        <v>1</v>
      </c>
      <c r="K394" s="2" t="n"/>
      <c r="L394" s="2" t="n"/>
      <c r="M394" s="2" t="n"/>
      <c r="N394" s="2" t="n"/>
      <c r="O394" s="2" t="n"/>
      <c r="P394" s="2" t="n"/>
    </row>
    <row r="395">
      <c r="A395" s="3" t="n">
        <v>47255</v>
      </c>
      <c r="B395" s="3" t="inlineStr">
        <is>
          <t>GONZALEZ VEGA EL MOTOR CIA LTDA</t>
        </is>
      </c>
      <c r="C395" s="4" t="n">
        <v>46079</v>
      </c>
      <c r="D395" s="4" t="n">
        <v>46078</v>
      </c>
      <c r="E395" s="4" t="inlineStr">
        <is>
          <t>IVA</t>
        </is>
      </c>
      <c r="F395" s="3" t="n">
        <v>312</v>
      </c>
      <c r="G395" s="3" t="n">
        <v>125851</v>
      </c>
      <c r="H395" s="3" t="n">
        <v>30</v>
      </c>
      <c r="I395" s="3" t="n">
        <v>8.6</v>
      </c>
      <c r="J395" s="3" t="n">
        <v>2.58</v>
      </c>
      <c r="K395" s="2" t="n"/>
      <c r="L395" s="2" t="n"/>
      <c r="M395" s="2" t="n"/>
      <c r="N395" s="2" t="n"/>
      <c r="O395" s="2" t="n"/>
      <c r="P395" s="2" t="n"/>
    </row>
    <row r="396">
      <c r="A396" s="3" t="n">
        <v>47256</v>
      </c>
      <c r="B396" s="3" t="inlineStr">
        <is>
          <t>CONSORCIO DEL PICHINCHA S.A CONDELPI</t>
        </is>
      </c>
      <c r="C396" s="4" t="n">
        <v>46079</v>
      </c>
      <c r="D396" s="4" t="n">
        <v>46078</v>
      </c>
      <c r="E396" s="4" t="inlineStr">
        <is>
          <t>IVA</t>
        </is>
      </c>
      <c r="F396" s="3" t="n">
        <v>332</v>
      </c>
      <c r="G396" s="3" t="n">
        <v>101391</v>
      </c>
      <c r="H396" s="3" t="n">
        <v>20</v>
      </c>
      <c r="I396" s="3" t="n">
        <v>16.31</v>
      </c>
      <c r="J396" s="3" t="n">
        <v>3.26</v>
      </c>
      <c r="K396" s="2" t="n"/>
      <c r="L396" s="2" t="n"/>
      <c r="M396" s="2" t="n"/>
      <c r="N396" s="2" t="n"/>
      <c r="O396" s="2" t="n"/>
      <c r="P396" s="2" t="n"/>
    </row>
    <row r="397">
      <c r="A397" s="3" t="n">
        <v>47257</v>
      </c>
      <c r="B397" s="3" t="inlineStr">
        <is>
          <t>TOYOTASERVICIOS S.A.</t>
        </is>
      </c>
      <c r="C397" s="4" t="n">
        <v>46079</v>
      </c>
      <c r="D397" s="4" t="n">
        <v>46079</v>
      </c>
      <c r="E397" s="4" t="inlineStr">
        <is>
          <t>RENTA</t>
        </is>
      </c>
      <c r="F397" s="3" t="n">
        <v>344</v>
      </c>
      <c r="G397" s="3" t="n">
        <v>7768</v>
      </c>
      <c r="H397" s="3" t="n">
        <v>2.75</v>
      </c>
      <c r="I397" s="3" t="n">
        <v>60</v>
      </c>
      <c r="J397" s="3" t="n">
        <v>1.65</v>
      </c>
      <c r="K397" s="2" t="n"/>
      <c r="L397" s="2" t="n"/>
      <c r="M397" s="2" t="n"/>
      <c r="N397" s="2" t="n"/>
      <c r="O397" s="2" t="n"/>
      <c r="P397" s="2" t="n"/>
    </row>
    <row r="398">
      <c r="A398" s="3" t="n">
        <v>47257</v>
      </c>
      <c r="B398" s="3" t="inlineStr">
        <is>
          <t>TOYOTASERVICIOS S.A.</t>
        </is>
      </c>
      <c r="C398" s="4" t="n">
        <v>46079</v>
      </c>
      <c r="D398" s="4" t="n">
        <v>46079</v>
      </c>
      <c r="E398" s="4" t="inlineStr">
        <is>
          <t>IVA</t>
        </is>
      </c>
      <c r="F398" s="3" t="n">
        <v>344</v>
      </c>
      <c r="G398" s="3" t="n">
        <v>7768</v>
      </c>
      <c r="H398" s="3" t="n">
        <v>70</v>
      </c>
      <c r="I398" s="3" t="n">
        <v>9</v>
      </c>
      <c r="J398" s="3" t="n">
        <v>6.3</v>
      </c>
      <c r="K398" s="2" t="n"/>
      <c r="L398" s="2" t="n"/>
      <c r="M398" s="2" t="n"/>
      <c r="N398" s="2" t="n"/>
      <c r="O398" s="2" t="n"/>
      <c r="P398" s="2" t="n"/>
    </row>
    <row r="399">
      <c r="A399" s="3" t="n">
        <v>47258</v>
      </c>
      <c r="B399" s="3" t="inlineStr">
        <is>
          <t>CONSORCIO DEL PICHINCHA S.A CONDELPI</t>
        </is>
      </c>
      <c r="C399" s="4" t="n">
        <v>46079</v>
      </c>
      <c r="D399" s="4" t="n">
        <v>46078</v>
      </c>
      <c r="E399" s="4" t="inlineStr">
        <is>
          <t>IVA</t>
        </is>
      </c>
      <c r="F399" s="3" t="n">
        <v>332</v>
      </c>
      <c r="G399" s="3" t="n">
        <v>101400</v>
      </c>
      <c r="H399" s="3" t="n">
        <v>20</v>
      </c>
      <c r="I399" s="3" t="n">
        <v>16.31</v>
      </c>
      <c r="J399" s="3" t="n">
        <v>3.26</v>
      </c>
      <c r="K399" s="2" t="n"/>
      <c r="L399" s="2" t="n"/>
      <c r="M399" s="2" t="n"/>
      <c r="N399" s="2" t="n"/>
      <c r="O399" s="2" t="n"/>
      <c r="P399" s="2" t="n"/>
    </row>
    <row r="400">
      <c r="A400" s="3" t="n">
        <v>47259</v>
      </c>
      <c r="B400" s="3" t="inlineStr">
        <is>
          <t>CONSORCIO DEL PICHINCHA S.A CONDELPI</t>
        </is>
      </c>
      <c r="C400" s="4" t="n">
        <v>46079</v>
      </c>
      <c r="D400" s="4" t="n">
        <v>46078</v>
      </c>
      <c r="E400" s="4" t="inlineStr">
        <is>
          <t>IVA</t>
        </is>
      </c>
      <c r="F400" s="3" t="n">
        <v>332</v>
      </c>
      <c r="G400" s="3" t="n">
        <v>101399</v>
      </c>
      <c r="H400" s="3" t="n">
        <v>10</v>
      </c>
      <c r="I400" s="3" t="n">
        <v>978.26</v>
      </c>
      <c r="J400" s="3" t="n">
        <v>97.83</v>
      </c>
      <c r="K400" s="2" t="n"/>
      <c r="L400" s="2" t="n"/>
      <c r="M400" s="2" t="n"/>
      <c r="N400" s="2" t="n"/>
      <c r="O400" s="2" t="n"/>
      <c r="P400" s="2" t="n"/>
    </row>
    <row r="401">
      <c r="A401" s="3" t="n">
        <v>47260</v>
      </c>
      <c r="B401" s="3" t="inlineStr">
        <is>
          <t>CASABACA S.A.</t>
        </is>
      </c>
      <c r="C401" s="4" t="n">
        <v>46079</v>
      </c>
      <c r="D401" s="4" t="n">
        <v>46079</v>
      </c>
      <c r="E401" s="4" t="inlineStr">
        <is>
          <t>IVA</t>
        </is>
      </c>
      <c r="F401" s="3" t="n">
        <v>332</v>
      </c>
      <c r="G401" s="3" t="n">
        <v>31458</v>
      </c>
      <c r="H401" s="3" t="n">
        <v>10</v>
      </c>
      <c r="I401" s="3" t="n">
        <v>340.14</v>
      </c>
      <c r="J401" s="3" t="n">
        <v>34.01</v>
      </c>
      <c r="K401" s="2" t="n"/>
      <c r="L401" s="2" t="n"/>
      <c r="M401" s="2" t="n"/>
      <c r="N401" s="2" t="n"/>
      <c r="O401" s="2" t="n"/>
      <c r="P401" s="2" t="n"/>
    </row>
    <row r="402">
      <c r="A402" s="3" t="n">
        <v>47261</v>
      </c>
      <c r="B402" s="3" t="inlineStr">
        <is>
          <t>CASABACA S.A.</t>
        </is>
      </c>
      <c r="C402" s="4" t="n">
        <v>46079</v>
      </c>
      <c r="D402" s="4" t="n">
        <v>46079</v>
      </c>
      <c r="E402" s="4" t="inlineStr">
        <is>
          <t>IVA</t>
        </is>
      </c>
      <c r="F402" s="3" t="n">
        <v>332</v>
      </c>
      <c r="G402" s="3" t="n">
        <v>31461</v>
      </c>
      <c r="H402" s="3" t="n">
        <v>10</v>
      </c>
      <c r="I402" s="3" t="n">
        <v>340.14</v>
      </c>
      <c r="J402" s="3" t="n">
        <v>34.01</v>
      </c>
      <c r="K402" s="2" t="n"/>
      <c r="L402" s="2" t="n"/>
      <c r="M402" s="2" t="n"/>
      <c r="N402" s="2" t="n"/>
      <c r="O402" s="2" t="n"/>
      <c r="P402" s="2" t="n"/>
    </row>
    <row r="403">
      <c r="A403" s="3" t="n">
        <v>47262</v>
      </c>
      <c r="B403" s="3" t="inlineStr">
        <is>
          <t>SZK DEL ECUADOR S.A.</t>
        </is>
      </c>
      <c r="C403" s="4" t="n">
        <v>46079</v>
      </c>
      <c r="D403" s="4" t="n">
        <v>46079</v>
      </c>
      <c r="E403" s="4" t="inlineStr">
        <is>
          <t>IVA</t>
        </is>
      </c>
      <c r="F403" s="3" t="n">
        <v>332</v>
      </c>
      <c r="G403" s="3" t="n">
        <v>1523</v>
      </c>
      <c r="H403" s="3" t="n">
        <v>10</v>
      </c>
      <c r="I403" s="3" t="n">
        <v>221.74</v>
      </c>
      <c r="J403" s="3" t="n">
        <v>22.17</v>
      </c>
      <c r="K403" s="2" t="n"/>
      <c r="L403" s="2" t="n"/>
      <c r="M403" s="2" t="n"/>
      <c r="N403" s="2" t="n"/>
      <c r="O403" s="2" t="n"/>
      <c r="P403" s="2" t="n"/>
    </row>
    <row r="404">
      <c r="A404" s="3" t="n">
        <v>47263</v>
      </c>
      <c r="B404" s="3" t="inlineStr">
        <is>
          <t>CASABACA S.A.</t>
        </is>
      </c>
      <c r="C404" s="4" t="n">
        <v>46079</v>
      </c>
      <c r="D404" s="4" t="n">
        <v>46079</v>
      </c>
      <c r="E404" s="4" t="inlineStr">
        <is>
          <t>IVA</t>
        </is>
      </c>
      <c r="F404" s="3" t="n">
        <v>332</v>
      </c>
      <c r="G404" s="3" t="n">
        <v>31459</v>
      </c>
      <c r="H404" s="3" t="n">
        <v>10</v>
      </c>
      <c r="I404" s="3" t="n">
        <v>340.14</v>
      </c>
      <c r="J404" s="3" t="n">
        <v>34.01</v>
      </c>
      <c r="K404" s="2" t="n"/>
      <c r="L404" s="2" t="n"/>
      <c r="M404" s="2" t="n"/>
      <c r="N404" s="2" t="n"/>
      <c r="O404" s="2" t="n"/>
      <c r="P404" s="2" t="n"/>
    </row>
    <row r="405">
      <c r="A405" s="3" t="n">
        <v>47264</v>
      </c>
      <c r="B405" s="3" t="inlineStr">
        <is>
          <t>CASABACA S.A.</t>
        </is>
      </c>
      <c r="C405" s="4" t="n">
        <v>46079</v>
      </c>
      <c r="D405" s="4" t="n">
        <v>46079</v>
      </c>
      <c r="E405" s="4" t="inlineStr">
        <is>
          <t>IVA</t>
        </is>
      </c>
      <c r="F405" s="3" t="n">
        <v>332</v>
      </c>
      <c r="G405" s="3" t="n">
        <v>31462</v>
      </c>
      <c r="H405" s="3" t="n">
        <v>10</v>
      </c>
      <c r="I405" s="3" t="n">
        <v>340.14</v>
      </c>
      <c r="J405" s="3" t="n">
        <v>34.01</v>
      </c>
      <c r="K405" s="2" t="n"/>
      <c r="L405" s="2" t="n"/>
      <c r="M405" s="2" t="n"/>
      <c r="N405" s="2" t="n"/>
      <c r="O405" s="2" t="n"/>
      <c r="P405" s="2" t="n"/>
    </row>
    <row r="406">
      <c r="A406" s="3" t="n">
        <v>47265</v>
      </c>
      <c r="B406" s="3" t="inlineStr">
        <is>
          <t>YANGTSE-AUTO DEL ECUADOR S.A.</t>
        </is>
      </c>
      <c r="C406" s="4" t="n">
        <v>46079</v>
      </c>
      <c r="D406" s="4" t="n">
        <v>46079</v>
      </c>
      <c r="E406" s="4" t="inlineStr">
        <is>
          <t>RENTA</t>
        </is>
      </c>
      <c r="F406" s="3" t="n">
        <v>312</v>
      </c>
      <c r="G406" s="3" t="n">
        <v>573</v>
      </c>
      <c r="H406" s="3" t="n">
        <v>1.75</v>
      </c>
      <c r="I406" s="3" t="n">
        <v>396.08</v>
      </c>
      <c r="J406" s="3" t="n">
        <v>6.93</v>
      </c>
      <c r="K406" s="2" t="n"/>
      <c r="L406" s="2" t="n"/>
      <c r="M406" s="2" t="n"/>
      <c r="N406" s="2" t="n"/>
      <c r="O406" s="2" t="n"/>
      <c r="P406" s="2" t="n"/>
    </row>
    <row r="407">
      <c r="A407" s="3" t="n">
        <v>47265</v>
      </c>
      <c r="B407" s="3" t="inlineStr">
        <is>
          <t>YANGTSE-AUTO DEL ECUADOR S.A.</t>
        </is>
      </c>
      <c r="C407" s="4" t="n">
        <v>46079</v>
      </c>
      <c r="D407" s="4" t="n">
        <v>46079</v>
      </c>
      <c r="E407" s="4" t="inlineStr">
        <is>
          <t>IVA</t>
        </is>
      </c>
      <c r="F407" s="3" t="n">
        <v>312</v>
      </c>
      <c r="G407" s="3" t="n">
        <v>573</v>
      </c>
      <c r="H407" s="3" t="n">
        <v>30</v>
      </c>
      <c r="I407" s="3" t="n">
        <v>3.91</v>
      </c>
      <c r="J407" s="3" t="n">
        <v>1.17</v>
      </c>
      <c r="K407" s="2" t="n"/>
      <c r="L407" s="2" t="n"/>
      <c r="M407" s="2" t="n"/>
      <c r="N407" s="2" t="n"/>
      <c r="O407" s="2" t="n"/>
      <c r="P407" s="2" t="n"/>
    </row>
    <row r="408">
      <c r="A408" s="3" t="n">
        <v>47266</v>
      </c>
      <c r="B408" s="3" t="inlineStr">
        <is>
          <t>CASABACA S.A.</t>
        </is>
      </c>
      <c r="C408" s="4" t="n">
        <v>46079</v>
      </c>
      <c r="D408" s="4" t="n">
        <v>46079</v>
      </c>
      <c r="E408" s="4" t="inlineStr">
        <is>
          <t>IVA</t>
        </is>
      </c>
      <c r="F408" s="3" t="n">
        <v>332</v>
      </c>
      <c r="G408" s="3" t="n">
        <v>31460</v>
      </c>
      <c r="H408" s="3" t="n">
        <v>10</v>
      </c>
      <c r="I408" s="3" t="n">
        <v>340.14</v>
      </c>
      <c r="J408" s="3" t="n">
        <v>34.01</v>
      </c>
      <c r="K408" s="2" t="n"/>
      <c r="L408" s="2" t="n"/>
      <c r="M408" s="2" t="n"/>
      <c r="N408" s="2" t="n"/>
      <c r="O408" s="2" t="n"/>
      <c r="P408" s="2" t="n"/>
    </row>
    <row r="409">
      <c r="A409" s="3" t="n">
        <v>47267</v>
      </c>
      <c r="B409" s="3" t="inlineStr">
        <is>
          <t>SZK DEL ECUADOR S.A.</t>
        </is>
      </c>
      <c r="C409" s="4" t="n">
        <v>46080</v>
      </c>
      <c r="D409" s="4" t="n">
        <v>46080</v>
      </c>
      <c r="E409" s="4" t="inlineStr">
        <is>
          <t>IVA</t>
        </is>
      </c>
      <c r="F409" s="3" t="n">
        <v>312</v>
      </c>
      <c r="G409" s="3" t="n">
        <v>3205</v>
      </c>
      <c r="H409" s="3" t="n">
        <v>10</v>
      </c>
      <c r="I409" s="17" t="n">
        <v>3917.87</v>
      </c>
      <c r="J409" s="3" t="n">
        <v>391.79</v>
      </c>
      <c r="K409" s="2" t="n"/>
      <c r="L409" s="2" t="n"/>
      <c r="M409" s="2" t="n"/>
      <c r="N409" s="2" t="n"/>
      <c r="O409" s="2" t="n"/>
      <c r="P409" s="2" t="n"/>
    </row>
    <row r="410">
      <c r="A410" s="3" t="n">
        <v>47268</v>
      </c>
      <c r="B410" s="3" t="inlineStr">
        <is>
          <t>SZK DEL ECUADOR S.A.</t>
        </is>
      </c>
      <c r="C410" s="4" t="n">
        <v>46080</v>
      </c>
      <c r="D410" s="4" t="n">
        <v>46080</v>
      </c>
      <c r="E410" s="4" t="inlineStr">
        <is>
          <t>IVA</t>
        </is>
      </c>
      <c r="F410" s="3" t="n">
        <v>312</v>
      </c>
      <c r="G410" s="3" t="n">
        <v>3203</v>
      </c>
      <c r="H410" s="3" t="n">
        <v>10</v>
      </c>
      <c r="I410" s="17" t="n">
        <v>15487.71</v>
      </c>
      <c r="J410" s="17" t="n">
        <v>1548.77</v>
      </c>
      <c r="K410" s="2" t="n"/>
      <c r="L410" s="2" t="n"/>
      <c r="M410" s="2" t="n"/>
      <c r="N410" s="2" t="n"/>
      <c r="O410" s="2" t="n"/>
      <c r="P410" s="2" t="n"/>
    </row>
    <row r="411">
      <c r="A411" s="3" t="n">
        <v>47269</v>
      </c>
      <c r="B411" s="3" t="inlineStr">
        <is>
          <t>TOYOTASERVICIOS S.A.</t>
        </is>
      </c>
      <c r="C411" s="4" t="n">
        <v>46080</v>
      </c>
      <c r="D411" s="4" t="n">
        <v>46080</v>
      </c>
      <c r="E411" s="4" t="inlineStr">
        <is>
          <t>RENTA</t>
        </is>
      </c>
      <c r="F411" s="3" t="n">
        <v>312</v>
      </c>
      <c r="G411" s="3" t="n">
        <v>14923</v>
      </c>
      <c r="H411" s="3" t="n">
        <v>1.75</v>
      </c>
      <c r="I411" s="3" t="n">
        <v>621.11</v>
      </c>
      <c r="J411" s="3" t="n">
        <v>10.87</v>
      </c>
      <c r="K411" s="2" t="n"/>
      <c r="L411" s="2" t="n"/>
      <c r="M411" s="2" t="n"/>
      <c r="N411" s="2" t="n"/>
      <c r="O411" s="2" t="n"/>
      <c r="P411" s="2" t="n"/>
    </row>
    <row r="412">
      <c r="A412" s="3" t="n">
        <v>47269</v>
      </c>
      <c r="B412" s="3" t="inlineStr">
        <is>
          <t>TOYOTASERVICIOS S.A.</t>
        </is>
      </c>
      <c r="C412" s="4" t="n">
        <v>46080</v>
      </c>
      <c r="D412" s="4" t="n">
        <v>46080</v>
      </c>
      <c r="E412" s="4" t="inlineStr">
        <is>
          <t>IVA</t>
        </is>
      </c>
      <c r="F412" s="3" t="n">
        <v>312</v>
      </c>
      <c r="G412" s="3" t="n">
        <v>14923</v>
      </c>
      <c r="H412" s="3" t="n">
        <v>30</v>
      </c>
      <c r="I412" s="3" t="n">
        <v>93.17</v>
      </c>
      <c r="J412" s="3" t="n">
        <v>27.95</v>
      </c>
      <c r="K412" s="2" t="n"/>
      <c r="L412" s="2" t="n"/>
      <c r="M412" s="2" t="n"/>
      <c r="N412" s="2" t="n"/>
      <c r="O412" s="2" t="n"/>
      <c r="P412" s="2" t="n"/>
    </row>
    <row r="413">
      <c r="A413" s="3" t="n">
        <v>47270</v>
      </c>
      <c r="B413" s="3" t="inlineStr">
        <is>
          <t>SZK DEL ECUADOR S.A.</t>
        </is>
      </c>
      <c r="C413" s="4" t="n">
        <v>46080</v>
      </c>
      <c r="D413" s="4" t="n">
        <v>46080</v>
      </c>
      <c r="E413" s="4" t="inlineStr">
        <is>
          <t>IVA</t>
        </is>
      </c>
      <c r="F413" s="3" t="n">
        <v>312</v>
      </c>
      <c r="G413" s="3" t="n">
        <v>3202</v>
      </c>
      <c r="H413" s="3" t="n">
        <v>10</v>
      </c>
      <c r="I413" s="17" t="n">
        <v>13275.18</v>
      </c>
      <c r="J413" s="17" t="n">
        <v>1327.52</v>
      </c>
      <c r="K413" s="2" t="n"/>
      <c r="L413" s="2" t="n"/>
      <c r="M413" s="2" t="n"/>
      <c r="N413" s="2" t="n"/>
      <c r="O413" s="2" t="n"/>
      <c r="P413" s="2" t="n"/>
    </row>
    <row r="414">
      <c r="A414" s="3" t="n">
        <v>47271</v>
      </c>
      <c r="B414" s="3" t="inlineStr">
        <is>
          <t>SZK DEL ECUADOR S.A.</t>
        </is>
      </c>
      <c r="C414" s="4" t="n">
        <v>46080</v>
      </c>
      <c r="D414" s="4" t="n">
        <v>46080</v>
      </c>
      <c r="E414" s="4" t="inlineStr">
        <is>
          <t>IVA</t>
        </is>
      </c>
      <c r="F414" s="3" t="n">
        <v>312</v>
      </c>
      <c r="G414" s="3" t="n">
        <v>3201</v>
      </c>
      <c r="H414" s="3" t="n">
        <v>10</v>
      </c>
      <c r="I414" s="17" t="n">
        <v>13156.71</v>
      </c>
      <c r="J414" s="17" t="n">
        <v>1315.67</v>
      </c>
      <c r="K414" s="2" t="n"/>
      <c r="L414" s="2" t="n"/>
      <c r="M414" s="2" t="n"/>
      <c r="N414" s="2" t="n"/>
      <c r="O414" s="2" t="n"/>
      <c r="P414" s="2" t="n"/>
    </row>
    <row r="415">
      <c r="A415" s="3" t="n">
        <v>47272</v>
      </c>
      <c r="B415" s="3" t="inlineStr">
        <is>
          <t>TOYOTASERVICIOS S.A.</t>
        </is>
      </c>
      <c r="C415" s="4" t="n">
        <v>46080</v>
      </c>
      <c r="D415" s="4" t="n">
        <v>46080</v>
      </c>
      <c r="E415" s="4" t="inlineStr">
        <is>
          <t>IVA</t>
        </is>
      </c>
      <c r="F415" s="3" t="n">
        <v>312</v>
      </c>
      <c r="G415" s="3" t="n">
        <v>14926</v>
      </c>
      <c r="H415" s="3" t="n">
        <v>30</v>
      </c>
      <c r="I415" s="3" t="n">
        <v>93.17</v>
      </c>
      <c r="J415" s="3" t="n">
        <v>27.95</v>
      </c>
      <c r="K415" s="2" t="n"/>
      <c r="L415" s="2" t="n"/>
      <c r="M415" s="2" t="n"/>
      <c r="N415" s="2" t="n"/>
      <c r="O415" s="2" t="n"/>
      <c r="P415" s="2" t="n"/>
    </row>
    <row r="416">
      <c r="A416" s="3" t="n">
        <v>47272</v>
      </c>
      <c r="B416" s="3" t="inlineStr">
        <is>
          <t>TOYOTASERVICIOS S.A.</t>
        </is>
      </c>
      <c r="C416" s="4" t="n">
        <v>46080</v>
      </c>
      <c r="D416" s="4" t="n">
        <v>46080</v>
      </c>
      <c r="E416" s="4" t="inlineStr">
        <is>
          <t>RENTA</t>
        </is>
      </c>
      <c r="F416" s="3" t="n">
        <v>312</v>
      </c>
      <c r="G416" s="3" t="n">
        <v>14926</v>
      </c>
      <c r="H416" s="3" t="n">
        <v>1.75</v>
      </c>
      <c r="I416" s="3" t="n">
        <v>621.11</v>
      </c>
      <c r="J416" s="3" t="n">
        <v>10.87</v>
      </c>
      <c r="K416" s="2" t="n"/>
      <c r="L416" s="2" t="n"/>
      <c r="M416" s="2" t="n"/>
      <c r="N416" s="2" t="n"/>
      <c r="O416" s="2" t="n"/>
      <c r="P416" s="2" t="n"/>
    </row>
    <row r="417">
      <c r="A417" s="3" t="n">
        <v>47273</v>
      </c>
      <c r="B417" s="3" t="inlineStr">
        <is>
          <t>TOYOTASERVICIOS S.A.</t>
        </is>
      </c>
      <c r="C417" s="4" t="n">
        <v>46080</v>
      </c>
      <c r="D417" s="4" t="n">
        <v>46080</v>
      </c>
      <c r="E417" s="4" t="inlineStr">
        <is>
          <t>IVA</t>
        </is>
      </c>
      <c r="F417" s="3" t="n">
        <v>312</v>
      </c>
      <c r="G417" s="3" t="n">
        <v>14925</v>
      </c>
      <c r="H417" s="3" t="n">
        <v>30</v>
      </c>
      <c r="I417" s="3" t="n">
        <v>93.17</v>
      </c>
      <c r="J417" s="3" t="n">
        <v>27.95</v>
      </c>
      <c r="K417" s="2" t="n"/>
      <c r="L417" s="2" t="n"/>
      <c r="M417" s="2" t="n"/>
      <c r="N417" s="2" t="n"/>
      <c r="O417" s="2" t="n"/>
      <c r="P417" s="2" t="n"/>
    </row>
    <row r="418">
      <c r="A418" s="3" t="n">
        <v>47273</v>
      </c>
      <c r="B418" s="3" t="inlineStr">
        <is>
          <t>TOYOTASERVICIOS S.A.</t>
        </is>
      </c>
      <c r="C418" s="4" t="n">
        <v>46080</v>
      </c>
      <c r="D418" s="4" t="n">
        <v>46080</v>
      </c>
      <c r="E418" s="4" t="inlineStr">
        <is>
          <t>RENTA</t>
        </is>
      </c>
      <c r="F418" s="3" t="n">
        <v>312</v>
      </c>
      <c r="G418" s="3" t="n">
        <v>14925</v>
      </c>
      <c r="H418" s="3" t="n">
        <v>1.75</v>
      </c>
      <c r="I418" s="3" t="n">
        <v>621.11</v>
      </c>
      <c r="J418" s="3" t="n">
        <v>10.87</v>
      </c>
      <c r="K418" s="2" t="n"/>
      <c r="L418" s="2" t="n"/>
      <c r="M418" s="2" t="n"/>
      <c r="N418" s="2" t="n"/>
      <c r="O418" s="2" t="n"/>
      <c r="P418" s="2" t="n"/>
    </row>
    <row r="419">
      <c r="A419" s="3" t="n">
        <v>47274</v>
      </c>
      <c r="B419" s="3" t="inlineStr">
        <is>
          <t>SZK DEL ECUADOR S.A.</t>
        </is>
      </c>
      <c r="C419" s="4" t="n">
        <v>46080</v>
      </c>
      <c r="D419" s="4" t="n">
        <v>46080</v>
      </c>
      <c r="E419" s="4" t="inlineStr">
        <is>
          <t>IVA</t>
        </is>
      </c>
      <c r="F419" s="3" t="n">
        <v>332</v>
      </c>
      <c r="G419" s="3" t="n">
        <v>385</v>
      </c>
      <c r="H419" s="3" t="n">
        <v>10</v>
      </c>
      <c r="I419" s="3" t="n">
        <v>238.5</v>
      </c>
      <c r="J419" s="3" t="n">
        <v>23.85</v>
      </c>
      <c r="K419" s="2" t="n"/>
      <c r="L419" s="2" t="n"/>
      <c r="M419" s="2" t="n"/>
      <c r="N419" s="2" t="n"/>
      <c r="O419" s="2" t="n"/>
      <c r="P419" s="2" t="n"/>
    </row>
    <row r="420">
      <c r="A420" s="3" t="n">
        <v>47275</v>
      </c>
      <c r="B420" s="3" t="inlineStr">
        <is>
          <t>TOYOTASERVICIOS S.A.</t>
        </is>
      </c>
      <c r="C420" s="4" t="n">
        <v>46080</v>
      </c>
      <c r="D420" s="4" t="n">
        <v>46080</v>
      </c>
      <c r="E420" s="4" t="inlineStr">
        <is>
          <t>RENTA</t>
        </is>
      </c>
      <c r="F420" s="3" t="n">
        <v>312</v>
      </c>
      <c r="G420" s="3" t="n">
        <v>14927</v>
      </c>
      <c r="H420" s="3" t="n">
        <v>1.75</v>
      </c>
      <c r="I420" s="3" t="n">
        <v>621.11</v>
      </c>
      <c r="J420" s="3" t="n">
        <v>10.87</v>
      </c>
      <c r="K420" s="2" t="n"/>
      <c r="L420" s="2" t="n"/>
      <c r="M420" s="2" t="n"/>
      <c r="N420" s="2" t="n"/>
      <c r="O420" s="2" t="n"/>
      <c r="P420" s="2" t="n"/>
    </row>
    <row r="421">
      <c r="A421" s="3" t="n">
        <v>47275</v>
      </c>
      <c r="B421" s="3" t="inlineStr">
        <is>
          <t>TOYOTASERVICIOS S.A.</t>
        </is>
      </c>
      <c r="C421" s="4" t="n">
        <v>46080</v>
      </c>
      <c r="D421" s="4" t="n">
        <v>46080</v>
      </c>
      <c r="E421" s="4" t="inlineStr">
        <is>
          <t>IVA</t>
        </is>
      </c>
      <c r="F421" s="3" t="n">
        <v>312</v>
      </c>
      <c r="G421" s="3" t="n">
        <v>14927</v>
      </c>
      <c r="H421" s="3" t="n">
        <v>30</v>
      </c>
      <c r="I421" s="3" t="n">
        <v>93.17</v>
      </c>
      <c r="J421" s="3" t="n">
        <v>27.95</v>
      </c>
      <c r="K421" s="2" t="n"/>
      <c r="L421" s="2" t="n"/>
      <c r="M421" s="2" t="n"/>
      <c r="N421" s="2" t="n"/>
      <c r="O421" s="2" t="n"/>
      <c r="P421" s="2" t="n"/>
    </row>
    <row r="422">
      <c r="A422" s="3" t="n">
        <v>47276</v>
      </c>
      <c r="B422" s="3" t="inlineStr">
        <is>
          <t>TOYOTASERVICIOS S.A.</t>
        </is>
      </c>
      <c r="C422" s="4" t="n">
        <v>46080</v>
      </c>
      <c r="D422" s="4" t="n">
        <v>46080</v>
      </c>
      <c r="E422" s="4" t="inlineStr">
        <is>
          <t>RENTA</t>
        </is>
      </c>
      <c r="F422" s="3" t="n">
        <v>312</v>
      </c>
      <c r="G422" s="3" t="n">
        <v>14924</v>
      </c>
      <c r="H422" s="3" t="n">
        <v>1.75</v>
      </c>
      <c r="I422" s="3" t="n">
        <v>621.11</v>
      </c>
      <c r="J422" s="3" t="n">
        <v>10.87</v>
      </c>
      <c r="K422" s="2" t="n"/>
      <c r="L422" s="2" t="n"/>
      <c r="M422" s="2" t="n"/>
      <c r="N422" s="2" t="n"/>
      <c r="O422" s="2" t="n"/>
      <c r="P422" s="2" t="n"/>
    </row>
    <row r="423">
      <c r="A423" s="3" t="n">
        <v>47276</v>
      </c>
      <c r="B423" s="3" t="inlineStr">
        <is>
          <t>TOYOTASERVICIOS S.A.</t>
        </is>
      </c>
      <c r="C423" s="4" t="n">
        <v>46080</v>
      </c>
      <c r="D423" s="4" t="n">
        <v>46080</v>
      </c>
      <c r="E423" s="4" t="inlineStr">
        <is>
          <t>IVA</t>
        </is>
      </c>
      <c r="F423" s="3" t="n">
        <v>312</v>
      </c>
      <c r="G423" s="3" t="n">
        <v>14924</v>
      </c>
      <c r="H423" s="3" t="n">
        <v>30</v>
      </c>
      <c r="I423" s="3" t="n">
        <v>93.17</v>
      </c>
      <c r="J423" s="3" t="n">
        <v>27.95</v>
      </c>
      <c r="K423" s="2" t="n"/>
      <c r="L423" s="2" t="n"/>
      <c r="M423" s="2" t="n"/>
      <c r="N423" s="2" t="n"/>
      <c r="O423" s="2" t="n"/>
      <c r="P423" s="2" t="n"/>
    </row>
    <row r="424">
      <c r="A424" s="3" t="n">
        <v>47277</v>
      </c>
      <c r="B424" s="3" t="inlineStr">
        <is>
          <t>SZK DEL ECUADOR S.A.</t>
        </is>
      </c>
      <c r="C424" s="4" t="n">
        <v>46080</v>
      </c>
      <c r="D424" s="4" t="n">
        <v>46080</v>
      </c>
      <c r="E424" s="4" t="inlineStr">
        <is>
          <t>IVA</t>
        </is>
      </c>
      <c r="F424" s="3" t="n">
        <v>312</v>
      </c>
      <c r="G424" s="3" t="n">
        <v>3204</v>
      </c>
      <c r="H424" s="3" t="n">
        <v>10</v>
      </c>
      <c r="I424" s="17" t="n">
        <v>3618.36</v>
      </c>
      <c r="J424" s="3" t="n">
        <v>361.84</v>
      </c>
      <c r="K424" s="2" t="n"/>
      <c r="L424" s="2" t="n"/>
      <c r="M424" s="2" t="n"/>
      <c r="N424" s="2" t="n"/>
      <c r="O424" s="2" t="n"/>
      <c r="P424" s="2" t="n"/>
    </row>
    <row r="425">
      <c r="A425" s="3" t="n">
        <v>47278</v>
      </c>
      <c r="B425" s="3" t="inlineStr">
        <is>
          <t>SZK DEL ECUADOR S.A.</t>
        </is>
      </c>
      <c r="C425" s="4" t="n">
        <v>46080</v>
      </c>
      <c r="D425" s="4" t="n">
        <v>46080</v>
      </c>
      <c r="E425" s="4" t="inlineStr">
        <is>
          <t>IVA</t>
        </is>
      </c>
      <c r="F425" s="3" t="n">
        <v>332</v>
      </c>
      <c r="G425" s="3" t="n">
        <v>1524</v>
      </c>
      <c r="H425" s="3" t="n">
        <v>10</v>
      </c>
      <c r="I425" s="3" t="n">
        <v>311.03</v>
      </c>
      <c r="J425" s="3" t="n">
        <v>31.1</v>
      </c>
      <c r="K425" s="2" t="n"/>
      <c r="L425" s="2" t="n"/>
      <c r="M425" s="2" t="n"/>
      <c r="N425" s="2" t="n"/>
      <c r="O425" s="2" t="n"/>
      <c r="P425" s="2" t="n"/>
    </row>
    <row r="426">
      <c r="A426" s="3" t="n">
        <v>47279</v>
      </c>
      <c r="B426" s="3" t="inlineStr">
        <is>
          <t>SZK DEL ECUADOR S.A.</t>
        </is>
      </c>
      <c r="C426" s="4" t="n">
        <v>46080</v>
      </c>
      <c r="D426" s="4" t="n">
        <v>46080</v>
      </c>
      <c r="E426" s="4" t="inlineStr">
        <is>
          <t>IVA</t>
        </is>
      </c>
      <c r="F426" s="3" t="n">
        <v>332</v>
      </c>
      <c r="G426" s="3" t="n">
        <v>1525</v>
      </c>
      <c r="H426" s="3" t="n">
        <v>10</v>
      </c>
      <c r="I426" s="3" t="n">
        <v>221.74</v>
      </c>
      <c r="J426" s="3" t="n">
        <v>22.17</v>
      </c>
      <c r="K426" s="2" t="n"/>
      <c r="L426" s="2" t="n"/>
      <c r="M426" s="2" t="n"/>
      <c r="N426" s="2" t="n"/>
      <c r="O426" s="2" t="n"/>
      <c r="P426" s="2" t="n"/>
    </row>
    <row r="427">
      <c r="A427" s="3" t="n">
        <v>47280</v>
      </c>
      <c r="B427" s="3" t="inlineStr">
        <is>
          <t>SZK DEL ECUADOR S.A.</t>
        </is>
      </c>
      <c r="C427" s="4" t="n">
        <v>46080</v>
      </c>
      <c r="D427" s="4" t="n">
        <v>46080</v>
      </c>
      <c r="E427" s="4" t="inlineStr">
        <is>
          <t>IVA</t>
        </is>
      </c>
      <c r="F427" s="3" t="n">
        <v>332</v>
      </c>
      <c r="G427" s="3" t="n">
        <v>1526</v>
      </c>
      <c r="H427" s="3" t="n">
        <v>10</v>
      </c>
      <c r="I427" s="3" t="n">
        <v>221.74</v>
      </c>
      <c r="J427" s="3" t="n">
        <v>22.17</v>
      </c>
      <c r="K427" s="2" t="n"/>
      <c r="L427" s="2" t="n"/>
      <c r="M427" s="2" t="n"/>
      <c r="N427" s="2" t="n"/>
      <c r="O427" s="2" t="n"/>
      <c r="P427" s="2" t="n"/>
    </row>
    <row r="428">
      <c r="A428" s="3" t="n">
        <v>47281</v>
      </c>
      <c r="B428" s="3" t="inlineStr">
        <is>
          <t>TOYOTASERVICIOS S.A.</t>
        </is>
      </c>
      <c r="C428" s="4" t="n">
        <v>46080</v>
      </c>
      <c r="D428" s="4" t="n">
        <v>46080</v>
      </c>
      <c r="E428" s="4" t="inlineStr">
        <is>
          <t>IVA</t>
        </is>
      </c>
      <c r="F428" s="3" t="n">
        <v>312</v>
      </c>
      <c r="G428" s="3" t="n">
        <v>14932</v>
      </c>
      <c r="H428" s="3" t="n">
        <v>30</v>
      </c>
      <c r="I428" s="3" t="n">
        <v>93.17</v>
      </c>
      <c r="J428" s="3" t="n">
        <v>27.95</v>
      </c>
      <c r="K428" s="2" t="n"/>
      <c r="L428" s="2" t="n"/>
      <c r="M428" s="2" t="n"/>
      <c r="N428" s="2" t="n"/>
      <c r="O428" s="2" t="n"/>
      <c r="P428" s="2" t="n"/>
    </row>
    <row r="429">
      <c r="A429" s="3" t="n">
        <v>47281</v>
      </c>
      <c r="B429" s="3" t="inlineStr">
        <is>
          <t>TOYOTASERVICIOS S.A.</t>
        </is>
      </c>
      <c r="C429" s="4" t="n">
        <v>46080</v>
      </c>
      <c r="D429" s="4" t="n">
        <v>46080</v>
      </c>
      <c r="E429" s="4" t="inlineStr">
        <is>
          <t>RENTA</t>
        </is>
      </c>
      <c r="F429" s="3" t="n">
        <v>312</v>
      </c>
      <c r="G429" s="3" t="n">
        <v>14932</v>
      </c>
      <c r="H429" s="3" t="n">
        <v>1.75</v>
      </c>
      <c r="I429" s="3" t="n">
        <v>621.11</v>
      </c>
      <c r="J429" s="3" t="n">
        <v>10.87</v>
      </c>
      <c r="K429" s="2" t="n"/>
      <c r="L429" s="2" t="n"/>
      <c r="M429" s="2" t="n"/>
      <c r="N429" s="2" t="n"/>
      <c r="O429" s="2" t="n"/>
      <c r="P429" s="2" t="n"/>
    </row>
    <row r="430">
      <c r="A430" s="3" t="n">
        <v>47282</v>
      </c>
      <c r="B430" s="3" t="inlineStr">
        <is>
          <t>TOYOTASERVICIOS S.A.</t>
        </is>
      </c>
      <c r="C430" s="4" t="n">
        <v>46080</v>
      </c>
      <c r="D430" s="4" t="n">
        <v>46080</v>
      </c>
      <c r="E430" s="4" t="inlineStr">
        <is>
          <t>RENTA</t>
        </is>
      </c>
      <c r="F430" s="3" t="n">
        <v>312</v>
      </c>
      <c r="G430" s="3" t="n">
        <v>14931</v>
      </c>
      <c r="H430" s="3" t="n">
        <v>1.75</v>
      </c>
      <c r="I430" s="3" t="n">
        <v>621.11</v>
      </c>
      <c r="J430" s="3" t="n">
        <v>10.87</v>
      </c>
      <c r="K430" s="2" t="n"/>
      <c r="L430" s="2" t="n"/>
      <c r="M430" s="2" t="n"/>
      <c r="N430" s="2" t="n"/>
      <c r="O430" s="2" t="n"/>
      <c r="P430" s="2" t="n"/>
    </row>
    <row r="431">
      <c r="A431" s="3" t="n">
        <v>47282</v>
      </c>
      <c r="B431" s="3" t="inlineStr">
        <is>
          <t>TOYOTASERVICIOS S.A.</t>
        </is>
      </c>
      <c r="C431" s="4" t="n">
        <v>46080</v>
      </c>
      <c r="D431" s="4" t="n">
        <v>46080</v>
      </c>
      <c r="E431" s="4" t="inlineStr">
        <is>
          <t>IVA</t>
        </is>
      </c>
      <c r="F431" s="3" t="n">
        <v>312</v>
      </c>
      <c r="G431" s="3" t="n">
        <v>14931</v>
      </c>
      <c r="H431" s="3" t="n">
        <v>30</v>
      </c>
      <c r="I431" s="3" t="n">
        <v>93.17</v>
      </c>
      <c r="J431" s="3" t="n">
        <v>27.95</v>
      </c>
      <c r="K431" s="2" t="n"/>
      <c r="L431" s="2" t="n"/>
      <c r="M431" s="2" t="n"/>
      <c r="N431" s="2" t="n"/>
      <c r="O431" s="2" t="n"/>
      <c r="P431" s="2" t="n"/>
    </row>
    <row r="432">
      <c r="A432" s="3" t="n">
        <v>47283</v>
      </c>
      <c r="B432" s="3" t="inlineStr">
        <is>
          <t>CASABACA S.A.</t>
        </is>
      </c>
      <c r="C432" s="4" t="n">
        <v>46081</v>
      </c>
      <c r="D432" s="4" t="n">
        <v>46081</v>
      </c>
      <c r="E432" s="4" t="inlineStr">
        <is>
          <t>IVA</t>
        </is>
      </c>
      <c r="F432" s="3" t="n">
        <v>332</v>
      </c>
      <c r="G432" s="3" t="n">
        <v>9140</v>
      </c>
      <c r="H432" s="3" t="n">
        <v>10</v>
      </c>
      <c r="I432" s="17" t="n">
        <v>39491.7</v>
      </c>
      <c r="J432" s="17" t="n">
        <v>3949.17</v>
      </c>
      <c r="K432" s="2" t="n"/>
      <c r="L432" s="2" t="n"/>
      <c r="M432" s="2" t="n"/>
      <c r="N432" s="2" t="n"/>
      <c r="O432" s="2" t="n"/>
      <c r="P432" s="2" t="n"/>
    </row>
    <row r="433">
      <c r="A433" s="3" t="n">
        <v>47284</v>
      </c>
      <c r="B433" s="3" t="inlineStr">
        <is>
          <t>CASABACA S.A.</t>
        </is>
      </c>
      <c r="C433" s="4" t="n">
        <v>46081</v>
      </c>
      <c r="D433" s="4" t="n">
        <v>46081</v>
      </c>
      <c r="E433" s="4" t="inlineStr">
        <is>
          <t>IVA</t>
        </is>
      </c>
      <c r="F433" s="3" t="n">
        <v>332</v>
      </c>
      <c r="G433" s="3" t="n">
        <v>31488</v>
      </c>
      <c r="H433" s="3" t="n">
        <v>10</v>
      </c>
      <c r="I433" s="3" t="n">
        <v>398.9</v>
      </c>
      <c r="J433" s="3" t="n">
        <v>39.89</v>
      </c>
      <c r="K433" s="2" t="n"/>
      <c r="L433" s="2" t="n"/>
      <c r="M433" s="2" t="n"/>
      <c r="N433" s="2" t="n"/>
      <c r="O433" s="2" t="n"/>
      <c r="P433" s="2" t="n"/>
    </row>
    <row r="434">
      <c r="A434" s="3" t="n">
        <v>47285</v>
      </c>
      <c r="B434" s="3" t="inlineStr">
        <is>
          <t>CASABACA S.A.</t>
        </is>
      </c>
      <c r="C434" s="4" t="n">
        <v>46081</v>
      </c>
      <c r="D434" s="4" t="n">
        <v>46081</v>
      </c>
      <c r="E434" s="4" t="inlineStr">
        <is>
          <t>IVA</t>
        </is>
      </c>
      <c r="F434" s="3" t="n">
        <v>332</v>
      </c>
      <c r="G434" s="3" t="n">
        <v>31485</v>
      </c>
      <c r="H434" s="3" t="n">
        <v>10</v>
      </c>
      <c r="I434" s="3" t="n">
        <v>357.16</v>
      </c>
      <c r="J434" s="3" t="n">
        <v>35.72</v>
      </c>
      <c r="K434" s="2" t="n"/>
      <c r="L434" s="2" t="n"/>
      <c r="M434" s="2" t="n"/>
      <c r="N434" s="2" t="n"/>
      <c r="O434" s="2" t="n"/>
      <c r="P434" s="2" t="n"/>
    </row>
    <row r="435">
      <c r="A435" s="3" t="n">
        <v>47286</v>
      </c>
      <c r="B435" s="3" t="inlineStr">
        <is>
          <t>YANGTSE-AUTO DEL ECUADOR S.A.</t>
        </is>
      </c>
      <c r="C435" s="4" t="n">
        <v>46081</v>
      </c>
      <c r="D435" s="4" t="n">
        <v>46081</v>
      </c>
      <c r="E435" s="4" t="inlineStr">
        <is>
          <t>RENTA</t>
        </is>
      </c>
      <c r="F435" s="3" t="n">
        <v>312</v>
      </c>
      <c r="G435" s="3" t="n">
        <v>714</v>
      </c>
      <c r="H435" s="3" t="n">
        <v>1.75</v>
      </c>
      <c r="I435" s="17" t="n">
        <v>13685.48</v>
      </c>
      <c r="J435" s="3" t="n">
        <v>239.5</v>
      </c>
      <c r="K435" s="2" t="n"/>
      <c r="L435" s="2" t="n"/>
      <c r="M435" s="2" t="n"/>
      <c r="N435" s="2" t="n"/>
      <c r="O435" s="2" t="n"/>
      <c r="P435" s="2" t="n"/>
    </row>
    <row r="436">
      <c r="A436" s="3" t="n">
        <v>47286</v>
      </c>
      <c r="B436" s="3" t="inlineStr">
        <is>
          <t>YANGTSE-AUTO DEL ECUADOR S.A.</t>
        </is>
      </c>
      <c r="C436" s="4" t="n">
        <v>46081</v>
      </c>
      <c r="D436" s="4" t="n">
        <v>46081</v>
      </c>
      <c r="E436" s="4" t="inlineStr">
        <is>
          <t>IVA</t>
        </is>
      </c>
      <c r="F436" s="3" t="n">
        <v>312</v>
      </c>
      <c r="G436" s="3" t="n">
        <v>714</v>
      </c>
      <c r="H436" s="3" t="n">
        <v>30</v>
      </c>
      <c r="I436" s="17" t="n">
        <v>2052.82</v>
      </c>
      <c r="J436" s="3" t="n">
        <v>615.85</v>
      </c>
      <c r="K436" s="2" t="n"/>
      <c r="L436" s="2" t="n"/>
      <c r="M436" s="2" t="n"/>
      <c r="N436" s="2" t="n"/>
      <c r="O436" s="2" t="n"/>
      <c r="P436" s="2" t="n"/>
    </row>
    <row r="437">
      <c r="A437" s="3" t="n">
        <v>47287</v>
      </c>
      <c r="B437" s="3" t="inlineStr">
        <is>
          <t>CASABACA S.A.</t>
        </is>
      </c>
      <c r="C437" s="4" t="n">
        <v>46081</v>
      </c>
      <c r="D437" s="4" t="n">
        <v>46081</v>
      </c>
      <c r="E437" s="4" t="inlineStr">
        <is>
          <t>IVA</t>
        </is>
      </c>
      <c r="F437" s="3" t="n">
        <v>332</v>
      </c>
      <c r="G437" s="3" t="n">
        <v>31486</v>
      </c>
      <c r="H437" s="3" t="n">
        <v>10</v>
      </c>
      <c r="I437" s="3" t="n">
        <v>340.14</v>
      </c>
      <c r="J437" s="3" t="n">
        <v>34.01</v>
      </c>
      <c r="K437" s="2" t="n"/>
      <c r="L437" s="2" t="n"/>
      <c r="M437" s="2" t="n"/>
      <c r="N437" s="2" t="n"/>
      <c r="O437" s="2" t="n"/>
      <c r="P437" s="2" t="n"/>
    </row>
    <row r="438">
      <c r="A438" s="3" t="n">
        <v>47288</v>
      </c>
      <c r="B438" s="3" t="inlineStr">
        <is>
          <t>CASABACA S.A.</t>
        </is>
      </c>
      <c r="C438" s="4" t="n">
        <v>46081</v>
      </c>
      <c r="D438" s="4" t="n">
        <v>46081</v>
      </c>
      <c r="E438" s="4" t="inlineStr">
        <is>
          <t>IVA</t>
        </is>
      </c>
      <c r="F438" s="3" t="n">
        <v>332</v>
      </c>
      <c r="G438" s="3" t="n">
        <v>31487</v>
      </c>
      <c r="H438" s="3" t="n">
        <v>10</v>
      </c>
      <c r="I438" s="3" t="n">
        <v>329.88</v>
      </c>
      <c r="J438" s="3" t="n">
        <v>32.99</v>
      </c>
      <c r="K438" s="2" t="n"/>
      <c r="L438" s="2" t="n"/>
      <c r="M438" s="2" t="n"/>
      <c r="N438" s="2" t="n"/>
      <c r="O438" s="2" t="n"/>
      <c r="P438" s="2" t="n"/>
    </row>
    <row r="439">
      <c r="A439" s="3" t="n">
        <v>47289</v>
      </c>
      <c r="B439" s="3" t="inlineStr">
        <is>
          <t>CASABACA S.A.</t>
        </is>
      </c>
      <c r="C439" s="4" t="n">
        <v>46081</v>
      </c>
      <c r="D439" s="4" t="n">
        <v>46081</v>
      </c>
      <c r="E439" s="4" t="inlineStr">
        <is>
          <t>IVA</t>
        </is>
      </c>
      <c r="F439" s="3" t="n">
        <v>332</v>
      </c>
      <c r="G439" s="3" t="n">
        <v>9141</v>
      </c>
      <c r="H439" s="3" t="n">
        <v>10</v>
      </c>
      <c r="I439" s="17" t="n">
        <v>11121.4</v>
      </c>
      <c r="J439" s="17" t="n">
        <v>1112.14</v>
      </c>
      <c r="K439" s="2" t="n"/>
      <c r="L439" s="2" t="n"/>
      <c r="M439" s="2" t="n"/>
      <c r="N439" s="2" t="n"/>
      <c r="O439" s="2" t="n"/>
      <c r="P439" s="2" t="n"/>
    </row>
    <row r="440">
      <c r="A440" s="3" t="n">
        <v>47290</v>
      </c>
      <c r="B440" s="3" t="inlineStr">
        <is>
          <t>YANGTSE-AUTO DEL ECUADOR S.A.</t>
        </is>
      </c>
      <c r="C440" s="4" t="n">
        <v>46081</v>
      </c>
      <c r="D440" s="4" t="n">
        <v>46081</v>
      </c>
      <c r="E440" s="4" t="inlineStr">
        <is>
          <t>IVA</t>
        </is>
      </c>
      <c r="F440" s="3" t="n">
        <v>312</v>
      </c>
      <c r="G440" s="3" t="n">
        <v>716</v>
      </c>
      <c r="H440" s="3" t="n">
        <v>30</v>
      </c>
      <c r="I440" s="17" t="n">
        <v>2966.76</v>
      </c>
      <c r="J440" s="3" t="n">
        <v>890.03</v>
      </c>
      <c r="K440" s="2" t="n"/>
      <c r="L440" s="2" t="n"/>
      <c r="M440" s="2" t="n"/>
      <c r="N440" s="2" t="n"/>
      <c r="O440" s="2" t="n"/>
      <c r="P440" s="2" t="n"/>
    </row>
    <row r="441">
      <c r="A441" s="3" t="n">
        <v>47290</v>
      </c>
      <c r="B441" s="3" t="inlineStr">
        <is>
          <t>YANGTSE-AUTO DEL ECUADOR S.A.</t>
        </is>
      </c>
      <c r="C441" s="4" t="n">
        <v>46081</v>
      </c>
      <c r="D441" s="4" t="n">
        <v>46081</v>
      </c>
      <c r="E441" s="4" t="inlineStr">
        <is>
          <t>RENTA</t>
        </is>
      </c>
      <c r="F441" s="3" t="n">
        <v>312</v>
      </c>
      <c r="G441" s="3" t="n">
        <v>716</v>
      </c>
      <c r="H441" s="3" t="n">
        <v>1.75</v>
      </c>
      <c r="I441" s="17" t="n">
        <v>19778.43</v>
      </c>
      <c r="J441" s="3" t="n">
        <v>346.12</v>
      </c>
      <c r="K441" s="2" t="n"/>
      <c r="L441" s="2" t="n"/>
      <c r="M441" s="2" t="n"/>
      <c r="N441" s="2" t="n"/>
      <c r="O441" s="2" t="n"/>
      <c r="P441" s="2" t="n"/>
    </row>
    <row r="442">
      <c r="A442" s="3" t="n">
        <v>47291</v>
      </c>
      <c r="B442" s="3" t="inlineStr">
        <is>
          <t>CASABACA S.A.</t>
        </is>
      </c>
      <c r="C442" s="4" t="n">
        <v>46081</v>
      </c>
      <c r="D442" s="4" t="n">
        <v>46081</v>
      </c>
      <c r="E442" s="4" t="inlineStr">
        <is>
          <t>IVA</t>
        </is>
      </c>
      <c r="F442" s="3" t="n">
        <v>332</v>
      </c>
      <c r="G442" s="3" t="n">
        <v>31483</v>
      </c>
      <c r="H442" s="3" t="n">
        <v>10</v>
      </c>
      <c r="I442" s="3" t="n">
        <v>340.14</v>
      </c>
      <c r="J442" s="3" t="n">
        <v>34.01</v>
      </c>
      <c r="K442" s="2" t="n"/>
      <c r="L442" s="2" t="n"/>
      <c r="M442" s="2" t="n"/>
      <c r="N442" s="2" t="n"/>
      <c r="O442" s="2" t="n"/>
      <c r="P442" s="2" t="n"/>
    </row>
    <row r="443">
      <c r="A443" s="3" t="n">
        <v>47292</v>
      </c>
      <c r="B443" s="3" t="inlineStr">
        <is>
          <t>CASABACA S.A.</t>
        </is>
      </c>
      <c r="C443" s="4" t="n">
        <v>46081</v>
      </c>
      <c r="D443" s="4" t="n">
        <v>46081</v>
      </c>
      <c r="E443" s="4" t="inlineStr">
        <is>
          <t>IVA</t>
        </is>
      </c>
      <c r="F443" s="3" t="n">
        <v>332</v>
      </c>
      <c r="G443" s="3" t="n">
        <v>31484</v>
      </c>
      <c r="H443" s="3" t="n">
        <v>10</v>
      </c>
      <c r="I443" s="3" t="n">
        <v>329.88</v>
      </c>
      <c r="J443" s="3" t="n">
        <v>32.99</v>
      </c>
      <c r="K443" s="2" t="n"/>
      <c r="L443" s="2" t="n"/>
      <c r="M443" s="2" t="n"/>
      <c r="N443" s="2" t="n"/>
      <c r="O443" s="2" t="n"/>
      <c r="P443" s="2" t="n"/>
    </row>
    <row r="444">
      <c r="A444" s="3" t="n">
        <v>47293</v>
      </c>
      <c r="B444" s="3" t="inlineStr">
        <is>
          <t>CONSORCIO DEL PICHINCHA S.A CONDELPI</t>
        </is>
      </c>
      <c r="C444" s="4" t="n">
        <v>46081</v>
      </c>
      <c r="D444" s="4" t="n">
        <v>46078</v>
      </c>
      <c r="E444" s="4" t="inlineStr">
        <is>
          <t>IVA</t>
        </is>
      </c>
      <c r="F444" s="3" t="n">
        <v>332</v>
      </c>
      <c r="G444" s="3" t="n">
        <v>101383</v>
      </c>
      <c r="H444" s="3" t="n">
        <v>20</v>
      </c>
      <c r="I444" s="3" t="n">
        <v>16.31</v>
      </c>
      <c r="J444" s="3" t="n">
        <v>3.26</v>
      </c>
      <c r="K444" s="2" t="n"/>
      <c r="L444" s="2" t="n"/>
      <c r="M444" s="2" t="n"/>
      <c r="N444" s="2" t="n"/>
      <c r="O444" s="2" t="n"/>
      <c r="P444" s="2" t="n"/>
    </row>
    <row r="445">
      <c r="A445" s="3" t="n">
        <v>47294</v>
      </c>
      <c r="B445" s="3" t="inlineStr">
        <is>
          <t>CONSORCIO DEL PICHINCHA S.A CONDELPI</t>
        </is>
      </c>
      <c r="C445" s="4" t="n">
        <v>46081</v>
      </c>
      <c r="D445" s="4" t="n">
        <v>46079</v>
      </c>
      <c r="E445" s="4" t="inlineStr">
        <is>
          <t>IVA</t>
        </is>
      </c>
      <c r="F445" s="3" t="n">
        <v>332</v>
      </c>
      <c r="G445" s="3" t="n">
        <v>101422</v>
      </c>
      <c r="H445" s="3" t="n">
        <v>10</v>
      </c>
      <c r="I445" s="3" t="n">
        <v>978.26</v>
      </c>
      <c r="J445" s="3" t="n">
        <v>97.83</v>
      </c>
      <c r="K445" s="2" t="n"/>
      <c r="L445" s="2" t="n"/>
      <c r="M445" s="2" t="n"/>
      <c r="N445" s="2" t="n"/>
      <c r="O445" s="2" t="n"/>
      <c r="P445" s="2" t="n"/>
    </row>
    <row r="446">
      <c r="A446" s="3" t="n">
        <v>47295</v>
      </c>
      <c r="B446" s="3" t="inlineStr">
        <is>
          <t>CONSORCIO DEL PICHINCHA S.A CONDELPI</t>
        </is>
      </c>
      <c r="C446" s="4" t="n">
        <v>46081</v>
      </c>
      <c r="D446" s="4" t="n">
        <v>46079</v>
      </c>
      <c r="E446" s="4" t="inlineStr">
        <is>
          <t>IVA</t>
        </is>
      </c>
      <c r="F446" s="3" t="n">
        <v>332</v>
      </c>
      <c r="G446" s="3" t="n">
        <v>101421</v>
      </c>
      <c r="H446" s="3" t="n">
        <v>20</v>
      </c>
      <c r="I446" s="3" t="n">
        <v>16.31</v>
      </c>
      <c r="J446" s="3" t="n">
        <v>3.26</v>
      </c>
      <c r="K446" s="2" t="n"/>
      <c r="L446" s="2" t="n"/>
      <c r="M446" s="2" t="n"/>
      <c r="N446" s="2" t="n"/>
      <c r="O446" s="2" t="n"/>
      <c r="P446" s="2" t="n"/>
    </row>
    <row r="447">
      <c r="A447" s="3" t="n">
        <v>47296</v>
      </c>
      <c r="B447" s="3" t="inlineStr">
        <is>
          <t>CONSORCIO DEL PICHINCHA S.A CONDELPI</t>
        </is>
      </c>
      <c r="C447" s="4" t="n">
        <v>46081</v>
      </c>
      <c r="D447" s="4" t="n">
        <v>46079</v>
      </c>
      <c r="E447" s="4" t="inlineStr">
        <is>
          <t>IVA</t>
        </is>
      </c>
      <c r="F447" s="3" t="n">
        <v>332</v>
      </c>
      <c r="G447" s="3" t="n">
        <v>101419</v>
      </c>
      <c r="H447" s="3" t="n">
        <v>20</v>
      </c>
      <c r="I447" s="3" t="n">
        <v>16.31</v>
      </c>
      <c r="J447" s="3" t="n">
        <v>3.26</v>
      </c>
      <c r="K447" s="2" t="n"/>
      <c r="L447" s="2" t="n"/>
      <c r="M447" s="2" t="n"/>
      <c r="N447" s="2" t="n"/>
      <c r="O447" s="2" t="n"/>
      <c r="P447" s="2" t="n"/>
    </row>
    <row r="448">
      <c r="A448" s="3" t="n">
        <v>47297</v>
      </c>
      <c r="B448" s="3" t="inlineStr">
        <is>
          <t>CONSORCIO DEL PICHINCHA S.A CONDELPI</t>
        </is>
      </c>
      <c r="C448" s="4" t="n">
        <v>46081</v>
      </c>
      <c r="D448" s="4" t="n">
        <v>46079</v>
      </c>
      <c r="E448" s="4" t="inlineStr">
        <is>
          <t>IVA</t>
        </is>
      </c>
      <c r="F448" s="3" t="n">
        <v>332</v>
      </c>
      <c r="G448" s="3" t="n">
        <v>101423</v>
      </c>
      <c r="H448" s="3" t="n">
        <v>20</v>
      </c>
      <c r="I448" s="3" t="n">
        <v>16.31</v>
      </c>
      <c r="J448" s="3" t="n">
        <v>3.26</v>
      </c>
      <c r="K448" s="2" t="n"/>
      <c r="L448" s="2" t="n"/>
      <c r="M448" s="2" t="n"/>
      <c r="N448" s="2" t="n"/>
      <c r="O448" s="2" t="n"/>
      <c r="P448" s="2" t="n"/>
    </row>
    <row r="449">
      <c r="A449" s="3" t="n">
        <v>47298</v>
      </c>
      <c r="B449" s="3" t="inlineStr">
        <is>
          <t>CONSORCIO DEL PICHINCHA S.A CONDELPI</t>
        </is>
      </c>
      <c r="C449" s="4" t="n">
        <v>46081</v>
      </c>
      <c r="D449" s="4" t="n">
        <v>46078</v>
      </c>
      <c r="E449" s="4" t="inlineStr">
        <is>
          <t>IVA</t>
        </is>
      </c>
      <c r="F449" s="3" t="n">
        <v>332</v>
      </c>
      <c r="G449" s="3" t="n">
        <v>101380</v>
      </c>
      <c r="H449" s="3" t="n">
        <v>10</v>
      </c>
      <c r="I449" s="17" t="n">
        <v>1695.65</v>
      </c>
      <c r="J449" s="3" t="n">
        <v>169.57</v>
      </c>
      <c r="K449" s="2" t="n"/>
      <c r="L449" s="2" t="n"/>
      <c r="M449" s="2" t="n"/>
      <c r="N449" s="2" t="n"/>
      <c r="O449" s="2" t="n"/>
      <c r="P449" s="2" t="n"/>
    </row>
    <row r="450">
      <c r="A450" s="3" t="n">
        <v>47299</v>
      </c>
      <c r="B450" s="3" t="inlineStr">
        <is>
          <t>CONSORCIO DEL PICHINCHA S.A CONDELPI</t>
        </is>
      </c>
      <c r="C450" s="4" t="n">
        <v>46081</v>
      </c>
      <c r="D450" s="4" t="n">
        <v>46078</v>
      </c>
      <c r="E450" s="4" t="inlineStr">
        <is>
          <t>IVA</t>
        </is>
      </c>
      <c r="F450" s="3" t="n">
        <v>332</v>
      </c>
      <c r="G450" s="3" t="n">
        <v>101382</v>
      </c>
      <c r="H450" s="3" t="n">
        <v>10</v>
      </c>
      <c r="I450" s="17" t="n">
        <v>1695.65</v>
      </c>
      <c r="J450" s="3" t="n">
        <v>169.57</v>
      </c>
      <c r="K450" s="2" t="n"/>
      <c r="L450" s="2" t="n"/>
      <c r="M450" s="2" t="n"/>
      <c r="N450" s="2" t="n"/>
      <c r="O450" s="2" t="n"/>
      <c r="P450" s="2" t="n"/>
    </row>
    <row r="451">
      <c r="A451" s="3" t="n">
        <v>47300</v>
      </c>
      <c r="B451" s="3" t="inlineStr">
        <is>
          <t>CONSORCIO DEL PICHINCHA S.A CONDELPI</t>
        </is>
      </c>
      <c r="C451" s="4" t="n">
        <v>46081</v>
      </c>
      <c r="D451" s="4" t="n">
        <v>46078</v>
      </c>
      <c r="E451" s="4" t="inlineStr">
        <is>
          <t>IVA</t>
        </is>
      </c>
      <c r="F451" s="3" t="n">
        <v>332</v>
      </c>
      <c r="G451" s="3" t="n">
        <v>101401</v>
      </c>
      <c r="H451" s="3" t="n">
        <v>10</v>
      </c>
      <c r="I451" s="3" t="n">
        <v>978.26</v>
      </c>
      <c r="J451" s="3" t="n">
        <v>97.83</v>
      </c>
      <c r="K451" s="2" t="n"/>
      <c r="L451" s="2" t="n"/>
      <c r="M451" s="2" t="n"/>
      <c r="N451" s="2" t="n"/>
      <c r="O451" s="2" t="n"/>
      <c r="P451" s="2" t="n"/>
    </row>
    <row r="452">
      <c r="A452" s="3" t="n">
        <v>47301</v>
      </c>
      <c r="B452" s="3" t="inlineStr">
        <is>
          <t>CONSORCIO DEL PICHINCHA S.A CONDELPI</t>
        </is>
      </c>
      <c r="C452" s="4" t="n">
        <v>46081</v>
      </c>
      <c r="D452" s="4" t="n">
        <v>46078</v>
      </c>
      <c r="E452" s="4" t="inlineStr">
        <is>
          <t>IVA</t>
        </is>
      </c>
      <c r="F452" s="3" t="n">
        <v>332</v>
      </c>
      <c r="G452" s="3" t="n">
        <v>101385</v>
      </c>
      <c r="H452" s="3" t="n">
        <v>20</v>
      </c>
      <c r="I452" s="3" t="n">
        <v>16.31</v>
      </c>
      <c r="J452" s="3" t="n">
        <v>3.26</v>
      </c>
      <c r="K452" s="2" t="n"/>
      <c r="L452" s="2" t="n"/>
      <c r="M452" s="2" t="n"/>
      <c r="N452" s="2" t="n"/>
      <c r="O452" s="2" t="n"/>
      <c r="P452" s="2" t="n"/>
    </row>
    <row r="453">
      <c r="A453" s="3" t="n">
        <v>47302</v>
      </c>
      <c r="B453" s="3" t="inlineStr">
        <is>
          <t>CONSORCIO DEL PICHINCHA S.A CONDELPI</t>
        </is>
      </c>
      <c r="C453" s="4" t="n">
        <v>46081</v>
      </c>
      <c r="D453" s="4" t="n">
        <v>46079</v>
      </c>
      <c r="E453" s="4" t="inlineStr">
        <is>
          <t>IVA</t>
        </is>
      </c>
      <c r="F453" s="3" t="n">
        <v>332</v>
      </c>
      <c r="G453" s="3" t="n">
        <v>101425</v>
      </c>
      <c r="H453" s="3" t="n">
        <v>20</v>
      </c>
      <c r="I453" s="3" t="n">
        <v>16.31</v>
      </c>
      <c r="J453" s="3" t="n">
        <v>3.26</v>
      </c>
      <c r="K453" s="2" t="n"/>
      <c r="L453" s="2" t="n"/>
      <c r="M453" s="2" t="n"/>
      <c r="N453" s="2" t="n"/>
      <c r="O453" s="2" t="n"/>
      <c r="P453" s="2" t="n"/>
    </row>
    <row r="454">
      <c r="A454" s="3" t="n">
        <v>47303</v>
      </c>
      <c r="B454" s="3" t="inlineStr">
        <is>
          <t>TOYOTASERVICIOS S.A.</t>
        </is>
      </c>
      <c r="C454" s="4" t="n">
        <v>46081</v>
      </c>
      <c r="D454" s="4" t="n">
        <v>46080</v>
      </c>
      <c r="E454" s="4" t="inlineStr">
        <is>
          <t>IVA</t>
        </is>
      </c>
      <c r="F454" s="3" t="n">
        <v>312</v>
      </c>
      <c r="G454" s="3" t="n">
        <v>53045</v>
      </c>
      <c r="H454" s="3" t="n">
        <v>30</v>
      </c>
      <c r="I454" s="3" t="n">
        <v>0.75</v>
      </c>
      <c r="J454" s="3" t="n">
        <v>0.23</v>
      </c>
      <c r="K454" s="2" t="n"/>
      <c r="L454" s="2" t="n"/>
      <c r="M454" s="2" t="n"/>
      <c r="N454" s="2" t="n"/>
      <c r="O454" s="2" t="n"/>
      <c r="P454" s="2" t="n"/>
    </row>
    <row r="455">
      <c r="A455" s="3" t="n">
        <v>47303</v>
      </c>
      <c r="B455" s="3" t="inlineStr">
        <is>
          <t>TOYOTASERVICIOS S.A.</t>
        </is>
      </c>
      <c r="C455" s="4" t="n">
        <v>46081</v>
      </c>
      <c r="D455" s="4" t="n">
        <v>46080</v>
      </c>
      <c r="E455" s="4" t="inlineStr">
        <is>
          <t>RENTA</t>
        </is>
      </c>
      <c r="F455" s="3" t="n">
        <v>312</v>
      </c>
      <c r="G455" s="3" t="n">
        <v>53045</v>
      </c>
      <c r="H455" s="3" t="n">
        <v>1.75</v>
      </c>
      <c r="I455" s="3" t="n">
        <v>5</v>
      </c>
      <c r="J455" s="3" t="n">
        <v>0.09</v>
      </c>
      <c r="K455" s="2" t="n"/>
      <c r="L455" s="2" t="n"/>
      <c r="M455" s="2" t="n"/>
      <c r="N455" s="2" t="n"/>
      <c r="O455" s="2" t="n"/>
      <c r="P455" s="2" t="n"/>
    </row>
    <row r="456">
      <c r="A456" s="3" t="n">
        <v>47304</v>
      </c>
      <c r="B456" s="3" t="inlineStr">
        <is>
          <t>CONSORCIO DEL PICHINCHA S.A CONDELPI</t>
        </is>
      </c>
      <c r="C456" s="4" t="n">
        <v>46081</v>
      </c>
      <c r="D456" s="4" t="n">
        <v>46078</v>
      </c>
      <c r="E456" s="4" t="inlineStr">
        <is>
          <t>IVA</t>
        </is>
      </c>
      <c r="F456" s="3" t="n">
        <v>332</v>
      </c>
      <c r="G456" s="3" t="n">
        <v>101381</v>
      </c>
      <c r="H456" s="3" t="n">
        <v>20</v>
      </c>
      <c r="I456" s="3" t="n">
        <v>16.31</v>
      </c>
      <c r="J456" s="3" t="n">
        <v>3.26</v>
      </c>
      <c r="K456" s="2" t="n"/>
      <c r="L456" s="2" t="n"/>
      <c r="M456" s="2" t="n"/>
      <c r="N456" s="2" t="n"/>
      <c r="O456" s="2" t="n"/>
      <c r="P456" s="2" t="n"/>
    </row>
    <row r="457">
      <c r="A457" s="3" t="n">
        <v>47305</v>
      </c>
      <c r="B457" s="3" t="inlineStr">
        <is>
          <t>CONSORCIO DEL PICHINCHA S.A CONDELPI</t>
        </is>
      </c>
      <c r="C457" s="4" t="n">
        <v>46081</v>
      </c>
      <c r="D457" s="4" t="n">
        <v>46078</v>
      </c>
      <c r="E457" s="4" t="inlineStr">
        <is>
          <t>IVA</t>
        </is>
      </c>
      <c r="F457" s="3" t="n">
        <v>332</v>
      </c>
      <c r="G457" s="3" t="n">
        <v>101388</v>
      </c>
      <c r="H457" s="3" t="n">
        <v>10</v>
      </c>
      <c r="I457" s="17" t="n">
        <v>1695.65</v>
      </c>
      <c r="J457" s="3" t="n">
        <v>169.57</v>
      </c>
      <c r="K457" s="2" t="n"/>
      <c r="L457" s="2" t="n"/>
      <c r="M457" s="2" t="n"/>
      <c r="N457" s="2" t="n"/>
      <c r="O457" s="2" t="n"/>
      <c r="P457" s="2" t="n"/>
    </row>
    <row r="458">
      <c r="A458" s="3" t="n">
        <v>47306</v>
      </c>
      <c r="B458" s="3" t="inlineStr">
        <is>
          <t>CONSORCIO DEL PICHINCHA S.A CONDELPI</t>
        </is>
      </c>
      <c r="C458" s="4" t="n">
        <v>46081</v>
      </c>
      <c r="D458" s="4" t="n">
        <v>46078</v>
      </c>
      <c r="E458" s="4" t="inlineStr">
        <is>
          <t>IVA</t>
        </is>
      </c>
      <c r="F458" s="3" t="n">
        <v>332</v>
      </c>
      <c r="G458" s="3" t="n">
        <v>101386</v>
      </c>
      <c r="H458" s="3" t="n">
        <v>10</v>
      </c>
      <c r="I458" s="17" t="n">
        <v>1695.65</v>
      </c>
      <c r="J458" s="3" t="n">
        <v>169.57</v>
      </c>
      <c r="K458" s="2" t="n"/>
      <c r="L458" s="2" t="n"/>
      <c r="M458" s="2" t="n"/>
      <c r="N458" s="2" t="n"/>
      <c r="O458" s="2" t="n"/>
      <c r="P458" s="2" t="n"/>
    </row>
    <row r="459">
      <c r="A459" s="3" t="n">
        <v>47307</v>
      </c>
      <c r="B459" s="3" t="inlineStr">
        <is>
          <t>CONSORCIO DEL PICHINCHA S.A CONDELPI</t>
        </is>
      </c>
      <c r="C459" s="4" t="n">
        <v>46081</v>
      </c>
      <c r="D459" s="4" t="n">
        <v>46078</v>
      </c>
      <c r="E459" s="4" t="inlineStr">
        <is>
          <t>IVA</t>
        </is>
      </c>
      <c r="F459" s="3" t="n">
        <v>332</v>
      </c>
      <c r="G459" s="3" t="n">
        <v>101387</v>
      </c>
      <c r="H459" s="3" t="n">
        <v>20</v>
      </c>
      <c r="I459" s="3" t="n">
        <v>16.31</v>
      </c>
      <c r="J459" s="3" t="n">
        <v>3.26</v>
      </c>
      <c r="K459" s="2" t="n"/>
      <c r="L459" s="2" t="n"/>
      <c r="M459" s="2" t="n"/>
      <c r="N459" s="2" t="n"/>
      <c r="O459" s="2" t="n"/>
      <c r="P459" s="2" t="n"/>
    </row>
    <row r="460">
      <c r="A460" s="3" t="n">
        <v>47308</v>
      </c>
      <c r="B460" s="3" t="inlineStr">
        <is>
          <t>CONSORCIO DEL PICHINCHA S.A CONDELPI</t>
        </is>
      </c>
      <c r="C460" s="4" t="n">
        <v>46081</v>
      </c>
      <c r="D460" s="4" t="n">
        <v>46079</v>
      </c>
      <c r="E460" s="4" t="inlineStr">
        <is>
          <t>IVA</t>
        </is>
      </c>
      <c r="F460" s="3" t="n">
        <v>332</v>
      </c>
      <c r="G460" s="3" t="n">
        <v>101420</v>
      </c>
      <c r="H460" s="3" t="n">
        <v>10</v>
      </c>
      <c r="I460" s="3" t="n">
        <v>978.26</v>
      </c>
      <c r="J460" s="3" t="n">
        <v>97.83</v>
      </c>
      <c r="K460" s="2" t="n"/>
      <c r="L460" s="2" t="n"/>
      <c r="M460" s="2" t="n"/>
      <c r="N460" s="2" t="n"/>
      <c r="O460" s="2" t="n"/>
      <c r="P460" s="2" t="n"/>
    </row>
    <row r="461">
      <c r="A461" s="3" t="n">
        <v>47309</v>
      </c>
      <c r="B461" s="3" t="inlineStr">
        <is>
          <t>TOYOTASERVICIOS S.A.</t>
        </is>
      </c>
      <c r="C461" s="4" t="n">
        <v>46081</v>
      </c>
      <c r="D461" s="4" t="n">
        <v>46080</v>
      </c>
      <c r="E461" s="4" t="inlineStr">
        <is>
          <t>RENTA</t>
        </is>
      </c>
      <c r="F461" s="3" t="n">
        <v>312</v>
      </c>
      <c r="G461" s="3" t="n">
        <v>867</v>
      </c>
      <c r="H461" s="3" t="n">
        <v>1.75</v>
      </c>
      <c r="I461" s="3" t="n">
        <v>938.85</v>
      </c>
      <c r="J461" s="3" t="n">
        <v>16.43</v>
      </c>
      <c r="K461" s="2" t="n"/>
      <c r="L461" s="2" t="n"/>
      <c r="M461" s="2" t="n"/>
      <c r="N461" s="2" t="n"/>
      <c r="O461" s="2" t="n"/>
      <c r="P461" s="2" t="n"/>
    </row>
    <row r="462">
      <c r="A462" s="3" t="n">
        <v>47309</v>
      </c>
      <c r="B462" s="3" t="inlineStr">
        <is>
          <t>TOYOTASERVICIOS S.A.</t>
        </is>
      </c>
      <c r="C462" s="4" t="n">
        <v>46081</v>
      </c>
      <c r="D462" s="4" t="n">
        <v>46080</v>
      </c>
      <c r="E462" s="4" t="inlineStr">
        <is>
          <t>IVA</t>
        </is>
      </c>
      <c r="F462" s="3" t="n">
        <v>312</v>
      </c>
      <c r="G462" s="3" t="n">
        <v>867</v>
      </c>
      <c r="H462" s="3" t="n">
        <v>30</v>
      </c>
      <c r="I462" s="3" t="n">
        <v>140.83</v>
      </c>
      <c r="J462" s="3" t="n">
        <v>42.25</v>
      </c>
      <c r="K462" s="2" t="n"/>
      <c r="L462" s="2" t="n"/>
      <c r="M462" s="2" t="n"/>
      <c r="N462" s="2" t="n"/>
      <c r="O462" s="2" t="n"/>
      <c r="P462" s="2" t="n"/>
    </row>
    <row r="463">
      <c r="A463" s="3" t="n">
        <v>47310</v>
      </c>
      <c r="B463" s="3" t="inlineStr">
        <is>
          <t>CONSORCIO DEL PICHINCHA S.A CONDELPI</t>
        </is>
      </c>
      <c r="C463" s="4" t="n">
        <v>46081</v>
      </c>
      <c r="D463" s="4" t="n">
        <v>46078</v>
      </c>
      <c r="E463" s="4" t="inlineStr">
        <is>
          <t>IVA</t>
        </is>
      </c>
      <c r="F463" s="3" t="n">
        <v>332</v>
      </c>
      <c r="G463" s="3" t="n">
        <v>101378</v>
      </c>
      <c r="H463" s="3" t="n">
        <v>10</v>
      </c>
      <c r="I463" s="17" t="n">
        <v>1695.65</v>
      </c>
      <c r="J463" s="3" t="n">
        <v>169.57</v>
      </c>
      <c r="K463" s="2" t="n"/>
      <c r="L463" s="2" t="n"/>
      <c r="M463" s="2" t="n"/>
      <c r="N463" s="2" t="n"/>
      <c r="O463" s="2" t="n"/>
      <c r="P463" s="2" t="n"/>
    </row>
    <row r="464">
      <c r="A464" s="3" t="n">
        <v>47311</v>
      </c>
      <c r="B464" s="3" t="inlineStr">
        <is>
          <t>CONSORCIO DEL PICHINCHA S.A CONDELPI</t>
        </is>
      </c>
      <c r="C464" s="4" t="n">
        <v>46081</v>
      </c>
      <c r="D464" s="4" t="n">
        <v>46078</v>
      </c>
      <c r="E464" s="4" t="inlineStr">
        <is>
          <t>IVA</t>
        </is>
      </c>
      <c r="F464" s="3" t="n">
        <v>332</v>
      </c>
      <c r="G464" s="3" t="n">
        <v>101395</v>
      </c>
      <c r="H464" s="3" t="n">
        <v>20</v>
      </c>
      <c r="I464" s="3" t="n">
        <v>16.31</v>
      </c>
      <c r="J464" s="3" t="n">
        <v>3.26</v>
      </c>
      <c r="K464" s="2" t="n"/>
      <c r="L464" s="2" t="n"/>
      <c r="M464" s="2" t="n"/>
      <c r="N464" s="2" t="n"/>
      <c r="O464" s="2" t="n"/>
      <c r="P464" s="2" t="n"/>
    </row>
    <row r="465">
      <c r="A465" s="3" t="n">
        <v>47312</v>
      </c>
      <c r="B465" s="3" t="inlineStr">
        <is>
          <t>CONSORCIO DEL PICHINCHA S.A CONDELPI</t>
        </is>
      </c>
      <c r="C465" s="4" t="n">
        <v>46081</v>
      </c>
      <c r="D465" s="4" t="n">
        <v>46078</v>
      </c>
      <c r="E465" s="4" t="inlineStr">
        <is>
          <t>IVA</t>
        </is>
      </c>
      <c r="F465" s="3" t="n">
        <v>332</v>
      </c>
      <c r="G465" s="3" t="n">
        <v>101404</v>
      </c>
      <c r="H465" s="3" t="n">
        <v>20</v>
      </c>
      <c r="I465" s="3" t="n">
        <v>16.31</v>
      </c>
      <c r="J465" s="3" t="n">
        <v>3.26</v>
      </c>
      <c r="K465" s="2" t="n"/>
      <c r="L465" s="2" t="n"/>
      <c r="M465" s="2" t="n"/>
      <c r="N465" s="2" t="n"/>
      <c r="O465" s="2" t="n"/>
      <c r="P465" s="2" t="n"/>
    </row>
    <row r="466">
      <c r="A466" s="3" t="n">
        <v>47313</v>
      </c>
      <c r="B466" s="3" t="inlineStr">
        <is>
          <t>CONSORCIO DEL PICHINCHA S.A CONDELPI</t>
        </is>
      </c>
      <c r="C466" s="4" t="n">
        <v>46081</v>
      </c>
      <c r="D466" s="4" t="n">
        <v>46079</v>
      </c>
      <c r="E466" s="4" t="inlineStr">
        <is>
          <t>IVA</t>
        </is>
      </c>
      <c r="F466" s="3" t="n">
        <v>332</v>
      </c>
      <c r="G466" s="3" t="n">
        <v>101413</v>
      </c>
      <c r="H466" s="3" t="n">
        <v>20</v>
      </c>
      <c r="I466" s="3" t="n">
        <v>16.31</v>
      </c>
      <c r="J466" s="3" t="n">
        <v>3.26</v>
      </c>
      <c r="K466" s="2" t="n"/>
      <c r="L466" s="2" t="n"/>
      <c r="M466" s="2" t="n"/>
      <c r="N466" s="2" t="n"/>
      <c r="O466" s="2" t="n"/>
      <c r="P466" s="2" t="n"/>
    </row>
    <row r="467">
      <c r="A467" s="3" t="n">
        <v>47314</v>
      </c>
      <c r="B467" s="3" t="inlineStr">
        <is>
          <t>CONSORCIO DEL PICHINCHA S.A CONDELPI</t>
        </is>
      </c>
      <c r="C467" s="4" t="n">
        <v>46081</v>
      </c>
      <c r="D467" s="4" t="n">
        <v>46079</v>
      </c>
      <c r="E467" s="4" t="inlineStr">
        <is>
          <t>IVA</t>
        </is>
      </c>
      <c r="F467" s="3" t="n">
        <v>332</v>
      </c>
      <c r="G467" s="3" t="n">
        <v>101416</v>
      </c>
      <c r="H467" s="3" t="n">
        <v>10</v>
      </c>
      <c r="I467" s="17" t="n">
        <v>1173.91</v>
      </c>
      <c r="J467" s="3" t="n">
        <v>117.39</v>
      </c>
      <c r="K467" s="2" t="n"/>
      <c r="L467" s="2" t="n"/>
      <c r="M467" s="2" t="n"/>
      <c r="N467" s="2" t="n"/>
      <c r="O467" s="2" t="n"/>
      <c r="P467" s="2" t="n"/>
    </row>
    <row r="468">
      <c r="A468" s="3" t="n">
        <v>47315</v>
      </c>
      <c r="B468" s="3" t="inlineStr">
        <is>
          <t>CONSORCIO DEL PICHINCHA S.A CONDELPI</t>
        </is>
      </c>
      <c r="C468" s="4" t="n">
        <v>46081</v>
      </c>
      <c r="D468" s="4" t="n">
        <v>46079</v>
      </c>
      <c r="E468" s="4" t="inlineStr">
        <is>
          <t>IVA</t>
        </is>
      </c>
      <c r="F468" s="3" t="n">
        <v>332</v>
      </c>
      <c r="G468" s="3" t="n">
        <v>101424</v>
      </c>
      <c r="H468" s="3" t="n">
        <v>10</v>
      </c>
      <c r="I468" s="3" t="n">
        <v>978.26</v>
      </c>
      <c r="J468" s="3" t="n">
        <v>97.83</v>
      </c>
      <c r="K468" s="2" t="n"/>
      <c r="L468" s="2" t="n"/>
      <c r="M468" s="2" t="n"/>
      <c r="N468" s="2" t="n"/>
      <c r="O468" s="2" t="n"/>
      <c r="P468" s="2" t="n"/>
    </row>
    <row r="469">
      <c r="A469" s="3" t="n">
        <v>47316</v>
      </c>
      <c r="B469" s="3" t="inlineStr">
        <is>
          <t>CONSORCIO DEL PICHINCHA S.A CONDELPI</t>
        </is>
      </c>
      <c r="C469" s="4" t="n">
        <v>46081</v>
      </c>
      <c r="D469" s="4" t="n">
        <v>46079</v>
      </c>
      <c r="E469" s="4" t="inlineStr">
        <is>
          <t>IVA</t>
        </is>
      </c>
      <c r="F469" s="3" t="n">
        <v>332</v>
      </c>
      <c r="G469" s="3" t="n">
        <v>101415</v>
      </c>
      <c r="H469" s="3" t="n">
        <v>20</v>
      </c>
      <c r="I469" s="3" t="n">
        <v>16.31</v>
      </c>
      <c r="J469" s="3" t="n">
        <v>3.26</v>
      </c>
      <c r="K469" s="2" t="n"/>
      <c r="L469" s="2" t="n"/>
      <c r="M469" s="2" t="n"/>
      <c r="N469" s="2" t="n"/>
      <c r="O469" s="2" t="n"/>
      <c r="P469" s="2" t="n"/>
    </row>
    <row r="470">
      <c r="A470" s="3" t="n">
        <v>47317</v>
      </c>
      <c r="B470" s="3" t="inlineStr">
        <is>
          <t>CONSORCIO DEL PICHINCHA S.A CONDELPI</t>
        </is>
      </c>
      <c r="C470" s="4" t="n">
        <v>46081</v>
      </c>
      <c r="D470" s="4" t="n">
        <v>46078</v>
      </c>
      <c r="E470" s="4" t="inlineStr">
        <is>
          <t>IVA</t>
        </is>
      </c>
      <c r="F470" s="3" t="n">
        <v>332</v>
      </c>
      <c r="G470" s="3" t="n">
        <v>101379</v>
      </c>
      <c r="H470" s="3" t="n">
        <v>20</v>
      </c>
      <c r="I470" s="3" t="n">
        <v>16.31</v>
      </c>
      <c r="J470" s="3" t="n">
        <v>3.26</v>
      </c>
      <c r="K470" s="2" t="n"/>
      <c r="L470" s="2" t="n"/>
      <c r="M470" s="2" t="n"/>
      <c r="N470" s="2" t="n"/>
      <c r="O470" s="2" t="n"/>
      <c r="P470" s="2" t="n"/>
    </row>
    <row r="471">
      <c r="A471" s="3" t="n">
        <v>47318</v>
      </c>
      <c r="B471" s="3" t="inlineStr">
        <is>
          <t>CONSORCIO DEL PICHINCHA S.A CONDELPI</t>
        </is>
      </c>
      <c r="C471" s="4" t="n">
        <v>46081</v>
      </c>
      <c r="D471" s="4" t="n">
        <v>46078</v>
      </c>
      <c r="E471" s="4" t="inlineStr">
        <is>
          <t>IVA</t>
        </is>
      </c>
      <c r="F471" s="3" t="n">
        <v>332</v>
      </c>
      <c r="G471" s="3" t="n">
        <v>101403</v>
      </c>
      <c r="H471" s="3" t="n">
        <v>10</v>
      </c>
      <c r="I471" s="3" t="n">
        <v>978.26</v>
      </c>
      <c r="J471" s="3" t="n">
        <v>97.83</v>
      </c>
      <c r="K471" s="2" t="n"/>
      <c r="L471" s="2" t="n"/>
      <c r="M471" s="2" t="n"/>
      <c r="N471" s="2" t="n"/>
      <c r="O471" s="2" t="n"/>
      <c r="P471" s="2" t="n"/>
    </row>
    <row r="472">
      <c r="A472" s="3" t="n">
        <v>47319</v>
      </c>
      <c r="B472" s="3" t="inlineStr">
        <is>
          <t>CONSORCIO DEL PICHINCHA S.A CONDELPI</t>
        </is>
      </c>
      <c r="C472" s="4" t="n">
        <v>46081</v>
      </c>
      <c r="D472" s="4" t="n">
        <v>46078</v>
      </c>
      <c r="E472" s="4" t="inlineStr">
        <is>
          <t>IVA</t>
        </is>
      </c>
      <c r="F472" s="3" t="n">
        <v>332</v>
      </c>
      <c r="G472" s="3" t="n">
        <v>101408</v>
      </c>
      <c r="H472" s="3" t="n">
        <v>20</v>
      </c>
      <c r="I472" s="3" t="n">
        <v>16.31</v>
      </c>
      <c r="J472" s="3" t="n">
        <v>3.26</v>
      </c>
      <c r="K472" s="2" t="n"/>
      <c r="L472" s="2" t="n"/>
      <c r="M472" s="2" t="n"/>
      <c r="N472" s="2" t="n"/>
      <c r="O472" s="2" t="n"/>
      <c r="P472" s="2" t="n"/>
    </row>
    <row r="473">
      <c r="A473" s="3" t="n">
        <v>47320</v>
      </c>
      <c r="B473" s="3" t="inlineStr">
        <is>
          <t>CONSORCIO DEL PICHINCHA S.A CONDELPI</t>
        </is>
      </c>
      <c r="C473" s="4" t="n">
        <v>46081</v>
      </c>
      <c r="D473" s="4" t="n">
        <v>46079</v>
      </c>
      <c r="E473" s="4" t="inlineStr">
        <is>
          <t>IVA</t>
        </is>
      </c>
      <c r="F473" s="3" t="n">
        <v>332</v>
      </c>
      <c r="G473" s="3" t="n">
        <v>101410</v>
      </c>
      <c r="H473" s="3" t="n">
        <v>10</v>
      </c>
      <c r="I473" s="17" t="n">
        <v>1695.65</v>
      </c>
      <c r="J473" s="3" t="n">
        <v>169.57</v>
      </c>
      <c r="K473" s="2" t="n"/>
      <c r="L473" s="2" t="n"/>
      <c r="M473" s="2" t="n"/>
      <c r="N473" s="2" t="n"/>
      <c r="O473" s="2" t="n"/>
      <c r="P473" s="2" t="n"/>
    </row>
    <row r="474">
      <c r="A474" s="3" t="n">
        <v>47321</v>
      </c>
      <c r="B474" s="3" t="inlineStr">
        <is>
          <t>CONSORCIO DEL PICHINCHA S.A CONDELPI</t>
        </is>
      </c>
      <c r="C474" s="4" t="n">
        <v>46081</v>
      </c>
      <c r="D474" s="4" t="n">
        <v>46078</v>
      </c>
      <c r="E474" s="4" t="inlineStr">
        <is>
          <t>IVA</t>
        </is>
      </c>
      <c r="F474" s="3" t="n">
        <v>332</v>
      </c>
      <c r="G474" s="3" t="n">
        <v>101394</v>
      </c>
      <c r="H474" s="3" t="n">
        <v>10</v>
      </c>
      <c r="I474" s="3" t="n">
        <v>978.26</v>
      </c>
      <c r="J474" s="3" t="n">
        <v>97.83</v>
      </c>
      <c r="K474" s="2" t="n"/>
      <c r="L474" s="2" t="n"/>
      <c r="M474" s="2" t="n"/>
      <c r="N474" s="2" t="n"/>
      <c r="O474" s="2" t="n"/>
      <c r="P474" s="2" t="n"/>
    </row>
    <row r="475">
      <c r="A475" s="3" t="n">
        <v>47322</v>
      </c>
      <c r="B475" s="3" t="inlineStr">
        <is>
          <t>CONSORCIO DEL PICHINCHA S.A CONDELPI</t>
        </is>
      </c>
      <c r="C475" s="4" t="n">
        <v>46081</v>
      </c>
      <c r="D475" s="4" t="n">
        <v>46078</v>
      </c>
      <c r="E475" s="4" t="inlineStr">
        <is>
          <t>IVA</t>
        </is>
      </c>
      <c r="F475" s="3" t="n">
        <v>332</v>
      </c>
      <c r="G475" s="3" t="n">
        <v>101392</v>
      </c>
      <c r="H475" s="3" t="n">
        <v>10</v>
      </c>
      <c r="I475" s="3" t="n">
        <v>978.26</v>
      </c>
      <c r="J475" s="3" t="n">
        <v>97.83</v>
      </c>
      <c r="K475" s="2" t="n"/>
      <c r="L475" s="2" t="n"/>
      <c r="M475" s="2" t="n"/>
      <c r="N475" s="2" t="n"/>
      <c r="O475" s="2" t="n"/>
      <c r="P475" s="2" t="n"/>
    </row>
    <row r="476">
      <c r="A476" s="3" t="n">
        <v>47323</v>
      </c>
      <c r="B476" s="3" t="inlineStr">
        <is>
          <t>CONSORCIO DEL PICHINCHA S.A CONDELPI</t>
        </is>
      </c>
      <c r="C476" s="4" t="n">
        <v>46081</v>
      </c>
      <c r="D476" s="4" t="n">
        <v>46078</v>
      </c>
      <c r="E476" s="4" t="inlineStr">
        <is>
          <t>IVA</t>
        </is>
      </c>
      <c r="F476" s="3" t="n">
        <v>332</v>
      </c>
      <c r="G476" s="3" t="n">
        <v>101405</v>
      </c>
      <c r="H476" s="3" t="n">
        <v>10</v>
      </c>
      <c r="I476" s="3" t="n">
        <v>978.26</v>
      </c>
      <c r="J476" s="3" t="n">
        <v>97.83</v>
      </c>
      <c r="K476" s="2" t="n"/>
      <c r="L476" s="2" t="n"/>
      <c r="M476" s="2" t="n"/>
      <c r="N476" s="2" t="n"/>
      <c r="O476" s="2" t="n"/>
      <c r="P476" s="2" t="n"/>
    </row>
    <row r="477">
      <c r="A477" s="3" t="n">
        <v>47324</v>
      </c>
      <c r="B477" s="3" t="inlineStr">
        <is>
          <t>CONSORCIO DEL PICHINCHA S.A CONDELPI</t>
        </is>
      </c>
      <c r="C477" s="4" t="n">
        <v>46081</v>
      </c>
      <c r="D477" s="4" t="n">
        <v>46078</v>
      </c>
      <c r="E477" s="4" t="inlineStr">
        <is>
          <t>IVA</t>
        </is>
      </c>
      <c r="F477" s="3" t="n">
        <v>332</v>
      </c>
      <c r="G477" s="3" t="n">
        <v>101407</v>
      </c>
      <c r="H477" s="3" t="n">
        <v>10</v>
      </c>
      <c r="I477" s="3" t="n">
        <v>978.26</v>
      </c>
      <c r="J477" s="3" t="n">
        <v>97.83</v>
      </c>
      <c r="K477" s="2" t="n"/>
      <c r="L477" s="2" t="n"/>
      <c r="M477" s="2" t="n"/>
      <c r="N477" s="2" t="n"/>
      <c r="O477" s="2" t="n"/>
      <c r="P477" s="2" t="n"/>
    </row>
    <row r="478">
      <c r="A478" s="3" t="n">
        <v>47325</v>
      </c>
      <c r="B478" s="3" t="inlineStr">
        <is>
          <t>CONSORCIO DEL PICHINCHA S.A CONDELPI</t>
        </is>
      </c>
      <c r="C478" s="4" t="n">
        <v>46081</v>
      </c>
      <c r="D478" s="4" t="n">
        <v>46079</v>
      </c>
      <c r="E478" s="4" t="inlineStr">
        <is>
          <t>IVA</t>
        </is>
      </c>
      <c r="F478" s="3" t="n">
        <v>332</v>
      </c>
      <c r="G478" s="3" t="n">
        <v>101411</v>
      </c>
      <c r="H478" s="3" t="n">
        <v>20</v>
      </c>
      <c r="I478" s="3" t="n">
        <v>16.31</v>
      </c>
      <c r="J478" s="3" t="n">
        <v>3.26</v>
      </c>
      <c r="K478" s="2" t="n"/>
      <c r="L478" s="2" t="n"/>
      <c r="M478" s="2" t="n"/>
      <c r="N478" s="2" t="n"/>
      <c r="O478" s="2" t="n"/>
      <c r="P478" s="2" t="n"/>
    </row>
    <row r="479">
      <c r="A479" s="3" t="n">
        <v>47326</v>
      </c>
      <c r="B479" s="3" t="inlineStr">
        <is>
          <t>CONSORCIO DEL PICHINCHA S.A CONDELPI</t>
        </is>
      </c>
      <c r="C479" s="4" t="n">
        <v>46081</v>
      </c>
      <c r="D479" s="4" t="n">
        <v>46079</v>
      </c>
      <c r="E479" s="4" t="inlineStr">
        <is>
          <t>IVA</t>
        </is>
      </c>
      <c r="F479" s="3" t="n">
        <v>332</v>
      </c>
      <c r="G479" s="3" t="n">
        <v>101418</v>
      </c>
      <c r="H479" s="3" t="n">
        <v>10</v>
      </c>
      <c r="I479" s="17" t="n">
        <v>1173.91</v>
      </c>
      <c r="J479" s="3" t="n">
        <v>117.39</v>
      </c>
      <c r="K479" s="2" t="n"/>
      <c r="L479" s="2" t="n"/>
      <c r="M479" s="2" t="n"/>
      <c r="N479" s="2" t="n"/>
      <c r="O479" s="2" t="n"/>
      <c r="P479" s="2" t="n"/>
    </row>
    <row r="480">
      <c r="A480" s="3" t="n">
        <v>47327</v>
      </c>
      <c r="B480" s="3" t="inlineStr">
        <is>
          <t>CONSORCIO DEL PICHINCHA S.A CONDELPI</t>
        </is>
      </c>
      <c r="C480" s="4" t="n">
        <v>46081</v>
      </c>
      <c r="D480" s="4" t="n">
        <v>46079</v>
      </c>
      <c r="E480" s="4" t="inlineStr">
        <is>
          <t>IVA</t>
        </is>
      </c>
      <c r="F480" s="3" t="n">
        <v>332</v>
      </c>
      <c r="G480" s="3" t="n">
        <v>101417</v>
      </c>
      <c r="H480" s="3" t="n">
        <v>20</v>
      </c>
      <c r="I480" s="3" t="n">
        <v>16.31</v>
      </c>
      <c r="J480" s="3" t="n">
        <v>3.26</v>
      </c>
      <c r="K480" s="2" t="n"/>
      <c r="L480" s="2" t="n"/>
      <c r="M480" s="2" t="n"/>
      <c r="N480" s="2" t="n"/>
      <c r="O480" s="2" t="n"/>
      <c r="P480" s="2" t="n"/>
    </row>
    <row r="481">
      <c r="A481" s="3" t="n">
        <v>47328</v>
      </c>
      <c r="B481" s="3" t="inlineStr">
        <is>
          <t>TOYOTASERVICIOS S.A.</t>
        </is>
      </c>
      <c r="C481" s="4" t="n">
        <v>46081</v>
      </c>
      <c r="D481" s="4" t="n">
        <v>46080</v>
      </c>
      <c r="E481" s="4" t="inlineStr">
        <is>
          <t>RENTA</t>
        </is>
      </c>
      <c r="F481" s="3" t="n">
        <v>312</v>
      </c>
      <c r="G481" s="3" t="n">
        <v>866</v>
      </c>
      <c r="H481" s="3" t="n">
        <v>1.75</v>
      </c>
      <c r="I481" s="17" t="n">
        <v>4598.9</v>
      </c>
      <c r="J481" s="3" t="n">
        <v>80.48</v>
      </c>
      <c r="K481" s="2" t="n"/>
      <c r="L481" s="2" t="n"/>
      <c r="M481" s="2" t="n"/>
      <c r="N481" s="2" t="n"/>
      <c r="O481" s="2" t="n"/>
      <c r="P481" s="2" t="n"/>
    </row>
    <row r="482">
      <c r="A482" s="3" t="n">
        <v>47328</v>
      </c>
      <c r="B482" s="3" t="inlineStr">
        <is>
          <t>TOYOTASERVICIOS S.A.</t>
        </is>
      </c>
      <c r="C482" s="4" t="n">
        <v>46081</v>
      </c>
      <c r="D482" s="4" t="n">
        <v>46080</v>
      </c>
      <c r="E482" s="4" t="inlineStr">
        <is>
          <t>IVA</t>
        </is>
      </c>
      <c r="F482" s="3" t="n">
        <v>312</v>
      </c>
      <c r="G482" s="3" t="n">
        <v>866</v>
      </c>
      <c r="H482" s="3" t="n">
        <v>30</v>
      </c>
      <c r="I482" s="3" t="n">
        <v>689.84</v>
      </c>
      <c r="J482" s="3" t="n">
        <v>206.95</v>
      </c>
      <c r="K482" s="2" t="n"/>
      <c r="L482" s="2" t="n"/>
      <c r="M482" s="2" t="n"/>
      <c r="N482" s="2" t="n"/>
      <c r="O482" s="2" t="n"/>
      <c r="P482" s="2" t="n"/>
    </row>
    <row r="483">
      <c r="A483" s="3" t="n">
        <v>47329</v>
      </c>
      <c r="B483" s="3" t="inlineStr">
        <is>
          <t>CONSORCIO DEL PICHINCHA S.A CONDELPI</t>
        </is>
      </c>
      <c r="C483" s="4" t="n">
        <v>46081</v>
      </c>
      <c r="D483" s="4" t="n">
        <v>46078</v>
      </c>
      <c r="E483" s="4" t="inlineStr">
        <is>
          <t>IVA</t>
        </is>
      </c>
      <c r="F483" s="3" t="n">
        <v>332</v>
      </c>
      <c r="G483" s="3" t="n">
        <v>101389</v>
      </c>
      <c r="H483" s="3" t="n">
        <v>20</v>
      </c>
      <c r="I483" s="3" t="n">
        <v>16.31</v>
      </c>
      <c r="J483" s="3" t="n">
        <v>3.26</v>
      </c>
      <c r="K483" s="2" t="n"/>
      <c r="L483" s="2" t="n"/>
      <c r="M483" s="2" t="n"/>
      <c r="N483" s="2" t="n"/>
      <c r="O483" s="2" t="n"/>
      <c r="P483" s="2" t="n"/>
    </row>
    <row r="484">
      <c r="A484" s="3" t="n">
        <v>47330</v>
      </c>
      <c r="B484" s="3" t="inlineStr">
        <is>
          <t>CONSORCIO DEL PICHINCHA S.A CONDELPI</t>
        </is>
      </c>
      <c r="C484" s="4" t="n">
        <v>46081</v>
      </c>
      <c r="D484" s="4" t="n">
        <v>46078</v>
      </c>
      <c r="E484" s="4" t="inlineStr">
        <is>
          <t>IVA</t>
        </is>
      </c>
      <c r="F484" s="3" t="n">
        <v>332</v>
      </c>
      <c r="G484" s="3" t="n">
        <v>101402</v>
      </c>
      <c r="H484" s="3" t="n">
        <v>20</v>
      </c>
      <c r="I484" s="3" t="n">
        <v>16.31</v>
      </c>
      <c r="J484" s="3" t="n">
        <v>3.26</v>
      </c>
      <c r="K484" s="2" t="n"/>
      <c r="L484" s="2" t="n"/>
      <c r="M484" s="2" t="n"/>
      <c r="N484" s="2" t="n"/>
      <c r="O484" s="2" t="n"/>
      <c r="P484" s="2" t="n"/>
    </row>
    <row r="485">
      <c r="A485" s="3" t="n">
        <v>47331</v>
      </c>
      <c r="B485" s="3" t="inlineStr">
        <is>
          <t>CONSORCIO DEL PICHINCHA S.A CONDELPI</t>
        </is>
      </c>
      <c r="C485" s="4" t="n">
        <v>46081</v>
      </c>
      <c r="D485" s="4" t="n">
        <v>46078</v>
      </c>
      <c r="E485" s="4" t="inlineStr">
        <is>
          <t>IVA</t>
        </is>
      </c>
      <c r="F485" s="3" t="n">
        <v>332</v>
      </c>
      <c r="G485" s="3" t="n">
        <v>101393</v>
      </c>
      <c r="H485" s="3" t="n">
        <v>20</v>
      </c>
      <c r="I485" s="3" t="n">
        <v>16.31</v>
      </c>
      <c r="J485" s="3" t="n">
        <v>3.26</v>
      </c>
      <c r="K485" s="2" t="n"/>
      <c r="L485" s="2" t="n"/>
      <c r="M485" s="2" t="n"/>
      <c r="N485" s="2" t="n"/>
      <c r="O485" s="2" t="n"/>
      <c r="P485" s="2" t="n"/>
    </row>
    <row r="486">
      <c r="A486" s="3" t="n">
        <v>47332</v>
      </c>
      <c r="B486" s="3" t="inlineStr">
        <is>
          <t>CONSORCIO DEL PICHINCHA S.A CONDELPI</t>
        </is>
      </c>
      <c r="C486" s="4" t="n">
        <v>46081</v>
      </c>
      <c r="D486" s="4" t="n">
        <v>46078</v>
      </c>
      <c r="E486" s="4" t="inlineStr">
        <is>
          <t>IVA</t>
        </is>
      </c>
      <c r="F486" s="3" t="n">
        <v>332</v>
      </c>
      <c r="G486" s="3" t="n">
        <v>101406</v>
      </c>
      <c r="H486" s="3" t="n">
        <v>20</v>
      </c>
      <c r="I486" s="3" t="n">
        <v>16.31</v>
      </c>
      <c r="J486" s="3" t="n">
        <v>3.26</v>
      </c>
      <c r="K486" s="2" t="n"/>
      <c r="L486" s="2" t="n"/>
      <c r="M486" s="2" t="n"/>
      <c r="N486" s="2" t="n"/>
      <c r="O486" s="2" t="n"/>
      <c r="P486" s="2" t="n"/>
    </row>
    <row r="487">
      <c r="A487" s="3" t="n">
        <v>47333</v>
      </c>
      <c r="B487" s="3" t="inlineStr">
        <is>
          <t>CONSORCIO DEL PICHINCHA S.A CONDELPI</t>
        </is>
      </c>
      <c r="C487" s="4" t="n">
        <v>46081</v>
      </c>
      <c r="D487" s="4" t="n">
        <v>46078</v>
      </c>
      <c r="E487" s="4" t="inlineStr">
        <is>
          <t>IVA</t>
        </is>
      </c>
      <c r="F487" s="3" t="n">
        <v>332</v>
      </c>
      <c r="G487" s="3" t="n">
        <v>101384</v>
      </c>
      <c r="H487" s="3" t="n">
        <v>10</v>
      </c>
      <c r="I487" s="17" t="n">
        <v>1695.65</v>
      </c>
      <c r="J487" s="3" t="n">
        <v>169.57</v>
      </c>
      <c r="K487" s="2" t="n"/>
      <c r="L487" s="2" t="n"/>
      <c r="M487" s="2" t="n"/>
      <c r="N487" s="2" t="n"/>
      <c r="O487" s="2" t="n"/>
      <c r="P487" s="2" t="n"/>
    </row>
    <row r="488">
      <c r="A488" s="3" t="n">
        <v>47334</v>
      </c>
      <c r="B488" s="3" t="inlineStr">
        <is>
          <t>CONSORCIO DEL PICHINCHA S.A CONDELPI</t>
        </is>
      </c>
      <c r="C488" s="4" t="n">
        <v>46081</v>
      </c>
      <c r="D488" s="4" t="n">
        <v>46079</v>
      </c>
      <c r="E488" s="4" t="inlineStr">
        <is>
          <t>IVA</t>
        </is>
      </c>
      <c r="F488" s="3" t="n">
        <v>332</v>
      </c>
      <c r="G488" s="3" t="n">
        <v>101412</v>
      </c>
      <c r="H488" s="3" t="n">
        <v>10</v>
      </c>
      <c r="I488" s="17" t="n">
        <v>1695.65</v>
      </c>
      <c r="J488" s="3" t="n">
        <v>169.57</v>
      </c>
      <c r="K488" s="2" t="n"/>
      <c r="L488" s="2" t="n"/>
      <c r="M488" s="2" t="n"/>
      <c r="N488" s="2" t="n"/>
      <c r="O488" s="2" t="n"/>
      <c r="P488" s="2" t="n"/>
    </row>
    <row r="489">
      <c r="A489" s="3" t="n">
        <v>47335</v>
      </c>
      <c r="B489" s="3" t="inlineStr">
        <is>
          <t>CONSORCIO DEL PICHINCHA S.A CONDELPI</t>
        </is>
      </c>
      <c r="C489" s="4" t="n">
        <v>46081</v>
      </c>
      <c r="D489" s="4" t="n">
        <v>46079</v>
      </c>
      <c r="E489" s="4" t="inlineStr">
        <is>
          <t>IVA</t>
        </is>
      </c>
      <c r="F489" s="3" t="n">
        <v>332</v>
      </c>
      <c r="G489" s="3" t="n">
        <v>101414</v>
      </c>
      <c r="H489" s="3" t="n">
        <v>10</v>
      </c>
      <c r="I489" s="17" t="n">
        <v>1695.65</v>
      </c>
      <c r="J489" s="3" t="n">
        <v>169.57</v>
      </c>
      <c r="K489" s="2" t="n"/>
      <c r="L489" s="2" t="n"/>
      <c r="M489" s="2" t="n"/>
      <c r="N489" s="2" t="n"/>
      <c r="O489" s="2" t="n"/>
      <c r="P489" s="2" t="n"/>
    </row>
    <row r="490">
      <c r="A490" s="3" t="n">
        <v>47336</v>
      </c>
      <c r="B490" s="3" t="inlineStr">
        <is>
          <t>TOYOTASERVICIOS S.A.</t>
        </is>
      </c>
      <c r="C490" s="4" t="n">
        <v>46081</v>
      </c>
      <c r="D490" s="4" t="n">
        <v>46080</v>
      </c>
      <c r="E490" s="4" t="inlineStr">
        <is>
          <t>RENTA</t>
        </is>
      </c>
      <c r="F490" s="3" t="n">
        <v>344</v>
      </c>
      <c r="G490" s="3" t="n">
        <v>53046</v>
      </c>
      <c r="H490" s="3" t="n">
        <v>2.75</v>
      </c>
      <c r="I490" s="3" t="n">
        <v>846</v>
      </c>
      <c r="J490" s="3" t="n">
        <v>23.27</v>
      </c>
      <c r="K490" s="2" t="n"/>
      <c r="L490" s="2" t="n"/>
      <c r="M490" s="2" t="n"/>
      <c r="N490" s="2" t="n"/>
      <c r="O490" s="2" t="n"/>
      <c r="P490" s="2" t="n"/>
    </row>
    <row r="491">
      <c r="A491" s="3" t="n">
        <v>47336</v>
      </c>
      <c r="B491" s="3" t="inlineStr">
        <is>
          <t>TOYOTASERVICIOS S.A.</t>
        </is>
      </c>
      <c r="C491" s="4" t="n">
        <v>46081</v>
      </c>
      <c r="D491" s="4" t="n">
        <v>46080</v>
      </c>
      <c r="E491" s="4" t="inlineStr">
        <is>
          <t>IVA</t>
        </is>
      </c>
      <c r="F491" s="3" t="n">
        <v>344</v>
      </c>
      <c r="G491" s="3" t="n">
        <v>53046</v>
      </c>
      <c r="H491" s="3" t="n">
        <v>70</v>
      </c>
      <c r="I491" s="3" t="n">
        <v>126.9</v>
      </c>
      <c r="J491" s="3" t="n">
        <v>88.83</v>
      </c>
      <c r="K491" s="2" t="n"/>
      <c r="L491" s="2" t="n"/>
      <c r="M491" s="2" t="n"/>
      <c r="N491" s="2" t="n"/>
      <c r="O491" s="2" t="n"/>
      <c r="P491" s="2" t="n"/>
    </row>
    <row r="492">
      <c r="A492" s="3" t="n">
        <v>999999999</v>
      </c>
      <c r="B492" s="3" t="inlineStr">
        <is>
          <t>ASEGURADORA DEL SUR C.A.</t>
        </is>
      </c>
      <c r="C492" s="4" t="n">
        <v>46065</v>
      </c>
      <c r="D492" s="4" t="n">
        <v>46065</v>
      </c>
      <c r="E492" s="4" t="inlineStr">
        <is>
          <t>IVA</t>
        </is>
      </c>
      <c r="F492" s="3" t="n">
        <v>332</v>
      </c>
      <c r="G492" s="3" t="inlineStr">
        <is>
          <t>A017835055</t>
        </is>
      </c>
      <c r="H492" s="3" t="n">
        <v>20</v>
      </c>
      <c r="I492" s="3" t="n">
        <v>246.67</v>
      </c>
      <c r="J492" s="3" t="n">
        <v>49.33</v>
      </c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5" t="n"/>
      <c r="D497" s="5" t="n"/>
      <c r="E497" s="5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</sheetData>
  <autoFilter ref="A1:J492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15"/>
  <sheetViews>
    <sheetView workbookViewId="0">
      <selection activeCell="A1" sqref="A1"/>
    </sheetView>
  </sheetViews>
  <sheetFormatPr baseColWidth="10" defaultRowHeight="15"/>
  <cols>
    <col width="15.28515625" bestFit="1" customWidth="1" min="1" max="1"/>
    <col width="30.140625" bestFit="1" customWidth="1" min="2" max="2"/>
    <col width="4.7109375" customWidth="1" min="3" max="3"/>
    <col width="47.7109375" bestFit="1" customWidth="1" min="8" max="8"/>
    <col width="30.140625" bestFit="1" customWidth="1" min="13" max="13"/>
    <col width="14" bestFit="1" customWidth="1" min="14" max="14"/>
    <col width="15.28515625" bestFit="1" customWidth="1" min="15" max="15"/>
  </cols>
  <sheetData>
    <row r="1">
      <c r="A1" s="18" t="inlineStr">
        <is>
          <t>COD</t>
        </is>
      </c>
      <c r="B1" s="13" t="inlineStr">
        <is>
          <t>CUENTA</t>
        </is>
      </c>
      <c r="C1" s="13" t="inlineStr">
        <is>
          <t>EXT</t>
        </is>
      </c>
      <c r="D1" s="13" t="inlineStr">
        <is>
          <t>FECHA</t>
        </is>
      </c>
      <c r="E1" s="13" t="inlineStr">
        <is>
          <t>ORIGEN</t>
        </is>
      </c>
      <c r="F1" s="13" t="inlineStr">
        <is>
          <t>ASIENTO</t>
        </is>
      </c>
      <c r="G1" s="13" t="inlineStr">
        <is>
          <t>DOCU</t>
        </is>
      </c>
      <c r="H1" s="13" t="inlineStr">
        <is>
          <t>DETALLE</t>
        </is>
      </c>
      <c r="I1" s="13" t="inlineStr">
        <is>
          <t>DEBE</t>
        </is>
      </c>
      <c r="J1" s="13" t="inlineStr">
        <is>
          <t>HABER</t>
        </is>
      </c>
      <c r="K1" s="13" t="inlineStr">
        <is>
          <t>SALDO</t>
        </is>
      </c>
      <c r="L1" s="2" t="n"/>
      <c r="M1" s="14" t="inlineStr">
        <is>
          <t>Etiquetas de fila</t>
        </is>
      </c>
      <c r="N1" s="2" t="inlineStr">
        <is>
          <t>Suma de DEBE</t>
        </is>
      </c>
      <c r="O1" s="2" t="inlineStr">
        <is>
          <t>Suma de HABER</t>
        </is>
      </c>
      <c r="P1" s="2" t="n"/>
    </row>
    <row r="2">
      <c r="A2" s="2" t="inlineStr">
        <is>
          <t>02.01.06.01.0002</t>
        </is>
      </c>
      <c r="B2" s="3" t="inlineStr">
        <is>
          <t>RETENCION 10% IVA (BIENES)</t>
        </is>
      </c>
      <c r="C2" s="3" t="inlineStr">
        <is>
          <t>N</t>
        </is>
      </c>
      <c r="D2" s="19" t="n">
        <v>46055</v>
      </c>
      <c r="E2" s="3" t="inlineStr">
        <is>
          <t>CP</t>
        </is>
      </c>
      <c r="F2" s="3" t="n">
        <v>29</v>
      </c>
      <c r="G2" s="3" t="inlineStr">
        <is>
          <t>000074969</t>
        </is>
      </c>
      <c r="H2" s="3" t="inlineStr">
        <is>
          <t>FE CARRO SEGURO CARSEG S.A. 000074969</t>
        </is>
      </c>
      <c r="I2" s="3" t="n">
        <v>0</v>
      </c>
      <c r="J2" s="3" t="n">
        <v>8.1</v>
      </c>
      <c r="K2" s="3" t="n">
        <v>8858.76</v>
      </c>
      <c r="L2" s="2" t="n"/>
      <c r="M2" s="15" t="inlineStr">
        <is>
          <t>1% RETENCION</t>
        </is>
      </c>
      <c r="N2" s="2" t="n">
        <v>0</v>
      </c>
      <c r="O2" s="2" t="n">
        <v>0</v>
      </c>
      <c r="P2" s="2" t="n"/>
    </row>
    <row r="3">
      <c r="A3" s="2" t="inlineStr">
        <is>
          <t>02.01.06.01.0002</t>
        </is>
      </c>
      <c r="B3" s="3" t="inlineStr">
        <is>
          <t>RETENCION 10% IVA (BIENES)</t>
        </is>
      </c>
      <c r="C3" s="3" t="inlineStr">
        <is>
          <t>N</t>
        </is>
      </c>
      <c r="D3" s="19" t="n">
        <v>46058</v>
      </c>
      <c r="E3" s="3" t="inlineStr">
        <is>
          <t>INVEN</t>
        </is>
      </c>
      <c r="F3" s="3" t="n">
        <v>56</v>
      </c>
      <c r="G3" s="3" t="inlineStr">
        <is>
          <t>000001518</t>
        </is>
      </c>
      <c r="H3" s="3" t="inlineStr">
        <is>
          <t>IN SZK DEL ECUADOR S.A. 000001518</t>
        </is>
      </c>
      <c r="I3" s="3" t="n">
        <v>0</v>
      </c>
      <c r="J3" s="3" t="n">
        <v>6.52</v>
      </c>
      <c r="K3" s="3" t="n">
        <v>0</v>
      </c>
      <c r="L3" s="2" t="n"/>
      <c r="M3" s="15" t="inlineStr">
        <is>
          <t>1.75% RETENCION FUENTE</t>
        </is>
      </c>
      <c r="N3" s="2" t="n">
        <v>0</v>
      </c>
      <c r="O3" s="2" t="n">
        <v>0</v>
      </c>
      <c r="P3" s="2" t="n"/>
    </row>
    <row r="4">
      <c r="A4" s="2" t="inlineStr">
        <is>
          <t>02.01.06.01.0002</t>
        </is>
      </c>
      <c r="B4" s="3" t="inlineStr">
        <is>
          <t>RETENCION 10% IVA (BIENES)</t>
        </is>
      </c>
      <c r="C4" s="3" t="inlineStr">
        <is>
          <t>N</t>
        </is>
      </c>
      <c r="D4" s="19" t="n">
        <v>46058</v>
      </c>
      <c r="E4" s="3" t="inlineStr">
        <is>
          <t>CP</t>
        </is>
      </c>
      <c r="F4" s="3" t="n">
        <v>57</v>
      </c>
      <c r="G4" s="3" t="inlineStr">
        <is>
          <t>000003181</t>
        </is>
      </c>
      <c r="H4" s="3" t="inlineStr">
        <is>
          <t>FE SZK DEL ECUADOR S.A. 000003181</t>
        </is>
      </c>
      <c r="I4" s="3" t="n">
        <v>0</v>
      </c>
      <c r="J4" s="3" t="n">
        <v>331.67</v>
      </c>
      <c r="K4" s="3" t="n">
        <v>824.4</v>
      </c>
      <c r="L4" s="2" t="n"/>
      <c r="M4" s="15" t="inlineStr">
        <is>
          <t>10 % RETENCION FUENTE</t>
        </is>
      </c>
      <c r="N4" s="2" t="n">
        <v>0</v>
      </c>
      <c r="O4" s="2" t="n">
        <v>0</v>
      </c>
      <c r="P4" s="2" t="n"/>
    </row>
    <row r="5">
      <c r="A5" s="2" t="inlineStr">
        <is>
          <t>02.01.06.01.0002</t>
        </is>
      </c>
      <c r="B5" s="3" t="inlineStr">
        <is>
          <t>RETENCION 10% IVA (BIENES)</t>
        </is>
      </c>
      <c r="C5" s="3" t="inlineStr">
        <is>
          <t>N</t>
        </is>
      </c>
      <c r="D5" s="19" t="n">
        <v>46061</v>
      </c>
      <c r="E5" s="3" t="inlineStr">
        <is>
          <t>CP</t>
        </is>
      </c>
      <c r="F5" s="3" t="n">
        <v>70</v>
      </c>
      <c r="G5" s="3" t="inlineStr">
        <is>
          <t>000730023</t>
        </is>
      </c>
      <c r="H5" s="3" t="inlineStr">
        <is>
          <t>FE COMERCIAL KYWI S.A. 000730023</t>
        </is>
      </c>
      <c r="I5" s="3" t="n">
        <v>0</v>
      </c>
      <c r="J5" s="3" t="n">
        <v>1.11</v>
      </c>
      <c r="K5" s="3" t="n">
        <v>823.29</v>
      </c>
      <c r="L5" s="2" t="n"/>
      <c r="M5" s="15" t="inlineStr">
        <is>
          <t>100 % RETENCION  IVA</t>
        </is>
      </c>
      <c r="N5" s="2" t="n">
        <v>975.15</v>
      </c>
      <c r="O5" s="2" t="n">
        <v>975.15</v>
      </c>
      <c r="P5" s="2" t="n"/>
    </row>
    <row r="6">
      <c r="A6" s="2" t="inlineStr">
        <is>
          <t>02.01.06.01.0002</t>
        </is>
      </c>
      <c r="B6" s="3" t="inlineStr">
        <is>
          <t>RETENCION 10% IVA (BIENES)</t>
        </is>
      </c>
      <c r="C6" s="3" t="inlineStr">
        <is>
          <t>N</t>
        </is>
      </c>
      <c r="D6" s="19" t="n">
        <v>46063</v>
      </c>
      <c r="E6" s="3" t="inlineStr">
        <is>
          <t>CP</t>
        </is>
      </c>
      <c r="F6" s="3" t="n">
        <v>104</v>
      </c>
      <c r="G6" s="3" t="inlineStr">
        <is>
          <t>000142395</t>
        </is>
      </c>
      <c r="H6" s="3" t="inlineStr">
        <is>
          <t>FE MEJIA CARRASCO VICTOR LEONE 000142395</t>
        </is>
      </c>
      <c r="I6" s="3" t="n">
        <v>0</v>
      </c>
      <c r="J6" s="3" t="n">
        <v>10.83</v>
      </c>
      <c r="K6" s="3" t="n">
        <v>43965.44</v>
      </c>
      <c r="L6" s="2" t="n"/>
      <c r="M6" s="15" t="inlineStr">
        <is>
          <t>2% RETENCION FUENTE</t>
        </is>
      </c>
      <c r="N6" s="2" t="n">
        <v>0</v>
      </c>
      <c r="O6" s="2" t="n">
        <v>0</v>
      </c>
      <c r="P6" s="2" t="n"/>
    </row>
    <row r="7">
      <c r="A7" s="2" t="inlineStr">
        <is>
          <t>02.01.06.01.0002</t>
        </is>
      </c>
      <c r="B7" s="3" t="inlineStr">
        <is>
          <t>RETENCION 10% IVA (BIENES)</t>
        </is>
      </c>
      <c r="C7" s="3" t="inlineStr">
        <is>
          <t>N</t>
        </is>
      </c>
      <c r="D7" s="19" t="n">
        <v>46065</v>
      </c>
      <c r="E7" s="3" t="inlineStr">
        <is>
          <t>INVEN</t>
        </is>
      </c>
      <c r="F7" s="3" t="n">
        <v>120</v>
      </c>
      <c r="G7" s="3" t="inlineStr">
        <is>
          <t>000031419</t>
        </is>
      </c>
      <c r="H7" s="3" t="inlineStr">
        <is>
          <t>IN CASABACA S.A. 000031419</t>
        </is>
      </c>
      <c r="I7" s="3" t="n">
        <v>0</v>
      </c>
      <c r="J7" s="3" t="n">
        <v>39.89</v>
      </c>
      <c r="K7" s="3" t="n">
        <v>783.4</v>
      </c>
      <c r="L7" s="2" t="n"/>
      <c r="M7" s="15" t="inlineStr">
        <is>
          <t>2.75% RETENCION FUENTE</t>
        </is>
      </c>
      <c r="N7" s="2" t="n">
        <v>0</v>
      </c>
      <c r="O7" s="2" t="n">
        <v>0</v>
      </c>
      <c r="P7" s="2" t="n"/>
    </row>
    <row r="8">
      <c r="A8" s="2" t="inlineStr">
        <is>
          <t>02.01.06.01.0002</t>
        </is>
      </c>
      <c r="B8" s="3" t="inlineStr">
        <is>
          <t>RETENCION 10% IVA (BIENES)</t>
        </is>
      </c>
      <c r="C8" s="3" t="inlineStr">
        <is>
          <t>N</t>
        </is>
      </c>
      <c r="D8" s="19" t="n">
        <v>46065</v>
      </c>
      <c r="E8" s="3" t="inlineStr">
        <is>
          <t>INVEN</t>
        </is>
      </c>
      <c r="F8" s="3" t="n">
        <v>120</v>
      </c>
      <c r="G8" s="3" t="inlineStr">
        <is>
          <t>000031420</t>
        </is>
      </c>
      <c r="H8" s="3" t="inlineStr">
        <is>
          <t>IN CASABACA S.A. 000031420</t>
        </is>
      </c>
      <c r="I8" s="3" t="n">
        <v>0</v>
      </c>
      <c r="J8" s="3" t="n">
        <v>39.89</v>
      </c>
      <c r="K8" s="3" t="n">
        <v>743.51</v>
      </c>
      <c r="L8" s="2" t="n"/>
      <c r="M8" s="15" t="inlineStr">
        <is>
          <t>3% RETENCION FUENTE</t>
        </is>
      </c>
      <c r="N8" s="2" t="n">
        <v>0</v>
      </c>
      <c r="O8" s="2" t="n">
        <v>0</v>
      </c>
      <c r="P8" s="2" t="n"/>
    </row>
    <row r="9">
      <c r="A9" s="2" t="inlineStr">
        <is>
          <t>02.01.06.01.0002</t>
        </is>
      </c>
      <c r="B9" s="3" t="inlineStr">
        <is>
          <t>RETENCION 10% IVA (BIENES)</t>
        </is>
      </c>
      <c r="C9" s="3" t="inlineStr">
        <is>
          <t>N</t>
        </is>
      </c>
      <c r="D9" s="19" t="n">
        <v>46065</v>
      </c>
      <c r="E9" s="3" t="inlineStr">
        <is>
          <t>INVEN</t>
        </is>
      </c>
      <c r="F9" s="3" t="n">
        <v>120</v>
      </c>
      <c r="G9" s="3" t="inlineStr">
        <is>
          <t>000031421</t>
        </is>
      </c>
      <c r="H9" s="3" t="inlineStr">
        <is>
          <t>IN CASABACA S.A. 000031421</t>
        </is>
      </c>
      <c r="I9" s="3" t="n">
        <v>0</v>
      </c>
      <c r="J9" s="3" t="n">
        <v>39.89</v>
      </c>
      <c r="K9" s="3" t="n">
        <v>703.62</v>
      </c>
      <c r="L9" s="2" t="n"/>
      <c r="M9" s="15" t="inlineStr">
        <is>
          <t>30% RETENCION IVA - COMPRAS</t>
        </is>
      </c>
      <c r="N9" s="2" t="n">
        <v>10360.18</v>
      </c>
      <c r="O9" s="2" t="n">
        <v>10360.18</v>
      </c>
      <c r="P9" s="2" t="n"/>
    </row>
    <row r="10">
      <c r="A10" s="2" t="inlineStr">
        <is>
          <t>02.01.06.01.0002</t>
        </is>
      </c>
      <c r="B10" s="3" t="inlineStr">
        <is>
          <t>RETENCION 10% IVA (BIENES)</t>
        </is>
      </c>
      <c r="C10" s="3" t="inlineStr">
        <is>
          <t>N</t>
        </is>
      </c>
      <c r="D10" s="19" t="n">
        <v>46065</v>
      </c>
      <c r="E10" s="3" t="inlineStr">
        <is>
          <t>CP</t>
        </is>
      </c>
      <c r="F10" s="3" t="n">
        <v>121</v>
      </c>
      <c r="G10" s="3" t="inlineStr">
        <is>
          <t>000003182</t>
        </is>
      </c>
      <c r="H10" s="3" t="inlineStr">
        <is>
          <t>FE SZK DEL ECUADOR S.A. 000003182</t>
        </is>
      </c>
      <c r="I10" s="3" t="n">
        <v>0</v>
      </c>
      <c r="J10" s="3" t="n">
        <v>1728.35</v>
      </c>
      <c r="K10" s="3" t="n">
        <v>42232.89</v>
      </c>
      <c r="L10" s="2" t="n"/>
      <c r="M10" s="15" t="inlineStr">
        <is>
          <t>70% RETENCION IVA -SERVICIOS</t>
        </is>
      </c>
      <c r="N10" s="2" t="n">
        <v>8192.700000000001</v>
      </c>
      <c r="O10" s="2" t="n">
        <v>8192.700000000001</v>
      </c>
      <c r="P10" s="2" t="n"/>
    </row>
    <row r="11">
      <c r="A11" s="2" t="inlineStr">
        <is>
          <t>02.01.06.01.0002</t>
        </is>
      </c>
      <c r="B11" s="3" t="inlineStr">
        <is>
          <t>RETENCION 10% IVA (BIENES)</t>
        </is>
      </c>
      <c r="C11" s="3" t="inlineStr">
        <is>
          <t>N</t>
        </is>
      </c>
      <c r="D11" s="19" t="n">
        <v>46065</v>
      </c>
      <c r="E11" s="3" t="inlineStr">
        <is>
          <t>CP</t>
        </is>
      </c>
      <c r="F11" s="3" t="n">
        <v>121</v>
      </c>
      <c r="G11" s="3" t="inlineStr">
        <is>
          <t>000075049</t>
        </is>
      </c>
      <c r="H11" s="3" t="inlineStr">
        <is>
          <t>FE CARRO SEGURO CARSEG S.A. 000075049</t>
        </is>
      </c>
      <c r="I11" s="3" t="n">
        <v>0</v>
      </c>
      <c r="J11" s="3" t="n">
        <v>4.2</v>
      </c>
      <c r="K11" s="3" t="n">
        <v>43961.24</v>
      </c>
      <c r="L11" s="2" t="n"/>
      <c r="M11" s="15" t="inlineStr">
        <is>
          <t>RETENCION 10% IVA (BIENES)</t>
        </is>
      </c>
      <c r="N11" s="2" t="n">
        <v>43976.27</v>
      </c>
      <c r="O11" s="2" t="n">
        <v>43976.27</v>
      </c>
      <c r="P11" s="2" t="n"/>
    </row>
    <row r="12">
      <c r="A12" s="2" t="inlineStr">
        <is>
          <t>02.01.06.01.0002</t>
        </is>
      </c>
      <c r="B12" s="3" t="inlineStr">
        <is>
          <t>RETENCION 10% IVA (BIENES)</t>
        </is>
      </c>
      <c r="C12" s="3" t="inlineStr">
        <is>
          <t>N</t>
        </is>
      </c>
      <c r="D12" s="19" t="n">
        <v>46066</v>
      </c>
      <c r="E12" s="3" t="inlineStr">
        <is>
          <t>CP</t>
        </is>
      </c>
      <c r="F12" s="3" t="n">
        <v>122</v>
      </c>
      <c r="G12" s="3" t="inlineStr">
        <is>
          <t>000009074</t>
        </is>
      </c>
      <c r="H12" s="3" t="inlineStr">
        <is>
          <t>FE CASABACA S.A. 000009074</t>
        </is>
      </c>
      <c r="I12" s="3" t="n">
        <v>0</v>
      </c>
      <c r="J12" s="3" t="n">
        <v>252.77</v>
      </c>
      <c r="K12" s="3" t="n">
        <v>39931.76</v>
      </c>
      <c r="L12" s="2" t="n"/>
      <c r="M12" s="15" t="inlineStr">
        <is>
          <t>RETENCION 20% IVA (SERVICIOS )</t>
        </is>
      </c>
      <c r="N12" s="2" t="n">
        <v>338.51</v>
      </c>
      <c r="O12" s="2" t="n">
        <v>338.51</v>
      </c>
      <c r="P12" s="2">
        <f>+N12-O12</f>
        <v/>
      </c>
    </row>
    <row r="13">
      <c r="A13" s="2" t="inlineStr">
        <is>
          <t>02.01.06.01.0002</t>
        </is>
      </c>
      <c r="B13" s="3" t="inlineStr">
        <is>
          <t>RETENCION 10% IVA (BIENES)</t>
        </is>
      </c>
      <c r="C13" s="3" t="inlineStr">
        <is>
          <t>N</t>
        </is>
      </c>
      <c r="D13" s="19" t="n">
        <v>46066</v>
      </c>
      <c r="E13" s="3" t="inlineStr">
        <is>
          <t>CP</t>
        </is>
      </c>
      <c r="F13" s="3" t="n">
        <v>122</v>
      </c>
      <c r="G13" s="3" t="inlineStr">
        <is>
          <t>000009074</t>
        </is>
      </c>
      <c r="H13" s="3" t="inlineStr">
        <is>
          <t>FE CASABACA S.A. 000009074</t>
        </is>
      </c>
      <c r="I13" s="3" t="n">
        <v>0</v>
      </c>
      <c r="J13" s="3" t="n">
        <v>252.77</v>
      </c>
      <c r="K13" s="3" t="n">
        <v>40184.53</v>
      </c>
      <c r="L13" s="2" t="n"/>
      <c r="M13" s="15" t="inlineStr">
        <is>
          <t>Total general</t>
        </is>
      </c>
      <c r="N13" s="2" t="n">
        <v>63842.81</v>
      </c>
      <c r="O13" s="2" t="n">
        <v>63842.81</v>
      </c>
      <c r="P13" s="2" t="n"/>
    </row>
    <row r="14">
      <c r="A14" s="2" t="inlineStr">
        <is>
          <t>02.01.06.01.0002</t>
        </is>
      </c>
      <c r="B14" s="3" t="inlineStr">
        <is>
          <t>RETENCION 10% IVA (BIENES)</t>
        </is>
      </c>
      <c r="C14" s="3" t="inlineStr">
        <is>
          <t>N</t>
        </is>
      </c>
      <c r="D14" s="19" t="n">
        <v>46066</v>
      </c>
      <c r="E14" s="3" t="inlineStr">
        <is>
          <t>CP</t>
        </is>
      </c>
      <c r="F14" s="3" t="n">
        <v>122</v>
      </c>
      <c r="G14" s="3" t="inlineStr">
        <is>
          <t>000009074</t>
        </is>
      </c>
      <c r="H14" s="3" t="inlineStr">
        <is>
          <t>FE CASABACA S.A. 000009074</t>
        </is>
      </c>
      <c r="I14" s="3" t="n">
        <v>0</v>
      </c>
      <c r="J14" s="3" t="n">
        <v>598.53</v>
      </c>
      <c r="K14" s="3" t="n">
        <v>40437.3</v>
      </c>
      <c r="L14" s="2" t="n"/>
      <c r="M14" s="2" t="n"/>
      <c r="N14" s="2" t="n"/>
      <c r="O14" s="2" t="n"/>
      <c r="P14" s="2" t="n"/>
    </row>
    <row r="15">
      <c r="A15" s="2" t="inlineStr">
        <is>
          <t>02.01.06.01.0002</t>
        </is>
      </c>
      <c r="B15" s="3" t="inlineStr">
        <is>
          <t>RETENCION 10% IVA (BIENES)</t>
        </is>
      </c>
      <c r="C15" s="3" t="inlineStr">
        <is>
          <t>N</t>
        </is>
      </c>
      <c r="D15" s="19" t="n">
        <v>46066</v>
      </c>
      <c r="E15" s="3" t="inlineStr">
        <is>
          <t>CP</t>
        </is>
      </c>
      <c r="F15" s="3" t="n">
        <v>122</v>
      </c>
      <c r="G15" s="3" t="inlineStr">
        <is>
          <t>000009074</t>
        </is>
      </c>
      <c r="H15" s="3" t="inlineStr">
        <is>
          <t>FE CASABACA S.A. 000009074</t>
        </is>
      </c>
      <c r="I15" s="3" t="n">
        <v>0</v>
      </c>
      <c r="J15" s="3" t="n">
        <v>598.53</v>
      </c>
      <c r="K15" s="3" t="n">
        <v>41035.83</v>
      </c>
      <c r="L15" s="2" t="n"/>
      <c r="M15" s="2" t="n"/>
      <c r="N15" s="2" t="n"/>
      <c r="O15" s="2" t="n"/>
      <c r="P15" s="2" t="n"/>
    </row>
    <row r="16">
      <c r="A16" s="2" t="inlineStr">
        <is>
          <t>02.01.06.01.0002</t>
        </is>
      </c>
      <c r="B16" s="3" t="inlineStr">
        <is>
          <t>RETENCION 10% IVA (BIENES)</t>
        </is>
      </c>
      <c r="C16" s="3" t="inlineStr">
        <is>
          <t>N</t>
        </is>
      </c>
      <c r="D16" s="19" t="n">
        <v>46066</v>
      </c>
      <c r="E16" s="3" t="inlineStr">
        <is>
          <t>CP</t>
        </is>
      </c>
      <c r="F16" s="3" t="n">
        <v>122</v>
      </c>
      <c r="G16" s="3" t="inlineStr">
        <is>
          <t>000009074</t>
        </is>
      </c>
      <c r="H16" s="3" t="inlineStr">
        <is>
          <t>FE CASABACA S.A. 000009074</t>
        </is>
      </c>
      <c r="I16" s="3" t="n">
        <v>0</v>
      </c>
      <c r="J16" s="3" t="n">
        <v>598.53</v>
      </c>
      <c r="K16" s="3" t="n">
        <v>41634.36</v>
      </c>
      <c r="L16" s="2" t="n"/>
      <c r="M16" s="2" t="n"/>
      <c r="N16" s="2" t="n"/>
      <c r="O16" s="2" t="n"/>
      <c r="P16" s="2" t="n"/>
    </row>
    <row r="17">
      <c r="A17" s="2" t="inlineStr">
        <is>
          <t>02.01.06.01.0002</t>
        </is>
      </c>
      <c r="B17" s="3" t="inlineStr">
        <is>
          <t>RETENCION 10% IVA (BIENES)</t>
        </is>
      </c>
      <c r="C17" s="3" t="inlineStr">
        <is>
          <t>N</t>
        </is>
      </c>
      <c r="D17" s="19" t="n">
        <v>46071</v>
      </c>
      <c r="E17" s="3" t="inlineStr">
        <is>
          <t>CP</t>
        </is>
      </c>
      <c r="F17" s="3" t="n">
        <v>160</v>
      </c>
      <c r="G17" s="3" t="inlineStr">
        <is>
          <t>000009084</t>
        </is>
      </c>
      <c r="H17" s="3" t="inlineStr">
        <is>
          <t>FE CASABACA S.A. 000009084</t>
        </is>
      </c>
      <c r="I17" s="3" t="n">
        <v>0</v>
      </c>
      <c r="J17" s="3" t="n">
        <v>252.77</v>
      </c>
      <c r="K17" s="3" t="n">
        <v>37576.16</v>
      </c>
      <c r="L17" s="2" t="n"/>
      <c r="M17" s="2" t="n"/>
      <c r="N17" s="2" t="n"/>
      <c r="O17" s="2" t="n"/>
      <c r="P17" s="2" t="n"/>
    </row>
    <row r="18">
      <c r="A18" s="2" t="inlineStr">
        <is>
          <t>02.01.06.01.0002</t>
        </is>
      </c>
      <c r="B18" s="3" t="inlineStr">
        <is>
          <t>RETENCION 10% IVA (BIENES)</t>
        </is>
      </c>
      <c r="C18" s="3" t="inlineStr">
        <is>
          <t>N</t>
        </is>
      </c>
      <c r="D18" s="19" t="n">
        <v>46071</v>
      </c>
      <c r="E18" s="3" t="inlineStr">
        <is>
          <t>CP</t>
        </is>
      </c>
      <c r="F18" s="3" t="n">
        <v>160</v>
      </c>
      <c r="G18" s="3" t="inlineStr">
        <is>
          <t>000009084</t>
        </is>
      </c>
      <c r="H18" s="3" t="inlineStr">
        <is>
          <t>FE CASABACA S.A. 000009084</t>
        </is>
      </c>
      <c r="I18" s="3" t="n">
        <v>0</v>
      </c>
      <c r="J18" s="3" t="n">
        <v>252.77</v>
      </c>
      <c r="K18" s="3" t="n">
        <v>37828.93</v>
      </c>
      <c r="L18" s="2" t="n"/>
      <c r="M18" s="2" t="n"/>
      <c r="N18" s="2" t="n"/>
      <c r="O18" s="2" t="n"/>
      <c r="P18" s="2" t="n"/>
    </row>
    <row r="19">
      <c r="A19" s="2" t="inlineStr">
        <is>
          <t>02.01.06.01.0002</t>
        </is>
      </c>
      <c r="B19" s="3" t="inlineStr">
        <is>
          <t>RETENCION 10% IVA (BIENES)</t>
        </is>
      </c>
      <c r="C19" s="3" t="inlineStr">
        <is>
          <t>N</t>
        </is>
      </c>
      <c r="D19" s="19" t="n">
        <v>46071</v>
      </c>
      <c r="E19" s="3" t="inlineStr">
        <is>
          <t>CP</t>
        </is>
      </c>
      <c r="F19" s="3" t="n">
        <v>160</v>
      </c>
      <c r="G19" s="3" t="inlineStr">
        <is>
          <t>000009084</t>
        </is>
      </c>
      <c r="H19" s="3" t="inlineStr">
        <is>
          <t>FE CASABACA S.A. 000009084</t>
        </is>
      </c>
      <c r="I19" s="3" t="n">
        <v>0</v>
      </c>
      <c r="J19" s="3" t="n">
        <v>252.77</v>
      </c>
      <c r="K19" s="3" t="n">
        <v>39678.99</v>
      </c>
      <c r="L19" s="2" t="n"/>
      <c r="M19" s="2" t="n"/>
      <c r="N19" s="2" t="n"/>
      <c r="O19" s="2" t="n"/>
      <c r="P19" s="2" t="n"/>
    </row>
    <row r="20">
      <c r="A20" s="2" t="inlineStr">
        <is>
          <t>02.01.06.01.0002</t>
        </is>
      </c>
      <c r="B20" s="3" t="inlineStr">
        <is>
          <t>RETENCION 10% IVA (BIENES)</t>
        </is>
      </c>
      <c r="C20" s="3" t="inlineStr">
        <is>
          <t>N</t>
        </is>
      </c>
      <c r="D20" s="19" t="n">
        <v>46071</v>
      </c>
      <c r="E20" s="3" t="inlineStr">
        <is>
          <t>CP</t>
        </is>
      </c>
      <c r="F20" s="3" t="n">
        <v>160</v>
      </c>
      <c r="G20" s="3" t="inlineStr">
        <is>
          <t>000009084</t>
        </is>
      </c>
      <c r="H20" s="3" t="inlineStr">
        <is>
          <t>FE CASABACA S.A. 000009084</t>
        </is>
      </c>
      <c r="I20" s="3" t="n">
        <v>0</v>
      </c>
      <c r="J20" s="3" t="n">
        <v>1597.29</v>
      </c>
      <c r="K20" s="3" t="n">
        <v>38081.7</v>
      </c>
      <c r="L20" s="2" t="n"/>
      <c r="M20" s="2" t="n"/>
      <c r="N20" s="2" t="n"/>
      <c r="O20" s="2" t="n"/>
      <c r="P20" s="2" t="n"/>
    </row>
    <row r="21">
      <c r="A21" s="2" t="inlineStr">
        <is>
          <t>02.01.06.01.0002</t>
        </is>
      </c>
      <c r="B21" s="3" t="inlineStr">
        <is>
          <t>RETENCION 10% IVA (BIENES)</t>
        </is>
      </c>
      <c r="C21" s="3" t="inlineStr">
        <is>
          <t>N</t>
        </is>
      </c>
      <c r="D21" s="19" t="n">
        <v>46072</v>
      </c>
      <c r="E21" s="3" t="inlineStr">
        <is>
          <t>CP</t>
        </is>
      </c>
      <c r="F21" s="3" t="n">
        <v>162</v>
      </c>
      <c r="G21" s="3" t="inlineStr">
        <is>
          <t>000003183</t>
        </is>
      </c>
      <c r="H21" s="3" t="inlineStr">
        <is>
          <t>FE SZK DEL ECUADOR S.A. 000003183</t>
        </is>
      </c>
      <c r="I21" s="3" t="n">
        <v>0</v>
      </c>
      <c r="J21" s="3" t="n">
        <v>1552.54</v>
      </c>
      <c r="K21" s="3" t="n">
        <v>36023.62</v>
      </c>
      <c r="L21" s="2" t="n"/>
      <c r="M21" s="2" t="n"/>
      <c r="N21" s="2" t="n"/>
      <c r="O21" s="2" t="n"/>
      <c r="P21" s="2" t="n"/>
    </row>
    <row r="22">
      <c r="A22" s="2" t="inlineStr">
        <is>
          <t>02.01.06.01.0002</t>
        </is>
      </c>
      <c r="B22" s="3" t="inlineStr">
        <is>
          <t>RETENCION 10% IVA (BIENES)</t>
        </is>
      </c>
      <c r="C22" s="3" t="inlineStr">
        <is>
          <t>N</t>
        </is>
      </c>
      <c r="D22" s="19" t="n">
        <v>46073</v>
      </c>
      <c r="E22" s="3" t="inlineStr">
        <is>
          <t>CP</t>
        </is>
      </c>
      <c r="F22" s="3" t="n">
        <v>163</v>
      </c>
      <c r="G22" s="3" t="inlineStr">
        <is>
          <t>000003184</t>
        </is>
      </c>
      <c r="H22" s="3" t="inlineStr">
        <is>
          <t>FE SZK DEL ECUADOR S.A. 000003184</t>
        </is>
      </c>
      <c r="I22" s="3" t="n">
        <v>0</v>
      </c>
      <c r="J22" s="3" t="n">
        <v>968.89</v>
      </c>
      <c r="K22" s="3" t="n">
        <v>35054.73</v>
      </c>
      <c r="L22" s="2" t="n"/>
      <c r="M22" s="2" t="n"/>
      <c r="N22" s="2" t="n"/>
      <c r="O22" s="2" t="n"/>
      <c r="P22" s="2" t="n"/>
    </row>
    <row r="23">
      <c r="A23" s="2" t="inlineStr">
        <is>
          <t>02.01.06.01.0002</t>
        </is>
      </c>
      <c r="B23" s="3" t="inlineStr">
        <is>
          <t>RETENCION 10% IVA (BIENES)</t>
        </is>
      </c>
      <c r="C23" s="3" t="inlineStr">
        <is>
          <t>N</t>
        </is>
      </c>
      <c r="D23" s="19" t="n">
        <v>46075</v>
      </c>
      <c r="E23" s="3" t="inlineStr">
        <is>
          <t>CP</t>
        </is>
      </c>
      <c r="F23" s="3" t="n">
        <v>202</v>
      </c>
      <c r="G23" s="3" t="inlineStr">
        <is>
          <t>000239004</t>
        </is>
      </c>
      <c r="H23" s="3" t="inlineStr">
        <is>
          <t>FE INDUSTRIAL Y COMERCIAL CAST 000239004</t>
        </is>
      </c>
      <c r="I23" s="3" t="n">
        <v>0</v>
      </c>
      <c r="J23" s="3" t="n">
        <v>5.03</v>
      </c>
      <c r="K23" s="3" t="n">
        <v>35049.7</v>
      </c>
      <c r="L23" s="2" t="n"/>
      <c r="M23" s="2" t="n"/>
      <c r="N23" s="2" t="n"/>
      <c r="O23" s="2" t="n"/>
      <c r="P23" s="2" t="n"/>
    </row>
    <row r="24">
      <c r="A24" s="2" t="inlineStr">
        <is>
          <t>02.01.06.01.0002</t>
        </is>
      </c>
      <c r="B24" s="3" t="inlineStr">
        <is>
          <t>RETENCION 10% IVA (BIENES)</t>
        </is>
      </c>
      <c r="C24" s="3" t="inlineStr">
        <is>
          <t>N</t>
        </is>
      </c>
      <c r="D24" s="19" t="n">
        <v>46075</v>
      </c>
      <c r="E24" s="3" t="inlineStr">
        <is>
          <t>CP</t>
        </is>
      </c>
      <c r="F24" s="3" t="n">
        <v>202</v>
      </c>
      <c r="G24" s="3" t="inlineStr">
        <is>
          <t>000239005</t>
        </is>
      </c>
      <c r="H24" s="3" t="inlineStr">
        <is>
          <t>FE INDUSTRIAL Y COMERCIAL CAST 000239005</t>
        </is>
      </c>
      <c r="I24" s="3" t="n">
        <v>0</v>
      </c>
      <c r="J24" s="3" t="n">
        <v>2.44</v>
      </c>
      <c r="K24" s="3" t="n">
        <v>35047.26</v>
      </c>
      <c r="L24" s="2" t="n"/>
      <c r="M24" s="2" t="n"/>
      <c r="N24" s="2" t="n"/>
      <c r="O24" s="2" t="n"/>
      <c r="P24" s="2" t="n"/>
    </row>
    <row r="25">
      <c r="A25" s="2" t="inlineStr">
        <is>
          <t>02.01.06.01.0002</t>
        </is>
      </c>
      <c r="B25" s="3" t="inlineStr">
        <is>
          <t>RETENCION 10% IVA (BIENES)</t>
        </is>
      </c>
      <c r="C25" s="3" t="inlineStr">
        <is>
          <t>N</t>
        </is>
      </c>
      <c r="D25" s="19" t="n">
        <v>46075</v>
      </c>
      <c r="E25" s="3" t="inlineStr">
        <is>
          <t>CP</t>
        </is>
      </c>
      <c r="F25" s="3" t="n">
        <v>202</v>
      </c>
      <c r="G25" s="3" t="inlineStr">
        <is>
          <t>000239006</t>
        </is>
      </c>
      <c r="H25" s="3" t="inlineStr">
        <is>
          <t>FE INDUSTRIAL Y COMERCIAL CAST 000239006</t>
        </is>
      </c>
      <c r="I25" s="3" t="n">
        <v>0</v>
      </c>
      <c r="J25" s="3" t="n">
        <v>2.49</v>
      </c>
      <c r="K25" s="3" t="n">
        <v>35044.77</v>
      </c>
      <c r="L25" s="2" t="n"/>
      <c r="M25" s="2" t="n"/>
      <c r="N25" s="2" t="n"/>
      <c r="O25" s="2" t="n"/>
      <c r="P25" s="2" t="n"/>
    </row>
    <row r="26">
      <c r="A26" s="2" t="inlineStr">
        <is>
          <t>02.01.06.01.0002</t>
        </is>
      </c>
      <c r="B26" s="3" t="inlineStr">
        <is>
          <t>RETENCION 10% IVA (BIENES)</t>
        </is>
      </c>
      <c r="C26" s="3" t="inlineStr">
        <is>
          <t>N</t>
        </is>
      </c>
      <c r="D26" s="19" t="n">
        <v>46077</v>
      </c>
      <c r="E26" s="3" t="inlineStr">
        <is>
          <t>INVEN</t>
        </is>
      </c>
      <c r="F26" s="3" t="n">
        <v>222</v>
      </c>
      <c r="G26" s="3" t="inlineStr">
        <is>
          <t>000001519</t>
        </is>
      </c>
      <c r="H26" s="3" t="inlineStr">
        <is>
          <t>IN SZK DEL ECUADOR S.A. 000001519</t>
        </is>
      </c>
      <c r="I26" s="3" t="n">
        <v>0</v>
      </c>
      <c r="J26" s="3" t="n">
        <v>10.03</v>
      </c>
      <c r="K26" s="3" t="n">
        <v>693.59</v>
      </c>
      <c r="L26" s="2" t="n"/>
      <c r="M26" s="2" t="n"/>
      <c r="N26" s="2" t="n"/>
      <c r="O26" s="2" t="n"/>
      <c r="P26" s="2" t="n"/>
    </row>
    <row r="27">
      <c r="A27" s="2" t="inlineStr">
        <is>
          <t>02.01.06.01.0002</t>
        </is>
      </c>
      <c r="B27" s="3" t="inlineStr">
        <is>
          <t>RETENCION 10% IVA (BIENES)</t>
        </is>
      </c>
      <c r="C27" s="3" t="inlineStr">
        <is>
          <t>N</t>
        </is>
      </c>
      <c r="D27" s="19" t="n">
        <v>46077</v>
      </c>
      <c r="E27" s="3" t="inlineStr">
        <is>
          <t>CP</t>
        </is>
      </c>
      <c r="F27" s="3" t="n">
        <v>226</v>
      </c>
      <c r="G27" s="3" t="inlineStr">
        <is>
          <t>000003185</t>
        </is>
      </c>
      <c r="H27" s="3" t="inlineStr">
        <is>
          <t>FE SZK DEL ECUADOR S.A. 000003185</t>
        </is>
      </c>
      <c r="I27" s="3" t="n">
        <v>0</v>
      </c>
      <c r="J27" s="3" t="n">
        <v>1578.81</v>
      </c>
      <c r="K27" s="3" t="n">
        <v>33465.96</v>
      </c>
      <c r="L27" s="2" t="n"/>
      <c r="M27" s="2" t="n"/>
      <c r="N27" s="2" t="n"/>
      <c r="O27" s="2" t="n"/>
      <c r="P27" s="2" t="n"/>
    </row>
    <row r="28">
      <c r="A28" s="2" t="inlineStr">
        <is>
          <t>02.01.06.01.0002</t>
        </is>
      </c>
      <c r="B28" s="3" t="inlineStr">
        <is>
          <t>RETENCION 10% IVA (BIENES)</t>
        </is>
      </c>
      <c r="C28" s="3" t="inlineStr">
        <is>
          <t>N</t>
        </is>
      </c>
      <c r="D28" s="19" t="n">
        <v>46077</v>
      </c>
      <c r="E28" s="3" t="inlineStr">
        <is>
          <t>CP</t>
        </is>
      </c>
      <c r="F28" s="3" t="n">
        <v>226</v>
      </c>
      <c r="G28" s="3" t="inlineStr">
        <is>
          <t>000003186</t>
        </is>
      </c>
      <c r="H28" s="3" t="inlineStr">
        <is>
          <t>FE SZK DEL ECUADOR S.A. 000003186</t>
        </is>
      </c>
      <c r="I28" s="3" t="n">
        <v>0</v>
      </c>
      <c r="J28" s="3" t="n">
        <v>1578.81</v>
      </c>
      <c r="K28" s="3" t="n">
        <v>31887.15</v>
      </c>
      <c r="L28" s="2" t="n"/>
      <c r="M28" s="2" t="n"/>
      <c r="N28" s="2" t="n"/>
      <c r="O28" s="2" t="n"/>
      <c r="P28" s="2" t="n"/>
    </row>
    <row r="29">
      <c r="A29" s="2" t="inlineStr">
        <is>
          <t>02.01.06.01.0002</t>
        </is>
      </c>
      <c r="B29" s="3" t="inlineStr">
        <is>
          <t>RETENCION 10% IVA (BIENES)</t>
        </is>
      </c>
      <c r="C29" s="3" t="inlineStr">
        <is>
          <t>N</t>
        </is>
      </c>
      <c r="D29" s="19" t="n">
        <v>46077</v>
      </c>
      <c r="E29" s="3" t="inlineStr">
        <is>
          <t>CP</t>
        </is>
      </c>
      <c r="F29" s="3" t="n">
        <v>226</v>
      </c>
      <c r="G29" s="3" t="inlineStr">
        <is>
          <t>000003187</t>
        </is>
      </c>
      <c r="H29" s="3" t="inlineStr">
        <is>
          <t>FE SZK DEL ECUADOR S.A. 000003187</t>
        </is>
      </c>
      <c r="I29" s="3" t="n">
        <v>0</v>
      </c>
      <c r="J29" s="3" t="n">
        <v>1052.54</v>
      </c>
      <c r="K29" s="3" t="n">
        <v>30834.61</v>
      </c>
      <c r="L29" s="2" t="n"/>
      <c r="M29" s="2" t="n"/>
      <c r="N29" s="2" t="n"/>
      <c r="O29" s="2" t="n"/>
      <c r="P29" s="2" t="n"/>
    </row>
    <row r="30">
      <c r="A30" s="2" t="inlineStr">
        <is>
          <t>02.01.06.01.0002</t>
        </is>
      </c>
      <c r="B30" s="3" t="inlineStr">
        <is>
          <t>RETENCION 10% IVA (BIENES)</t>
        </is>
      </c>
      <c r="C30" s="3" t="inlineStr">
        <is>
          <t>N</t>
        </is>
      </c>
      <c r="D30" s="19" t="n">
        <v>46077</v>
      </c>
      <c r="E30" s="3" t="inlineStr">
        <is>
          <t>CP</t>
        </is>
      </c>
      <c r="F30" s="3" t="n">
        <v>226</v>
      </c>
      <c r="G30" s="3" t="inlineStr">
        <is>
          <t>000003188</t>
        </is>
      </c>
      <c r="H30" s="3" t="inlineStr">
        <is>
          <t>FE SZK DEL ECUADOR S.A. 000003188</t>
        </is>
      </c>
      <c r="I30" s="3" t="n">
        <v>0</v>
      </c>
      <c r="J30" s="3" t="n">
        <v>663.76</v>
      </c>
      <c r="K30" s="3" t="n">
        <v>30170.85</v>
      </c>
      <c r="L30" s="2" t="n"/>
      <c r="M30" s="2" t="n"/>
      <c r="N30" s="2" t="n"/>
      <c r="O30" s="2" t="n"/>
      <c r="P30" s="2" t="n"/>
    </row>
    <row r="31">
      <c r="A31" s="2" t="inlineStr">
        <is>
          <t>02.01.06.01.0002</t>
        </is>
      </c>
      <c r="B31" s="3" t="inlineStr">
        <is>
          <t>RETENCION 10% IVA (BIENES)</t>
        </is>
      </c>
      <c r="C31" s="3" t="inlineStr">
        <is>
          <t>N</t>
        </is>
      </c>
      <c r="D31" s="19" t="n">
        <v>46077</v>
      </c>
      <c r="E31" s="3" t="inlineStr">
        <is>
          <t>CP</t>
        </is>
      </c>
      <c r="F31" s="3" t="n">
        <v>226</v>
      </c>
      <c r="G31" s="3" t="inlineStr">
        <is>
          <t>000003189</t>
        </is>
      </c>
      <c r="H31" s="3" t="inlineStr">
        <is>
          <t>FE SZK DEL ECUADOR S.A. 000003189</t>
        </is>
      </c>
      <c r="I31" s="3" t="n">
        <v>0</v>
      </c>
      <c r="J31" s="3" t="n">
        <v>263.13</v>
      </c>
      <c r="K31" s="3" t="n">
        <v>29907.72</v>
      </c>
      <c r="L31" s="2" t="n"/>
      <c r="M31" s="2" t="n"/>
      <c r="N31" s="2" t="n"/>
      <c r="O31" s="2" t="n"/>
      <c r="P31" s="2" t="n"/>
    </row>
    <row r="32">
      <c r="A32" s="2" t="inlineStr">
        <is>
          <t>02.01.06.01.0002</t>
        </is>
      </c>
      <c r="B32" s="3" t="inlineStr">
        <is>
          <t>RETENCION 10% IVA (BIENES)</t>
        </is>
      </c>
      <c r="C32" s="3" t="inlineStr">
        <is>
          <t>N</t>
        </is>
      </c>
      <c r="D32" s="19" t="n">
        <v>46077</v>
      </c>
      <c r="E32" s="3" t="inlineStr">
        <is>
          <t>CP</t>
        </is>
      </c>
      <c r="F32" s="3" t="n">
        <v>226</v>
      </c>
      <c r="G32" s="3" t="inlineStr">
        <is>
          <t>000003190</t>
        </is>
      </c>
      <c r="H32" s="3" t="inlineStr">
        <is>
          <t>FE SZK DEL ECUADOR S.A. 000003190</t>
        </is>
      </c>
      <c r="I32" s="3" t="n">
        <v>0</v>
      </c>
      <c r="J32" s="3" t="n">
        <v>221.25</v>
      </c>
      <c r="K32" s="3" t="n">
        <v>29686.47</v>
      </c>
      <c r="L32" s="2" t="n"/>
      <c r="M32" s="2" t="n"/>
      <c r="N32" s="2" t="n"/>
      <c r="O32" s="2" t="n"/>
      <c r="P32" s="2" t="n"/>
    </row>
    <row r="33">
      <c r="A33" s="2" t="inlineStr">
        <is>
          <t>02.01.06.01.0002</t>
        </is>
      </c>
      <c r="B33" s="3" t="inlineStr">
        <is>
          <t>RETENCION 10% IVA (BIENES)</t>
        </is>
      </c>
      <c r="C33" s="3" t="inlineStr">
        <is>
          <t>N</t>
        </is>
      </c>
      <c r="D33" s="19" t="n">
        <v>46078</v>
      </c>
      <c r="E33" s="3" t="inlineStr">
        <is>
          <t>INVEN</t>
        </is>
      </c>
      <c r="F33" s="3" t="n">
        <v>230</v>
      </c>
      <c r="G33" s="3" t="inlineStr">
        <is>
          <t>000031450</t>
        </is>
      </c>
      <c r="H33" s="3" t="inlineStr">
        <is>
          <t>IN CASABACA S.A. 000031450</t>
        </is>
      </c>
      <c r="I33" s="3" t="n">
        <v>0</v>
      </c>
      <c r="J33" s="3" t="n">
        <v>39.89</v>
      </c>
      <c r="K33" s="3" t="n">
        <v>653.7</v>
      </c>
      <c r="L33" s="2" t="n"/>
      <c r="M33" s="2" t="n"/>
      <c r="N33" s="2" t="n"/>
      <c r="O33" s="2" t="n"/>
      <c r="P33" s="2" t="n"/>
    </row>
    <row r="34">
      <c r="A34" s="2" t="inlineStr">
        <is>
          <t>02.01.06.01.0002</t>
        </is>
      </c>
      <c r="B34" s="3" t="inlineStr">
        <is>
          <t>RETENCION 10% IVA (BIENES)</t>
        </is>
      </c>
      <c r="C34" s="3" t="inlineStr">
        <is>
          <t>N</t>
        </is>
      </c>
      <c r="D34" s="19" t="n">
        <v>46078</v>
      </c>
      <c r="E34" s="3" t="inlineStr">
        <is>
          <t>INVEN</t>
        </is>
      </c>
      <c r="F34" s="3" t="n">
        <v>230</v>
      </c>
      <c r="G34" s="3" t="inlineStr">
        <is>
          <t>000031451</t>
        </is>
      </c>
      <c r="H34" s="3" t="inlineStr">
        <is>
          <t>IN CASABACA S.A. 000031451</t>
        </is>
      </c>
      <c r="I34" s="3" t="n">
        <v>0</v>
      </c>
      <c r="J34" s="3" t="n">
        <v>32.99</v>
      </c>
      <c r="K34" s="3" t="n">
        <v>620.71</v>
      </c>
      <c r="L34" s="2" t="n"/>
      <c r="M34" s="2" t="n"/>
      <c r="N34" s="2" t="n"/>
      <c r="O34" s="2" t="n"/>
      <c r="P34" s="2" t="n"/>
    </row>
    <row r="35">
      <c r="A35" s="2" t="inlineStr">
        <is>
          <t>02.01.06.01.0002</t>
        </is>
      </c>
      <c r="B35" s="3" t="inlineStr">
        <is>
          <t>RETENCION 10% IVA (BIENES)</t>
        </is>
      </c>
      <c r="C35" s="3" t="inlineStr">
        <is>
          <t>N</t>
        </is>
      </c>
      <c r="D35" s="19" t="n">
        <v>46078</v>
      </c>
      <c r="E35" s="3" t="inlineStr">
        <is>
          <t>INVEN</t>
        </is>
      </c>
      <c r="F35" s="3" t="n">
        <v>231</v>
      </c>
      <c r="G35" s="3" t="inlineStr">
        <is>
          <t>000001520</t>
        </is>
      </c>
      <c r="H35" s="3" t="inlineStr">
        <is>
          <t>IN SZK DEL ECUADOR S.A. 000001520</t>
        </is>
      </c>
      <c r="I35" s="3" t="n">
        <v>0</v>
      </c>
      <c r="J35" s="3" t="n">
        <v>36.52</v>
      </c>
      <c r="K35" s="3" t="n">
        <v>584.1900000000001</v>
      </c>
      <c r="L35" s="2" t="n"/>
      <c r="M35" s="2" t="n"/>
      <c r="N35" s="2" t="n"/>
      <c r="O35" s="2" t="n"/>
      <c r="P35" s="2" t="n"/>
    </row>
    <row r="36">
      <c r="A36" s="2" t="inlineStr">
        <is>
          <t>02.01.06.01.0002</t>
        </is>
      </c>
      <c r="B36" s="3" t="inlineStr">
        <is>
          <t>RETENCION 10% IVA (BIENES)</t>
        </is>
      </c>
      <c r="C36" s="3" t="inlineStr">
        <is>
          <t>N</t>
        </is>
      </c>
      <c r="D36" s="19" t="n">
        <v>46078</v>
      </c>
      <c r="E36" s="3" t="inlineStr">
        <is>
          <t>INVEN</t>
        </is>
      </c>
      <c r="F36" s="3" t="n">
        <v>231</v>
      </c>
      <c r="G36" s="3" t="inlineStr">
        <is>
          <t>000001521</t>
        </is>
      </c>
      <c r="H36" s="3" t="inlineStr">
        <is>
          <t>IN SZK DEL ECUADOR S.A. 000001521</t>
        </is>
      </c>
      <c r="I36" s="3" t="n">
        <v>0</v>
      </c>
      <c r="J36" s="3" t="n">
        <v>10.03</v>
      </c>
      <c r="K36" s="3" t="n">
        <v>574.16</v>
      </c>
      <c r="L36" s="2" t="n"/>
      <c r="M36" s="2" t="n"/>
      <c r="N36" s="2" t="n"/>
      <c r="O36" s="2" t="n"/>
      <c r="P36" s="2" t="n"/>
    </row>
    <row r="37">
      <c r="A37" s="2" t="inlineStr">
        <is>
          <t>02.01.06.01.0002</t>
        </is>
      </c>
      <c r="B37" s="3" t="inlineStr">
        <is>
          <t>RETENCION 10% IVA (BIENES)</t>
        </is>
      </c>
      <c r="C37" s="3" t="inlineStr">
        <is>
          <t>N</t>
        </is>
      </c>
      <c r="D37" s="19" t="n">
        <v>46078</v>
      </c>
      <c r="E37" s="3" t="inlineStr">
        <is>
          <t>INVEN</t>
        </is>
      </c>
      <c r="F37" s="3" t="n">
        <v>231</v>
      </c>
      <c r="G37" s="3" t="inlineStr">
        <is>
          <t>000001522</t>
        </is>
      </c>
      <c r="H37" s="3" t="inlineStr">
        <is>
          <t>IN SZK DEL ECUADOR S.A. 000001522</t>
        </is>
      </c>
      <c r="I37" s="3" t="n">
        <v>0</v>
      </c>
      <c r="J37" s="3" t="n">
        <v>66.52</v>
      </c>
      <c r="K37" s="3" t="n">
        <v>507.64</v>
      </c>
      <c r="L37" s="2" t="n"/>
      <c r="M37" s="2" t="n"/>
      <c r="N37" s="2" t="n"/>
      <c r="O37" s="2" t="n"/>
      <c r="P37" s="2" t="n"/>
    </row>
    <row r="38">
      <c r="A38" s="2" t="inlineStr">
        <is>
          <t>02.01.06.01.0002</t>
        </is>
      </c>
      <c r="B38" s="3" t="inlineStr">
        <is>
          <t>RETENCION 10% IVA (BIENES)</t>
        </is>
      </c>
      <c r="C38" s="3" t="inlineStr">
        <is>
          <t>N</t>
        </is>
      </c>
      <c r="D38" s="19" t="n">
        <v>46078</v>
      </c>
      <c r="E38" s="3" t="inlineStr">
        <is>
          <t>CP</t>
        </is>
      </c>
      <c r="F38" s="3" t="n">
        <v>236</v>
      </c>
      <c r="G38" s="3" t="inlineStr">
        <is>
          <t>000003191</t>
        </is>
      </c>
      <c r="H38" s="3" t="inlineStr">
        <is>
          <t>FE SZK DEL ECUADOR S.A. 000003191</t>
        </is>
      </c>
      <c r="I38" s="3" t="n">
        <v>0</v>
      </c>
      <c r="J38" s="3" t="n">
        <v>221.25</v>
      </c>
      <c r="K38" s="3" t="n">
        <v>26697.86</v>
      </c>
      <c r="L38" s="2" t="n"/>
      <c r="M38" s="2" t="n"/>
      <c r="N38" s="2" t="n"/>
      <c r="O38" s="2" t="n"/>
      <c r="P38" s="2" t="n"/>
    </row>
    <row r="39">
      <c r="A39" s="2" t="inlineStr">
        <is>
          <t>02.01.06.01.0002</t>
        </is>
      </c>
      <c r="B39" s="3" t="inlineStr">
        <is>
          <t>RETENCION 10% IVA (BIENES)</t>
        </is>
      </c>
      <c r="C39" s="3" t="inlineStr">
        <is>
          <t>N</t>
        </is>
      </c>
      <c r="D39" s="19" t="n">
        <v>46078</v>
      </c>
      <c r="E39" s="3" t="inlineStr">
        <is>
          <t>CP</t>
        </is>
      </c>
      <c r="F39" s="3" t="n">
        <v>236</v>
      </c>
      <c r="G39" s="3" t="inlineStr">
        <is>
          <t>000003192</t>
        </is>
      </c>
      <c r="H39" s="3" t="inlineStr">
        <is>
          <t>FE SZK DEL ECUADOR S.A. 000003192</t>
        </is>
      </c>
      <c r="I39" s="3" t="n">
        <v>0</v>
      </c>
      <c r="J39" s="3" t="n">
        <v>1841.94</v>
      </c>
      <c r="K39" s="3" t="n">
        <v>24855.92</v>
      </c>
      <c r="L39" s="2" t="n"/>
      <c r="M39" s="2" t="n"/>
      <c r="N39" s="2" t="n"/>
      <c r="O39" s="2" t="n"/>
      <c r="P39" s="2" t="n"/>
    </row>
    <row r="40">
      <c r="A40" s="2" t="inlineStr">
        <is>
          <t>02.01.06.01.0002</t>
        </is>
      </c>
      <c r="B40" s="3" t="inlineStr">
        <is>
          <t>RETENCION 10% IVA (BIENES)</t>
        </is>
      </c>
      <c r="C40" s="3" t="inlineStr">
        <is>
          <t>N</t>
        </is>
      </c>
      <c r="D40" s="19" t="n">
        <v>46078</v>
      </c>
      <c r="E40" s="3" t="inlineStr">
        <is>
          <t>CP</t>
        </is>
      </c>
      <c r="F40" s="3" t="n">
        <v>236</v>
      </c>
      <c r="G40" s="3" t="inlineStr">
        <is>
          <t>000003193</t>
        </is>
      </c>
      <c r="H40" s="3" t="inlineStr">
        <is>
          <t>FE SZK DEL ECUADOR S.A. 000003193</t>
        </is>
      </c>
      <c r="I40" s="3" t="n">
        <v>0</v>
      </c>
      <c r="J40" s="3" t="n">
        <v>1315.67</v>
      </c>
      <c r="K40" s="3" t="n">
        <v>23540.25</v>
      </c>
      <c r="L40" s="2" t="n"/>
      <c r="M40" s="2" t="n"/>
      <c r="N40" s="2" t="n"/>
      <c r="O40" s="2" t="n"/>
      <c r="P40" s="2" t="n"/>
    </row>
    <row r="41">
      <c r="A41" s="2" t="inlineStr">
        <is>
          <t>02.01.06.01.0002</t>
        </is>
      </c>
      <c r="B41" s="3" t="inlineStr">
        <is>
          <t>RETENCION 10% IVA (BIENES)</t>
        </is>
      </c>
      <c r="C41" s="3" t="inlineStr">
        <is>
          <t>N</t>
        </is>
      </c>
      <c r="D41" s="19" t="n">
        <v>46078</v>
      </c>
      <c r="E41" s="3" t="inlineStr">
        <is>
          <t>CP</t>
        </is>
      </c>
      <c r="F41" s="3" t="n">
        <v>236</v>
      </c>
      <c r="G41" s="3" t="inlineStr">
        <is>
          <t>000003194</t>
        </is>
      </c>
      <c r="H41" s="3" t="inlineStr">
        <is>
          <t>FE SZK DEL ECUADOR S.A. 000003194</t>
        </is>
      </c>
      <c r="I41" s="3" t="n">
        <v>0</v>
      </c>
      <c r="J41" s="3" t="n">
        <v>1315.67</v>
      </c>
      <c r="K41" s="3" t="n">
        <v>22224.58</v>
      </c>
      <c r="L41" s="2" t="n"/>
      <c r="M41" s="2" t="n"/>
      <c r="N41" s="2" t="n"/>
      <c r="O41" s="2" t="n"/>
      <c r="P41" s="2" t="n"/>
    </row>
    <row r="42">
      <c r="A42" s="2" t="inlineStr">
        <is>
          <t>02.01.06.01.0002</t>
        </is>
      </c>
      <c r="B42" s="3" t="inlineStr">
        <is>
          <t>RETENCION 10% IVA (BIENES)</t>
        </is>
      </c>
      <c r="C42" s="3" t="inlineStr">
        <is>
          <t>N</t>
        </is>
      </c>
      <c r="D42" s="19" t="n">
        <v>46078</v>
      </c>
      <c r="E42" s="3" t="inlineStr">
        <is>
          <t>CP</t>
        </is>
      </c>
      <c r="F42" s="3" t="n">
        <v>236</v>
      </c>
      <c r="G42" s="3" t="inlineStr">
        <is>
          <t>000003195</t>
        </is>
      </c>
      <c r="H42" s="3" t="inlineStr">
        <is>
          <t>FE SZK DEL ECUADOR S.A. 000003195</t>
        </is>
      </c>
      <c r="I42" s="3" t="n">
        <v>0</v>
      </c>
      <c r="J42" s="3" t="n">
        <v>885.01</v>
      </c>
      <c r="K42" s="3" t="n">
        <v>21339.57</v>
      </c>
      <c r="L42" s="2" t="n"/>
      <c r="M42" s="2" t="n"/>
      <c r="N42" s="2" t="n"/>
      <c r="O42" s="2" t="n"/>
      <c r="P42" s="2" t="n"/>
    </row>
    <row r="43">
      <c r="A43" s="2" t="inlineStr">
        <is>
          <t>02.01.06.01.0002</t>
        </is>
      </c>
      <c r="B43" s="3" t="inlineStr">
        <is>
          <t>RETENCION 10% IVA (BIENES)</t>
        </is>
      </c>
      <c r="C43" s="3" t="inlineStr">
        <is>
          <t>N</t>
        </is>
      </c>
      <c r="D43" s="19" t="n">
        <v>46078</v>
      </c>
      <c r="E43" s="3" t="inlineStr">
        <is>
          <t>CP</t>
        </is>
      </c>
      <c r="F43" s="3" t="n">
        <v>236</v>
      </c>
      <c r="G43" s="3" t="inlineStr">
        <is>
          <t>000003196</t>
        </is>
      </c>
      <c r="H43" s="3" t="inlineStr">
        <is>
          <t>FE SZK DEL ECUADOR S.A. 000003196</t>
        </is>
      </c>
      <c r="I43" s="3" t="n">
        <v>0</v>
      </c>
      <c r="J43" s="3" t="n">
        <v>1085.51</v>
      </c>
      <c r="K43" s="3" t="n">
        <v>20254.06</v>
      </c>
      <c r="L43" s="2" t="n"/>
      <c r="M43" s="2" t="n"/>
      <c r="N43" s="2" t="n"/>
      <c r="O43" s="2" t="n"/>
      <c r="P43" s="2" t="n"/>
    </row>
    <row r="44">
      <c r="A44" s="2" t="inlineStr">
        <is>
          <t>02.01.06.01.0002</t>
        </is>
      </c>
      <c r="B44" s="3" t="inlineStr">
        <is>
          <t>RETENCION 10% IVA (BIENES)</t>
        </is>
      </c>
      <c r="C44" s="3" t="inlineStr">
        <is>
          <t>N</t>
        </is>
      </c>
      <c r="D44" s="19" t="n">
        <v>46078</v>
      </c>
      <c r="E44" s="3" t="inlineStr">
        <is>
          <t>CP</t>
        </is>
      </c>
      <c r="F44" s="3" t="n">
        <v>236</v>
      </c>
      <c r="G44" s="3" t="inlineStr">
        <is>
          <t>000009109</t>
        </is>
      </c>
      <c r="H44" s="3" t="inlineStr">
        <is>
          <t>FE CASABACA S.A. 000009109</t>
        </is>
      </c>
      <c r="I44" s="3" t="n">
        <v>0</v>
      </c>
      <c r="J44" s="3" t="n">
        <v>252.77</v>
      </c>
      <c r="K44" s="3" t="n">
        <v>26919.11</v>
      </c>
      <c r="L44" s="2" t="n"/>
      <c r="M44" s="2" t="n"/>
      <c r="N44" s="2" t="n"/>
      <c r="O44" s="2" t="n"/>
      <c r="P44" s="2" t="n"/>
    </row>
    <row r="45">
      <c r="A45" s="2" t="inlineStr">
        <is>
          <t>02.01.06.01.0002</t>
        </is>
      </c>
      <c r="B45" s="3" t="inlineStr">
        <is>
          <t>RETENCION 10% IVA (BIENES)</t>
        </is>
      </c>
      <c r="C45" s="3" t="inlineStr">
        <is>
          <t>N</t>
        </is>
      </c>
      <c r="D45" s="19" t="n">
        <v>46078</v>
      </c>
      <c r="E45" s="3" t="inlineStr">
        <is>
          <t>CP</t>
        </is>
      </c>
      <c r="F45" s="3" t="n">
        <v>236</v>
      </c>
      <c r="G45" s="3" t="inlineStr">
        <is>
          <t>000009109</t>
        </is>
      </c>
      <c r="H45" s="3" t="inlineStr">
        <is>
          <t>FE CASABACA S.A. 000009109</t>
        </is>
      </c>
      <c r="I45" s="3" t="n">
        <v>0</v>
      </c>
      <c r="J45" s="3" t="n">
        <v>428.23</v>
      </c>
      <c r="K45" s="3" t="n">
        <v>28232.82</v>
      </c>
      <c r="L45" s="2" t="n"/>
      <c r="M45" s="2" t="n"/>
      <c r="N45" s="2" t="n"/>
      <c r="O45" s="2" t="n"/>
      <c r="P45" s="2" t="n"/>
    </row>
    <row r="46">
      <c r="A46" s="2" t="inlineStr">
        <is>
          <t>02.01.06.01.0002</t>
        </is>
      </c>
      <c r="B46" s="3" t="inlineStr">
        <is>
          <t>RETENCION 10% IVA (BIENES)</t>
        </is>
      </c>
      <c r="C46" s="3" t="inlineStr">
        <is>
          <t>N</t>
        </is>
      </c>
      <c r="D46" s="19" t="n">
        <v>46078</v>
      </c>
      <c r="E46" s="3" t="inlineStr">
        <is>
          <t>CP</t>
        </is>
      </c>
      <c r="F46" s="3" t="n">
        <v>236</v>
      </c>
      <c r="G46" s="3" t="inlineStr">
        <is>
          <t>000009109</t>
        </is>
      </c>
      <c r="H46" s="3" t="inlineStr">
        <is>
          <t>FE CASABACA S.A. 000009109</t>
        </is>
      </c>
      <c r="I46" s="3" t="n">
        <v>0</v>
      </c>
      <c r="J46" s="3" t="n">
        <v>462.41</v>
      </c>
      <c r="K46" s="3" t="n">
        <v>27770.41</v>
      </c>
      <c r="L46" s="2" t="n"/>
      <c r="M46" s="2" t="n"/>
      <c r="N46" s="2" t="n"/>
      <c r="O46" s="2" t="n"/>
      <c r="P46" s="2" t="n"/>
    </row>
    <row r="47">
      <c r="A47" s="2" t="inlineStr">
        <is>
          <t>02.01.06.01.0002</t>
        </is>
      </c>
      <c r="B47" s="3" t="inlineStr">
        <is>
          <t>RETENCION 10% IVA (BIENES)</t>
        </is>
      </c>
      <c r="C47" s="3" t="inlineStr">
        <is>
          <t>N</t>
        </is>
      </c>
      <c r="D47" s="19" t="n">
        <v>46078</v>
      </c>
      <c r="E47" s="3" t="inlineStr">
        <is>
          <t>CP</t>
        </is>
      </c>
      <c r="F47" s="3" t="n">
        <v>236</v>
      </c>
      <c r="G47" s="3" t="inlineStr">
        <is>
          <t>000009109</t>
        </is>
      </c>
      <c r="H47" s="3" t="inlineStr">
        <is>
          <t>FE CASABACA S.A. 000009109</t>
        </is>
      </c>
      <c r="I47" s="3" t="n">
        <v>0</v>
      </c>
      <c r="J47" s="3" t="n">
        <v>462.41</v>
      </c>
      <c r="K47" s="3" t="n">
        <v>28661.05</v>
      </c>
      <c r="L47" s="2" t="n"/>
      <c r="M47" s="2" t="n"/>
      <c r="N47" s="2" t="n"/>
      <c r="O47" s="2" t="n"/>
      <c r="P47" s="2" t="n"/>
    </row>
    <row r="48">
      <c r="A48" s="2" t="inlineStr">
        <is>
          <t>02.01.06.01.0002</t>
        </is>
      </c>
      <c r="B48" s="3" t="inlineStr">
        <is>
          <t>RETENCION 10% IVA (BIENES)</t>
        </is>
      </c>
      <c r="C48" s="3" t="inlineStr">
        <is>
          <t>N</t>
        </is>
      </c>
      <c r="D48" s="19" t="n">
        <v>46078</v>
      </c>
      <c r="E48" s="3" t="inlineStr">
        <is>
          <t>CP</t>
        </is>
      </c>
      <c r="F48" s="3" t="n">
        <v>236</v>
      </c>
      <c r="G48" s="3" t="inlineStr">
        <is>
          <t>000009109</t>
        </is>
      </c>
      <c r="H48" s="3" t="inlineStr">
        <is>
          <t>FE CASABACA S.A. 000009109</t>
        </is>
      </c>
      <c r="I48" s="3" t="n">
        <v>0</v>
      </c>
      <c r="J48" s="3" t="n">
        <v>563.01</v>
      </c>
      <c r="K48" s="17" t="n">
        <v>29123.46</v>
      </c>
      <c r="L48" s="2" t="n"/>
      <c r="M48" s="2" t="n"/>
      <c r="N48" s="2" t="n"/>
      <c r="O48" s="2" t="n"/>
      <c r="P48" s="2" t="n"/>
    </row>
    <row r="49">
      <c r="A49" s="2" t="inlineStr">
        <is>
          <t>02.01.06.01.0002</t>
        </is>
      </c>
      <c r="B49" s="3" t="inlineStr">
        <is>
          <t>RETENCION 10% IVA (BIENES)</t>
        </is>
      </c>
      <c r="C49" s="3" t="inlineStr">
        <is>
          <t>N</t>
        </is>
      </c>
      <c r="D49" s="19" t="n">
        <v>46078</v>
      </c>
      <c r="E49" s="3" t="inlineStr">
        <is>
          <t>CP</t>
        </is>
      </c>
      <c r="F49" s="3" t="n">
        <v>236</v>
      </c>
      <c r="G49" s="3" t="inlineStr">
        <is>
          <t>000009109</t>
        </is>
      </c>
      <c r="H49" s="3" t="inlineStr">
        <is>
          <t>FE CASABACA S.A. 000009109</t>
        </is>
      </c>
      <c r="I49" s="3" t="n">
        <v>0</v>
      </c>
      <c r="J49" s="17" t="n">
        <v>598.53</v>
      </c>
      <c r="K49" s="17" t="n">
        <v>27171.88</v>
      </c>
      <c r="L49" s="2" t="n"/>
      <c r="M49" s="2" t="n"/>
      <c r="N49" s="2" t="n"/>
      <c r="O49" s="2" t="n"/>
      <c r="P49" s="2" t="n"/>
    </row>
    <row r="50">
      <c r="A50" s="2" t="inlineStr">
        <is>
          <t>02.01.06.01.0002</t>
        </is>
      </c>
      <c r="B50" s="3" t="inlineStr">
        <is>
          <t>RETENCION 10% IVA (BIENES)</t>
        </is>
      </c>
      <c r="C50" s="3" t="inlineStr">
        <is>
          <t>N</t>
        </is>
      </c>
      <c r="D50" s="19" t="n">
        <v>46079</v>
      </c>
      <c r="E50" s="3" t="inlineStr">
        <is>
          <t>INVEN</t>
        </is>
      </c>
      <c r="F50" s="3" t="n">
        <v>256</v>
      </c>
      <c r="G50" s="3" t="inlineStr">
        <is>
          <t>000031458</t>
        </is>
      </c>
      <c r="H50" s="3" t="inlineStr">
        <is>
          <t>IN CASABACA S.A. 000031458</t>
        </is>
      </c>
      <c r="I50" s="3" t="n">
        <v>0</v>
      </c>
      <c r="J50" s="3" t="n">
        <v>34.01</v>
      </c>
      <c r="K50" s="17" t="n">
        <v>473.63</v>
      </c>
      <c r="L50" s="2" t="n"/>
      <c r="M50" s="2" t="n"/>
      <c r="N50" s="2" t="n"/>
      <c r="O50" s="2" t="n"/>
      <c r="P50" s="2" t="n"/>
    </row>
    <row r="51">
      <c r="A51" s="2" t="inlineStr">
        <is>
          <t>02.01.06.01.0002</t>
        </is>
      </c>
      <c r="B51" s="3" t="inlineStr">
        <is>
          <t>RETENCION 10% IVA (BIENES)</t>
        </is>
      </c>
      <c r="C51" s="3" t="inlineStr">
        <is>
          <t>N</t>
        </is>
      </c>
      <c r="D51" s="19" t="n">
        <v>46079</v>
      </c>
      <c r="E51" s="3" t="inlineStr">
        <is>
          <t>INVEN</t>
        </is>
      </c>
      <c r="F51" s="3" t="n">
        <v>256</v>
      </c>
      <c r="G51" s="3" t="inlineStr">
        <is>
          <t>000031459</t>
        </is>
      </c>
      <c r="H51" s="3" t="inlineStr">
        <is>
          <t>IN CASABACA S.A. 000031459</t>
        </is>
      </c>
      <c r="I51" s="3" t="n">
        <v>0</v>
      </c>
      <c r="J51" s="3" t="n">
        <v>34.01</v>
      </c>
      <c r="K51" s="17" t="n">
        <v>439.62</v>
      </c>
      <c r="L51" s="2" t="n"/>
      <c r="M51" s="2" t="n"/>
      <c r="N51" s="2" t="n"/>
      <c r="O51" s="2" t="n"/>
      <c r="P51" s="2" t="n"/>
    </row>
    <row r="52">
      <c r="A52" s="2" t="inlineStr">
        <is>
          <t>02.01.06.01.0002</t>
        </is>
      </c>
      <c r="B52" s="3" t="inlineStr">
        <is>
          <t>RETENCION 10% IVA (BIENES)</t>
        </is>
      </c>
      <c r="C52" s="3" t="inlineStr">
        <is>
          <t>N</t>
        </is>
      </c>
      <c r="D52" s="19" t="n">
        <v>46079</v>
      </c>
      <c r="E52" s="3" t="inlineStr">
        <is>
          <t>INVEN</t>
        </is>
      </c>
      <c r="F52" s="3" t="n">
        <v>256</v>
      </c>
      <c r="G52" s="3" t="inlineStr">
        <is>
          <t>000031460</t>
        </is>
      </c>
      <c r="H52" s="3" t="inlineStr">
        <is>
          <t>IN CASABACA S.A. 000031460</t>
        </is>
      </c>
      <c r="I52" s="3" t="n">
        <v>0</v>
      </c>
      <c r="J52" s="3" t="n">
        <v>34.01</v>
      </c>
      <c r="K52" s="17" t="n">
        <v>405.61</v>
      </c>
      <c r="L52" s="2" t="n"/>
      <c r="M52" s="2" t="n"/>
      <c r="N52" s="2" t="n"/>
      <c r="O52" s="2" t="n"/>
      <c r="P52" s="2" t="n"/>
    </row>
    <row r="53">
      <c r="A53" s="2" t="inlineStr">
        <is>
          <t>02.01.06.01.0002</t>
        </is>
      </c>
      <c r="B53" s="3" t="inlineStr">
        <is>
          <t>RETENCION 10% IVA (BIENES)</t>
        </is>
      </c>
      <c r="C53" s="3" t="inlineStr">
        <is>
          <t>N</t>
        </is>
      </c>
      <c r="D53" s="19" t="n">
        <v>46079</v>
      </c>
      <c r="E53" s="3" t="inlineStr">
        <is>
          <t>INVEN</t>
        </is>
      </c>
      <c r="F53" s="3" t="n">
        <v>256</v>
      </c>
      <c r="G53" s="3" t="inlineStr">
        <is>
          <t>000031461</t>
        </is>
      </c>
      <c r="H53" s="3" t="inlineStr">
        <is>
          <t>IN CASABACA S.A. 000031461</t>
        </is>
      </c>
      <c r="I53" s="3" t="n">
        <v>0</v>
      </c>
      <c r="J53" s="3" t="n">
        <v>34.01</v>
      </c>
      <c r="K53" s="17" t="n">
        <v>371.6</v>
      </c>
      <c r="L53" s="2" t="n"/>
      <c r="M53" s="2" t="n"/>
      <c r="N53" s="2" t="n"/>
      <c r="O53" s="2" t="n"/>
      <c r="P53" s="2" t="n"/>
    </row>
    <row r="54">
      <c r="A54" s="2" t="inlineStr">
        <is>
          <t>02.01.06.01.0002</t>
        </is>
      </c>
      <c r="B54" s="3" t="inlineStr">
        <is>
          <t>RETENCION 10% IVA (BIENES)</t>
        </is>
      </c>
      <c r="C54" s="3" t="inlineStr">
        <is>
          <t>N</t>
        </is>
      </c>
      <c r="D54" s="19" t="n">
        <v>46079</v>
      </c>
      <c r="E54" s="3" t="inlineStr">
        <is>
          <t>INVEN</t>
        </is>
      </c>
      <c r="F54" s="3" t="n">
        <v>256</v>
      </c>
      <c r="G54" s="3" t="inlineStr">
        <is>
          <t>000031462</t>
        </is>
      </c>
      <c r="H54" s="3" t="inlineStr">
        <is>
          <t>IN CASABACA S.A. 000031462</t>
        </is>
      </c>
      <c r="I54" s="3" t="n">
        <v>0</v>
      </c>
      <c r="J54" s="3" t="n">
        <v>34.01</v>
      </c>
      <c r="K54" s="17" t="n">
        <v>337.59</v>
      </c>
      <c r="L54" s="2" t="n"/>
      <c r="M54" s="2" t="n"/>
      <c r="N54" s="2" t="n"/>
      <c r="O54" s="2" t="n"/>
      <c r="P54" s="2" t="n"/>
    </row>
    <row r="55">
      <c r="A55" s="2" t="inlineStr">
        <is>
          <t>02.01.06.01.0002</t>
        </is>
      </c>
      <c r="B55" s="3" t="inlineStr">
        <is>
          <t>RETENCION 10% IVA (BIENES)</t>
        </is>
      </c>
      <c r="C55" s="3" t="inlineStr">
        <is>
          <t>N</t>
        </is>
      </c>
      <c r="D55" s="19" t="n">
        <v>46079</v>
      </c>
      <c r="E55" s="3" t="inlineStr">
        <is>
          <t>INVEN</t>
        </is>
      </c>
      <c r="F55" s="3" t="n">
        <v>257</v>
      </c>
      <c r="G55" s="3" t="inlineStr">
        <is>
          <t>000001523</t>
        </is>
      </c>
      <c r="H55" s="3" t="inlineStr">
        <is>
          <t>IN SZK DEL ECUADOR S.A. 000001523</t>
        </is>
      </c>
      <c r="I55" s="3" t="n">
        <v>0</v>
      </c>
      <c r="J55" s="3" t="n">
        <v>22.17</v>
      </c>
      <c r="K55" s="17" t="n">
        <v>315.42</v>
      </c>
      <c r="L55" s="2" t="n"/>
      <c r="M55" s="2" t="n"/>
      <c r="N55" s="2" t="n"/>
      <c r="O55" s="2" t="n"/>
      <c r="P55" s="2" t="n"/>
    </row>
    <row r="56">
      <c r="A56" s="2" t="inlineStr">
        <is>
          <t>02.01.06.01.0002</t>
        </is>
      </c>
      <c r="B56" s="3" t="inlineStr">
        <is>
          <t>RETENCION 10% IVA (BIENES)</t>
        </is>
      </c>
      <c r="C56" s="3" t="inlineStr">
        <is>
          <t>N</t>
        </is>
      </c>
      <c r="D56" s="19" t="n">
        <v>46079</v>
      </c>
      <c r="E56" s="3" t="inlineStr">
        <is>
          <t>CP</t>
        </is>
      </c>
      <c r="F56" s="3" t="n">
        <v>258</v>
      </c>
      <c r="G56" s="3" t="inlineStr">
        <is>
          <t>000003197</t>
        </is>
      </c>
      <c r="H56" s="3" t="inlineStr">
        <is>
          <t>FE SZK DEL ECUADOR S.A. 000003197</t>
        </is>
      </c>
      <c r="I56" s="3" t="n">
        <v>0</v>
      </c>
      <c r="J56" s="3" t="n">
        <v>287.07</v>
      </c>
      <c r="K56" s="17" t="n">
        <v>17361.86</v>
      </c>
      <c r="L56" s="2" t="n"/>
      <c r="M56" s="2" t="n"/>
      <c r="N56" s="2" t="n"/>
      <c r="O56" s="2" t="n"/>
      <c r="P56" s="2" t="n"/>
    </row>
    <row r="57">
      <c r="A57" s="2" t="inlineStr">
        <is>
          <t>02.01.06.01.0002</t>
        </is>
      </c>
      <c r="B57" s="3" t="inlineStr">
        <is>
          <t>RETENCION 10% IVA (BIENES)</t>
        </is>
      </c>
      <c r="C57" s="3" t="inlineStr">
        <is>
          <t>N</t>
        </is>
      </c>
      <c r="D57" s="19" t="n">
        <v>46079</v>
      </c>
      <c r="E57" s="3" t="inlineStr">
        <is>
          <t>CP</t>
        </is>
      </c>
      <c r="F57" s="3" t="n">
        <v>258</v>
      </c>
      <c r="G57" s="3" t="inlineStr">
        <is>
          <t>000003198</t>
        </is>
      </c>
      <c r="H57" s="3" t="inlineStr">
        <is>
          <t>FE SZK DEL ECUADOR S.A. 000003198</t>
        </is>
      </c>
      <c r="I57" s="3" t="n">
        <v>0</v>
      </c>
      <c r="J57" s="3" t="n">
        <v>1578.81</v>
      </c>
      <c r="K57" s="17" t="n">
        <v>15783.05</v>
      </c>
      <c r="L57" s="2" t="n"/>
      <c r="M57" s="2" t="n"/>
      <c r="N57" s="2" t="n"/>
      <c r="O57" s="2" t="n"/>
      <c r="P57" s="2" t="n"/>
    </row>
    <row r="58">
      <c r="A58" s="2" t="inlineStr">
        <is>
          <t>02.01.06.01.0002</t>
        </is>
      </c>
      <c r="B58" s="3" t="inlineStr">
        <is>
          <t>RETENCION 10% IVA (BIENES)</t>
        </is>
      </c>
      <c r="C58" s="3" t="inlineStr">
        <is>
          <t>N</t>
        </is>
      </c>
      <c r="D58" s="19" t="n">
        <v>46079</v>
      </c>
      <c r="E58" s="3" t="inlineStr">
        <is>
          <t>CP</t>
        </is>
      </c>
      <c r="F58" s="3" t="n">
        <v>258</v>
      </c>
      <c r="G58" s="3" t="inlineStr">
        <is>
          <t>000003199</t>
        </is>
      </c>
      <c r="H58" s="3" t="inlineStr">
        <is>
          <t>FE SZK DEL ECUADOR S.A. 000003199</t>
        </is>
      </c>
      <c r="I58" s="3" t="n">
        <v>0</v>
      </c>
      <c r="J58" s="3" t="n">
        <v>1578.81</v>
      </c>
      <c r="K58" s="3" t="n">
        <v>14204.24</v>
      </c>
      <c r="L58" s="2" t="n"/>
      <c r="M58" s="2" t="n"/>
      <c r="N58" s="2" t="n"/>
      <c r="O58" s="2" t="n"/>
      <c r="P58" s="2" t="n"/>
    </row>
    <row r="59">
      <c r="A59" s="2" t="inlineStr">
        <is>
          <t>02.01.06.01.0002</t>
        </is>
      </c>
      <c r="B59" s="3" t="inlineStr">
        <is>
          <t>RETENCION 10% IVA (BIENES)</t>
        </is>
      </c>
      <c r="C59" s="3" t="inlineStr">
        <is>
          <t>N</t>
        </is>
      </c>
      <c r="D59" s="19" t="n">
        <v>46079</v>
      </c>
      <c r="E59" s="3" t="inlineStr">
        <is>
          <t>CP</t>
        </is>
      </c>
      <c r="F59" s="3" t="n">
        <v>258</v>
      </c>
      <c r="G59" s="3" t="inlineStr">
        <is>
          <t>000003200</t>
        </is>
      </c>
      <c r="H59" s="3" t="inlineStr">
        <is>
          <t>FE SZK DEL ECUADOR S.A. 000003200</t>
        </is>
      </c>
      <c r="I59" s="3" t="n">
        <v>0</v>
      </c>
      <c r="J59" s="3" t="n">
        <v>391.79</v>
      </c>
      <c r="K59" s="3" t="n">
        <v>13812.45</v>
      </c>
      <c r="L59" s="2" t="n"/>
      <c r="M59" s="2" t="n"/>
      <c r="N59" s="2" t="n"/>
      <c r="O59" s="2" t="n"/>
      <c r="P59" s="2" t="n"/>
    </row>
    <row r="60">
      <c r="A60" s="2" t="inlineStr">
        <is>
          <t>02.01.06.01.0002</t>
        </is>
      </c>
      <c r="B60" s="3" t="inlineStr">
        <is>
          <t>RETENCION 10% IVA (BIENES)</t>
        </is>
      </c>
      <c r="C60" s="3" t="inlineStr">
        <is>
          <t>N</t>
        </is>
      </c>
      <c r="D60" s="19" t="n">
        <v>46079</v>
      </c>
      <c r="E60" s="3" t="inlineStr">
        <is>
          <t>CP</t>
        </is>
      </c>
      <c r="F60" s="3" t="n">
        <v>258</v>
      </c>
      <c r="G60" s="3" t="inlineStr">
        <is>
          <t>000009120</t>
        </is>
      </c>
      <c r="H60" s="3" t="inlineStr">
        <is>
          <t>FE CASABACA S.A. 000009120</t>
        </is>
      </c>
      <c r="I60" s="3" t="n">
        <v>0</v>
      </c>
      <c r="J60" s="3" t="n">
        <v>381.9</v>
      </c>
      <c r="K60" s="3" t="n">
        <v>17916.33</v>
      </c>
      <c r="L60" s="2" t="n"/>
      <c r="M60" s="2" t="n"/>
      <c r="N60" s="2" t="n"/>
      <c r="O60" s="2" t="n"/>
      <c r="P60" s="2" t="n"/>
    </row>
    <row r="61">
      <c r="A61" s="2" t="inlineStr">
        <is>
          <t>02.01.06.01.0002</t>
        </is>
      </c>
      <c r="B61" s="3" t="inlineStr">
        <is>
          <t>RETENCION 10% IVA (BIENES)</t>
        </is>
      </c>
      <c r="C61" s="3" t="inlineStr">
        <is>
          <t>N</t>
        </is>
      </c>
      <c r="D61" s="19" t="n">
        <v>46079</v>
      </c>
      <c r="E61" s="3" t="inlineStr">
        <is>
          <t>CP</t>
        </is>
      </c>
      <c r="F61" s="3" t="n">
        <v>258</v>
      </c>
      <c r="G61" s="3" t="inlineStr">
        <is>
          <t>000009120</t>
        </is>
      </c>
      <c r="H61" s="3" t="inlineStr">
        <is>
          <t>FE CASABACA S.A. 000009120</t>
        </is>
      </c>
      <c r="I61" s="3" t="n">
        <v>0</v>
      </c>
      <c r="J61" s="3" t="n">
        <v>381.9</v>
      </c>
      <c r="K61" s="3" t="n">
        <v>18298.23</v>
      </c>
      <c r="L61" s="2" t="n"/>
      <c r="M61" s="2" t="n"/>
      <c r="N61" s="2" t="n"/>
      <c r="O61" s="2" t="n"/>
      <c r="P61" s="2" t="n"/>
    </row>
    <row r="62">
      <c r="A62" s="2" t="inlineStr">
        <is>
          <t>02.01.06.01.0002</t>
        </is>
      </c>
      <c r="B62" s="3" t="inlineStr">
        <is>
          <t>RETENCION 10% IVA (BIENES)</t>
        </is>
      </c>
      <c r="C62" s="3" t="inlineStr">
        <is>
          <t>N</t>
        </is>
      </c>
      <c r="D62" s="19" t="n">
        <v>46079</v>
      </c>
      <c r="E62" s="3" t="inlineStr">
        <is>
          <t>CP</t>
        </is>
      </c>
      <c r="F62" s="3" t="n">
        <v>258</v>
      </c>
      <c r="G62" s="3" t="inlineStr">
        <is>
          <t>000009120</t>
        </is>
      </c>
      <c r="H62" s="3" t="inlineStr">
        <is>
          <t>FE CASABACA S.A. 000009120</t>
        </is>
      </c>
      <c r="I62" s="3" t="n">
        <v>0</v>
      </c>
      <c r="J62" s="3" t="n">
        <v>381.9</v>
      </c>
      <c r="K62" s="3" t="n">
        <v>18680.13</v>
      </c>
      <c r="L62" s="2" t="n"/>
      <c r="M62" s="2" t="n"/>
      <c r="N62" s="2" t="n"/>
      <c r="O62" s="2" t="n"/>
      <c r="P62" s="2" t="n"/>
    </row>
    <row r="63">
      <c r="A63" s="2" t="inlineStr">
        <is>
          <t>02.01.06.01.0002</t>
        </is>
      </c>
      <c r="B63" s="3" t="inlineStr">
        <is>
          <t>RETENCION 10% IVA (BIENES)</t>
        </is>
      </c>
      <c r="C63" s="3" t="inlineStr">
        <is>
          <t>N</t>
        </is>
      </c>
      <c r="D63" s="19" t="n">
        <v>46079</v>
      </c>
      <c r="E63" s="3" t="inlineStr">
        <is>
          <t>CP</t>
        </is>
      </c>
      <c r="F63" s="3" t="n">
        <v>258</v>
      </c>
      <c r="G63" s="3" t="inlineStr">
        <is>
          <t>000009120</t>
        </is>
      </c>
      <c r="H63" s="3" t="inlineStr">
        <is>
          <t>FE CASABACA S.A. 000009120</t>
        </is>
      </c>
      <c r="I63" s="3" t="n">
        <v>0</v>
      </c>
      <c r="J63" s="3" t="n">
        <v>381.9</v>
      </c>
      <c r="K63" s="3" t="n">
        <v>19062.03</v>
      </c>
      <c r="L63" s="2" t="n"/>
      <c r="M63" s="2" t="n"/>
      <c r="N63" s="2" t="n"/>
      <c r="O63" s="2" t="n"/>
      <c r="P63" s="2" t="n"/>
    </row>
    <row r="64">
      <c r="A64" s="2" t="inlineStr">
        <is>
          <t>02.01.06.01.0002</t>
        </is>
      </c>
      <c r="B64" s="3" t="inlineStr">
        <is>
          <t>RETENCION 10% IVA (BIENES)</t>
        </is>
      </c>
      <c r="C64" s="3" t="inlineStr">
        <is>
          <t>N</t>
        </is>
      </c>
      <c r="D64" s="19" t="n">
        <v>46079</v>
      </c>
      <c r="E64" s="3" t="inlineStr">
        <is>
          <t>CP</t>
        </is>
      </c>
      <c r="F64" s="3" t="n">
        <v>258</v>
      </c>
      <c r="G64" s="3" t="inlineStr">
        <is>
          <t>000009120</t>
        </is>
      </c>
      <c r="H64" s="3" t="inlineStr">
        <is>
          <t>FE CASABACA S.A. 000009120</t>
        </is>
      </c>
      <c r="I64" s="3" t="n">
        <v>0</v>
      </c>
      <c r="J64" s="3" t="n">
        <v>381.9</v>
      </c>
      <c r="K64" s="3" t="n">
        <v>19443.93</v>
      </c>
      <c r="L64" s="2" t="n"/>
      <c r="M64" s="2" t="n"/>
      <c r="N64" s="2" t="n"/>
      <c r="O64" s="2" t="n"/>
      <c r="P64" s="2" t="n"/>
    </row>
    <row r="65">
      <c r="A65" s="2" t="inlineStr">
        <is>
          <t>02.01.06.01.0002</t>
        </is>
      </c>
      <c r="B65" s="3" t="inlineStr">
        <is>
          <t>RETENCION 10% IVA (BIENES)</t>
        </is>
      </c>
      <c r="C65" s="3" t="inlineStr">
        <is>
          <t>N</t>
        </is>
      </c>
      <c r="D65" s="19" t="n">
        <v>46079</v>
      </c>
      <c r="E65" s="3" t="inlineStr">
        <is>
          <t>CP</t>
        </is>
      </c>
      <c r="F65" s="3" t="n">
        <v>258</v>
      </c>
      <c r="G65" s="3" t="inlineStr">
        <is>
          <t>000009120</t>
        </is>
      </c>
      <c r="H65" s="3" t="inlineStr">
        <is>
          <t>FE CASABACA S.A. 000009120</t>
        </is>
      </c>
      <c r="I65" s="3" t="n">
        <v>0</v>
      </c>
      <c r="J65" s="3" t="n">
        <v>428.23</v>
      </c>
      <c r="K65" s="3" t="n">
        <v>19825.83</v>
      </c>
      <c r="L65" s="2" t="n"/>
      <c r="M65" s="2" t="n"/>
      <c r="N65" s="2" t="n"/>
      <c r="O65" s="2" t="n"/>
      <c r="P65" s="2" t="n"/>
    </row>
    <row r="66">
      <c r="A66" s="2" t="inlineStr">
        <is>
          <t>02.01.06.01.0002</t>
        </is>
      </c>
      <c r="B66" s="3" t="inlineStr">
        <is>
          <t>RETENCION 10% IVA (BIENES)</t>
        </is>
      </c>
      <c r="C66" s="3" t="inlineStr">
        <is>
          <t>N</t>
        </is>
      </c>
      <c r="D66" s="19" t="n">
        <v>46079</v>
      </c>
      <c r="E66" s="3" t="inlineStr">
        <is>
          <t>CP</t>
        </is>
      </c>
      <c r="F66" s="3" t="n">
        <v>258</v>
      </c>
      <c r="G66" s="3" t="inlineStr">
        <is>
          <t>000101390</t>
        </is>
      </c>
      <c r="H66" s="3" t="inlineStr">
        <is>
          <t>FE CONSORCIO DEL PICHINCHA S.A 000101390</t>
        </is>
      </c>
      <c r="I66" s="3" t="n">
        <v>0</v>
      </c>
      <c r="J66" s="3" t="n">
        <v>169.57</v>
      </c>
      <c r="K66" s="17" t="n">
        <v>17746.76</v>
      </c>
      <c r="L66" s="2" t="n"/>
      <c r="M66" s="2" t="n"/>
      <c r="N66" s="2" t="n"/>
      <c r="O66" s="2" t="n"/>
      <c r="P66" s="2" t="n"/>
    </row>
    <row r="67">
      <c r="A67" s="2" t="inlineStr">
        <is>
          <t>02.01.06.01.0002</t>
        </is>
      </c>
      <c r="B67" s="3" t="inlineStr">
        <is>
          <t>RETENCION 10% IVA (BIENES)</t>
        </is>
      </c>
      <c r="C67" s="3" t="inlineStr">
        <is>
          <t>N</t>
        </is>
      </c>
      <c r="D67" s="19" t="n">
        <v>46079</v>
      </c>
      <c r="E67" s="3" t="inlineStr">
        <is>
          <t>CP</t>
        </is>
      </c>
      <c r="F67" s="3" t="n">
        <v>258</v>
      </c>
      <c r="G67" s="3" t="inlineStr">
        <is>
          <t>000101399</t>
        </is>
      </c>
      <c r="H67" s="3" t="inlineStr">
        <is>
          <t>FE CONSORCIO DEL PICHINCHA S.A 000101399</t>
        </is>
      </c>
      <c r="I67" s="3" t="n">
        <v>0</v>
      </c>
      <c r="J67" s="3" t="n">
        <v>97.83</v>
      </c>
      <c r="K67" s="17" t="n">
        <v>17648.93</v>
      </c>
      <c r="L67" s="2" t="n"/>
      <c r="M67" s="2" t="n"/>
      <c r="N67" s="2" t="n"/>
      <c r="O67" s="2" t="n"/>
      <c r="P67" s="2" t="n"/>
    </row>
    <row r="68">
      <c r="A68" s="2" t="inlineStr">
        <is>
          <t>02.01.06.01.0002</t>
        </is>
      </c>
      <c r="B68" s="3" t="inlineStr">
        <is>
          <t>RETENCION 10% IVA (BIENES)</t>
        </is>
      </c>
      <c r="C68" s="3" t="inlineStr">
        <is>
          <t>N</t>
        </is>
      </c>
      <c r="D68" s="19" t="n">
        <v>46080</v>
      </c>
      <c r="E68" s="3" t="inlineStr">
        <is>
          <t>INVEN</t>
        </is>
      </c>
      <c r="F68" s="3" t="n">
        <v>260</v>
      </c>
      <c r="G68" s="3" t="inlineStr">
        <is>
          <t>000000385</t>
        </is>
      </c>
      <c r="H68" s="3" t="inlineStr">
        <is>
          <t>IN SZK DEL ECUADOR S.A. 000000385</t>
        </is>
      </c>
      <c r="I68" s="3" t="n">
        <v>0</v>
      </c>
      <c r="J68" s="3" t="n">
        <v>23.85</v>
      </c>
      <c r="K68" s="17" t="n">
        <v>291.57</v>
      </c>
      <c r="L68" s="2" t="n"/>
      <c r="M68" s="2" t="n"/>
      <c r="N68" s="2" t="n"/>
      <c r="O68" s="2" t="n"/>
      <c r="P68" s="2" t="n"/>
    </row>
    <row r="69">
      <c r="A69" s="2" t="inlineStr">
        <is>
          <t>02.01.06.01.0002</t>
        </is>
      </c>
      <c r="B69" s="3" t="inlineStr">
        <is>
          <t>RETENCION 10% IVA (BIENES)</t>
        </is>
      </c>
      <c r="C69" s="3" t="inlineStr">
        <is>
          <t>N</t>
        </is>
      </c>
      <c r="D69" s="19" t="n">
        <v>46080</v>
      </c>
      <c r="E69" s="3" t="inlineStr">
        <is>
          <t>INVEN</t>
        </is>
      </c>
      <c r="F69" s="3" t="n">
        <v>260</v>
      </c>
      <c r="G69" s="3" t="inlineStr">
        <is>
          <t>000001524</t>
        </is>
      </c>
      <c r="H69" s="3" t="inlineStr">
        <is>
          <t>IN SZK DEL ECUADOR S.A. 000001524</t>
        </is>
      </c>
      <c r="I69" s="3" t="n">
        <v>0</v>
      </c>
      <c r="J69" s="3" t="n">
        <v>31.1</v>
      </c>
      <c r="K69" s="17" t="n">
        <v>260.47</v>
      </c>
      <c r="L69" s="2" t="n"/>
      <c r="M69" s="2" t="n"/>
      <c r="N69" s="2" t="n"/>
      <c r="O69" s="2" t="n"/>
      <c r="P69" s="2" t="n"/>
    </row>
    <row r="70">
      <c r="A70" s="2" t="inlineStr">
        <is>
          <t>02.01.06.01.0002</t>
        </is>
      </c>
      <c r="B70" s="3" t="inlineStr">
        <is>
          <t>RETENCION 10% IVA (BIENES)</t>
        </is>
      </c>
      <c r="C70" s="3" t="inlineStr">
        <is>
          <t>N</t>
        </is>
      </c>
      <c r="D70" s="19" t="n">
        <v>46080</v>
      </c>
      <c r="E70" s="3" t="inlineStr">
        <is>
          <t>INVEN</t>
        </is>
      </c>
      <c r="F70" s="3" t="n">
        <v>260</v>
      </c>
      <c r="G70" s="3" t="inlineStr">
        <is>
          <t>000001525</t>
        </is>
      </c>
      <c r="H70" s="3" t="inlineStr">
        <is>
          <t>IN SZK DEL ECUADOR S.A. 000001525</t>
        </is>
      </c>
      <c r="I70" s="3" t="n">
        <v>0</v>
      </c>
      <c r="J70" s="3" t="n">
        <v>22.17</v>
      </c>
      <c r="K70" s="17" t="n">
        <v>238.3</v>
      </c>
      <c r="L70" s="2" t="n"/>
      <c r="M70" s="2" t="n"/>
      <c r="N70" s="2" t="n"/>
      <c r="O70" s="2" t="n"/>
      <c r="P70" s="2" t="n"/>
    </row>
    <row r="71">
      <c r="A71" s="2" t="inlineStr">
        <is>
          <t>02.01.06.01.0002</t>
        </is>
      </c>
      <c r="B71" s="3" t="inlineStr">
        <is>
          <t>RETENCION 10% IVA (BIENES)</t>
        </is>
      </c>
      <c r="C71" s="3" t="inlineStr">
        <is>
          <t>N</t>
        </is>
      </c>
      <c r="D71" s="19" t="n">
        <v>46080</v>
      </c>
      <c r="E71" s="3" t="inlineStr">
        <is>
          <t>INVEN</t>
        </is>
      </c>
      <c r="F71" s="3" t="n">
        <v>260</v>
      </c>
      <c r="G71" s="3" t="inlineStr">
        <is>
          <t>000001526</t>
        </is>
      </c>
      <c r="H71" s="3" t="inlineStr">
        <is>
          <t>IN SZK DEL ECUADOR S.A. 000001526</t>
        </is>
      </c>
      <c r="I71" s="3" t="n">
        <v>0</v>
      </c>
      <c r="J71" s="3" t="n">
        <v>22.17</v>
      </c>
      <c r="K71" s="17" t="n">
        <v>216.13</v>
      </c>
      <c r="L71" s="2" t="n"/>
      <c r="M71" s="2" t="n"/>
      <c r="N71" s="2" t="n"/>
      <c r="O71" s="2" t="n"/>
      <c r="P71" s="2" t="n"/>
    </row>
    <row r="72">
      <c r="A72" s="2" t="inlineStr">
        <is>
          <t>02.01.06.01.0002</t>
        </is>
      </c>
      <c r="B72" s="3" t="inlineStr">
        <is>
          <t>RETENCION 10% IVA (BIENES)</t>
        </is>
      </c>
      <c r="C72" s="3" t="inlineStr">
        <is>
          <t>N</t>
        </is>
      </c>
      <c r="D72" s="19" t="n">
        <v>46080</v>
      </c>
      <c r="E72" s="3" t="inlineStr">
        <is>
          <t>CP</t>
        </is>
      </c>
      <c r="F72" s="3" t="n">
        <v>261</v>
      </c>
      <c r="G72" s="3" t="inlineStr">
        <is>
          <t>000003201</t>
        </is>
      </c>
      <c r="H72" s="3" t="inlineStr">
        <is>
          <t>FE SZK DEL ECUADOR S.A. 000003201</t>
        </is>
      </c>
      <c r="I72" s="3" t="n">
        <v>0</v>
      </c>
      <c r="J72" s="3" t="n">
        <v>1315.67</v>
      </c>
      <c r="K72" s="17" t="n">
        <v>12496.78</v>
      </c>
      <c r="L72" s="2" t="n"/>
      <c r="M72" s="2" t="n"/>
      <c r="N72" s="2" t="n"/>
      <c r="O72" s="2" t="n"/>
      <c r="P72" s="2" t="n"/>
    </row>
    <row r="73">
      <c r="A73" s="2" t="inlineStr">
        <is>
          <t>02.01.06.01.0002</t>
        </is>
      </c>
      <c r="B73" s="3" t="inlineStr">
        <is>
          <t>RETENCION 10% IVA (BIENES)</t>
        </is>
      </c>
      <c r="C73" s="3" t="inlineStr">
        <is>
          <t>N</t>
        </is>
      </c>
      <c r="D73" s="19" t="n">
        <v>46080</v>
      </c>
      <c r="E73" s="3" t="inlineStr">
        <is>
          <t>CP</t>
        </is>
      </c>
      <c r="F73" s="3" t="n">
        <v>261</v>
      </c>
      <c r="G73" s="3" t="inlineStr">
        <is>
          <t>000003202</t>
        </is>
      </c>
      <c r="H73" s="3" t="inlineStr">
        <is>
          <t>FE SZK DEL ECUADOR S.A. 000003202</t>
        </is>
      </c>
      <c r="I73" s="3" t="n">
        <v>0</v>
      </c>
      <c r="J73" s="3" t="n">
        <v>1327.52</v>
      </c>
      <c r="K73" s="17" t="n">
        <v>11169.26</v>
      </c>
      <c r="L73" s="2" t="n"/>
      <c r="M73" s="2" t="n"/>
      <c r="N73" s="2" t="n"/>
      <c r="O73" s="2" t="n"/>
      <c r="P73" s="2" t="n"/>
    </row>
    <row r="74">
      <c r="A74" s="2" t="inlineStr">
        <is>
          <t>02.01.06.01.0002</t>
        </is>
      </c>
      <c r="B74" s="3" t="inlineStr">
        <is>
          <t>RETENCION 10% IVA (BIENES)</t>
        </is>
      </c>
      <c r="C74" s="3" t="inlineStr">
        <is>
          <t>N</t>
        </is>
      </c>
      <c r="D74" s="19" t="n">
        <v>46080</v>
      </c>
      <c r="E74" s="3" t="inlineStr">
        <is>
          <t>CP</t>
        </is>
      </c>
      <c r="F74" s="3" t="n">
        <v>261</v>
      </c>
      <c r="G74" s="3" t="inlineStr">
        <is>
          <t>000003203</t>
        </is>
      </c>
      <c r="H74" s="3" t="inlineStr">
        <is>
          <t>FE SZK DEL ECUADOR S.A. 000003203</t>
        </is>
      </c>
      <c r="I74" s="3" t="n">
        <v>0</v>
      </c>
      <c r="J74" s="3" t="n">
        <v>1548.77</v>
      </c>
      <c r="K74" s="17" t="n">
        <v>9620.49</v>
      </c>
      <c r="L74" s="2" t="n"/>
      <c r="M74" s="2" t="n"/>
      <c r="N74" s="2" t="n"/>
      <c r="O74" s="2" t="n"/>
      <c r="P74" s="2" t="n"/>
    </row>
    <row r="75">
      <c r="A75" s="2" t="inlineStr">
        <is>
          <t>02.01.06.01.0002</t>
        </is>
      </c>
      <c r="B75" s="3" t="inlineStr">
        <is>
          <t>RETENCION 10% IVA (BIENES)</t>
        </is>
      </c>
      <c r="C75" s="3" t="inlineStr">
        <is>
          <t>N</t>
        </is>
      </c>
      <c r="D75" s="19" t="n">
        <v>46080</v>
      </c>
      <c r="E75" s="3" t="inlineStr">
        <is>
          <t>CP</t>
        </is>
      </c>
      <c r="F75" s="3" t="n">
        <v>261</v>
      </c>
      <c r="G75" s="3" t="inlineStr">
        <is>
          <t>000003204</t>
        </is>
      </c>
      <c r="H75" s="3" t="inlineStr">
        <is>
          <t>FE SZK DEL ECUADOR S.A. 000003204</t>
        </is>
      </c>
      <c r="I75" s="3" t="n">
        <v>0</v>
      </c>
      <c r="J75" s="3" t="n">
        <v>361.84</v>
      </c>
      <c r="K75" s="17" t="n">
        <v>9258.65</v>
      </c>
      <c r="L75" s="2" t="n"/>
      <c r="M75" s="2" t="n"/>
      <c r="N75" s="2" t="n"/>
      <c r="O75" s="2" t="n"/>
      <c r="P75" s="2" t="n"/>
    </row>
    <row r="76">
      <c r="A76" s="2" t="inlineStr">
        <is>
          <t>02.01.06.01.0002</t>
        </is>
      </c>
      <c r="B76" s="3" t="inlineStr">
        <is>
          <t>RETENCION 10% IVA (BIENES)</t>
        </is>
      </c>
      <c r="C76" s="3" t="inlineStr">
        <is>
          <t>N</t>
        </is>
      </c>
      <c r="D76" s="19" t="n">
        <v>46080</v>
      </c>
      <c r="E76" s="3" t="inlineStr">
        <is>
          <t>CP</t>
        </is>
      </c>
      <c r="F76" s="3" t="n">
        <v>261</v>
      </c>
      <c r="G76" s="3" t="inlineStr">
        <is>
          <t>000003205</t>
        </is>
      </c>
      <c r="H76" s="3" t="inlineStr">
        <is>
          <t>FE SZK DEL ECUADOR S.A. 000003205</t>
        </is>
      </c>
      <c r="I76" s="3" t="n">
        <v>0</v>
      </c>
      <c r="J76" s="3" t="n">
        <v>391.79</v>
      </c>
      <c r="K76" s="17" t="n">
        <v>8866.860000000001</v>
      </c>
      <c r="L76" s="2" t="n"/>
      <c r="M76" s="2" t="n"/>
      <c r="N76" s="2" t="n"/>
      <c r="O76" s="2" t="n"/>
      <c r="P76" s="2" t="n"/>
    </row>
    <row r="77">
      <c r="A77" s="2" t="inlineStr">
        <is>
          <t>02.01.06.01.0002</t>
        </is>
      </c>
      <c r="B77" s="3" t="inlineStr">
        <is>
          <t>RETENCION 10% IVA (BIENES)</t>
        </is>
      </c>
      <c r="C77" s="3" t="inlineStr">
        <is>
          <t>N</t>
        </is>
      </c>
      <c r="D77" s="19" t="n">
        <v>46081</v>
      </c>
      <c r="E77" s="3" t="inlineStr">
        <is>
          <t>INVEN</t>
        </is>
      </c>
      <c r="F77" s="3" t="n">
        <v>262</v>
      </c>
      <c r="G77" s="3" t="inlineStr">
        <is>
          <t>000031483</t>
        </is>
      </c>
      <c r="H77" s="3" t="inlineStr">
        <is>
          <t>IN CASABACA S.A. 000031483</t>
        </is>
      </c>
      <c r="I77" s="3" t="n">
        <v>0</v>
      </c>
      <c r="J77" s="3" t="n">
        <v>34.01</v>
      </c>
      <c r="K77" s="17" t="n">
        <v>182.12</v>
      </c>
      <c r="L77" s="2" t="n"/>
      <c r="M77" s="2" t="n"/>
      <c r="N77" s="2" t="n"/>
      <c r="O77" s="2" t="n"/>
      <c r="P77" s="2" t="n"/>
    </row>
    <row r="78">
      <c r="A78" s="2" t="inlineStr">
        <is>
          <t>02.01.06.01.0002</t>
        </is>
      </c>
      <c r="B78" s="3" t="inlineStr">
        <is>
          <t>RETENCION 10% IVA (BIENES)</t>
        </is>
      </c>
      <c r="C78" s="3" t="inlineStr">
        <is>
          <t>N</t>
        </is>
      </c>
      <c r="D78" s="19" t="n">
        <v>46081</v>
      </c>
      <c r="E78" s="3" t="inlineStr">
        <is>
          <t>INVEN</t>
        </is>
      </c>
      <c r="F78" s="3" t="n">
        <v>262</v>
      </c>
      <c r="G78" s="3" t="inlineStr">
        <is>
          <t>000031484</t>
        </is>
      </c>
      <c r="H78" s="3" t="inlineStr">
        <is>
          <t>IN CASABACA S.A. 000031484</t>
        </is>
      </c>
      <c r="I78" s="3" t="n">
        <v>0</v>
      </c>
      <c r="J78" s="3" t="n">
        <v>32.99</v>
      </c>
      <c r="K78" s="17" t="n">
        <v>149.13</v>
      </c>
      <c r="L78" s="2" t="n"/>
      <c r="M78" s="2" t="n"/>
      <c r="N78" s="2" t="n"/>
      <c r="O78" s="2" t="n"/>
      <c r="P78" s="2" t="n"/>
    </row>
    <row r="79">
      <c r="A79" s="2" t="inlineStr">
        <is>
          <t>02.01.06.01.0002</t>
        </is>
      </c>
      <c r="B79" s="3" t="inlineStr">
        <is>
          <t>RETENCION 10% IVA (BIENES)</t>
        </is>
      </c>
      <c r="C79" s="3" t="inlineStr">
        <is>
          <t>N</t>
        </is>
      </c>
      <c r="D79" s="19" t="n">
        <v>46081</v>
      </c>
      <c r="E79" s="3" t="inlineStr">
        <is>
          <t>INVEN</t>
        </is>
      </c>
      <c r="F79" s="3" t="n">
        <v>262</v>
      </c>
      <c r="G79" s="3" t="inlineStr">
        <is>
          <t>000031485</t>
        </is>
      </c>
      <c r="H79" s="3" t="inlineStr">
        <is>
          <t>IN CASABACA S.A. 000031485</t>
        </is>
      </c>
      <c r="I79" s="3" t="n">
        <v>0</v>
      </c>
      <c r="J79" s="3" t="n">
        <v>35.72</v>
      </c>
      <c r="K79" s="17" t="n">
        <v>113.41</v>
      </c>
      <c r="L79" s="2" t="n"/>
      <c r="M79" s="2" t="n"/>
      <c r="N79" s="2" t="n"/>
      <c r="O79" s="2" t="n"/>
      <c r="P79" s="2" t="n"/>
    </row>
    <row r="80">
      <c r="A80" s="2" t="inlineStr">
        <is>
          <t>02.01.06.01.0002</t>
        </is>
      </c>
      <c r="B80" s="3" t="inlineStr">
        <is>
          <t>RETENCION 10% IVA (BIENES)</t>
        </is>
      </c>
      <c r="C80" s="3" t="inlineStr">
        <is>
          <t>N</t>
        </is>
      </c>
      <c r="D80" s="19" t="n">
        <v>46081</v>
      </c>
      <c r="E80" s="3" t="inlineStr">
        <is>
          <t>INVEN</t>
        </is>
      </c>
      <c r="F80" s="3" t="n">
        <v>262</v>
      </c>
      <c r="G80" s="3" t="inlineStr">
        <is>
          <t>000031486</t>
        </is>
      </c>
      <c r="H80" s="3" t="inlineStr">
        <is>
          <t>IN CASABACA S.A. 000031486</t>
        </is>
      </c>
      <c r="I80" s="3" t="n">
        <v>0</v>
      </c>
      <c r="J80" s="3" t="n">
        <v>34.01</v>
      </c>
      <c r="K80" s="17" t="n">
        <v>79.40000000000001</v>
      </c>
      <c r="L80" s="2" t="n"/>
      <c r="M80" s="2" t="n"/>
      <c r="N80" s="2" t="n"/>
      <c r="O80" s="2" t="n"/>
      <c r="P80" s="2" t="n"/>
    </row>
    <row r="81">
      <c r="A81" s="2" t="inlineStr">
        <is>
          <t>02.01.06.01.0002</t>
        </is>
      </c>
      <c r="B81" s="3" t="inlineStr">
        <is>
          <t>RETENCION 10% IVA (BIENES)</t>
        </is>
      </c>
      <c r="C81" s="3" t="inlineStr">
        <is>
          <t>N</t>
        </is>
      </c>
      <c r="D81" s="19" t="n">
        <v>46081</v>
      </c>
      <c r="E81" s="3" t="inlineStr">
        <is>
          <t>INVEN</t>
        </is>
      </c>
      <c r="F81" s="3" t="n">
        <v>262</v>
      </c>
      <c r="G81" s="3" t="inlineStr">
        <is>
          <t>000031487</t>
        </is>
      </c>
      <c r="H81" s="3" t="inlineStr">
        <is>
          <t>IN CASABACA S.A. 000031487</t>
        </is>
      </c>
      <c r="I81" s="3" t="n">
        <v>0</v>
      </c>
      <c r="J81" s="3" t="n">
        <v>32.99</v>
      </c>
      <c r="K81" s="17" t="n">
        <v>46.41</v>
      </c>
      <c r="L81" s="2" t="n"/>
      <c r="M81" s="2" t="n"/>
      <c r="N81" s="2" t="n"/>
      <c r="O81" s="2" t="n"/>
      <c r="P81" s="2" t="n"/>
    </row>
    <row r="82">
      <c r="A82" s="2" t="inlineStr">
        <is>
          <t>02.01.06.01.0002</t>
        </is>
      </c>
      <c r="B82" s="3" t="inlineStr">
        <is>
          <t>RETENCION 10% IVA (BIENES)</t>
        </is>
      </c>
      <c r="C82" s="3" t="inlineStr">
        <is>
          <t>N</t>
        </is>
      </c>
      <c r="D82" s="19" t="n">
        <v>46081</v>
      </c>
      <c r="E82" s="3" t="inlineStr">
        <is>
          <t>INVEN</t>
        </is>
      </c>
      <c r="F82" s="3" t="n">
        <v>262</v>
      </c>
      <c r="G82" s="3" t="inlineStr">
        <is>
          <t>000031488</t>
        </is>
      </c>
      <c r="H82" s="3" t="inlineStr">
        <is>
          <t>IN CASABACA S.A. 000031488</t>
        </is>
      </c>
      <c r="I82" s="3" t="n">
        <v>0</v>
      </c>
      <c r="J82" s="3" t="n">
        <v>39.89</v>
      </c>
      <c r="K82" s="17" t="n">
        <v>6.52</v>
      </c>
      <c r="L82" s="2" t="n"/>
      <c r="M82" s="2" t="n"/>
      <c r="N82" s="2" t="n"/>
      <c r="O82" s="2" t="n"/>
      <c r="P82" s="2" t="n"/>
    </row>
    <row r="83">
      <c r="A83" s="2" t="inlineStr">
        <is>
          <t>02.01.06.01.0002</t>
        </is>
      </c>
      <c r="B83" s="3" t="inlineStr">
        <is>
          <t>RETENCION 10% IVA (BIENES)</t>
        </is>
      </c>
      <c r="C83" s="3" t="inlineStr">
        <is>
          <t>N</t>
        </is>
      </c>
      <c r="D83" s="19" t="n">
        <v>46081</v>
      </c>
      <c r="E83" s="3" t="inlineStr">
        <is>
          <t>CP</t>
        </is>
      </c>
      <c r="F83" s="3" t="n">
        <v>311</v>
      </c>
      <c r="G83" s="3" t="inlineStr">
        <is>
          <t>000009140</t>
        </is>
      </c>
      <c r="H83" s="3" t="inlineStr">
        <is>
          <t>FE CASABACA S.A. 000009140</t>
        </is>
      </c>
      <c r="I83" s="3" t="n">
        <v>0</v>
      </c>
      <c r="J83" s="3" t="n">
        <v>375.25</v>
      </c>
      <c r="K83" s="17" t="n">
        <v>4909.59</v>
      </c>
      <c r="L83" s="2" t="n"/>
      <c r="M83" s="2" t="n"/>
      <c r="N83" s="2" t="n"/>
      <c r="O83" s="2" t="n"/>
      <c r="P83" s="2" t="n"/>
    </row>
    <row r="84">
      <c r="A84" s="2" t="inlineStr">
        <is>
          <t>02.01.06.01.0002</t>
        </is>
      </c>
      <c r="B84" s="3" t="inlineStr">
        <is>
          <t>RETENCION 10% IVA (BIENES)</t>
        </is>
      </c>
      <c r="C84" s="3" t="inlineStr">
        <is>
          <t>N</t>
        </is>
      </c>
      <c r="D84" s="19" t="n">
        <v>46081</v>
      </c>
      <c r="E84" s="3" t="inlineStr">
        <is>
          <t>CP</t>
        </is>
      </c>
      <c r="F84" s="3" t="n">
        <v>311</v>
      </c>
      <c r="G84" s="3" t="inlineStr">
        <is>
          <t>000009140</t>
        </is>
      </c>
      <c r="H84" s="3" t="inlineStr">
        <is>
          <t>FE CASABACA S.A. 000009140</t>
        </is>
      </c>
      <c r="I84" s="3" t="n">
        <v>0</v>
      </c>
      <c r="J84" s="3" t="n">
        <v>381.9</v>
      </c>
      <c r="K84" s="17" t="n">
        <v>5284.84</v>
      </c>
      <c r="L84" s="2" t="n"/>
      <c r="M84" s="2" t="n"/>
      <c r="N84" s="2" t="n"/>
      <c r="O84" s="2" t="n"/>
      <c r="P84" s="2" t="n"/>
    </row>
    <row r="85">
      <c r="A85" s="2" t="inlineStr">
        <is>
          <t>02.01.06.01.0002</t>
        </is>
      </c>
      <c r="B85" s="3" t="inlineStr">
        <is>
          <t>RETENCION 10% IVA (BIENES)</t>
        </is>
      </c>
      <c r="C85" s="3" t="inlineStr">
        <is>
          <t>N</t>
        </is>
      </c>
      <c r="D85" s="19" t="n">
        <v>46081</v>
      </c>
      <c r="E85" s="3" t="inlineStr">
        <is>
          <t>CP</t>
        </is>
      </c>
      <c r="F85" s="3" t="n">
        <v>311</v>
      </c>
      <c r="G85" s="3" t="inlineStr">
        <is>
          <t>000009140</t>
        </is>
      </c>
      <c r="H85" s="3" t="inlineStr">
        <is>
          <t>FE CASABACA S.A. 000009140</t>
        </is>
      </c>
      <c r="I85" s="3" t="n">
        <v>0</v>
      </c>
      <c r="J85" s="3" t="n">
        <v>381.9</v>
      </c>
      <c r="K85" s="17" t="n">
        <v>5666.74</v>
      </c>
      <c r="L85" s="2" t="n"/>
      <c r="M85" s="2" t="n"/>
      <c r="N85" s="2" t="n"/>
      <c r="O85" s="2" t="n"/>
      <c r="P85" s="2" t="n"/>
    </row>
    <row r="86">
      <c r="A86" s="2" t="inlineStr">
        <is>
          <t>02.01.06.01.0002</t>
        </is>
      </c>
      <c r="B86" s="3" t="inlineStr">
        <is>
          <t>RETENCION 10% IVA (BIENES)</t>
        </is>
      </c>
      <c r="C86" s="3" t="inlineStr">
        <is>
          <t>N</t>
        </is>
      </c>
      <c r="D86" s="19" t="n">
        <v>46081</v>
      </c>
      <c r="E86" s="3" t="inlineStr">
        <is>
          <t>CP</t>
        </is>
      </c>
      <c r="F86" s="3" t="n">
        <v>311</v>
      </c>
      <c r="G86" s="3" t="inlineStr">
        <is>
          <t>000009140</t>
        </is>
      </c>
      <c r="H86" s="3" t="inlineStr">
        <is>
          <t>FE CASABACA S.A. 000009140</t>
        </is>
      </c>
      <c r="I86" s="3" t="n">
        <v>0</v>
      </c>
      <c r="J86" s="3" t="n">
        <v>428.23</v>
      </c>
      <c r="K86" s="17" t="n">
        <v>6048.64</v>
      </c>
      <c r="L86" s="2" t="n"/>
      <c r="M86" s="2" t="n"/>
      <c r="N86" s="2" t="n"/>
      <c r="O86" s="2" t="n"/>
      <c r="P86" s="2" t="n"/>
    </row>
    <row r="87">
      <c r="A87" s="2" t="inlineStr">
        <is>
          <t>02.01.06.01.0002</t>
        </is>
      </c>
      <c r="B87" s="3" t="inlineStr">
        <is>
          <t>RETENCION 10% IVA (BIENES)</t>
        </is>
      </c>
      <c r="C87" s="3" t="inlineStr">
        <is>
          <t>N</t>
        </is>
      </c>
      <c r="D87" s="19" t="n">
        <v>46081</v>
      </c>
      <c r="E87" s="3" t="inlineStr">
        <is>
          <t>CP</t>
        </is>
      </c>
      <c r="F87" s="3" t="n">
        <v>311</v>
      </c>
      <c r="G87" s="3" t="inlineStr">
        <is>
          <t>000009140</t>
        </is>
      </c>
      <c r="H87" s="3" t="inlineStr">
        <is>
          <t>FE CASABACA S.A. 000009140</t>
        </is>
      </c>
      <c r="I87" s="3" t="n">
        <v>0</v>
      </c>
      <c r="J87" s="3" t="n">
        <v>428.23</v>
      </c>
      <c r="K87" s="17" t="n">
        <v>6939.28</v>
      </c>
      <c r="L87" s="2" t="n"/>
      <c r="M87" s="2" t="n"/>
      <c r="N87" s="2" t="n"/>
      <c r="O87" s="2" t="n"/>
      <c r="P87" s="2" t="n"/>
    </row>
    <row r="88">
      <c r="A88" s="2" t="inlineStr">
        <is>
          <t>02.01.06.01.0002</t>
        </is>
      </c>
      <c r="B88" s="3" t="inlineStr">
        <is>
          <t>RETENCION 10% IVA (BIENES)</t>
        </is>
      </c>
      <c r="C88" s="3" t="inlineStr">
        <is>
          <t>N</t>
        </is>
      </c>
      <c r="D88" s="19" t="n">
        <v>46081</v>
      </c>
      <c r="E88" s="3" t="inlineStr">
        <is>
          <t>CP</t>
        </is>
      </c>
      <c r="F88" s="3" t="n">
        <v>311</v>
      </c>
      <c r="G88" s="3" t="inlineStr">
        <is>
          <t>000009140</t>
        </is>
      </c>
      <c r="H88" s="3" t="inlineStr">
        <is>
          <t>FE CASABACA S.A. 000009140</t>
        </is>
      </c>
      <c r="I88" s="3" t="n">
        <v>0</v>
      </c>
      <c r="J88" s="3" t="n">
        <v>462.41</v>
      </c>
      <c r="K88" s="17" t="n">
        <v>6476.87</v>
      </c>
      <c r="L88" s="2" t="n"/>
      <c r="M88" s="2" t="n"/>
      <c r="N88" s="2" t="n"/>
      <c r="O88" s="2" t="n"/>
      <c r="P88" s="2" t="n"/>
    </row>
    <row r="89">
      <c r="A89" s="2" t="inlineStr">
        <is>
          <t>02.01.06.01.0002</t>
        </is>
      </c>
      <c r="B89" s="3" t="inlineStr">
        <is>
          <t>RETENCION 10% IVA (BIENES)</t>
        </is>
      </c>
      <c r="C89" s="3" t="inlineStr">
        <is>
          <t>N</t>
        </is>
      </c>
      <c r="D89" s="19" t="n">
        <v>46081</v>
      </c>
      <c r="E89" s="3" t="inlineStr">
        <is>
          <t>CP</t>
        </is>
      </c>
      <c r="F89" s="3" t="n">
        <v>311</v>
      </c>
      <c r="G89" s="3" t="inlineStr">
        <is>
          <t>000009140</t>
        </is>
      </c>
      <c r="H89" s="3" t="inlineStr">
        <is>
          <t>FE CASABACA S.A. 000009140</t>
        </is>
      </c>
      <c r="I89" s="3" t="n">
        <v>0</v>
      </c>
      <c r="J89" s="3" t="n">
        <v>462.41</v>
      </c>
      <c r="K89" s="17" t="n">
        <v>7367.51</v>
      </c>
      <c r="L89" s="2" t="n"/>
      <c r="M89" s="2" t="n"/>
      <c r="N89" s="2" t="n"/>
      <c r="O89" s="2" t="n"/>
      <c r="P89" s="2" t="n"/>
    </row>
    <row r="90">
      <c r="A90" s="2" t="inlineStr">
        <is>
          <t>02.01.06.01.0002</t>
        </is>
      </c>
      <c r="B90" s="3" t="inlineStr">
        <is>
          <t>RETENCION 10% IVA (BIENES)</t>
        </is>
      </c>
      <c r="C90" s="3" t="inlineStr">
        <is>
          <t>N</t>
        </is>
      </c>
      <c r="D90" s="19" t="n">
        <v>46081</v>
      </c>
      <c r="E90" s="3" t="inlineStr">
        <is>
          <t>CP</t>
        </is>
      </c>
      <c r="F90" s="3" t="n">
        <v>311</v>
      </c>
      <c r="G90" s="3" t="inlineStr">
        <is>
          <t>000009140</t>
        </is>
      </c>
      <c r="H90" s="3" t="inlineStr">
        <is>
          <t>FE CASABACA S.A. 000009140</t>
        </is>
      </c>
      <c r="I90" s="3" t="n">
        <v>0</v>
      </c>
      <c r="J90" s="3" t="n">
        <v>514.42</v>
      </c>
      <c r="K90" s="17" t="n">
        <v>7829.92</v>
      </c>
      <c r="L90" s="2" t="n"/>
      <c r="M90" s="2" t="n"/>
      <c r="N90" s="2" t="n"/>
      <c r="O90" s="2" t="n"/>
      <c r="P90" s="2" t="n"/>
    </row>
    <row r="91">
      <c r="A91" s="2" t="inlineStr">
        <is>
          <t>02.01.06.01.0002</t>
        </is>
      </c>
      <c r="B91" s="3" t="inlineStr">
        <is>
          <t>RETENCION 10% IVA (BIENES)</t>
        </is>
      </c>
      <c r="C91" s="3" t="inlineStr">
        <is>
          <t>N</t>
        </is>
      </c>
      <c r="D91" s="19" t="n">
        <v>46081</v>
      </c>
      <c r="E91" s="3" t="inlineStr">
        <is>
          <t>CP</t>
        </is>
      </c>
      <c r="F91" s="3" t="n">
        <v>311</v>
      </c>
      <c r="G91" s="3" t="inlineStr">
        <is>
          <t>000009140</t>
        </is>
      </c>
      <c r="H91" s="3" t="inlineStr">
        <is>
          <t>FE CASABACA S.A. 000009140</t>
        </is>
      </c>
      <c r="I91" s="3" t="n">
        <v>0</v>
      </c>
      <c r="J91" s="3" t="n">
        <v>514.42</v>
      </c>
      <c r="K91" s="17" t="n">
        <v>8344.34</v>
      </c>
      <c r="L91" s="2" t="n"/>
      <c r="M91" s="2" t="n"/>
      <c r="N91" s="2" t="n"/>
      <c r="O91" s="2" t="n"/>
      <c r="P91" s="2" t="n"/>
    </row>
    <row r="92">
      <c r="A92" s="2" t="inlineStr">
        <is>
          <t>02.01.06.01.0002</t>
        </is>
      </c>
      <c r="B92" s="3" t="inlineStr">
        <is>
          <t>RETENCION 10% IVA (BIENES)</t>
        </is>
      </c>
      <c r="C92" s="3" t="inlineStr">
        <is>
          <t>N</t>
        </is>
      </c>
      <c r="D92" s="19" t="n">
        <v>46081</v>
      </c>
      <c r="E92" s="3" t="inlineStr">
        <is>
          <t>CP</t>
        </is>
      </c>
      <c r="F92" s="3" t="n">
        <v>311</v>
      </c>
      <c r="G92" s="3" t="inlineStr">
        <is>
          <t>000009141</t>
        </is>
      </c>
      <c r="H92" s="3" t="inlineStr">
        <is>
          <t>FE CASABACA S.A. 000009141</t>
        </is>
      </c>
      <c r="I92" s="3" t="n">
        <v>0</v>
      </c>
      <c r="J92" s="3" t="n">
        <v>428.23</v>
      </c>
      <c r="K92" s="17" t="n">
        <v>3797.45</v>
      </c>
      <c r="L92" s="2" t="n"/>
      <c r="M92" s="2" t="n"/>
      <c r="N92" s="2" t="n"/>
      <c r="O92" s="2" t="n"/>
      <c r="P92" s="2" t="n"/>
    </row>
    <row r="93">
      <c r="A93" s="2" t="inlineStr">
        <is>
          <t>02.01.06.01.0002</t>
        </is>
      </c>
      <c r="B93" s="3" t="inlineStr">
        <is>
          <t>RETENCION 10% IVA (BIENES)</t>
        </is>
      </c>
      <c r="C93" s="3" t="inlineStr">
        <is>
          <t>N</t>
        </is>
      </c>
      <c r="D93" s="19" t="n">
        <v>46081</v>
      </c>
      <c r="E93" s="3" t="inlineStr">
        <is>
          <t>CP</t>
        </is>
      </c>
      <c r="F93" s="3" t="n">
        <v>311</v>
      </c>
      <c r="G93" s="3" t="inlineStr">
        <is>
          <t>000009141</t>
        </is>
      </c>
      <c r="H93" s="3" t="inlineStr">
        <is>
          <t>FE CASABACA S.A. 000009141</t>
        </is>
      </c>
      <c r="I93" s="3" t="n">
        <v>0</v>
      </c>
      <c r="J93" s="3" t="n">
        <v>683.91</v>
      </c>
      <c r="K93" s="17" t="n">
        <v>4225.68</v>
      </c>
      <c r="L93" s="2" t="n"/>
      <c r="M93" s="2" t="n"/>
      <c r="N93" s="2" t="n"/>
      <c r="O93" s="2" t="n"/>
      <c r="P93" s="2" t="n"/>
    </row>
    <row r="94">
      <c r="A94" s="2" t="inlineStr">
        <is>
          <t>02.01.06.01.0002</t>
        </is>
      </c>
      <c r="B94" s="3" t="inlineStr">
        <is>
          <t>RETENCION 10% IVA (BIENES)</t>
        </is>
      </c>
      <c r="C94" s="3" t="inlineStr">
        <is>
          <t>N</t>
        </is>
      </c>
      <c r="D94" s="19" t="n">
        <v>46081</v>
      </c>
      <c r="E94" s="3" t="inlineStr">
        <is>
          <t>CP</t>
        </is>
      </c>
      <c r="F94" s="3" t="n">
        <v>311</v>
      </c>
      <c r="G94" s="3" t="inlineStr">
        <is>
          <t>000101378</t>
        </is>
      </c>
      <c r="H94" s="3" t="inlineStr">
        <is>
          <t>FE CONSORCIO DEL PICHINCHA S.A 000101378</t>
        </is>
      </c>
      <c r="I94" s="3" t="n">
        <v>0</v>
      </c>
      <c r="J94" s="3" t="n">
        <v>169.57</v>
      </c>
      <c r="K94" s="17" t="n">
        <v>3627.88</v>
      </c>
      <c r="L94" s="2" t="n"/>
      <c r="M94" s="2" t="n"/>
      <c r="N94" s="2" t="n"/>
      <c r="O94" s="2" t="n"/>
      <c r="P94" s="2" t="n"/>
    </row>
    <row r="95">
      <c r="A95" s="2" t="inlineStr">
        <is>
          <t>02.01.06.01.0002</t>
        </is>
      </c>
      <c r="B95" s="3" t="inlineStr">
        <is>
          <t>RETENCION 10% IVA (BIENES)</t>
        </is>
      </c>
      <c r="C95" s="3" t="inlineStr">
        <is>
          <t>N</t>
        </is>
      </c>
      <c r="D95" s="19" t="n">
        <v>46081</v>
      </c>
      <c r="E95" s="3" t="inlineStr">
        <is>
          <t>CP</t>
        </is>
      </c>
      <c r="F95" s="3" t="n">
        <v>311</v>
      </c>
      <c r="G95" s="3" t="inlineStr">
        <is>
          <t>000101380</t>
        </is>
      </c>
      <c r="H95" s="3" t="inlineStr">
        <is>
          <t>FE CONSORCIO DEL PICHINCHA S.A 000101380</t>
        </is>
      </c>
      <c r="I95" s="3" t="n">
        <v>0</v>
      </c>
      <c r="J95" s="3" t="n">
        <v>169.57</v>
      </c>
      <c r="K95" s="17" t="n">
        <v>3458.31</v>
      </c>
      <c r="L95" s="2" t="n"/>
      <c r="M95" s="2" t="n"/>
      <c r="N95" s="2" t="n"/>
      <c r="O95" s="2" t="n"/>
      <c r="P95" s="2" t="n"/>
    </row>
    <row r="96">
      <c r="A96" s="2" t="inlineStr">
        <is>
          <t>02.01.06.01.0002</t>
        </is>
      </c>
      <c r="B96" s="3" t="inlineStr">
        <is>
          <t>RETENCION 10% IVA (BIENES)</t>
        </is>
      </c>
      <c r="C96" s="3" t="inlineStr">
        <is>
          <t>N</t>
        </is>
      </c>
      <c r="D96" s="19" t="n">
        <v>46081</v>
      </c>
      <c r="E96" s="3" t="inlineStr">
        <is>
          <t>CP</t>
        </is>
      </c>
      <c r="F96" s="3" t="n">
        <v>311</v>
      </c>
      <c r="G96" s="3" t="inlineStr">
        <is>
          <t>000101382</t>
        </is>
      </c>
      <c r="H96" s="3" t="inlineStr">
        <is>
          <t>FE CONSORCIO DEL PICHINCHA S.A 000101382</t>
        </is>
      </c>
      <c r="I96" s="3" t="n">
        <v>0</v>
      </c>
      <c r="J96" s="3" t="n">
        <v>169.57</v>
      </c>
      <c r="K96" s="17" t="n">
        <v>3288.74</v>
      </c>
      <c r="L96" s="2" t="n"/>
      <c r="M96" s="2" t="n"/>
      <c r="N96" s="2" t="n"/>
      <c r="O96" s="2" t="n"/>
      <c r="P96" s="2" t="n"/>
    </row>
    <row r="97">
      <c r="A97" s="2" t="inlineStr">
        <is>
          <t>02.01.06.01.0002</t>
        </is>
      </c>
      <c r="B97" s="3" t="inlineStr">
        <is>
          <t>RETENCION 10% IVA (BIENES)</t>
        </is>
      </c>
      <c r="C97" s="3" t="inlineStr">
        <is>
          <t>N</t>
        </is>
      </c>
      <c r="D97" s="19" t="n">
        <v>46081</v>
      </c>
      <c r="E97" s="3" t="inlineStr">
        <is>
          <t>CP</t>
        </is>
      </c>
      <c r="F97" s="3" t="n">
        <v>311</v>
      </c>
      <c r="G97" s="3" t="inlineStr">
        <is>
          <t>000101384</t>
        </is>
      </c>
      <c r="H97" s="3" t="inlineStr">
        <is>
          <t>FE CONSORCIO DEL PICHINCHA S.A 000101384</t>
        </is>
      </c>
      <c r="I97" s="3" t="n">
        <v>0</v>
      </c>
      <c r="J97" s="3" t="n">
        <v>169.57</v>
      </c>
      <c r="K97" s="17" t="n">
        <v>3119.17</v>
      </c>
      <c r="L97" s="2" t="n"/>
      <c r="M97" s="2" t="n"/>
      <c r="N97" s="2" t="n"/>
      <c r="O97" s="2" t="n"/>
      <c r="P97" s="2" t="n"/>
    </row>
    <row r="98">
      <c r="A98" s="2" t="inlineStr">
        <is>
          <t>02.01.06.01.0002</t>
        </is>
      </c>
      <c r="B98" s="3" t="inlineStr">
        <is>
          <t>RETENCION 10% IVA (BIENES)</t>
        </is>
      </c>
      <c r="C98" s="3" t="inlineStr">
        <is>
          <t>N</t>
        </is>
      </c>
      <c r="D98" s="19" t="n">
        <v>46081</v>
      </c>
      <c r="E98" s="3" t="inlineStr">
        <is>
          <t>CP</t>
        </is>
      </c>
      <c r="F98" s="3" t="n">
        <v>311</v>
      </c>
      <c r="G98" s="3" t="inlineStr">
        <is>
          <t>000101386</t>
        </is>
      </c>
      <c r="H98" s="3" t="inlineStr">
        <is>
          <t>FE CONSORCIO DEL PICHINCHA S.A 000101386</t>
        </is>
      </c>
      <c r="I98" s="3" t="n">
        <v>0</v>
      </c>
      <c r="J98" s="3" t="n">
        <v>169.57</v>
      </c>
      <c r="K98" s="17" t="n">
        <v>2949.6</v>
      </c>
      <c r="L98" s="2" t="n"/>
      <c r="M98" s="2" t="n"/>
      <c r="N98" s="2" t="n"/>
      <c r="O98" s="2" t="n"/>
      <c r="P98" s="2" t="n"/>
    </row>
    <row r="99">
      <c r="A99" s="2" t="inlineStr">
        <is>
          <t>02.01.06.01.0002</t>
        </is>
      </c>
      <c r="B99" s="3" t="inlineStr">
        <is>
          <t>RETENCION 10% IVA (BIENES)</t>
        </is>
      </c>
      <c r="C99" s="3" t="inlineStr">
        <is>
          <t>N</t>
        </is>
      </c>
      <c r="D99" s="19" t="n">
        <v>46081</v>
      </c>
      <c r="E99" s="3" t="inlineStr">
        <is>
          <t>CP</t>
        </is>
      </c>
      <c r="F99" s="3" t="n">
        <v>311</v>
      </c>
      <c r="G99" s="3" t="inlineStr">
        <is>
          <t>000101388</t>
        </is>
      </c>
      <c r="H99" s="3" t="inlineStr">
        <is>
          <t>FE CONSORCIO DEL PICHINCHA S.A 000101388</t>
        </is>
      </c>
      <c r="I99" s="3" t="n">
        <v>0</v>
      </c>
      <c r="J99" s="3" t="n">
        <v>169.57</v>
      </c>
      <c r="K99" s="17" t="n">
        <v>2780.03</v>
      </c>
      <c r="L99" s="2" t="n"/>
      <c r="M99" s="2" t="n"/>
      <c r="N99" s="2" t="n"/>
      <c r="O99" s="2" t="n"/>
      <c r="P99" s="2" t="n"/>
    </row>
    <row r="100">
      <c r="A100" s="2" t="inlineStr">
        <is>
          <t>02.01.06.01.0002</t>
        </is>
      </c>
      <c r="B100" s="3" t="inlineStr">
        <is>
          <t>RETENCION 10% IVA (BIENES)</t>
        </is>
      </c>
      <c r="C100" s="3" t="inlineStr">
        <is>
          <t>N</t>
        </is>
      </c>
      <c r="D100" s="19" t="n">
        <v>46081</v>
      </c>
      <c r="E100" s="3" t="inlineStr">
        <is>
          <t>CP</t>
        </is>
      </c>
      <c r="F100" s="3" t="n">
        <v>311</v>
      </c>
      <c r="G100" s="3" t="inlineStr">
        <is>
          <t>000101392</t>
        </is>
      </c>
      <c r="H100" s="3" t="inlineStr">
        <is>
          <t>FE CONSORCIO DEL PICHINCHA S.A 000101392</t>
        </is>
      </c>
      <c r="I100" s="3" t="n">
        <v>0</v>
      </c>
      <c r="J100" s="3" t="n">
        <v>97.83</v>
      </c>
      <c r="K100" s="17" t="n">
        <v>2682.2</v>
      </c>
      <c r="L100" s="2" t="n"/>
      <c r="M100" s="2" t="n"/>
      <c r="N100" s="2" t="n"/>
      <c r="O100" s="2" t="n"/>
      <c r="P100" s="2" t="n"/>
    </row>
    <row r="101">
      <c r="A101" s="2" t="inlineStr">
        <is>
          <t>02.01.06.01.0002</t>
        </is>
      </c>
      <c r="B101" s="3" t="inlineStr">
        <is>
          <t>RETENCION 10% IVA (BIENES)</t>
        </is>
      </c>
      <c r="C101" s="3" t="inlineStr">
        <is>
          <t>N</t>
        </is>
      </c>
      <c r="D101" s="19" t="n">
        <v>46081</v>
      </c>
      <c r="E101" s="3" t="inlineStr">
        <is>
          <t>CP</t>
        </is>
      </c>
      <c r="F101" s="3" t="n">
        <v>311</v>
      </c>
      <c r="G101" s="3" t="inlineStr">
        <is>
          <t>000101394</t>
        </is>
      </c>
      <c r="H101" s="3" t="inlineStr">
        <is>
          <t>FE CONSORCIO DEL PICHINCHA S.A 000101394</t>
        </is>
      </c>
      <c r="I101" s="3" t="n">
        <v>0</v>
      </c>
      <c r="J101" s="3" t="n">
        <v>97.83</v>
      </c>
      <c r="K101" s="17" t="n">
        <v>2584.37</v>
      </c>
      <c r="L101" s="2" t="n"/>
      <c r="M101" s="2" t="n"/>
      <c r="N101" s="2" t="n"/>
      <c r="O101" s="2" t="n"/>
      <c r="P101" s="2" t="n"/>
    </row>
    <row r="102">
      <c r="A102" s="2" t="inlineStr">
        <is>
          <t>02.01.06.01.0002</t>
        </is>
      </c>
      <c r="B102" s="3" t="inlineStr">
        <is>
          <t>RETENCION 10% IVA (BIENES)</t>
        </is>
      </c>
      <c r="C102" s="3" t="inlineStr">
        <is>
          <t>N</t>
        </is>
      </c>
      <c r="D102" s="19" t="n">
        <v>46081</v>
      </c>
      <c r="E102" s="3" t="inlineStr">
        <is>
          <t>CP</t>
        </is>
      </c>
      <c r="F102" s="3" t="n">
        <v>311</v>
      </c>
      <c r="G102" s="3" t="inlineStr">
        <is>
          <t>000101401</t>
        </is>
      </c>
      <c r="H102" s="3" t="inlineStr">
        <is>
          <t>FE CONSORCIO DEL PICHINCHA S.A 000101401</t>
        </is>
      </c>
      <c r="I102" s="3" t="n">
        <v>0</v>
      </c>
      <c r="J102" s="3" t="n">
        <v>97.83</v>
      </c>
      <c r="K102" s="17" t="n">
        <v>2486.54</v>
      </c>
      <c r="L102" s="2" t="n"/>
      <c r="M102" s="2" t="n"/>
      <c r="N102" s="2" t="n"/>
      <c r="O102" s="2" t="n"/>
      <c r="P102" s="2" t="n"/>
    </row>
    <row r="103">
      <c r="A103" s="2" t="inlineStr">
        <is>
          <t>02.01.06.01.0002</t>
        </is>
      </c>
      <c r="B103" s="3" t="inlineStr">
        <is>
          <t>RETENCION 10% IVA (BIENES)</t>
        </is>
      </c>
      <c r="C103" s="3" t="inlineStr">
        <is>
          <t>N</t>
        </is>
      </c>
      <c r="D103" s="19" t="n">
        <v>46081</v>
      </c>
      <c r="E103" s="3" t="inlineStr">
        <is>
          <t>CP</t>
        </is>
      </c>
      <c r="F103" s="3" t="n">
        <v>311</v>
      </c>
      <c r="G103" s="3" t="inlineStr">
        <is>
          <t>000101403</t>
        </is>
      </c>
      <c r="H103" s="3" t="inlineStr">
        <is>
          <t>FE CONSORCIO DEL PICHINCHA S.A 000101403</t>
        </is>
      </c>
      <c r="I103" s="3" t="n">
        <v>0</v>
      </c>
      <c r="J103" s="3" t="n">
        <v>97.83</v>
      </c>
      <c r="K103" s="17" t="n">
        <v>2388.71</v>
      </c>
      <c r="L103" s="2" t="n"/>
      <c r="M103" s="2" t="n"/>
      <c r="N103" s="2" t="n"/>
      <c r="O103" s="2" t="n"/>
      <c r="P103" s="2" t="n"/>
    </row>
    <row r="104">
      <c r="A104" s="2" t="inlineStr">
        <is>
          <t>02.01.06.01.0002</t>
        </is>
      </c>
      <c r="B104" s="3" t="inlineStr">
        <is>
          <t>RETENCION 10% IVA (BIENES)</t>
        </is>
      </c>
      <c r="C104" s="3" t="inlineStr">
        <is>
          <t>N</t>
        </is>
      </c>
      <c r="D104" s="19" t="n">
        <v>46081</v>
      </c>
      <c r="E104" s="3" t="inlineStr">
        <is>
          <t>CP</t>
        </is>
      </c>
      <c r="F104" s="3" t="n">
        <v>311</v>
      </c>
      <c r="G104" s="3" t="inlineStr">
        <is>
          <t>000101405</t>
        </is>
      </c>
      <c r="H104" s="3" t="inlineStr">
        <is>
          <t>FE CONSORCIO DEL PICHINCHA S.A 000101405</t>
        </is>
      </c>
      <c r="I104" s="3" t="n">
        <v>0</v>
      </c>
      <c r="J104" s="3" t="n">
        <v>97.83</v>
      </c>
      <c r="K104" s="17" t="n">
        <v>2290.88</v>
      </c>
      <c r="L104" s="2" t="n"/>
      <c r="M104" s="2" t="n"/>
      <c r="N104" s="2" t="n"/>
      <c r="O104" s="2" t="n"/>
      <c r="P104" s="2" t="n"/>
    </row>
    <row r="105">
      <c r="A105" s="2" t="inlineStr">
        <is>
          <t>02.01.06.01.0002</t>
        </is>
      </c>
      <c r="B105" s="3" t="inlineStr">
        <is>
          <t>RETENCION 10% IVA (BIENES)</t>
        </is>
      </c>
      <c r="C105" s="3" t="inlineStr">
        <is>
          <t>N</t>
        </is>
      </c>
      <c r="D105" s="19" t="n">
        <v>46081</v>
      </c>
      <c r="E105" s="3" t="inlineStr">
        <is>
          <t>CP</t>
        </is>
      </c>
      <c r="F105" s="3" t="n">
        <v>311</v>
      </c>
      <c r="G105" s="3" t="inlineStr">
        <is>
          <t>000101407</t>
        </is>
      </c>
      <c r="H105" s="3" t="inlineStr">
        <is>
          <t>FE CONSORCIO DEL PICHINCHA S.A 000101407</t>
        </is>
      </c>
      <c r="I105" s="3" t="n">
        <v>0</v>
      </c>
      <c r="J105" s="3" t="n">
        <v>97.83</v>
      </c>
      <c r="K105" s="17" t="n">
        <v>2193.05</v>
      </c>
      <c r="L105" s="2" t="n"/>
      <c r="M105" s="2" t="n"/>
      <c r="N105" s="2" t="n"/>
      <c r="O105" s="2" t="n"/>
      <c r="P105" s="2" t="n"/>
    </row>
    <row r="106">
      <c r="A106" s="2" t="inlineStr">
        <is>
          <t>02.01.06.01.0002</t>
        </is>
      </c>
      <c r="B106" s="3" t="inlineStr">
        <is>
          <t>RETENCION 10% IVA (BIENES)</t>
        </is>
      </c>
      <c r="C106" s="3" t="inlineStr">
        <is>
          <t>N</t>
        </is>
      </c>
      <c r="D106" s="19" t="n">
        <v>46081</v>
      </c>
      <c r="E106" s="3" t="inlineStr">
        <is>
          <t>CP</t>
        </is>
      </c>
      <c r="F106" s="3" t="n">
        <v>311</v>
      </c>
      <c r="G106" s="3" t="inlineStr">
        <is>
          <t>000101410</t>
        </is>
      </c>
      <c r="H106" s="3" t="inlineStr">
        <is>
          <t>FE CONSORCIO DEL PICHINCHA S.A 000101410</t>
        </is>
      </c>
      <c r="I106" s="3" t="n">
        <v>0</v>
      </c>
      <c r="J106" s="3" t="n">
        <v>169.57</v>
      </c>
      <c r="K106" s="17" t="n">
        <v>2023.48</v>
      </c>
      <c r="L106" s="2" t="n"/>
      <c r="M106" s="2" t="n"/>
      <c r="N106" s="2" t="n"/>
      <c r="O106" s="2" t="n"/>
      <c r="P106" s="2" t="n"/>
    </row>
    <row r="107">
      <c r="A107" s="2" t="inlineStr">
        <is>
          <t>02.01.06.01.0002</t>
        </is>
      </c>
      <c r="B107" s="3" t="inlineStr">
        <is>
          <t>RETENCION 10% IVA (BIENES)</t>
        </is>
      </c>
      <c r="C107" s="3" t="inlineStr">
        <is>
          <t>N</t>
        </is>
      </c>
      <c r="D107" s="19" t="n">
        <v>46081</v>
      </c>
      <c r="E107" s="3" t="inlineStr">
        <is>
          <t>CP</t>
        </is>
      </c>
      <c r="F107" s="3" t="n">
        <v>311</v>
      </c>
      <c r="G107" s="3" t="inlineStr">
        <is>
          <t>000101412</t>
        </is>
      </c>
      <c r="H107" s="3" t="inlineStr">
        <is>
          <t>FE CONSORCIO DEL PICHINCHA S.A 000101412</t>
        </is>
      </c>
      <c r="I107" s="3" t="n">
        <v>0</v>
      </c>
      <c r="J107" s="3" t="n">
        <v>169.57</v>
      </c>
      <c r="K107" s="17" t="n">
        <v>1853.91</v>
      </c>
      <c r="L107" s="2" t="n"/>
      <c r="M107" s="2" t="n"/>
      <c r="N107" s="2" t="n"/>
      <c r="O107" s="2" t="n"/>
      <c r="P107" s="2" t="n"/>
    </row>
    <row r="108">
      <c r="A108" s="2" t="inlineStr">
        <is>
          <t>02.01.06.01.0002</t>
        </is>
      </c>
      <c r="B108" s="3" t="inlineStr">
        <is>
          <t>RETENCION 10% IVA (BIENES)</t>
        </is>
      </c>
      <c r="C108" s="3" t="inlineStr">
        <is>
          <t>N</t>
        </is>
      </c>
      <c r="D108" s="19" t="n">
        <v>46081</v>
      </c>
      <c r="E108" s="3" t="inlineStr">
        <is>
          <t>CP</t>
        </is>
      </c>
      <c r="F108" s="3" t="n">
        <v>311</v>
      </c>
      <c r="G108" s="3" t="inlineStr">
        <is>
          <t>000101414</t>
        </is>
      </c>
      <c r="H108" s="3" t="inlineStr">
        <is>
          <t>FE CONSORCIO DEL PICHINCHA S.A 000101414</t>
        </is>
      </c>
      <c r="I108" s="3" t="n">
        <v>0</v>
      </c>
      <c r="J108" s="3" t="n">
        <v>169.57</v>
      </c>
      <c r="K108" s="17" t="n">
        <v>1684.34</v>
      </c>
      <c r="L108" s="2" t="n"/>
      <c r="M108" s="2" t="n"/>
      <c r="N108" s="2" t="n"/>
      <c r="O108" s="2" t="n"/>
      <c r="P108" s="2" t="n"/>
    </row>
    <row r="109">
      <c r="A109" s="2" t="inlineStr">
        <is>
          <t>02.01.06.01.0002</t>
        </is>
      </c>
      <c r="B109" s="3" t="inlineStr">
        <is>
          <t>RETENCION 10% IVA (BIENES)</t>
        </is>
      </c>
      <c r="C109" s="3" t="inlineStr">
        <is>
          <t>N</t>
        </is>
      </c>
      <c r="D109" s="19" t="n">
        <v>46081</v>
      </c>
      <c r="E109" s="3" t="inlineStr">
        <is>
          <t>CP</t>
        </is>
      </c>
      <c r="F109" s="3" t="n">
        <v>311</v>
      </c>
      <c r="G109" s="3" t="inlineStr">
        <is>
          <t>000101416</t>
        </is>
      </c>
      <c r="H109" s="3" t="inlineStr">
        <is>
          <t>FE CONSORCIO DEL PICHINCHA S.A 000101416</t>
        </is>
      </c>
      <c r="I109" s="3" t="n">
        <v>0</v>
      </c>
      <c r="J109" s="3" t="n">
        <v>117.39</v>
      </c>
      <c r="K109" s="17" t="n">
        <v>1566.95</v>
      </c>
      <c r="L109" s="2" t="n"/>
      <c r="M109" s="2" t="n"/>
      <c r="N109" s="2" t="n"/>
      <c r="O109" s="2" t="n"/>
      <c r="P109" s="2" t="n"/>
    </row>
    <row r="110">
      <c r="A110" s="2" t="inlineStr">
        <is>
          <t>02.01.06.01.0002</t>
        </is>
      </c>
      <c r="B110" s="3" t="inlineStr">
        <is>
          <t>RETENCION 10% IVA (BIENES)</t>
        </is>
      </c>
      <c r="C110" s="3" t="inlineStr">
        <is>
          <t>N</t>
        </is>
      </c>
      <c r="D110" s="19" t="n">
        <v>46081</v>
      </c>
      <c r="E110" s="3" t="inlineStr">
        <is>
          <t>CP</t>
        </is>
      </c>
      <c r="F110" s="3" t="n">
        <v>311</v>
      </c>
      <c r="G110" s="3" t="inlineStr">
        <is>
          <t>000101418</t>
        </is>
      </c>
      <c r="H110" s="3" t="inlineStr">
        <is>
          <t>FE CONSORCIO DEL PICHINCHA S.A 000101418</t>
        </is>
      </c>
      <c r="I110" s="3" t="n">
        <v>0</v>
      </c>
      <c r="J110" s="3" t="n">
        <v>117.39</v>
      </c>
      <c r="K110" s="17" t="n">
        <v>1449.56</v>
      </c>
      <c r="L110" s="2" t="n"/>
      <c r="M110" s="2" t="n"/>
      <c r="N110" s="2" t="n"/>
      <c r="O110" s="2" t="n"/>
      <c r="P110" s="2" t="n"/>
    </row>
    <row r="111">
      <c r="A111" s="2" t="inlineStr">
        <is>
          <t>02.01.06.01.0002</t>
        </is>
      </c>
      <c r="B111" s="3" t="inlineStr">
        <is>
          <t>RETENCION 10% IVA (BIENES)</t>
        </is>
      </c>
      <c r="C111" s="3" t="inlineStr">
        <is>
          <t>N</t>
        </is>
      </c>
      <c r="D111" s="19" t="n">
        <v>46081</v>
      </c>
      <c r="E111" s="3" t="inlineStr">
        <is>
          <t>CP</t>
        </is>
      </c>
      <c r="F111" s="3" t="n">
        <v>311</v>
      </c>
      <c r="G111" s="3" t="inlineStr">
        <is>
          <t>000101420</t>
        </is>
      </c>
      <c r="H111" s="3" t="inlineStr">
        <is>
          <t>FE CONSORCIO DEL PICHINCHA S.A 000101420</t>
        </is>
      </c>
      <c r="I111" s="3" t="n">
        <v>0</v>
      </c>
      <c r="J111" s="3" t="n">
        <v>97.83</v>
      </c>
      <c r="K111" s="17" t="n">
        <v>1351.73</v>
      </c>
      <c r="L111" s="2" t="n"/>
      <c r="M111" s="2" t="n"/>
      <c r="N111" s="2" t="n"/>
      <c r="O111" s="2" t="n"/>
      <c r="P111" s="2" t="n"/>
    </row>
    <row r="112">
      <c r="A112" s="2" t="inlineStr">
        <is>
          <t>02.01.06.01.0002</t>
        </is>
      </c>
      <c r="B112" s="3" t="inlineStr">
        <is>
          <t>RETENCION 10% IVA (BIENES)</t>
        </is>
      </c>
      <c r="C112" s="3" t="inlineStr">
        <is>
          <t>N</t>
        </is>
      </c>
      <c r="D112" s="19" t="n">
        <v>46081</v>
      </c>
      <c r="E112" s="3" t="inlineStr">
        <is>
          <t>CP</t>
        </is>
      </c>
      <c r="F112" s="3" t="n">
        <v>311</v>
      </c>
      <c r="G112" s="3" t="inlineStr">
        <is>
          <t>000101422</t>
        </is>
      </c>
      <c r="H112" s="3" t="inlineStr">
        <is>
          <t>FE CONSORCIO DEL PICHINCHA S.A 000101422</t>
        </is>
      </c>
      <c r="I112" s="3" t="n">
        <v>0</v>
      </c>
      <c r="J112" s="3" t="n">
        <v>97.83</v>
      </c>
      <c r="K112" s="17" t="n">
        <v>1253.9</v>
      </c>
      <c r="L112" s="2" t="n"/>
      <c r="M112" s="2" t="n"/>
      <c r="N112" s="2" t="n"/>
      <c r="O112" s="2" t="n"/>
      <c r="P112" s="2" t="n"/>
    </row>
    <row r="113">
      <c r="A113" s="2" t="inlineStr">
        <is>
          <t>02.01.06.01.0002</t>
        </is>
      </c>
      <c r="B113" s="3" t="inlineStr">
        <is>
          <t>RETENCION 10% IVA (BIENES)</t>
        </is>
      </c>
      <c r="C113" s="3" t="inlineStr">
        <is>
          <t>N</t>
        </is>
      </c>
      <c r="D113" s="19" t="n">
        <v>46081</v>
      </c>
      <c r="E113" s="3" t="inlineStr">
        <is>
          <t>CP</t>
        </is>
      </c>
      <c r="F113" s="3" t="n">
        <v>311</v>
      </c>
      <c r="G113" s="3" t="inlineStr">
        <is>
          <t>000101424</t>
        </is>
      </c>
      <c r="H113" s="3" t="inlineStr">
        <is>
          <t>FE CONSORCIO DEL PICHINCHA S.A 000101424</t>
        </is>
      </c>
      <c r="I113" s="3" t="n">
        <v>0</v>
      </c>
      <c r="J113" s="3" t="n">
        <v>97.83</v>
      </c>
      <c r="K113" s="17" t="n">
        <v>1156.07</v>
      </c>
      <c r="L113" s="2" t="n"/>
      <c r="M113" s="2" t="n"/>
      <c r="N113" s="2" t="n"/>
      <c r="O113" s="2" t="n"/>
      <c r="P113" s="2" t="n"/>
    </row>
    <row r="114">
      <c r="A114" s="2" t="inlineStr">
        <is>
          <t>02.01.06.01.0002</t>
        </is>
      </c>
      <c r="B114" s="3" t="inlineStr">
        <is>
          <t>RETENCION 10% IVA (BIENES)</t>
        </is>
      </c>
      <c r="C114" s="3" t="inlineStr">
        <is>
          <t>N</t>
        </is>
      </c>
      <c r="D114" s="19" t="n">
        <v>46081</v>
      </c>
      <c r="E114" s="3" t="inlineStr">
        <is>
          <t>AGCM</t>
        </is>
      </c>
      <c r="F114" s="3" t="n">
        <v>332</v>
      </c>
      <c r="G114" s="3" t="n"/>
      <c r="H114" s="3" t="inlineStr">
        <is>
          <t>LIQUIDACION DE IMPUESTOS FEBERO 2026</t>
        </is>
      </c>
      <c r="I114" s="3" t="n">
        <v>43976.27</v>
      </c>
      <c r="J114" s="3" t="n">
        <v>0</v>
      </c>
      <c r="K114" s="17" t="n">
        <v>43976.27</v>
      </c>
      <c r="L114" s="2" t="n"/>
      <c r="M114" s="2" t="n"/>
      <c r="N114" s="2" t="n"/>
      <c r="O114" s="2" t="n"/>
      <c r="P114" s="2" t="n"/>
    </row>
    <row r="115">
      <c r="A115" s="2" t="inlineStr">
        <is>
          <t>02.01.06.01.0003</t>
        </is>
      </c>
      <c r="B115" s="3" t="inlineStr">
        <is>
          <t>RETENCION 20% IVA (SERVICIOS )</t>
        </is>
      </c>
      <c r="C115" s="3" t="inlineStr">
        <is>
          <t>N</t>
        </is>
      </c>
      <c r="D115" s="19" t="n">
        <v>46055</v>
      </c>
      <c r="E115" s="3" t="inlineStr">
        <is>
          <t>CP</t>
        </is>
      </c>
      <c r="F115" s="3" t="n">
        <v>29</v>
      </c>
      <c r="G115" s="3" t="inlineStr">
        <is>
          <t>000423457</t>
        </is>
      </c>
      <c r="H115" s="3" t="inlineStr">
        <is>
          <t>FE TELCONET S.A 000423457</t>
        </is>
      </c>
      <c r="I115" s="3" t="n">
        <v>0</v>
      </c>
      <c r="J115" s="3" t="n">
        <v>11.16</v>
      </c>
      <c r="K115" s="17" t="n">
        <v>130.98</v>
      </c>
      <c r="L115" s="2" t="n"/>
      <c r="M115" s="2" t="n"/>
      <c r="N115" s="2" t="n"/>
      <c r="O115" s="2" t="n"/>
      <c r="P115" s="2" t="n"/>
    </row>
    <row r="116">
      <c r="A116" s="2" t="inlineStr">
        <is>
          <t>02.01.06.01.0003</t>
        </is>
      </c>
      <c r="B116" s="3" t="inlineStr">
        <is>
          <t>RETENCION 20% IVA (SERVICIOS )</t>
        </is>
      </c>
      <c r="C116" s="3" t="inlineStr">
        <is>
          <t>N</t>
        </is>
      </c>
      <c r="D116" s="19" t="n">
        <v>46058</v>
      </c>
      <c r="E116" s="3" t="inlineStr">
        <is>
          <t>CP</t>
        </is>
      </c>
      <c r="F116" s="3" t="n">
        <v>57</v>
      </c>
      <c r="G116" s="3" t="inlineStr">
        <is>
          <t>000050763</t>
        </is>
      </c>
      <c r="H116" s="3" t="inlineStr">
        <is>
          <t>FE ASEGURADORA DEL SUR C.A. 000050763</t>
        </is>
      </c>
      <c r="I116" s="3" t="n">
        <v>0</v>
      </c>
      <c r="J116" s="3" t="n">
        <v>14.56</v>
      </c>
      <c r="K116" s="17" t="n">
        <v>51.22</v>
      </c>
      <c r="L116" s="2" t="n"/>
      <c r="M116" s="2" t="n"/>
      <c r="N116" s="2" t="n"/>
      <c r="O116" s="2" t="n"/>
      <c r="P116" s="2" t="n"/>
    </row>
    <row r="117">
      <c r="A117" s="2" t="inlineStr">
        <is>
          <t>02.01.06.01.0003</t>
        </is>
      </c>
      <c r="B117" s="3" t="inlineStr">
        <is>
          <t>RETENCION 20% IVA (SERVICIOS )</t>
        </is>
      </c>
      <c r="C117" s="3" t="inlineStr">
        <is>
          <t>N</t>
        </is>
      </c>
      <c r="D117" s="19" t="n">
        <v>46058</v>
      </c>
      <c r="E117" s="3" t="inlineStr">
        <is>
          <t>CP</t>
        </is>
      </c>
      <c r="F117" s="3" t="n">
        <v>57</v>
      </c>
      <c r="G117" s="3" t="inlineStr">
        <is>
          <t>000123259</t>
        </is>
      </c>
      <c r="H117" s="3" t="inlineStr">
        <is>
          <t>FE LAAR CIA. LTDA. 000123259</t>
        </is>
      </c>
      <c r="I117" s="3" t="n">
        <v>0</v>
      </c>
      <c r="J117" s="3" t="n">
        <v>1.02</v>
      </c>
      <c r="K117" s="17" t="n">
        <v>50.2</v>
      </c>
      <c r="L117" s="2" t="n"/>
      <c r="M117" s="2" t="n"/>
      <c r="N117" s="2" t="n"/>
      <c r="O117" s="2" t="n"/>
      <c r="P117" s="2" t="n"/>
    </row>
    <row r="118">
      <c r="A118" s="2" t="inlineStr">
        <is>
          <t>02.01.06.01.0003</t>
        </is>
      </c>
      <c r="B118" s="3" t="inlineStr">
        <is>
          <t>RETENCION 20% IVA (SERVICIOS )</t>
        </is>
      </c>
      <c r="C118" s="3" t="inlineStr">
        <is>
          <t>N</t>
        </is>
      </c>
      <c r="D118" s="19" t="n">
        <v>46058</v>
      </c>
      <c r="E118" s="3" t="inlineStr">
        <is>
          <t>CP</t>
        </is>
      </c>
      <c r="F118" s="3" t="n">
        <v>57</v>
      </c>
      <c r="G118" s="3" t="inlineStr">
        <is>
          <t>000123260</t>
        </is>
      </c>
      <c r="H118" s="3" t="inlineStr">
        <is>
          <t>FE LAAR CIA. LTDA. 000123260</t>
        </is>
      </c>
      <c r="I118" s="3" t="n">
        <v>0</v>
      </c>
      <c r="J118" s="3" t="n">
        <v>2.07</v>
      </c>
      <c r="K118" s="17" t="n">
        <v>48.13</v>
      </c>
      <c r="L118" s="2" t="n"/>
      <c r="M118" s="2" t="n"/>
      <c r="N118" s="2" t="n"/>
      <c r="O118" s="2" t="n"/>
      <c r="P118" s="2" t="n"/>
    </row>
    <row r="119">
      <c r="A119" s="2" t="inlineStr">
        <is>
          <t>02.01.06.01.0003</t>
        </is>
      </c>
      <c r="B119" s="3" t="inlineStr">
        <is>
          <t>RETENCION 20% IVA (SERVICIOS )</t>
        </is>
      </c>
      <c r="C119" s="3" t="inlineStr">
        <is>
          <t>N</t>
        </is>
      </c>
      <c r="D119" s="19" t="n">
        <v>46062</v>
      </c>
      <c r="E119" s="3" t="inlineStr">
        <is>
          <t>CP</t>
        </is>
      </c>
      <c r="F119" s="3" t="n">
        <v>84</v>
      </c>
      <c r="G119" s="3" t="inlineStr">
        <is>
          <t>000000932</t>
        </is>
      </c>
      <c r="H119" s="3" t="inlineStr">
        <is>
          <t>FE CENTRO DE SERVICIOS COMPART 000000932</t>
        </is>
      </c>
      <c r="I119" s="3" t="n">
        <v>0</v>
      </c>
      <c r="J119" s="3" t="n">
        <v>48.13</v>
      </c>
      <c r="K119" s="17" t="n">
        <v>0</v>
      </c>
      <c r="L119" s="2" t="n"/>
      <c r="M119" s="2" t="n"/>
      <c r="N119" s="2" t="n"/>
      <c r="O119" s="2" t="n"/>
      <c r="P119" s="2" t="n"/>
    </row>
    <row r="120">
      <c r="A120" s="2" t="inlineStr">
        <is>
          <t>02.01.06.01.0003</t>
        </is>
      </c>
      <c r="B120" s="3" t="inlineStr">
        <is>
          <t>RETENCION 20% IVA (SERVICIOS )</t>
        </is>
      </c>
      <c r="C120" s="3" t="inlineStr">
        <is>
          <t>N</t>
        </is>
      </c>
      <c r="D120" s="19" t="n">
        <v>46063</v>
      </c>
      <c r="E120" s="3" t="inlineStr">
        <is>
          <t>CP</t>
        </is>
      </c>
      <c r="F120" s="3" t="n">
        <v>104</v>
      </c>
      <c r="G120" s="3" t="inlineStr">
        <is>
          <t>000050774</t>
        </is>
      </c>
      <c r="H120" s="3" t="inlineStr">
        <is>
          <t>FE ASEGURADORA DEL SUR C.A. 000050774</t>
        </is>
      </c>
      <c r="I120" s="3" t="n">
        <v>0</v>
      </c>
      <c r="J120" s="3" t="n">
        <v>6.05</v>
      </c>
      <c r="K120" s="17" t="n">
        <v>283.13</v>
      </c>
      <c r="L120" s="2" t="n"/>
      <c r="M120" s="2" t="n"/>
      <c r="N120" s="2" t="n"/>
      <c r="O120" s="2" t="n"/>
      <c r="P120" s="2" t="n"/>
    </row>
    <row r="121">
      <c r="A121" s="2" t="inlineStr">
        <is>
          <t>02.01.06.01.0003</t>
        </is>
      </c>
      <c r="B121" s="3" t="inlineStr">
        <is>
          <t>RETENCION 20% IVA (SERVICIOS )</t>
        </is>
      </c>
      <c r="C121" s="3" t="inlineStr">
        <is>
          <t>N</t>
        </is>
      </c>
      <c r="D121" s="19" t="n">
        <v>46063</v>
      </c>
      <c r="E121" s="3" t="inlineStr">
        <is>
          <t>CP</t>
        </is>
      </c>
      <c r="F121" s="3" t="n">
        <v>104</v>
      </c>
      <c r="G121" s="3" t="inlineStr">
        <is>
          <t>000050792</t>
        </is>
      </c>
      <c r="H121" s="3" t="inlineStr">
        <is>
          <t>FE ASEGURADORA DEL SUR C.A. 000050792</t>
        </is>
      </c>
      <c r="I121" s="3" t="n">
        <v>0</v>
      </c>
      <c r="J121" s="3" t="n">
        <v>30.24</v>
      </c>
      <c r="K121" s="17" t="n">
        <v>252.89</v>
      </c>
      <c r="L121" s="2" t="n"/>
      <c r="M121" s="2" t="n"/>
      <c r="N121" s="2" t="n"/>
      <c r="O121" s="2" t="n"/>
      <c r="P121" s="2" t="n"/>
    </row>
    <row r="122">
      <c r="A122" s="2" t="inlineStr">
        <is>
          <t>02.01.06.01.0003</t>
        </is>
      </c>
      <c r="B122" s="3" t="inlineStr">
        <is>
          <t>RETENCION 20% IVA (SERVICIOS )</t>
        </is>
      </c>
      <c r="C122" s="3" t="inlineStr">
        <is>
          <t>N</t>
        </is>
      </c>
      <c r="D122" s="19" t="n">
        <v>46064</v>
      </c>
      <c r="E122" s="3" t="inlineStr">
        <is>
          <t>CP</t>
        </is>
      </c>
      <c r="F122" s="3" t="n">
        <v>105</v>
      </c>
      <c r="G122" s="3" t="inlineStr">
        <is>
          <t>000226448</t>
        </is>
      </c>
      <c r="H122" s="3" t="inlineStr">
        <is>
          <t>FE FIDEVAL S.A 000226448</t>
        </is>
      </c>
      <c r="I122" s="3" t="n">
        <v>0</v>
      </c>
      <c r="J122" s="3" t="n">
        <v>11.4</v>
      </c>
      <c r="K122" s="17" t="n">
        <v>241.49</v>
      </c>
      <c r="L122" s="2" t="n"/>
      <c r="M122" s="2" t="n"/>
      <c r="N122" s="2" t="n"/>
      <c r="O122" s="2" t="n"/>
      <c r="P122" s="2" t="n"/>
    </row>
    <row r="123">
      <c r="A123" s="2" t="inlineStr">
        <is>
          <t>02.01.06.01.0003</t>
        </is>
      </c>
      <c r="B123" s="3" t="inlineStr">
        <is>
          <t>RETENCION 20% IVA (SERVICIOS )</t>
        </is>
      </c>
      <c r="C123" s="3" t="inlineStr">
        <is>
          <t>N</t>
        </is>
      </c>
      <c r="D123" s="19" t="n">
        <v>46064</v>
      </c>
      <c r="E123" s="3" t="inlineStr">
        <is>
          <t>CP</t>
        </is>
      </c>
      <c r="F123" s="3" t="n">
        <v>105</v>
      </c>
      <c r="G123" s="3" t="inlineStr">
        <is>
          <t>000226449</t>
        </is>
      </c>
      <c r="H123" s="3" t="inlineStr">
        <is>
          <t>FE FIDEVAL S.A 000226449</t>
        </is>
      </c>
      <c r="I123" s="3" t="n">
        <v>0</v>
      </c>
      <c r="J123" s="3" t="n">
        <v>4.19</v>
      </c>
      <c r="K123" s="17" t="n">
        <v>237.3</v>
      </c>
      <c r="L123" s="2" t="n"/>
      <c r="M123" s="2" t="n"/>
      <c r="N123" s="2" t="n"/>
      <c r="O123" s="2" t="n"/>
      <c r="P123" s="2" t="n"/>
    </row>
    <row r="124">
      <c r="A124" s="2" t="inlineStr">
        <is>
          <t>02.01.06.01.0003</t>
        </is>
      </c>
      <c r="B124" s="3" t="inlineStr">
        <is>
          <t>RETENCION 20% IVA (SERVICIOS )</t>
        </is>
      </c>
      <c r="C124" s="3" t="inlineStr">
        <is>
          <t>N</t>
        </is>
      </c>
      <c r="D124" s="19" t="n">
        <v>46065</v>
      </c>
      <c r="E124" s="3" t="inlineStr">
        <is>
          <t>CP</t>
        </is>
      </c>
      <c r="F124" s="3" t="n">
        <v>121</v>
      </c>
      <c r="G124" s="3" t="inlineStr">
        <is>
          <t>017835092</t>
        </is>
      </c>
      <c r="H124" s="3" t="inlineStr">
        <is>
          <t>FE ASEGURADORA DEL SUR C.A. 017835092</t>
        </is>
      </c>
      <c r="I124" s="3" t="n">
        <v>0</v>
      </c>
      <c r="J124" s="3" t="n">
        <v>49.33</v>
      </c>
      <c r="K124" s="17" t="n">
        <v>187.97</v>
      </c>
      <c r="L124" s="2" t="n"/>
      <c r="M124" s="2" t="n"/>
      <c r="N124" s="2" t="n"/>
      <c r="O124" s="2" t="n"/>
      <c r="P124" s="2" t="n"/>
    </row>
    <row r="125">
      <c r="A125" s="2" t="inlineStr">
        <is>
          <t>02.01.06.01.0003</t>
        </is>
      </c>
      <c r="B125" s="3" t="inlineStr">
        <is>
          <t>RETENCION 20% IVA (SERVICIOS )</t>
        </is>
      </c>
      <c r="C125" s="3" t="inlineStr">
        <is>
          <t>N</t>
        </is>
      </c>
      <c r="D125" s="19" t="n">
        <v>46065</v>
      </c>
      <c r="E125" s="3" t="inlineStr">
        <is>
          <t>CP</t>
        </is>
      </c>
      <c r="F125" s="3" t="n">
        <v>121</v>
      </c>
      <c r="G125" s="3" t="inlineStr">
        <is>
          <t>A017835055</t>
        </is>
      </c>
      <c r="H125" s="3" t="inlineStr">
        <is>
          <t>FE ASEGURADORA DEL SUR C.A. A017835055</t>
        </is>
      </c>
      <c r="I125" s="3" t="n">
        <v>0</v>
      </c>
      <c r="J125" s="3" t="n">
        <v>49.33</v>
      </c>
      <c r="K125" s="17" t="n">
        <v>138.64</v>
      </c>
      <c r="L125" s="2" t="n"/>
      <c r="M125" s="2" t="n"/>
      <c r="N125" s="2" t="n"/>
      <c r="O125" s="2" t="n"/>
      <c r="P125" s="2" t="n"/>
    </row>
    <row r="126">
      <c r="A126" s="2" t="inlineStr">
        <is>
          <t>02.01.06.01.0003</t>
        </is>
      </c>
      <c r="B126" s="3" t="inlineStr">
        <is>
          <t>RETENCION 20% IVA (SERVICIOS )</t>
        </is>
      </c>
      <c r="C126" s="3" t="inlineStr">
        <is>
          <t>N</t>
        </is>
      </c>
      <c r="D126" s="19" t="n">
        <v>46071</v>
      </c>
      <c r="E126" s="3" t="inlineStr">
        <is>
          <t>CP</t>
        </is>
      </c>
      <c r="F126" s="3" t="n">
        <v>160</v>
      </c>
      <c r="G126" s="3" t="inlineStr">
        <is>
          <t>000029230</t>
        </is>
      </c>
      <c r="H126" s="3" t="inlineStr">
        <is>
          <t>FE KMSOLUTIONS S.A. 000029230</t>
        </is>
      </c>
      <c r="I126" s="3" t="n">
        <v>0</v>
      </c>
      <c r="J126" s="3" t="n">
        <v>23.53</v>
      </c>
      <c r="K126" s="17" t="n">
        <v>115.11</v>
      </c>
      <c r="L126" s="2" t="n"/>
      <c r="M126" s="2" t="n"/>
      <c r="N126" s="2" t="n"/>
      <c r="O126" s="2" t="n"/>
      <c r="P126" s="2" t="n"/>
    </row>
    <row r="127">
      <c r="A127" s="2" t="inlineStr">
        <is>
          <t>02.01.06.01.0003</t>
        </is>
      </c>
      <c r="B127" s="3" t="inlineStr">
        <is>
          <t>RETENCION 20% IVA (SERVICIOS )</t>
        </is>
      </c>
      <c r="C127" s="3" t="inlineStr">
        <is>
          <t>N</t>
        </is>
      </c>
      <c r="D127" s="19" t="n">
        <v>46075</v>
      </c>
      <c r="E127" s="3" t="inlineStr">
        <is>
          <t>CP</t>
        </is>
      </c>
      <c r="F127" s="3" t="n">
        <v>202</v>
      </c>
      <c r="G127" s="3" t="inlineStr">
        <is>
          <t>000131697</t>
        </is>
      </c>
      <c r="H127" s="3" t="inlineStr">
        <is>
          <t>FE SERVIENTREGA ECUADOR S.A. 000131697</t>
        </is>
      </c>
      <c r="I127" s="3" t="n">
        <v>0</v>
      </c>
      <c r="J127" s="3" t="n">
        <v>7.39</v>
      </c>
      <c r="K127" s="17" t="n">
        <v>107.72</v>
      </c>
      <c r="L127" s="2" t="n"/>
      <c r="M127" s="2" t="n"/>
      <c r="N127" s="2" t="n"/>
      <c r="O127" s="2" t="n"/>
      <c r="P127" s="2" t="n"/>
    </row>
    <row r="128">
      <c r="A128" s="2" t="inlineStr">
        <is>
          <t>02.01.06.01.0003</t>
        </is>
      </c>
      <c r="B128" s="3" t="inlineStr">
        <is>
          <t>RETENCION 20% IVA (SERVICIOS )</t>
        </is>
      </c>
      <c r="C128" s="3" t="inlineStr">
        <is>
          <t>N</t>
        </is>
      </c>
      <c r="D128" s="19" t="n">
        <v>46075</v>
      </c>
      <c r="E128" s="3" t="inlineStr">
        <is>
          <t>CP</t>
        </is>
      </c>
      <c r="F128" s="3" t="n">
        <v>202</v>
      </c>
      <c r="G128" s="3" t="inlineStr">
        <is>
          <t>017835055</t>
        </is>
      </c>
      <c r="H128" s="3" t="inlineStr">
        <is>
          <t>ND ASEGURADORA DEL SUR C.A. 017835055</t>
        </is>
      </c>
      <c r="I128" s="3" t="n">
        <v>49.33</v>
      </c>
      <c r="J128" s="3" t="n">
        <v>0</v>
      </c>
      <c r="K128" s="17" t="n">
        <v>157.05</v>
      </c>
      <c r="L128" s="2" t="n"/>
      <c r="M128" s="2" t="n"/>
      <c r="N128" s="2" t="n"/>
      <c r="O128" s="2" t="n"/>
      <c r="P128" s="2" t="n"/>
    </row>
    <row r="129">
      <c r="A129" s="2" t="inlineStr">
        <is>
          <t>02.01.06.01.0003</t>
        </is>
      </c>
      <c r="B129" s="3" t="inlineStr">
        <is>
          <t>RETENCION 20% IVA (SERVICIOS )</t>
        </is>
      </c>
      <c r="C129" s="3" t="inlineStr">
        <is>
          <t>N</t>
        </is>
      </c>
      <c r="D129" s="19" t="n">
        <v>46076</v>
      </c>
      <c r="E129" s="3" t="inlineStr">
        <is>
          <t>CP</t>
        </is>
      </c>
      <c r="F129" s="3" t="n">
        <v>205</v>
      </c>
      <c r="G129" s="3" t="inlineStr">
        <is>
          <t>000227570</t>
        </is>
      </c>
      <c r="H129" s="3" t="inlineStr">
        <is>
          <t>FE FIDEVAL S.A 000227570</t>
        </is>
      </c>
      <c r="I129" s="3" t="n">
        <v>0</v>
      </c>
      <c r="J129" s="3" t="n">
        <v>4.2</v>
      </c>
      <c r="K129" s="17" t="n">
        <v>152.85</v>
      </c>
      <c r="L129" s="2" t="n"/>
      <c r="M129" s="2" t="n"/>
      <c r="N129" s="2" t="n"/>
      <c r="O129" s="2" t="n"/>
      <c r="P129" s="2" t="n"/>
    </row>
    <row r="130">
      <c r="A130" s="2" t="inlineStr">
        <is>
          <t>02.01.06.01.0003</t>
        </is>
      </c>
      <c r="B130" s="3" t="inlineStr">
        <is>
          <t>RETENCION 20% IVA (SERVICIOS )</t>
        </is>
      </c>
      <c r="C130" s="3" t="inlineStr">
        <is>
          <t>N</t>
        </is>
      </c>
      <c r="D130" s="19" t="n">
        <v>46076</v>
      </c>
      <c r="E130" s="3" t="inlineStr">
        <is>
          <t>CP</t>
        </is>
      </c>
      <c r="F130" s="3" t="n">
        <v>205</v>
      </c>
      <c r="G130" s="3" t="inlineStr">
        <is>
          <t>000227571</t>
        </is>
      </c>
      <c r="H130" s="3" t="inlineStr">
        <is>
          <t>FE FIDEVAL S.A 000227571</t>
        </is>
      </c>
      <c r="I130" s="3" t="n">
        <v>0</v>
      </c>
      <c r="J130" s="3" t="n">
        <v>4.19</v>
      </c>
      <c r="K130" s="17" t="n">
        <v>148.66</v>
      </c>
      <c r="L130" s="2" t="n"/>
      <c r="M130" s="2" t="n"/>
      <c r="N130" s="2" t="n"/>
      <c r="O130" s="2" t="n"/>
      <c r="P130" s="2" t="n"/>
    </row>
    <row r="131">
      <c r="A131" s="2" t="inlineStr">
        <is>
          <t>02.01.06.01.0003</t>
        </is>
      </c>
      <c r="B131" s="3" t="inlineStr">
        <is>
          <t>RETENCION 20% IVA (SERVICIOS )</t>
        </is>
      </c>
      <c r="C131" s="3" t="inlineStr">
        <is>
          <t>N</t>
        </is>
      </c>
      <c r="D131" s="19" t="n">
        <v>46079</v>
      </c>
      <c r="E131" s="3" t="inlineStr">
        <is>
          <t>CP</t>
        </is>
      </c>
      <c r="F131" s="3" t="n">
        <v>258</v>
      </c>
      <c r="G131" s="3" t="inlineStr">
        <is>
          <t>000101391</t>
        </is>
      </c>
      <c r="H131" s="3" t="inlineStr">
        <is>
          <t>FE CONSORCIO DEL PICHINCHA S.A 000101391</t>
        </is>
      </c>
      <c r="I131" s="3" t="n">
        <v>0</v>
      </c>
      <c r="J131" s="3" t="n">
        <v>3.26</v>
      </c>
      <c r="K131" s="17" t="n">
        <v>145.4</v>
      </c>
      <c r="L131" s="2" t="n"/>
      <c r="M131" s="2" t="n"/>
      <c r="N131" s="2" t="n"/>
      <c r="O131" s="2" t="n"/>
      <c r="P131" s="2" t="n"/>
    </row>
    <row r="132">
      <c r="A132" s="2" t="inlineStr">
        <is>
          <t>02.01.06.01.0003</t>
        </is>
      </c>
      <c r="B132" s="3" t="inlineStr">
        <is>
          <t>RETENCION 20% IVA (SERVICIOS )</t>
        </is>
      </c>
      <c r="C132" s="3" t="inlineStr">
        <is>
          <t>N</t>
        </is>
      </c>
      <c r="D132" s="19" t="n">
        <v>46079</v>
      </c>
      <c r="E132" s="3" t="inlineStr">
        <is>
          <t>CP</t>
        </is>
      </c>
      <c r="F132" s="3" t="n">
        <v>258</v>
      </c>
      <c r="G132" s="3" t="inlineStr">
        <is>
          <t>000101400</t>
        </is>
      </c>
      <c r="H132" s="3" t="inlineStr">
        <is>
          <t>FE CONSORCIO DEL PICHINCHA S.A 000101400</t>
        </is>
      </c>
      <c r="I132" s="3" t="n">
        <v>0</v>
      </c>
      <c r="J132" s="3" t="n">
        <v>3.26</v>
      </c>
      <c r="K132" s="17" t="n">
        <v>142.14</v>
      </c>
      <c r="L132" s="2" t="n"/>
      <c r="M132" s="2" t="n"/>
      <c r="N132" s="2" t="n"/>
      <c r="O132" s="2" t="n"/>
      <c r="P132" s="2" t="n"/>
    </row>
    <row r="133">
      <c r="A133" s="2" t="inlineStr">
        <is>
          <t>02.01.06.01.0003</t>
        </is>
      </c>
      <c r="B133" s="3" t="inlineStr">
        <is>
          <t>RETENCION 20% IVA (SERVICIOS )</t>
        </is>
      </c>
      <c r="C133" s="3" t="inlineStr">
        <is>
          <t>N</t>
        </is>
      </c>
      <c r="D133" s="19" t="n">
        <v>46081</v>
      </c>
      <c r="E133" s="3" t="inlineStr">
        <is>
          <t>CP</t>
        </is>
      </c>
      <c r="F133" s="3" t="n">
        <v>311</v>
      </c>
      <c r="G133" s="3" t="inlineStr">
        <is>
          <t>000101379</t>
        </is>
      </c>
      <c r="H133" s="3" t="inlineStr">
        <is>
          <t>FE CONSORCIO DEL PICHINCHA S.A 000101379</t>
        </is>
      </c>
      <c r="I133" s="3" t="n">
        <v>0</v>
      </c>
      <c r="J133" s="3" t="n">
        <v>3.26</v>
      </c>
      <c r="K133" s="17" t="n">
        <v>127.72</v>
      </c>
      <c r="L133" s="2" t="n"/>
      <c r="M133" s="2" t="n"/>
      <c r="N133" s="2" t="n"/>
      <c r="O133" s="2" t="n"/>
      <c r="P133" s="2" t="n"/>
    </row>
    <row r="134">
      <c r="A134" s="2" t="inlineStr">
        <is>
          <t>02.01.06.01.0003</t>
        </is>
      </c>
      <c r="B134" s="3" t="inlineStr">
        <is>
          <t>RETENCION 20% IVA (SERVICIOS )</t>
        </is>
      </c>
      <c r="C134" s="3" t="inlineStr">
        <is>
          <t>N</t>
        </is>
      </c>
      <c r="D134" s="19" t="n">
        <v>46081</v>
      </c>
      <c r="E134" s="3" t="inlineStr">
        <is>
          <t>CP</t>
        </is>
      </c>
      <c r="F134" s="3" t="n">
        <v>311</v>
      </c>
      <c r="G134" s="3" t="inlineStr">
        <is>
          <t>000101381</t>
        </is>
      </c>
      <c r="H134" s="3" t="inlineStr">
        <is>
          <t>FE CONSORCIO DEL PICHINCHA S.A 000101381</t>
        </is>
      </c>
      <c r="I134" s="3" t="n">
        <v>0</v>
      </c>
      <c r="J134" s="3" t="n">
        <v>3.26</v>
      </c>
      <c r="K134" s="17" t="n">
        <v>124.46</v>
      </c>
      <c r="L134" s="2" t="n"/>
      <c r="M134" s="2" t="n"/>
      <c r="N134" s="2" t="n"/>
      <c r="O134" s="2" t="n"/>
      <c r="P134" s="2" t="n"/>
    </row>
    <row r="135">
      <c r="A135" s="2" t="inlineStr">
        <is>
          <t>02.01.06.01.0003</t>
        </is>
      </c>
      <c r="B135" s="3" t="inlineStr">
        <is>
          <t>RETENCION 20% IVA (SERVICIOS )</t>
        </is>
      </c>
      <c r="C135" s="3" t="inlineStr">
        <is>
          <t>N</t>
        </is>
      </c>
      <c r="D135" s="19" t="n">
        <v>46081</v>
      </c>
      <c r="E135" s="3" t="inlineStr">
        <is>
          <t>CP</t>
        </is>
      </c>
      <c r="F135" s="3" t="n">
        <v>311</v>
      </c>
      <c r="G135" s="3" t="inlineStr">
        <is>
          <t>000101383</t>
        </is>
      </c>
      <c r="H135" s="3" t="inlineStr">
        <is>
          <t>FE CONSORCIO DEL PICHINCHA S.A 000101383</t>
        </is>
      </c>
      <c r="I135" s="3" t="n">
        <v>0</v>
      </c>
      <c r="J135" s="3" t="n">
        <v>3.26</v>
      </c>
      <c r="K135" s="17" t="n">
        <v>121.2</v>
      </c>
      <c r="L135" s="2" t="n"/>
      <c r="M135" s="2" t="n"/>
      <c r="N135" s="2" t="n"/>
      <c r="O135" s="2" t="n"/>
      <c r="P135" s="2" t="n"/>
    </row>
    <row r="136">
      <c r="A136" s="2" t="inlineStr">
        <is>
          <t>02.01.06.01.0003</t>
        </is>
      </c>
      <c r="B136" s="3" t="inlineStr">
        <is>
          <t>RETENCION 20% IVA (SERVICIOS )</t>
        </is>
      </c>
      <c r="C136" s="3" t="inlineStr">
        <is>
          <t>N</t>
        </is>
      </c>
      <c r="D136" s="19" t="n">
        <v>46081</v>
      </c>
      <c r="E136" s="3" t="inlineStr">
        <is>
          <t>CP</t>
        </is>
      </c>
      <c r="F136" s="3" t="n">
        <v>311</v>
      </c>
      <c r="G136" s="3" t="inlineStr">
        <is>
          <t>000101385</t>
        </is>
      </c>
      <c r="H136" s="3" t="inlineStr">
        <is>
          <t>FE CONSORCIO DEL PICHINCHA S.A 000101385</t>
        </is>
      </c>
      <c r="I136" s="3" t="n">
        <v>0</v>
      </c>
      <c r="J136" s="3" t="n">
        <v>3.26</v>
      </c>
      <c r="K136" s="17" t="n">
        <v>117.94</v>
      </c>
      <c r="L136" s="2" t="n"/>
      <c r="M136" s="2" t="n"/>
      <c r="N136" s="2" t="n"/>
      <c r="O136" s="2" t="n"/>
      <c r="P136" s="2" t="n"/>
    </row>
    <row r="137">
      <c r="A137" s="2" t="inlineStr">
        <is>
          <t>02.01.06.01.0003</t>
        </is>
      </c>
      <c r="B137" s="3" t="inlineStr">
        <is>
          <t>RETENCION 20% IVA (SERVICIOS )</t>
        </is>
      </c>
      <c r="C137" s="3" t="inlineStr">
        <is>
          <t>N</t>
        </is>
      </c>
      <c r="D137" s="19" t="n">
        <v>46081</v>
      </c>
      <c r="E137" s="3" t="inlineStr">
        <is>
          <t>CP</t>
        </is>
      </c>
      <c r="F137" s="3" t="n">
        <v>311</v>
      </c>
      <c r="G137" s="3" t="inlineStr">
        <is>
          <t>000101387</t>
        </is>
      </c>
      <c r="H137" s="3" t="inlineStr">
        <is>
          <t>FE CONSORCIO DEL PICHINCHA S.A 000101387</t>
        </is>
      </c>
      <c r="I137" s="3" t="n">
        <v>0</v>
      </c>
      <c r="J137" s="3" t="n">
        <v>3.26</v>
      </c>
      <c r="K137" s="17" t="n">
        <v>114.68</v>
      </c>
      <c r="L137" s="2" t="n"/>
      <c r="M137" s="2" t="n"/>
      <c r="N137" s="2" t="n"/>
      <c r="O137" s="2" t="n"/>
      <c r="P137" s="2" t="n"/>
    </row>
    <row r="138">
      <c r="A138" s="2" t="inlineStr">
        <is>
          <t>02.01.06.01.0003</t>
        </is>
      </c>
      <c r="B138" s="3" t="inlineStr">
        <is>
          <t>RETENCION 20% IVA (SERVICIOS )</t>
        </is>
      </c>
      <c r="C138" s="3" t="inlineStr">
        <is>
          <t>N</t>
        </is>
      </c>
      <c r="D138" s="19" t="n">
        <v>46081</v>
      </c>
      <c r="E138" s="3" t="inlineStr">
        <is>
          <t>CP</t>
        </is>
      </c>
      <c r="F138" s="3" t="n">
        <v>311</v>
      </c>
      <c r="G138" s="3" t="inlineStr">
        <is>
          <t>000101389</t>
        </is>
      </c>
      <c r="H138" s="3" t="inlineStr">
        <is>
          <t>FE CONSORCIO DEL PICHINCHA S.A 000101389</t>
        </is>
      </c>
      <c r="I138" s="3" t="n">
        <v>0</v>
      </c>
      <c r="J138" s="3" t="n">
        <v>3.26</v>
      </c>
      <c r="K138" s="17" t="n">
        <v>111.42</v>
      </c>
      <c r="L138" s="2" t="n"/>
      <c r="M138" s="2" t="n"/>
      <c r="N138" s="2" t="n"/>
      <c r="O138" s="2" t="n"/>
      <c r="P138" s="2" t="n"/>
    </row>
    <row r="139">
      <c r="A139" s="2" t="inlineStr">
        <is>
          <t>02.01.06.01.0003</t>
        </is>
      </c>
      <c r="B139" s="3" t="inlineStr">
        <is>
          <t>RETENCION 20% IVA (SERVICIOS )</t>
        </is>
      </c>
      <c r="C139" s="3" t="inlineStr">
        <is>
          <t>N</t>
        </is>
      </c>
      <c r="D139" s="19" t="n">
        <v>46081</v>
      </c>
      <c r="E139" s="3" t="inlineStr">
        <is>
          <t>CP</t>
        </is>
      </c>
      <c r="F139" s="3" t="n">
        <v>311</v>
      </c>
      <c r="G139" s="3" t="inlineStr">
        <is>
          <t>000101393</t>
        </is>
      </c>
      <c r="H139" s="3" t="inlineStr">
        <is>
          <t>FE CONSORCIO DEL PICHINCHA S.A 000101393</t>
        </is>
      </c>
      <c r="I139" s="3" t="n">
        <v>0</v>
      </c>
      <c r="J139" s="3" t="n">
        <v>3.26</v>
      </c>
      <c r="K139" s="17" t="n">
        <v>108.16</v>
      </c>
      <c r="L139" s="2" t="n"/>
      <c r="M139" s="2" t="n"/>
      <c r="N139" s="2" t="n"/>
      <c r="O139" s="2" t="n"/>
      <c r="P139" s="2" t="n"/>
    </row>
    <row r="140">
      <c r="A140" s="2" t="inlineStr">
        <is>
          <t>02.01.06.01.0003</t>
        </is>
      </c>
      <c r="B140" s="3" t="inlineStr">
        <is>
          <t>RETENCION 20% IVA (SERVICIOS )</t>
        </is>
      </c>
      <c r="C140" s="3" t="inlineStr">
        <is>
          <t>N</t>
        </is>
      </c>
      <c r="D140" s="19" t="n">
        <v>46081</v>
      </c>
      <c r="E140" s="3" t="inlineStr">
        <is>
          <t>CP</t>
        </is>
      </c>
      <c r="F140" s="3" t="n">
        <v>311</v>
      </c>
      <c r="G140" s="3" t="inlineStr">
        <is>
          <t>000101395</t>
        </is>
      </c>
      <c r="H140" s="3" t="inlineStr">
        <is>
          <t>FE CONSORCIO DEL PICHINCHA S.A 000101395</t>
        </is>
      </c>
      <c r="I140" s="3" t="n">
        <v>0</v>
      </c>
      <c r="J140" s="3" t="n">
        <v>3.26</v>
      </c>
      <c r="K140" s="17" t="n">
        <v>104.9</v>
      </c>
      <c r="L140" s="2" t="n"/>
      <c r="M140" s="2" t="n"/>
      <c r="N140" s="2" t="n"/>
      <c r="O140" s="2" t="n"/>
      <c r="P140" s="2" t="n"/>
    </row>
    <row r="141">
      <c r="A141" s="2" t="inlineStr">
        <is>
          <t>02.01.06.01.0003</t>
        </is>
      </c>
      <c r="B141" s="3" t="inlineStr">
        <is>
          <t>RETENCION 20% IVA (SERVICIOS )</t>
        </is>
      </c>
      <c r="C141" s="3" t="inlineStr">
        <is>
          <t>N</t>
        </is>
      </c>
      <c r="D141" s="19" t="n">
        <v>46081</v>
      </c>
      <c r="E141" s="3" t="inlineStr">
        <is>
          <t>CP</t>
        </is>
      </c>
      <c r="F141" s="3" t="n">
        <v>311</v>
      </c>
      <c r="G141" s="3" t="inlineStr">
        <is>
          <t>000101402</t>
        </is>
      </c>
      <c r="H141" s="3" t="inlineStr">
        <is>
          <t>FE CONSORCIO DEL PICHINCHA S.A 000101402</t>
        </is>
      </c>
      <c r="I141" s="3" t="n">
        <v>0</v>
      </c>
      <c r="J141" s="3" t="n">
        <v>3.26</v>
      </c>
      <c r="K141" s="17" t="n">
        <v>101.64</v>
      </c>
      <c r="L141" s="2" t="n"/>
      <c r="M141" s="2" t="n"/>
      <c r="N141" s="2" t="n"/>
      <c r="O141" s="2" t="n"/>
      <c r="P141" s="2" t="n"/>
    </row>
    <row r="142">
      <c r="A142" s="2" t="inlineStr">
        <is>
          <t>02.01.06.01.0003</t>
        </is>
      </c>
      <c r="B142" s="3" t="inlineStr">
        <is>
          <t>RETENCION 20% IVA (SERVICIOS )</t>
        </is>
      </c>
      <c r="C142" s="3" t="inlineStr">
        <is>
          <t>N</t>
        </is>
      </c>
      <c r="D142" s="19" t="n">
        <v>46081</v>
      </c>
      <c r="E142" s="3" t="inlineStr">
        <is>
          <t>CP</t>
        </is>
      </c>
      <c r="F142" s="3" t="n">
        <v>311</v>
      </c>
      <c r="G142" s="3" t="inlineStr">
        <is>
          <t>000101404</t>
        </is>
      </c>
      <c r="H142" s="3" t="inlineStr">
        <is>
          <t>FE CONSORCIO DEL PICHINCHA S.A 000101404</t>
        </is>
      </c>
      <c r="I142" s="3" t="n">
        <v>0</v>
      </c>
      <c r="J142" s="3" t="n">
        <v>3.26</v>
      </c>
      <c r="K142" s="17" t="n">
        <v>98.38</v>
      </c>
      <c r="L142" s="2" t="n"/>
      <c r="M142" s="2" t="n"/>
      <c r="N142" s="2" t="n"/>
      <c r="O142" s="2" t="n"/>
      <c r="P142" s="2" t="n"/>
    </row>
    <row r="143">
      <c r="A143" s="2" t="inlineStr">
        <is>
          <t>02.01.06.01.0003</t>
        </is>
      </c>
      <c r="B143" s="3" t="inlineStr">
        <is>
          <t>RETENCION 20% IVA (SERVICIOS )</t>
        </is>
      </c>
      <c r="C143" s="3" t="inlineStr">
        <is>
          <t>N</t>
        </is>
      </c>
      <c r="D143" s="19" t="n">
        <v>46081</v>
      </c>
      <c r="E143" s="3" t="inlineStr">
        <is>
          <t>CP</t>
        </is>
      </c>
      <c r="F143" s="3" t="n">
        <v>311</v>
      </c>
      <c r="G143" s="3" t="inlineStr">
        <is>
          <t>000101406</t>
        </is>
      </c>
      <c r="H143" s="3" t="inlineStr">
        <is>
          <t>FE CONSORCIO DEL PICHINCHA S.A 000101406</t>
        </is>
      </c>
      <c r="I143" s="3" t="n">
        <v>0</v>
      </c>
      <c r="J143" s="3" t="n">
        <v>3.26</v>
      </c>
      <c r="K143" s="17" t="n">
        <v>95.12</v>
      </c>
      <c r="L143" s="2" t="n"/>
      <c r="M143" s="2" t="n"/>
      <c r="N143" s="2" t="n"/>
      <c r="O143" s="2" t="n"/>
      <c r="P143" s="2" t="n"/>
    </row>
    <row r="144">
      <c r="A144" s="2" t="inlineStr">
        <is>
          <t>02.01.06.01.0003</t>
        </is>
      </c>
      <c r="B144" s="3" t="inlineStr">
        <is>
          <t>RETENCION 20% IVA (SERVICIOS )</t>
        </is>
      </c>
      <c r="C144" s="3" t="inlineStr">
        <is>
          <t>N</t>
        </is>
      </c>
      <c r="D144" s="19" t="n">
        <v>46081</v>
      </c>
      <c r="E144" s="3" t="inlineStr">
        <is>
          <t>CP</t>
        </is>
      </c>
      <c r="F144" s="3" t="n">
        <v>311</v>
      </c>
      <c r="G144" s="3" t="inlineStr">
        <is>
          <t>000101408</t>
        </is>
      </c>
      <c r="H144" s="3" t="inlineStr">
        <is>
          <t>FE CONSORCIO DEL PICHINCHA S.A 000101408</t>
        </is>
      </c>
      <c r="I144" s="3" t="n">
        <v>0</v>
      </c>
      <c r="J144" s="3" t="n">
        <v>3.26</v>
      </c>
      <c r="K144" s="17" t="n">
        <v>91.86</v>
      </c>
      <c r="L144" s="2" t="n"/>
      <c r="M144" s="2" t="n"/>
      <c r="N144" s="2" t="n"/>
      <c r="O144" s="2" t="n"/>
      <c r="P144" s="2" t="n"/>
    </row>
    <row r="145">
      <c r="A145" s="2" t="inlineStr">
        <is>
          <t>02.01.06.01.0003</t>
        </is>
      </c>
      <c r="B145" s="3" t="inlineStr">
        <is>
          <t>RETENCION 20% IVA (SERVICIOS )</t>
        </is>
      </c>
      <c r="C145" s="3" t="inlineStr">
        <is>
          <t>N</t>
        </is>
      </c>
      <c r="D145" s="19" t="n">
        <v>46081</v>
      </c>
      <c r="E145" s="3" t="inlineStr">
        <is>
          <t>CP</t>
        </is>
      </c>
      <c r="F145" s="3" t="n">
        <v>311</v>
      </c>
      <c r="G145" s="3" t="inlineStr">
        <is>
          <t>000101411</t>
        </is>
      </c>
      <c r="H145" s="3" t="inlineStr">
        <is>
          <t>FE CONSORCIO DEL PICHINCHA S.A 000101411</t>
        </is>
      </c>
      <c r="I145" s="3" t="n">
        <v>0</v>
      </c>
      <c r="J145" s="3" t="n">
        <v>3.26</v>
      </c>
      <c r="K145" s="3" t="n">
        <v>88.59999999999999</v>
      </c>
      <c r="L145" s="2" t="n"/>
      <c r="M145" s="2" t="n"/>
      <c r="N145" s="2" t="n"/>
      <c r="O145" s="2" t="n"/>
      <c r="P145" s="2" t="n"/>
    </row>
    <row r="146">
      <c r="A146" s="2" t="inlineStr">
        <is>
          <t>02.01.06.01.0003</t>
        </is>
      </c>
      <c r="B146" s="3" t="inlineStr">
        <is>
          <t>RETENCION 20% IVA (SERVICIOS )</t>
        </is>
      </c>
      <c r="C146" s="3" t="inlineStr">
        <is>
          <t>N</t>
        </is>
      </c>
      <c r="D146" s="19" t="n">
        <v>46081</v>
      </c>
      <c r="E146" s="3" t="inlineStr">
        <is>
          <t>CP</t>
        </is>
      </c>
      <c r="F146" s="3" t="n">
        <v>311</v>
      </c>
      <c r="G146" s="3" t="inlineStr">
        <is>
          <t>000101413</t>
        </is>
      </c>
      <c r="H146" s="3" t="inlineStr">
        <is>
          <t>FE CONSORCIO DEL PICHINCHA S.A 000101413</t>
        </is>
      </c>
      <c r="I146" s="3" t="n">
        <v>0</v>
      </c>
      <c r="J146" s="3" t="n">
        <v>3.26</v>
      </c>
      <c r="K146" s="3" t="n">
        <v>85.34</v>
      </c>
      <c r="L146" s="2" t="n"/>
      <c r="M146" s="2" t="n"/>
      <c r="N146" s="2" t="n"/>
      <c r="O146" s="2" t="n"/>
      <c r="P146" s="2" t="n"/>
    </row>
    <row r="147">
      <c r="A147" s="2" t="inlineStr">
        <is>
          <t>02.01.06.01.0003</t>
        </is>
      </c>
      <c r="B147" s="3" t="inlineStr">
        <is>
          <t>RETENCION 20% IVA (SERVICIOS )</t>
        </is>
      </c>
      <c r="C147" s="3" t="inlineStr">
        <is>
          <t>N</t>
        </is>
      </c>
      <c r="D147" s="19" t="n">
        <v>46081</v>
      </c>
      <c r="E147" s="3" t="inlineStr">
        <is>
          <t>CP</t>
        </is>
      </c>
      <c r="F147" s="3" t="n">
        <v>311</v>
      </c>
      <c r="G147" s="3" t="inlineStr">
        <is>
          <t>000101415</t>
        </is>
      </c>
      <c r="H147" s="3" t="inlineStr">
        <is>
          <t>FE CONSORCIO DEL PICHINCHA S.A 000101415</t>
        </is>
      </c>
      <c r="I147" s="3" t="n">
        <v>0</v>
      </c>
      <c r="J147" s="3" t="n">
        <v>3.26</v>
      </c>
      <c r="K147" s="3" t="n">
        <v>82.08</v>
      </c>
      <c r="L147" s="2" t="n"/>
      <c r="M147" s="2" t="n"/>
      <c r="N147" s="2" t="n"/>
      <c r="O147" s="2" t="n"/>
      <c r="P147" s="2" t="n"/>
    </row>
    <row r="148">
      <c r="A148" s="2" t="inlineStr">
        <is>
          <t>02.01.06.01.0003</t>
        </is>
      </c>
      <c r="B148" s="3" t="inlineStr">
        <is>
          <t>RETENCION 20% IVA (SERVICIOS )</t>
        </is>
      </c>
      <c r="C148" s="3" t="inlineStr">
        <is>
          <t>N</t>
        </is>
      </c>
      <c r="D148" s="19" t="n">
        <v>46081</v>
      </c>
      <c r="E148" s="3" t="inlineStr">
        <is>
          <t>CP</t>
        </is>
      </c>
      <c r="F148" s="3" t="n">
        <v>311</v>
      </c>
      <c r="G148" s="3" t="inlineStr">
        <is>
          <t>000101417</t>
        </is>
      </c>
      <c r="H148" s="3" t="inlineStr">
        <is>
          <t>FE CONSORCIO DEL PICHINCHA S.A 000101417</t>
        </is>
      </c>
      <c r="I148" s="3" t="n">
        <v>0</v>
      </c>
      <c r="J148" s="3" t="n">
        <v>3.26</v>
      </c>
      <c r="K148" s="3" t="n">
        <v>78.81999999999999</v>
      </c>
      <c r="L148" s="2" t="n"/>
      <c r="M148" s="2" t="n"/>
      <c r="N148" s="2" t="n"/>
      <c r="O148" s="2" t="n"/>
      <c r="P148" s="2" t="n"/>
    </row>
    <row r="149">
      <c r="A149" s="2" t="inlineStr">
        <is>
          <t>02.01.06.01.0003</t>
        </is>
      </c>
      <c r="B149" s="3" t="inlineStr">
        <is>
          <t>RETENCION 20% IVA (SERVICIOS )</t>
        </is>
      </c>
      <c r="C149" s="3" t="inlineStr">
        <is>
          <t>N</t>
        </is>
      </c>
      <c r="D149" s="19" t="n">
        <v>46081</v>
      </c>
      <c r="E149" s="3" t="inlineStr">
        <is>
          <t>CP</t>
        </is>
      </c>
      <c r="F149" s="3" t="n">
        <v>311</v>
      </c>
      <c r="G149" s="3" t="inlineStr">
        <is>
          <t>000101419</t>
        </is>
      </c>
      <c r="H149" s="3" t="inlineStr">
        <is>
          <t>FE CONSORCIO DEL PICHINCHA S.A 000101419</t>
        </is>
      </c>
      <c r="I149" s="3" t="n">
        <v>0</v>
      </c>
      <c r="J149" s="3" t="n">
        <v>3.26</v>
      </c>
      <c r="K149" s="3" t="n">
        <v>75.56</v>
      </c>
      <c r="L149" s="2" t="n"/>
      <c r="M149" s="2" t="n"/>
      <c r="N149" s="2" t="n"/>
      <c r="O149" s="2" t="n"/>
      <c r="P149" s="2" t="n"/>
    </row>
    <row r="150">
      <c r="A150" s="2" t="inlineStr">
        <is>
          <t>02.01.06.01.0003</t>
        </is>
      </c>
      <c r="B150" s="3" t="inlineStr">
        <is>
          <t>RETENCION 20% IVA (SERVICIOS )</t>
        </is>
      </c>
      <c r="C150" s="3" t="inlineStr">
        <is>
          <t>N</t>
        </is>
      </c>
      <c r="D150" s="19" t="n">
        <v>46081</v>
      </c>
      <c r="E150" s="3" t="inlineStr">
        <is>
          <t>CP</t>
        </is>
      </c>
      <c r="F150" s="3" t="n">
        <v>311</v>
      </c>
      <c r="G150" s="3" t="inlineStr">
        <is>
          <t>000101421</t>
        </is>
      </c>
      <c r="H150" s="3" t="inlineStr">
        <is>
          <t>FE CONSORCIO DEL PICHINCHA S.A 000101421</t>
        </is>
      </c>
      <c r="I150" s="3" t="n">
        <v>0</v>
      </c>
      <c r="J150" s="3" t="n">
        <v>3.26</v>
      </c>
      <c r="K150" s="3" t="n">
        <v>72.3</v>
      </c>
      <c r="L150" s="2" t="n"/>
      <c r="M150" s="2" t="n"/>
      <c r="N150" s="2" t="n"/>
      <c r="O150" s="2" t="n"/>
      <c r="P150" s="2" t="n"/>
    </row>
    <row r="151">
      <c r="A151" s="2" t="inlineStr">
        <is>
          <t>02.01.06.01.0003</t>
        </is>
      </c>
      <c r="B151" s="3" t="inlineStr">
        <is>
          <t>RETENCION 20% IVA (SERVICIOS )</t>
        </is>
      </c>
      <c r="C151" s="3" t="inlineStr">
        <is>
          <t>N</t>
        </is>
      </c>
      <c r="D151" s="19" t="n">
        <v>46081</v>
      </c>
      <c r="E151" s="3" t="inlineStr">
        <is>
          <t>CP</t>
        </is>
      </c>
      <c r="F151" s="3" t="n">
        <v>311</v>
      </c>
      <c r="G151" s="3" t="inlineStr">
        <is>
          <t>000101423</t>
        </is>
      </c>
      <c r="H151" s="3" t="inlineStr">
        <is>
          <t>FE CONSORCIO DEL PICHINCHA S.A 000101423</t>
        </is>
      </c>
      <c r="I151" s="3" t="n">
        <v>0</v>
      </c>
      <c r="J151" s="3" t="n">
        <v>3.26</v>
      </c>
      <c r="K151" s="3" t="n">
        <v>69.04000000000001</v>
      </c>
      <c r="L151" s="2" t="n"/>
      <c r="M151" s="2" t="n"/>
      <c r="N151" s="2" t="n"/>
      <c r="O151" s="2" t="n"/>
      <c r="P151" s="2" t="n"/>
    </row>
    <row r="152">
      <c r="A152" s="2" t="inlineStr">
        <is>
          <t>02.01.06.01.0003</t>
        </is>
      </c>
      <c r="B152" s="3" t="inlineStr">
        <is>
          <t>RETENCION 20% IVA (SERVICIOS )</t>
        </is>
      </c>
      <c r="C152" s="3" t="inlineStr">
        <is>
          <t>N</t>
        </is>
      </c>
      <c r="D152" s="19" t="n">
        <v>46081</v>
      </c>
      <c r="E152" s="3" t="inlineStr">
        <is>
          <t>CP</t>
        </is>
      </c>
      <c r="F152" s="3" t="n">
        <v>311</v>
      </c>
      <c r="G152" s="3" t="inlineStr">
        <is>
          <t>000101425</t>
        </is>
      </c>
      <c r="H152" s="3" t="inlineStr">
        <is>
          <t>FE CONSORCIO DEL PICHINCHA S.A 000101425</t>
        </is>
      </c>
      <c r="I152" s="3" t="n">
        <v>0</v>
      </c>
      <c r="J152" s="3" t="n">
        <v>3.26</v>
      </c>
      <c r="K152" s="3" t="n">
        <v>65.78</v>
      </c>
      <c r="L152" s="2" t="n"/>
      <c r="M152" s="2" t="n"/>
      <c r="N152" s="2" t="n"/>
      <c r="O152" s="2" t="n"/>
      <c r="P152" s="2" t="n"/>
    </row>
    <row r="153">
      <c r="A153" s="2" t="inlineStr">
        <is>
          <t>02.01.06.01.0003</t>
        </is>
      </c>
      <c r="B153" s="3" t="inlineStr">
        <is>
          <t>RETENCION 20% IVA (SERVICIOS )</t>
        </is>
      </c>
      <c r="C153" s="3" t="inlineStr">
        <is>
          <t>N</t>
        </is>
      </c>
      <c r="D153" s="19" t="n">
        <v>46081</v>
      </c>
      <c r="E153" s="3" t="inlineStr">
        <is>
          <t>AGCM</t>
        </is>
      </c>
      <c r="F153" s="3" t="n">
        <v>332</v>
      </c>
      <c r="G153" s="3" t="n"/>
      <c r="H153" s="3" t="inlineStr">
        <is>
          <t>LIQUIDACION DE IMPUESTOS FEBERO 2026</t>
        </is>
      </c>
      <c r="I153" s="3" t="n">
        <v>289.18</v>
      </c>
      <c r="J153" s="3" t="n">
        <v>0</v>
      </c>
      <c r="K153" s="3" t="n">
        <v>289.18</v>
      </c>
      <c r="L153" s="2" t="n"/>
      <c r="M153" s="2" t="n"/>
      <c r="N153" s="2" t="n"/>
      <c r="O153" s="2" t="n"/>
      <c r="P153" s="2" t="n"/>
    </row>
    <row r="154">
      <c r="A154" s="2" t="inlineStr">
        <is>
          <t>02.01.06.01.0004</t>
        </is>
      </c>
      <c r="B154" s="3" t="inlineStr">
        <is>
          <t>30% RETENCION IVA - COMPRAS</t>
        </is>
      </c>
      <c r="C154" s="3" t="inlineStr">
        <is>
          <t>N</t>
        </is>
      </c>
      <c r="D154" s="19" t="n">
        <v>46055</v>
      </c>
      <c r="E154" s="3" t="inlineStr">
        <is>
          <t>CP</t>
        </is>
      </c>
      <c r="F154" s="3" t="n">
        <v>29</v>
      </c>
      <c r="G154" s="3" t="inlineStr">
        <is>
          <t>000031786</t>
        </is>
      </c>
      <c r="H154" s="3" t="inlineStr">
        <is>
          <t>FE VARGAS TORRES WALTTER DARIO 000031786</t>
        </is>
      </c>
      <c r="I154" s="3" t="n">
        <v>0</v>
      </c>
      <c r="J154" s="3" t="n">
        <v>7.65</v>
      </c>
      <c r="K154" s="3" t="n">
        <v>3672.08</v>
      </c>
      <c r="L154" s="2" t="n"/>
      <c r="M154" s="2" t="n"/>
      <c r="N154" s="2" t="n"/>
      <c r="O154" s="2" t="n"/>
      <c r="P154" s="2" t="n"/>
    </row>
    <row r="155">
      <c r="A155" s="2" t="inlineStr">
        <is>
          <t>02.01.06.01.0004</t>
        </is>
      </c>
      <c r="B155" s="3" t="inlineStr">
        <is>
          <t>30% RETENCION IVA - COMPRAS</t>
        </is>
      </c>
      <c r="C155" s="3" t="inlineStr">
        <is>
          <t>N</t>
        </is>
      </c>
      <c r="D155" s="19" t="n">
        <v>46056</v>
      </c>
      <c r="E155" s="3" t="inlineStr">
        <is>
          <t>CP</t>
        </is>
      </c>
      <c r="F155" s="3" t="n">
        <v>37</v>
      </c>
      <c r="G155" s="3" t="inlineStr">
        <is>
          <t>000000629</t>
        </is>
      </c>
      <c r="H155" s="3" t="inlineStr">
        <is>
          <t>FE YANGTSE-AUTO DEL ECUADOR S. 000000629</t>
        </is>
      </c>
      <c r="I155" s="3" t="n">
        <v>0</v>
      </c>
      <c r="J155" s="3" t="n">
        <v>592.47</v>
      </c>
      <c r="K155" s="3" t="n">
        <v>1273.27</v>
      </c>
      <c r="L155" s="2" t="n"/>
      <c r="M155" s="2" t="n"/>
      <c r="N155" s="2" t="n"/>
      <c r="O155" s="2" t="n"/>
      <c r="P155" s="2" t="n"/>
    </row>
    <row r="156">
      <c r="A156" s="2" t="inlineStr">
        <is>
          <t>02.01.06.01.0004</t>
        </is>
      </c>
      <c r="B156" s="3" t="inlineStr">
        <is>
          <t>30% RETENCION IVA - COMPRAS</t>
        </is>
      </c>
      <c r="C156" s="3" t="inlineStr">
        <is>
          <t>N</t>
        </is>
      </c>
      <c r="D156" s="19" t="n">
        <v>46056</v>
      </c>
      <c r="E156" s="3" t="inlineStr">
        <is>
          <t>CP</t>
        </is>
      </c>
      <c r="F156" s="3" t="n">
        <v>37</v>
      </c>
      <c r="G156" s="3" t="inlineStr">
        <is>
          <t>000001912</t>
        </is>
      </c>
      <c r="H156" s="3" t="inlineStr">
        <is>
          <t>FE YANEZ APUANGO CRISTINA DE L 000001912</t>
        </is>
      </c>
      <c r="I156" s="3" t="n">
        <v>0</v>
      </c>
      <c r="J156" s="3" t="n">
        <v>1.8</v>
      </c>
      <c r="K156" s="3" t="n">
        <v>1865.74</v>
      </c>
      <c r="L156" s="2" t="n"/>
      <c r="M156" s="2" t="n"/>
      <c r="N156" s="2" t="n"/>
      <c r="O156" s="2" t="n"/>
      <c r="P156" s="2" t="n"/>
    </row>
    <row r="157">
      <c r="A157" s="2" t="inlineStr">
        <is>
          <t>02.01.06.01.0004</t>
        </is>
      </c>
      <c r="B157" s="3" t="inlineStr">
        <is>
          <t>30% RETENCION IVA - COMPRAS</t>
        </is>
      </c>
      <c r="C157" s="3" t="inlineStr">
        <is>
          <t>N</t>
        </is>
      </c>
      <c r="D157" s="19" t="n">
        <v>46056</v>
      </c>
      <c r="E157" s="3" t="inlineStr">
        <is>
          <t>CP</t>
        </is>
      </c>
      <c r="F157" s="3" t="n">
        <v>37</v>
      </c>
      <c r="G157" s="3" t="inlineStr">
        <is>
          <t>000003601</t>
        </is>
      </c>
      <c r="H157" s="3" t="inlineStr">
        <is>
          <t>FE PAEZ ORTIZ CHRISTIAN GONZAL 000003601</t>
        </is>
      </c>
      <c r="I157" s="3" t="n">
        <v>0</v>
      </c>
      <c r="J157" s="3" t="n">
        <v>20.7</v>
      </c>
      <c r="K157" s="3" t="n">
        <v>1896.07</v>
      </c>
      <c r="L157" s="2" t="n"/>
      <c r="M157" s="2" t="n"/>
      <c r="N157" s="2" t="n"/>
      <c r="O157" s="2" t="n"/>
      <c r="P157" s="2" t="n"/>
    </row>
    <row r="158">
      <c r="A158" s="2" t="inlineStr">
        <is>
          <t>02.01.06.01.0004</t>
        </is>
      </c>
      <c r="B158" s="3" t="inlineStr">
        <is>
          <t>30% RETENCION IVA - COMPRAS</t>
        </is>
      </c>
      <c r="C158" s="3" t="inlineStr">
        <is>
          <t>N</t>
        </is>
      </c>
      <c r="D158" s="19" t="n">
        <v>46056</v>
      </c>
      <c r="E158" s="3" t="inlineStr">
        <is>
          <t>CP</t>
        </is>
      </c>
      <c r="F158" s="3" t="n">
        <v>37</v>
      </c>
      <c r="G158" s="3" t="inlineStr">
        <is>
          <t>000003602</t>
        </is>
      </c>
      <c r="H158" s="3" t="inlineStr">
        <is>
          <t>FE PAEZ ORTIZ CHRISTIAN GONZAL 000003602</t>
        </is>
      </c>
      <c r="I158" s="3" t="n">
        <v>0</v>
      </c>
      <c r="J158" s="3" t="n">
        <v>2.16</v>
      </c>
      <c r="K158" s="3" t="n">
        <v>1893.91</v>
      </c>
      <c r="L158" s="2" t="n"/>
      <c r="M158" s="2" t="n"/>
      <c r="N158" s="2" t="n"/>
      <c r="O158" s="2" t="n"/>
      <c r="P158" s="2" t="n"/>
    </row>
    <row r="159">
      <c r="A159" s="2" t="inlineStr">
        <is>
          <t>02.01.06.01.0004</t>
        </is>
      </c>
      <c r="B159" s="3" t="inlineStr">
        <is>
          <t>30% RETENCION IVA - COMPRAS</t>
        </is>
      </c>
      <c r="C159" s="3" t="inlineStr">
        <is>
          <t>N</t>
        </is>
      </c>
      <c r="D159" s="19" t="n">
        <v>46056</v>
      </c>
      <c r="E159" s="3" t="inlineStr">
        <is>
          <t>CP</t>
        </is>
      </c>
      <c r="F159" s="3" t="n">
        <v>37</v>
      </c>
      <c r="G159" s="3" t="inlineStr">
        <is>
          <t>000003603</t>
        </is>
      </c>
      <c r="H159" s="3" t="inlineStr">
        <is>
          <t>FE PAEZ ORTIZ CHRISTIAN GONZAL 000003603</t>
        </is>
      </c>
      <c r="I159" s="3" t="n">
        <v>0</v>
      </c>
      <c r="J159" s="3" t="n">
        <v>3.42</v>
      </c>
      <c r="K159" s="3" t="n">
        <v>1890.49</v>
      </c>
      <c r="L159" s="2" t="n"/>
      <c r="M159" s="2" t="n"/>
      <c r="N159" s="2" t="n"/>
      <c r="O159" s="2" t="n"/>
      <c r="P159" s="2" t="n"/>
    </row>
    <row r="160">
      <c r="A160" s="2" t="inlineStr">
        <is>
          <t>02.01.06.01.0004</t>
        </is>
      </c>
      <c r="B160" s="3" t="inlineStr">
        <is>
          <t>30% RETENCION IVA - COMPRAS</t>
        </is>
      </c>
      <c r="C160" s="3" t="inlineStr">
        <is>
          <t>N</t>
        </is>
      </c>
      <c r="D160" s="19" t="n">
        <v>46056</v>
      </c>
      <c r="E160" s="3" t="inlineStr">
        <is>
          <t>CP</t>
        </is>
      </c>
      <c r="F160" s="3" t="n">
        <v>37</v>
      </c>
      <c r="G160" s="3" t="inlineStr">
        <is>
          <t>000031801</t>
        </is>
      </c>
      <c r="H160" s="3" t="inlineStr">
        <is>
          <t>FE VARGAS TORRES WALTTER DARIO 000031801</t>
        </is>
      </c>
      <c r="I160" s="3" t="n">
        <v>0</v>
      </c>
      <c r="J160" s="3" t="n">
        <v>22.95</v>
      </c>
      <c r="K160" s="3" t="n">
        <v>1867.54</v>
      </c>
      <c r="L160" s="2" t="n"/>
      <c r="M160" s="2" t="n"/>
      <c r="N160" s="2" t="n"/>
      <c r="O160" s="2" t="n"/>
      <c r="P160" s="2" t="n"/>
    </row>
    <row r="161">
      <c r="A161" s="2" t="inlineStr">
        <is>
          <t>02.01.06.01.0004</t>
        </is>
      </c>
      <c r="B161" s="3" t="inlineStr">
        <is>
          <t>30% RETENCION IVA - COMPRAS</t>
        </is>
      </c>
      <c r="C161" s="3" t="inlineStr">
        <is>
          <t>N</t>
        </is>
      </c>
      <c r="D161" s="19" t="n">
        <v>46057</v>
      </c>
      <c r="E161" s="3" t="inlineStr">
        <is>
          <t>INVEN</t>
        </is>
      </c>
      <c r="F161" s="3" t="n">
        <v>51</v>
      </c>
      <c r="G161" s="3" t="inlineStr">
        <is>
          <t>000000523</t>
        </is>
      </c>
      <c r="H161" s="3" t="inlineStr">
        <is>
          <t>IN YANGTSE-AUTO DEL ECUADOR S.A. 000000523</t>
        </is>
      </c>
      <c r="I161" s="3" t="n">
        <v>0</v>
      </c>
      <c r="J161" s="3" t="n">
        <v>15.65</v>
      </c>
      <c r="K161" s="3" t="n">
        <v>223.44</v>
      </c>
      <c r="L161" s="2" t="n"/>
      <c r="M161" s="2" t="n"/>
      <c r="N161" s="2" t="n"/>
      <c r="O161" s="2" t="n"/>
      <c r="P161" s="2" t="n"/>
    </row>
    <row r="162">
      <c r="A162" s="2" t="inlineStr">
        <is>
          <t>02.01.06.01.0004</t>
        </is>
      </c>
      <c r="B162" s="3" t="inlineStr">
        <is>
          <t>30% RETENCION IVA - COMPRAS</t>
        </is>
      </c>
      <c r="C162" s="3" t="inlineStr">
        <is>
          <t>N</t>
        </is>
      </c>
      <c r="D162" s="19" t="n">
        <v>46057</v>
      </c>
      <c r="E162" s="3" t="inlineStr">
        <is>
          <t>INVEN</t>
        </is>
      </c>
      <c r="F162" s="3" t="n">
        <v>52</v>
      </c>
      <c r="G162" s="3" t="inlineStr">
        <is>
          <t>000017622</t>
        </is>
      </c>
      <c r="H162" s="3" t="inlineStr">
        <is>
          <t>IN TITANIA TRACKING SOLUTIONS-EC S A S 000017622</t>
        </is>
      </c>
      <c r="I162" s="3" t="n">
        <v>0</v>
      </c>
      <c r="J162" s="3" t="n">
        <v>91.8</v>
      </c>
      <c r="K162" s="3" t="n">
        <v>131.64</v>
      </c>
      <c r="L162" s="2" t="n"/>
      <c r="M162" s="2" t="n"/>
      <c r="N162" s="2" t="n"/>
      <c r="O162" s="2" t="n"/>
      <c r="P162" s="2" t="n"/>
    </row>
    <row r="163">
      <c r="A163" s="2" t="inlineStr">
        <is>
          <t>02.01.06.01.0004</t>
        </is>
      </c>
      <c r="B163" s="3" t="inlineStr">
        <is>
          <t>30% RETENCION IVA - COMPRAS</t>
        </is>
      </c>
      <c r="C163" s="3" t="inlineStr">
        <is>
          <t>N</t>
        </is>
      </c>
      <c r="D163" s="19" t="n">
        <v>46057</v>
      </c>
      <c r="E163" s="3" t="inlineStr">
        <is>
          <t>CP</t>
        </is>
      </c>
      <c r="F163" s="3" t="n">
        <v>53</v>
      </c>
      <c r="G163" s="3" t="inlineStr">
        <is>
          <t>000052804</t>
        </is>
      </c>
      <c r="H163" s="3" t="inlineStr">
        <is>
          <t>FE TOYOTASERVICIOS S.A. 000052804</t>
        </is>
      </c>
      <c r="I163" s="3" t="n">
        <v>0</v>
      </c>
      <c r="J163" s="3" t="n">
        <v>2.87</v>
      </c>
      <c r="K163" s="3" t="n">
        <v>1270.4</v>
      </c>
      <c r="L163" s="2" t="n"/>
      <c r="M163" s="2" t="n"/>
      <c r="N163" s="2" t="n"/>
      <c r="O163" s="2" t="n"/>
      <c r="P163" s="2" t="n"/>
    </row>
    <row r="164">
      <c r="A164" s="2" t="inlineStr">
        <is>
          <t>02.01.06.01.0004</t>
        </is>
      </c>
      <c r="B164" s="3" t="inlineStr">
        <is>
          <t>30% RETENCION IVA - COMPRAS</t>
        </is>
      </c>
      <c r="C164" s="3" t="inlineStr">
        <is>
          <t>N</t>
        </is>
      </c>
      <c r="D164" s="19" t="n">
        <v>46058</v>
      </c>
      <c r="E164" s="3" t="inlineStr">
        <is>
          <t>INVEN</t>
        </is>
      </c>
      <c r="F164" s="3" t="n">
        <v>54</v>
      </c>
      <c r="G164" s="3" t="inlineStr">
        <is>
          <t>000017621</t>
        </is>
      </c>
      <c r="H164" s="3" t="inlineStr">
        <is>
          <t>IN TITANIA TRACKING SOLUTIONS-EC S A S 000017621</t>
        </is>
      </c>
      <c r="I164" s="3" t="n">
        <v>0</v>
      </c>
      <c r="J164" s="3" t="n">
        <v>91.8</v>
      </c>
      <c r="K164" s="3" t="n">
        <v>39.84</v>
      </c>
      <c r="L164" s="2" t="n"/>
      <c r="M164" s="2" t="n"/>
      <c r="N164" s="2" t="n"/>
      <c r="O164" s="2" t="n"/>
      <c r="P164" s="2" t="n"/>
    </row>
    <row r="165">
      <c r="A165" s="2" t="inlineStr">
        <is>
          <t>02.01.06.01.0004</t>
        </is>
      </c>
      <c r="B165" s="3" t="inlineStr">
        <is>
          <t>30% RETENCION IVA - COMPRAS</t>
        </is>
      </c>
      <c r="C165" s="3" t="inlineStr">
        <is>
          <t>N</t>
        </is>
      </c>
      <c r="D165" s="19" t="n">
        <v>46058</v>
      </c>
      <c r="E165" s="3" t="inlineStr">
        <is>
          <t>INVEN</t>
        </is>
      </c>
      <c r="F165" s="3" t="n">
        <v>55</v>
      </c>
      <c r="G165" s="3" t="inlineStr">
        <is>
          <t>000014870</t>
        </is>
      </c>
      <c r="H165" s="3" t="inlineStr">
        <is>
          <t>IN TOYOTASERVICIOS S.A. 000014870</t>
        </is>
      </c>
      <c r="I165" s="3" t="n">
        <v>0</v>
      </c>
      <c r="J165" s="3" t="n">
        <v>30.63</v>
      </c>
      <c r="K165" s="3" t="n">
        <v>9.210000000000001</v>
      </c>
      <c r="L165" s="2" t="n"/>
      <c r="M165" s="2" t="n"/>
      <c r="N165" s="2" t="n"/>
      <c r="O165" s="2" t="n"/>
      <c r="P165" s="2" t="n"/>
    </row>
    <row r="166">
      <c r="A166" s="2" t="inlineStr">
        <is>
          <t>02.01.06.01.0004</t>
        </is>
      </c>
      <c r="B166" s="3" t="inlineStr">
        <is>
          <t>30% RETENCION IVA - COMPRAS</t>
        </is>
      </c>
      <c r="C166" s="3" t="inlineStr">
        <is>
          <t>N</t>
        </is>
      </c>
      <c r="D166" s="19" t="n">
        <v>46059</v>
      </c>
      <c r="E166" s="3" t="inlineStr">
        <is>
          <t>INVEN</t>
        </is>
      </c>
      <c r="F166" s="3" t="n">
        <v>58</v>
      </c>
      <c r="G166" s="3" t="inlineStr">
        <is>
          <t>000014871</t>
        </is>
      </c>
      <c r="H166" s="3" t="inlineStr">
        <is>
          <t>IN TOYOTASERVICIOS S.A. 000014871</t>
        </is>
      </c>
      <c r="I166" s="3" t="n">
        <v>0</v>
      </c>
      <c r="J166" s="3" t="n">
        <v>9.210000000000001</v>
      </c>
      <c r="K166" s="3" t="n">
        <v>0</v>
      </c>
      <c r="L166" s="2" t="n"/>
      <c r="M166" s="2" t="n"/>
      <c r="N166" s="2" t="n"/>
      <c r="O166" s="2" t="n"/>
      <c r="P166" s="2" t="n"/>
    </row>
    <row r="167">
      <c r="A167" s="2" t="inlineStr">
        <is>
          <t>02.01.06.01.0004</t>
        </is>
      </c>
      <c r="B167" s="3" t="inlineStr">
        <is>
          <t>30% RETENCION IVA - COMPRAS</t>
        </is>
      </c>
      <c r="C167" s="3" t="inlineStr">
        <is>
          <t>N</t>
        </is>
      </c>
      <c r="D167" s="19" t="n">
        <v>46061</v>
      </c>
      <c r="E167" s="3" t="inlineStr">
        <is>
          <t>CP</t>
        </is>
      </c>
      <c r="F167" s="3" t="n">
        <v>70</v>
      </c>
      <c r="G167" s="3" t="inlineStr">
        <is>
          <t>000000053</t>
        </is>
      </c>
      <c r="H167" s="3" t="inlineStr">
        <is>
          <t>FE POVEDA ALMEIDA EFRAIN ALEJA 000000053</t>
        </is>
      </c>
      <c r="I167" s="3" t="n">
        <v>0</v>
      </c>
      <c r="J167" s="3" t="n">
        <v>3.15</v>
      </c>
      <c r="K167" s="3" t="n">
        <v>1256.81</v>
      </c>
      <c r="L167" s="2" t="n"/>
      <c r="M167" s="2" t="n"/>
      <c r="N167" s="2" t="n"/>
      <c r="O167" s="2" t="n"/>
      <c r="P167" s="2" t="n"/>
    </row>
    <row r="168">
      <c r="A168" s="2" t="inlineStr">
        <is>
          <t>02.01.06.01.0004</t>
        </is>
      </c>
      <c r="B168" s="3" t="inlineStr">
        <is>
          <t>30% RETENCION IVA - COMPRAS</t>
        </is>
      </c>
      <c r="C168" s="3" t="inlineStr">
        <is>
          <t>N</t>
        </is>
      </c>
      <c r="D168" s="19" t="n">
        <v>46061</v>
      </c>
      <c r="E168" s="3" t="inlineStr">
        <is>
          <t>CP</t>
        </is>
      </c>
      <c r="F168" s="3" t="n">
        <v>70</v>
      </c>
      <c r="G168" s="3" t="inlineStr">
        <is>
          <t>000000054</t>
        </is>
      </c>
      <c r="H168" s="3" t="inlineStr">
        <is>
          <t>FE POVEDA ALMEIDA EFRAIN ALEJA 000000054</t>
        </is>
      </c>
      <c r="I168" s="3" t="n">
        <v>0</v>
      </c>
      <c r="J168" s="3" t="n">
        <v>3.15</v>
      </c>
      <c r="K168" s="3" t="n">
        <v>1253.66</v>
      </c>
      <c r="L168" s="2" t="n"/>
      <c r="M168" s="2" t="n"/>
      <c r="N168" s="2" t="n"/>
      <c r="O168" s="2" t="n"/>
      <c r="P168" s="2" t="n"/>
    </row>
    <row r="169">
      <c r="A169" s="2" t="inlineStr">
        <is>
          <t>02.01.06.01.0004</t>
        </is>
      </c>
      <c r="B169" s="3" t="inlineStr">
        <is>
          <t>30% RETENCION IVA - COMPRAS</t>
        </is>
      </c>
      <c r="C169" s="3" t="inlineStr">
        <is>
          <t>N</t>
        </is>
      </c>
      <c r="D169" s="19" t="n">
        <v>46061</v>
      </c>
      <c r="E169" s="3" t="inlineStr">
        <is>
          <t>CP</t>
        </is>
      </c>
      <c r="F169" s="3" t="n">
        <v>70</v>
      </c>
      <c r="G169" s="3" t="inlineStr">
        <is>
          <t>000001176</t>
        </is>
      </c>
      <c r="H169" s="3" t="inlineStr">
        <is>
          <t>FE CATA�A DIAZ ANDREA BELEN 000001176</t>
        </is>
      </c>
      <c r="I169" s="3" t="n">
        <v>0</v>
      </c>
      <c r="J169" s="3" t="n">
        <v>4.23</v>
      </c>
      <c r="K169" s="3" t="n">
        <v>1266.17</v>
      </c>
      <c r="L169" s="2" t="n"/>
      <c r="M169" s="2" t="n"/>
      <c r="N169" s="2" t="n"/>
      <c r="O169" s="2" t="n"/>
      <c r="P169" s="2" t="n"/>
    </row>
    <row r="170">
      <c r="A170" s="2" t="inlineStr">
        <is>
          <t>02.01.06.01.0004</t>
        </is>
      </c>
      <c r="B170" s="3" t="inlineStr">
        <is>
          <t>30% RETENCION IVA - COMPRAS</t>
        </is>
      </c>
      <c r="C170" s="3" t="inlineStr">
        <is>
          <t>N</t>
        </is>
      </c>
      <c r="D170" s="19" t="n">
        <v>46061</v>
      </c>
      <c r="E170" s="3" t="inlineStr">
        <is>
          <t>CP</t>
        </is>
      </c>
      <c r="F170" s="3" t="n">
        <v>70</v>
      </c>
      <c r="G170" s="3" t="inlineStr">
        <is>
          <t>000003607</t>
        </is>
      </c>
      <c r="H170" s="3" t="inlineStr">
        <is>
          <t>FE PAEZ ORTIZ CHRISTIAN GONZAL 000003607</t>
        </is>
      </c>
      <c r="I170" s="3" t="n">
        <v>0</v>
      </c>
      <c r="J170" s="3" t="n">
        <v>2.7</v>
      </c>
      <c r="K170" s="3" t="n">
        <v>1259.96</v>
      </c>
      <c r="L170" s="2" t="n"/>
      <c r="M170" s="2" t="n"/>
      <c r="N170" s="2" t="n"/>
      <c r="O170" s="2" t="n"/>
      <c r="P170" s="2" t="n"/>
    </row>
    <row r="171">
      <c r="A171" s="2" t="inlineStr">
        <is>
          <t>02.01.06.01.0004</t>
        </is>
      </c>
      <c r="B171" s="3" t="inlineStr">
        <is>
          <t>30% RETENCION IVA - COMPRAS</t>
        </is>
      </c>
      <c r="C171" s="3" t="inlineStr">
        <is>
          <t>N</t>
        </is>
      </c>
      <c r="D171" s="19" t="n">
        <v>46061</v>
      </c>
      <c r="E171" s="3" t="inlineStr">
        <is>
          <t>CP</t>
        </is>
      </c>
      <c r="F171" s="3" t="n">
        <v>70</v>
      </c>
      <c r="G171" s="3" t="inlineStr">
        <is>
          <t>000006831</t>
        </is>
      </c>
      <c r="H171" s="3" t="inlineStr">
        <is>
          <t>FE TOYOTASERVICIOS S.A. 000006831</t>
        </is>
      </c>
      <c r="I171" s="3" t="n">
        <v>0</v>
      </c>
      <c r="J171" s="3" t="n">
        <v>1.4</v>
      </c>
      <c r="K171" s="3" t="n">
        <v>1252.26</v>
      </c>
      <c r="L171" s="2" t="n"/>
      <c r="M171" s="2" t="n"/>
      <c r="N171" s="2" t="n"/>
      <c r="O171" s="2" t="n"/>
      <c r="P171" s="2" t="n"/>
    </row>
    <row r="172">
      <c r="A172" s="2" t="inlineStr">
        <is>
          <t>02.01.06.01.0004</t>
        </is>
      </c>
      <c r="B172" s="3" t="inlineStr">
        <is>
          <t>30% RETENCION IVA - COMPRAS</t>
        </is>
      </c>
      <c r="C172" s="3" t="inlineStr">
        <is>
          <t>N</t>
        </is>
      </c>
      <c r="D172" s="19" t="n">
        <v>46061</v>
      </c>
      <c r="E172" s="3" t="inlineStr">
        <is>
          <t>CP</t>
        </is>
      </c>
      <c r="F172" s="3" t="n">
        <v>70</v>
      </c>
      <c r="G172" s="3" t="inlineStr">
        <is>
          <t>000006833</t>
        </is>
      </c>
      <c r="H172" s="3" t="inlineStr">
        <is>
          <t>FE TOYOTASERVICIOS S.A. 000006833</t>
        </is>
      </c>
      <c r="I172" s="3" t="n">
        <v>0</v>
      </c>
      <c r="J172" s="3" t="n">
        <v>1.34</v>
      </c>
      <c r="K172" s="3" t="n">
        <v>1250.92</v>
      </c>
      <c r="L172" s="2" t="n"/>
      <c r="M172" s="2" t="n"/>
      <c r="N172" s="2" t="n"/>
      <c r="O172" s="2" t="n"/>
      <c r="P172" s="2" t="n"/>
    </row>
    <row r="173">
      <c r="A173" s="2" t="inlineStr">
        <is>
          <t>02.01.06.01.0004</t>
        </is>
      </c>
      <c r="B173" s="3" t="inlineStr">
        <is>
          <t>30% RETENCION IVA - COMPRAS</t>
        </is>
      </c>
      <c r="C173" s="3" t="inlineStr">
        <is>
          <t>N</t>
        </is>
      </c>
      <c r="D173" s="19" t="n">
        <v>46061</v>
      </c>
      <c r="E173" s="3" t="inlineStr">
        <is>
          <t>CP</t>
        </is>
      </c>
      <c r="F173" s="3" t="n">
        <v>70</v>
      </c>
      <c r="G173" s="3" t="inlineStr">
        <is>
          <t>000125378</t>
        </is>
      </c>
      <c r="H173" s="3" t="inlineStr">
        <is>
          <t>FE GONZALEZ VEGA EL MOTOR CIA 000125378</t>
        </is>
      </c>
      <c r="I173" s="3" t="n">
        <v>0</v>
      </c>
      <c r="J173" s="3" t="n">
        <v>3.51</v>
      </c>
      <c r="K173" s="3" t="n">
        <v>1262.66</v>
      </c>
      <c r="L173" s="2" t="n"/>
      <c r="M173" s="2" t="n"/>
      <c r="N173" s="2" t="n"/>
      <c r="O173" s="2" t="n"/>
      <c r="P173" s="2" t="n"/>
    </row>
    <row r="174">
      <c r="A174" s="2" t="inlineStr">
        <is>
          <t>02.01.06.01.0004</t>
        </is>
      </c>
      <c r="B174" s="3" t="inlineStr">
        <is>
          <t>30% RETENCION IVA - COMPRAS</t>
        </is>
      </c>
      <c r="C174" s="3" t="inlineStr">
        <is>
          <t>N</t>
        </is>
      </c>
      <c r="D174" s="19" t="n">
        <v>46062</v>
      </c>
      <c r="E174" s="3" t="inlineStr">
        <is>
          <t>CP</t>
        </is>
      </c>
      <c r="F174" s="3" t="n">
        <v>84</v>
      </c>
      <c r="G174" s="3" t="inlineStr">
        <is>
          <t>000000055</t>
        </is>
      </c>
      <c r="H174" s="3" t="inlineStr">
        <is>
          <t>FE POVEDA ALMEIDA EFRAIN ALEJA 000000055</t>
        </is>
      </c>
      <c r="I174" s="3" t="n">
        <v>0</v>
      </c>
      <c r="J174" s="3" t="n">
        <v>3.15</v>
      </c>
      <c r="K174" s="3" t="n">
        <v>1247.77</v>
      </c>
      <c r="L174" s="2" t="n"/>
      <c r="M174" s="2" t="n"/>
      <c r="N174" s="2" t="n"/>
      <c r="O174" s="2" t="n"/>
      <c r="P174" s="2" t="n"/>
    </row>
    <row r="175">
      <c r="A175" s="2" t="inlineStr">
        <is>
          <t>02.01.06.01.0004</t>
        </is>
      </c>
      <c r="B175" s="3" t="inlineStr">
        <is>
          <t>30% RETENCION IVA - COMPRAS</t>
        </is>
      </c>
      <c r="C175" s="3" t="inlineStr">
        <is>
          <t>N</t>
        </is>
      </c>
      <c r="D175" s="19" t="n">
        <v>46062</v>
      </c>
      <c r="E175" s="3" t="inlineStr">
        <is>
          <t>CP</t>
        </is>
      </c>
      <c r="F175" s="3" t="n">
        <v>84</v>
      </c>
      <c r="G175" s="3" t="inlineStr">
        <is>
          <t>000000640</t>
        </is>
      </c>
      <c r="H175" s="3" t="inlineStr">
        <is>
          <t>FE YANGTSE-AUTO DEL ECUADOR S. 000000640</t>
        </is>
      </c>
      <c r="I175" s="3" t="n">
        <v>0</v>
      </c>
      <c r="J175" s="3" t="n">
        <v>629.14</v>
      </c>
      <c r="K175" s="3" t="n">
        <v>618.63</v>
      </c>
      <c r="L175" s="2" t="n"/>
      <c r="M175" s="2" t="n"/>
      <c r="N175" s="2" t="n"/>
      <c r="O175" s="2" t="n"/>
      <c r="P175" s="2" t="n"/>
    </row>
    <row r="176">
      <c r="A176" s="2" t="inlineStr">
        <is>
          <t>02.01.06.01.0004</t>
        </is>
      </c>
      <c r="B176" s="3" t="inlineStr">
        <is>
          <t>30% RETENCION IVA - COMPRAS</t>
        </is>
      </c>
      <c r="C176" s="3" t="inlineStr">
        <is>
          <t>N</t>
        </is>
      </c>
      <c r="D176" s="19" t="n">
        <v>46063</v>
      </c>
      <c r="E176" s="3" t="inlineStr">
        <is>
          <t>INVEN</t>
        </is>
      </c>
      <c r="F176" s="3" t="n">
        <v>103</v>
      </c>
      <c r="G176" s="3" t="inlineStr">
        <is>
          <t>000014881</t>
        </is>
      </c>
      <c r="H176" s="3" t="inlineStr">
        <is>
          <t>IN TOYOTASERVICIOS S.A. 000014881</t>
        </is>
      </c>
      <c r="I176" s="3" t="n">
        <v>0</v>
      </c>
      <c r="J176" s="3" t="n">
        <v>30.43</v>
      </c>
      <c r="K176" s="3" t="n">
        <v>588.2</v>
      </c>
      <c r="L176" s="2" t="n"/>
      <c r="M176" s="2" t="n"/>
      <c r="N176" s="2" t="n"/>
      <c r="O176" s="2" t="n"/>
      <c r="P176" s="2" t="n"/>
    </row>
    <row r="177">
      <c r="A177" s="2" t="inlineStr">
        <is>
          <t>02.01.06.01.0004</t>
        </is>
      </c>
      <c r="B177" s="3" t="inlineStr">
        <is>
          <t>30% RETENCION IVA - COMPRAS</t>
        </is>
      </c>
      <c r="C177" s="3" t="inlineStr">
        <is>
          <t>N</t>
        </is>
      </c>
      <c r="D177" s="19" t="n">
        <v>46063</v>
      </c>
      <c r="E177" s="3" t="inlineStr">
        <is>
          <t>CP</t>
        </is>
      </c>
      <c r="F177" s="3" t="n">
        <v>104</v>
      </c>
      <c r="G177" s="3" t="inlineStr">
        <is>
          <t>000000413</t>
        </is>
      </c>
      <c r="H177" s="3" t="inlineStr">
        <is>
          <t>FE LAYOUT S.A. 000000413</t>
        </is>
      </c>
      <c r="I177" s="3" t="n">
        <v>0</v>
      </c>
      <c r="J177" s="3" t="n">
        <v>55.41</v>
      </c>
      <c r="K177" s="3" t="n">
        <v>10304.77</v>
      </c>
      <c r="L177" s="2" t="n"/>
      <c r="M177" s="2" t="n"/>
      <c r="N177" s="2" t="n"/>
      <c r="O177" s="2" t="n"/>
      <c r="P177" s="2" t="n"/>
    </row>
    <row r="178">
      <c r="A178" s="2" t="inlineStr">
        <is>
          <t>02.01.06.01.0004</t>
        </is>
      </c>
      <c r="B178" s="3" t="inlineStr">
        <is>
          <t>30% RETENCION IVA - COMPRAS</t>
        </is>
      </c>
      <c r="C178" s="3" t="inlineStr">
        <is>
          <t>N</t>
        </is>
      </c>
      <c r="D178" s="19" t="n">
        <v>46063</v>
      </c>
      <c r="E178" s="3" t="inlineStr">
        <is>
          <t>CP</t>
        </is>
      </c>
      <c r="F178" s="3" t="n">
        <v>104</v>
      </c>
      <c r="G178" s="3" t="inlineStr">
        <is>
          <t>000014882</t>
        </is>
      </c>
      <c r="H178" s="3" t="inlineStr">
        <is>
          <t>FE TOYOTASERVICIOS S.A. 000014882</t>
        </is>
      </c>
      <c r="I178" s="3" t="n">
        <v>0</v>
      </c>
      <c r="J178" s="3" t="n">
        <v>5.85</v>
      </c>
      <c r="K178" s="3" t="n">
        <v>10298.92</v>
      </c>
      <c r="L178" s="2" t="n"/>
      <c r="M178" s="2" t="n"/>
      <c r="N178" s="2" t="n"/>
      <c r="O178" s="2" t="n"/>
      <c r="P178" s="2" t="n"/>
    </row>
    <row r="179">
      <c r="A179" s="2" t="inlineStr">
        <is>
          <t>02.01.06.01.0004</t>
        </is>
      </c>
      <c r="B179" s="3" t="inlineStr">
        <is>
          <t>30% RETENCION IVA - COMPRAS</t>
        </is>
      </c>
      <c r="C179" s="3" t="inlineStr">
        <is>
          <t>N</t>
        </is>
      </c>
      <c r="D179" s="19" t="n">
        <v>46065</v>
      </c>
      <c r="E179" s="3" t="inlineStr">
        <is>
          <t>CP</t>
        </is>
      </c>
      <c r="F179" s="3" t="n">
        <v>121</v>
      </c>
      <c r="G179" s="3" t="inlineStr">
        <is>
          <t>000000651</t>
        </is>
      </c>
      <c r="H179" s="3" t="inlineStr">
        <is>
          <t>FE YANGTSE-AUTO DEL ECUADOR S. 000000651</t>
        </is>
      </c>
      <c r="I179" s="3" t="n">
        <v>0</v>
      </c>
      <c r="J179" s="3" t="n">
        <v>629.14</v>
      </c>
      <c r="K179" s="3" t="n">
        <v>9664.09</v>
      </c>
      <c r="L179" s="2" t="n"/>
      <c r="M179" s="2" t="n"/>
      <c r="N179" s="2" t="n"/>
      <c r="O179" s="2" t="n"/>
      <c r="P179" s="2" t="n"/>
    </row>
    <row r="180">
      <c r="A180" s="2" t="inlineStr">
        <is>
          <t>02.01.06.01.0004</t>
        </is>
      </c>
      <c r="B180" s="3" t="inlineStr">
        <is>
          <t>30% RETENCION IVA - COMPRAS</t>
        </is>
      </c>
      <c r="C180" s="3" t="inlineStr">
        <is>
          <t>N</t>
        </is>
      </c>
      <c r="D180" s="19" t="n">
        <v>46065</v>
      </c>
      <c r="E180" s="3" t="inlineStr">
        <is>
          <t>CP</t>
        </is>
      </c>
      <c r="F180" s="3" t="n">
        <v>121</v>
      </c>
      <c r="G180" s="3" t="inlineStr">
        <is>
          <t>000006871</t>
        </is>
      </c>
      <c r="H180" s="3" t="inlineStr">
        <is>
          <t>FE TOYOTASERVICIOS S.A. 000006871</t>
        </is>
      </c>
      <c r="I180" s="3" t="n">
        <v>0</v>
      </c>
      <c r="J180" s="3" t="n">
        <v>5.69</v>
      </c>
      <c r="K180" s="3" t="n">
        <v>10293.23</v>
      </c>
      <c r="L180" s="2" t="n"/>
      <c r="M180" s="2" t="n"/>
      <c r="N180" s="2" t="n"/>
      <c r="O180" s="2" t="n"/>
      <c r="P180" s="2" t="n"/>
    </row>
    <row r="181">
      <c r="A181" s="2" t="inlineStr">
        <is>
          <t>02.01.06.01.0004</t>
        </is>
      </c>
      <c r="B181" s="3" t="inlineStr">
        <is>
          <t>30% RETENCION IVA - COMPRAS</t>
        </is>
      </c>
      <c r="C181" s="3" t="inlineStr">
        <is>
          <t>N</t>
        </is>
      </c>
      <c r="D181" s="19" t="n">
        <v>46067</v>
      </c>
      <c r="E181" s="3" t="inlineStr">
        <is>
          <t>CP</t>
        </is>
      </c>
      <c r="F181" s="3" t="n">
        <v>123</v>
      </c>
      <c r="G181" s="3" t="inlineStr">
        <is>
          <t>000000659</t>
        </is>
      </c>
      <c r="H181" s="3" t="inlineStr">
        <is>
          <t>FE YANGTSE-AUTO DEL ECUADOR S. 000000659</t>
        </is>
      </c>
      <c r="I181" s="3" t="n">
        <v>0</v>
      </c>
      <c r="J181" s="3" t="n">
        <v>615.85</v>
      </c>
      <c r="K181" s="3" t="n">
        <v>9048.24</v>
      </c>
      <c r="L181" s="2" t="n"/>
      <c r="M181" s="2" t="n"/>
      <c r="N181" s="2" t="n"/>
      <c r="O181" s="2" t="n"/>
      <c r="P181" s="2" t="n"/>
    </row>
    <row r="182">
      <c r="A182" s="2" t="inlineStr">
        <is>
          <t>02.01.06.01.0004</t>
        </is>
      </c>
      <c r="B182" s="3" t="inlineStr">
        <is>
          <t>30% RETENCION IVA - COMPRAS</t>
        </is>
      </c>
      <c r="C182" s="3" t="inlineStr">
        <is>
          <t>N</t>
        </is>
      </c>
      <c r="D182" s="19" t="n">
        <v>46067</v>
      </c>
      <c r="E182" s="3" t="inlineStr">
        <is>
          <t>CP</t>
        </is>
      </c>
      <c r="F182" s="3" t="n">
        <v>123</v>
      </c>
      <c r="G182" s="3" t="inlineStr">
        <is>
          <t>000000660</t>
        </is>
      </c>
      <c r="H182" s="3" t="inlineStr">
        <is>
          <t>FE YANGTSE-AUTO DEL ECUADOR S. 000000660</t>
        </is>
      </c>
      <c r="I182" s="3" t="n">
        <v>0</v>
      </c>
      <c r="J182" s="3" t="n">
        <v>615.85</v>
      </c>
      <c r="K182" s="3" t="n">
        <v>8432.389999999999</v>
      </c>
      <c r="L182" s="2" t="n"/>
      <c r="M182" s="2" t="n"/>
      <c r="N182" s="2" t="n"/>
      <c r="O182" s="2" t="n"/>
      <c r="P182" s="2" t="n"/>
    </row>
    <row r="183">
      <c r="A183" s="2" t="inlineStr">
        <is>
          <t>02.01.06.01.0004</t>
        </is>
      </c>
      <c r="B183" s="3" t="inlineStr">
        <is>
          <t>30% RETENCION IVA - COMPRAS</t>
        </is>
      </c>
      <c r="C183" s="3" t="inlineStr">
        <is>
          <t>N</t>
        </is>
      </c>
      <c r="D183" s="19" t="n">
        <v>46067</v>
      </c>
      <c r="E183" s="3" t="inlineStr">
        <is>
          <t>CP</t>
        </is>
      </c>
      <c r="F183" s="3" t="n">
        <v>123</v>
      </c>
      <c r="G183" s="3" t="inlineStr">
        <is>
          <t>000000661</t>
        </is>
      </c>
      <c r="H183" s="3" t="inlineStr">
        <is>
          <t>FE YANGTSE-AUTO DEL ECUADOR S. 000000661</t>
        </is>
      </c>
      <c r="I183" s="3" t="n">
        <v>0</v>
      </c>
      <c r="J183" s="3" t="n">
        <v>615.85</v>
      </c>
      <c r="K183" s="3" t="n">
        <v>7816.54</v>
      </c>
      <c r="L183" s="2" t="n"/>
      <c r="M183" s="2" t="n"/>
      <c r="N183" s="2" t="n"/>
      <c r="O183" s="2" t="n"/>
      <c r="P183" s="2" t="n"/>
    </row>
    <row r="184">
      <c r="A184" s="2" t="inlineStr">
        <is>
          <t>02.01.06.01.0004</t>
        </is>
      </c>
      <c r="B184" s="3" t="inlineStr">
        <is>
          <t>30% RETENCION IVA - COMPRAS</t>
        </is>
      </c>
      <c r="C184" s="3" t="inlineStr">
        <is>
          <t>N</t>
        </is>
      </c>
      <c r="D184" s="19" t="n">
        <v>46067</v>
      </c>
      <c r="E184" s="3" t="inlineStr">
        <is>
          <t>CP</t>
        </is>
      </c>
      <c r="F184" s="3" t="n">
        <v>123</v>
      </c>
      <c r="G184" s="3" t="inlineStr">
        <is>
          <t>000000662</t>
        </is>
      </c>
      <c r="H184" s="3" t="inlineStr">
        <is>
          <t>FE YANGTSE-AUTO DEL ECUADOR S. 000000662</t>
        </is>
      </c>
      <c r="I184" s="3" t="n">
        <v>0</v>
      </c>
      <c r="J184" s="3" t="n">
        <v>615.85</v>
      </c>
      <c r="K184" s="3" t="n">
        <v>7200.69</v>
      </c>
      <c r="L184" s="2" t="n"/>
      <c r="M184" s="2" t="n"/>
      <c r="N184" s="2" t="n"/>
      <c r="O184" s="2" t="n"/>
      <c r="P184" s="2" t="n"/>
    </row>
    <row r="185">
      <c r="A185" s="2" t="inlineStr">
        <is>
          <t>02.01.06.01.0004</t>
        </is>
      </c>
      <c r="B185" s="3" t="inlineStr">
        <is>
          <t>30% RETENCION IVA - COMPRAS</t>
        </is>
      </c>
      <c r="C185" s="3" t="inlineStr">
        <is>
          <t>N</t>
        </is>
      </c>
      <c r="D185" s="19" t="n">
        <v>46067</v>
      </c>
      <c r="E185" s="3" t="inlineStr">
        <is>
          <t>CP</t>
        </is>
      </c>
      <c r="F185" s="3" t="n">
        <v>123</v>
      </c>
      <c r="G185" s="3" t="inlineStr">
        <is>
          <t>000000664</t>
        </is>
      </c>
      <c r="H185" s="3" t="inlineStr">
        <is>
          <t>FE YANGTSE-AUTO DEL ECUADOR S. 000000664</t>
        </is>
      </c>
      <c r="I185" s="3" t="n">
        <v>0</v>
      </c>
      <c r="J185" s="3" t="n">
        <v>615.85</v>
      </c>
      <c r="K185" s="3" t="n">
        <v>6584.84</v>
      </c>
      <c r="L185" s="2" t="n"/>
      <c r="M185" s="2" t="n"/>
      <c r="N185" s="2" t="n"/>
      <c r="O185" s="2" t="n"/>
      <c r="P185" s="2" t="n"/>
    </row>
    <row r="186">
      <c r="A186" s="2" t="inlineStr">
        <is>
          <t>02.01.06.01.0004</t>
        </is>
      </c>
      <c r="B186" s="3" t="inlineStr">
        <is>
          <t>30% RETENCION IVA - COMPRAS</t>
        </is>
      </c>
      <c r="C186" s="3" t="inlineStr">
        <is>
          <t>N</t>
        </is>
      </c>
      <c r="D186" s="19" t="n">
        <v>46071</v>
      </c>
      <c r="E186" s="3" t="inlineStr">
        <is>
          <t>INVEN</t>
        </is>
      </c>
      <c r="F186" s="3" t="n">
        <v>159</v>
      </c>
      <c r="G186" s="3" t="inlineStr">
        <is>
          <t>000014894</t>
        </is>
      </c>
      <c r="H186" s="3" t="inlineStr">
        <is>
          <t>IN TOYOTASERVICIOS S.A. 000014894</t>
        </is>
      </c>
      <c r="I186" s="3" t="n">
        <v>0</v>
      </c>
      <c r="J186" s="3" t="n">
        <v>30.71</v>
      </c>
      <c r="K186" s="3" t="n">
        <v>557.49</v>
      </c>
      <c r="L186" s="2" t="n"/>
      <c r="M186" s="2" t="n"/>
      <c r="N186" s="2" t="n"/>
      <c r="O186" s="2" t="n"/>
      <c r="P186" s="2" t="n"/>
    </row>
    <row r="187">
      <c r="A187" s="2" t="inlineStr">
        <is>
          <t>02.01.06.01.0004</t>
        </is>
      </c>
      <c r="B187" s="3" t="inlineStr">
        <is>
          <t>30% RETENCION IVA - COMPRAS</t>
        </is>
      </c>
      <c r="C187" s="3" t="inlineStr">
        <is>
          <t>N</t>
        </is>
      </c>
      <c r="D187" s="19" t="n">
        <v>46071</v>
      </c>
      <c r="E187" s="3" t="inlineStr">
        <is>
          <t>INVEN</t>
        </is>
      </c>
      <c r="F187" s="3" t="n">
        <v>159</v>
      </c>
      <c r="G187" s="3" t="inlineStr">
        <is>
          <t>000014895</t>
        </is>
      </c>
      <c r="H187" s="3" t="inlineStr">
        <is>
          <t>IN TOYOTASERVICIOS S.A. 000014895</t>
        </is>
      </c>
      <c r="I187" s="3" t="n">
        <v>0</v>
      </c>
      <c r="J187" s="3" t="n">
        <v>9.9</v>
      </c>
      <c r="K187" s="3" t="n">
        <v>547.59</v>
      </c>
      <c r="L187" s="2" t="n"/>
      <c r="M187" s="2" t="n"/>
      <c r="N187" s="2" t="n"/>
      <c r="O187" s="2" t="n"/>
      <c r="P187" s="2" t="n"/>
    </row>
    <row r="188">
      <c r="A188" s="2" t="inlineStr">
        <is>
          <t>02.01.06.01.0004</t>
        </is>
      </c>
      <c r="B188" s="3" t="inlineStr">
        <is>
          <t>30% RETENCION IVA - COMPRAS</t>
        </is>
      </c>
      <c r="C188" s="3" t="inlineStr">
        <is>
          <t>N</t>
        </is>
      </c>
      <c r="D188" s="19" t="n">
        <v>46071</v>
      </c>
      <c r="E188" s="3" t="inlineStr">
        <is>
          <t>CP</t>
        </is>
      </c>
      <c r="F188" s="3" t="n">
        <v>160</v>
      </c>
      <c r="G188" s="3" t="inlineStr">
        <is>
          <t>000001096</t>
        </is>
      </c>
      <c r="H188" s="3" t="inlineStr">
        <is>
          <t>FE GARCES REA JAVIER ALEJANDRO 000001096</t>
        </is>
      </c>
      <c r="I188" s="3" t="n">
        <v>0</v>
      </c>
      <c r="J188" s="3" t="n">
        <v>45</v>
      </c>
      <c r="K188" s="3" t="n">
        <v>6539.84</v>
      </c>
      <c r="L188" s="2" t="n"/>
      <c r="M188" s="2" t="n"/>
      <c r="N188" s="2" t="n"/>
      <c r="O188" s="2" t="n"/>
      <c r="P188" s="2" t="n"/>
    </row>
    <row r="189">
      <c r="A189" s="2" t="inlineStr">
        <is>
          <t>02.01.06.01.0004</t>
        </is>
      </c>
      <c r="B189" s="3" t="inlineStr">
        <is>
          <t>30% RETENCION IVA - COMPRAS</t>
        </is>
      </c>
      <c r="C189" s="3" t="inlineStr">
        <is>
          <t>N</t>
        </is>
      </c>
      <c r="D189" s="19" t="n">
        <v>46071</v>
      </c>
      <c r="E189" s="3" t="inlineStr">
        <is>
          <t>CP</t>
        </is>
      </c>
      <c r="F189" s="3" t="n">
        <v>160</v>
      </c>
      <c r="G189" s="3" t="inlineStr">
        <is>
          <t>000003622</t>
        </is>
      </c>
      <c r="H189" s="3" t="inlineStr">
        <is>
          <t>FE PAEZ ORTIZ CHRISTIAN GONZAL 000003622</t>
        </is>
      </c>
      <c r="I189" s="3" t="n">
        <v>0</v>
      </c>
      <c r="J189" s="3" t="n">
        <v>3.15</v>
      </c>
      <c r="K189" s="3" t="n">
        <v>6535.77</v>
      </c>
      <c r="L189" s="2" t="n"/>
      <c r="M189" s="2" t="n"/>
      <c r="N189" s="2" t="n"/>
      <c r="O189" s="2" t="n"/>
      <c r="P189" s="2" t="n"/>
    </row>
    <row r="190">
      <c r="A190" s="2" t="inlineStr">
        <is>
          <t>02.01.06.01.0004</t>
        </is>
      </c>
      <c r="B190" s="3" t="inlineStr">
        <is>
          <t>30% RETENCION IVA - COMPRAS</t>
        </is>
      </c>
      <c r="C190" s="3" t="inlineStr">
        <is>
          <t>N</t>
        </is>
      </c>
      <c r="D190" s="19" t="n">
        <v>46071</v>
      </c>
      <c r="E190" s="3" t="inlineStr">
        <is>
          <t>CP</t>
        </is>
      </c>
      <c r="F190" s="3" t="n">
        <v>160</v>
      </c>
      <c r="G190" s="3" t="inlineStr">
        <is>
          <t>000003630</t>
        </is>
      </c>
      <c r="H190" s="3" t="inlineStr">
        <is>
          <t>FE PAEZ ORTIZ CHRISTIAN GONZAL 000003630</t>
        </is>
      </c>
      <c r="I190" s="3" t="n">
        <v>0</v>
      </c>
      <c r="J190" s="3" t="n">
        <v>4.16</v>
      </c>
      <c r="K190" s="3" t="n">
        <v>6531.61</v>
      </c>
      <c r="L190" s="2" t="n"/>
      <c r="M190" s="2" t="n"/>
      <c r="N190" s="2" t="n"/>
      <c r="O190" s="2" t="n"/>
      <c r="P190" s="2" t="n"/>
    </row>
    <row r="191">
      <c r="A191" s="2" t="inlineStr">
        <is>
          <t>02.01.06.01.0004</t>
        </is>
      </c>
      <c r="B191" s="3" t="inlineStr">
        <is>
          <t>30% RETENCION IVA - COMPRAS</t>
        </is>
      </c>
      <c r="C191" s="3" t="inlineStr">
        <is>
          <t>N</t>
        </is>
      </c>
      <c r="D191" s="19" t="n">
        <v>46071</v>
      </c>
      <c r="E191" s="3" t="inlineStr">
        <is>
          <t>CP</t>
        </is>
      </c>
      <c r="F191" s="3" t="n">
        <v>160</v>
      </c>
      <c r="G191" s="3" t="inlineStr">
        <is>
          <t>000003631</t>
        </is>
      </c>
      <c r="H191" s="3" t="inlineStr">
        <is>
          <t>FE PAEZ ORTIZ CHRISTIAN GONZAL 000003631</t>
        </is>
      </c>
      <c r="I191" s="3" t="n">
        <v>0</v>
      </c>
      <c r="J191" s="3" t="n">
        <v>10.46</v>
      </c>
      <c r="K191" s="3" t="n">
        <v>6521.15</v>
      </c>
      <c r="L191" s="2" t="n"/>
      <c r="M191" s="2" t="n"/>
      <c r="N191" s="2" t="n"/>
      <c r="O191" s="2" t="n"/>
      <c r="P191" s="2" t="n"/>
    </row>
    <row r="192">
      <c r="A192" s="2" t="inlineStr">
        <is>
          <t>02.01.06.01.0004</t>
        </is>
      </c>
      <c r="B192" s="3" t="inlineStr">
        <is>
          <t>30% RETENCION IVA - COMPRAS</t>
        </is>
      </c>
      <c r="C192" s="3" t="inlineStr">
        <is>
          <t>N</t>
        </is>
      </c>
      <c r="D192" s="19" t="n">
        <v>46071</v>
      </c>
      <c r="E192" s="3" t="inlineStr">
        <is>
          <t>CP</t>
        </is>
      </c>
      <c r="F192" s="3" t="n">
        <v>160</v>
      </c>
      <c r="G192" s="3" t="inlineStr">
        <is>
          <t>000003632</t>
        </is>
      </c>
      <c r="H192" s="3" t="inlineStr">
        <is>
          <t>FE PAEZ ORTIZ CHRISTIAN GONZAL 000003632</t>
        </is>
      </c>
      <c r="I192" s="3" t="n">
        <v>0</v>
      </c>
      <c r="J192" s="3" t="n">
        <v>13.46</v>
      </c>
      <c r="K192" s="3" t="n">
        <v>6507.69</v>
      </c>
      <c r="L192" s="2" t="n"/>
      <c r="M192" s="2" t="n"/>
      <c r="N192" s="2" t="n"/>
      <c r="O192" s="2" t="n"/>
      <c r="P192" s="2" t="n"/>
    </row>
    <row r="193">
      <c r="A193" s="2" t="inlineStr">
        <is>
          <t>02.01.06.01.0004</t>
        </is>
      </c>
      <c r="B193" s="3" t="inlineStr">
        <is>
          <t>30% RETENCION IVA - COMPRAS</t>
        </is>
      </c>
      <c r="C193" s="3" t="inlineStr">
        <is>
          <t>N</t>
        </is>
      </c>
      <c r="D193" s="19" t="n">
        <v>46071</v>
      </c>
      <c r="E193" s="3" t="inlineStr">
        <is>
          <t>CP</t>
        </is>
      </c>
      <c r="F193" s="3" t="n">
        <v>160</v>
      </c>
      <c r="G193" s="3" t="inlineStr">
        <is>
          <t>000003633</t>
        </is>
      </c>
      <c r="H193" s="3" t="inlineStr">
        <is>
          <t>FE PAEZ ORTIZ CHRISTIAN GONZAL 000003633</t>
        </is>
      </c>
      <c r="I193" s="3" t="n">
        <v>0</v>
      </c>
      <c r="J193" s="3" t="n">
        <v>5.76</v>
      </c>
      <c r="K193" s="3" t="n">
        <v>6501.93</v>
      </c>
      <c r="L193" s="2" t="n"/>
      <c r="M193" s="2" t="n"/>
      <c r="N193" s="2" t="n"/>
      <c r="O193" s="2" t="n"/>
      <c r="P193" s="2" t="n"/>
    </row>
    <row r="194">
      <c r="A194" s="2" t="inlineStr">
        <is>
          <t>02.01.06.01.0004</t>
        </is>
      </c>
      <c r="B194" s="3" t="inlineStr">
        <is>
          <t>30% RETENCION IVA - COMPRAS</t>
        </is>
      </c>
      <c r="C194" s="3" t="inlineStr">
        <is>
          <t>N</t>
        </is>
      </c>
      <c r="D194" s="19" t="n">
        <v>46071</v>
      </c>
      <c r="E194" s="3" t="inlineStr">
        <is>
          <t>CP</t>
        </is>
      </c>
      <c r="F194" s="3" t="n">
        <v>160</v>
      </c>
      <c r="G194" s="3" t="inlineStr">
        <is>
          <t>000003634</t>
        </is>
      </c>
      <c r="H194" s="3" t="inlineStr">
        <is>
          <t>FE PAEZ ORTIZ CHRISTIAN GONZAL 000003634</t>
        </is>
      </c>
      <c r="I194" s="3" t="n">
        <v>0</v>
      </c>
      <c r="J194" s="3" t="n">
        <v>10.37</v>
      </c>
      <c r="K194" s="3" t="n">
        <v>6491.56</v>
      </c>
      <c r="L194" s="2" t="n"/>
      <c r="M194" s="2" t="n"/>
      <c r="N194" s="2" t="n"/>
      <c r="O194" s="2" t="n"/>
      <c r="P194" s="2" t="n"/>
    </row>
    <row r="195">
      <c r="A195" s="2" t="inlineStr">
        <is>
          <t>02.01.06.01.0004</t>
        </is>
      </c>
      <c r="B195" s="3" t="inlineStr">
        <is>
          <t>30% RETENCION IVA - COMPRAS</t>
        </is>
      </c>
      <c r="C195" s="3" t="inlineStr">
        <is>
          <t>N</t>
        </is>
      </c>
      <c r="D195" s="19" t="n">
        <v>46071</v>
      </c>
      <c r="E195" s="3" t="inlineStr">
        <is>
          <t>CP</t>
        </is>
      </c>
      <c r="F195" s="3" t="n">
        <v>160</v>
      </c>
      <c r="G195" s="3" t="inlineStr">
        <is>
          <t>000005950</t>
        </is>
      </c>
      <c r="H195" s="3" t="inlineStr">
        <is>
          <t>FE LALAMA MORALES CARMEN GUADA 000005950</t>
        </is>
      </c>
      <c r="I195" s="3" t="n">
        <v>0</v>
      </c>
      <c r="J195" s="17" t="n">
        <v>0.92</v>
      </c>
      <c r="K195" s="17" t="n">
        <v>6538.92</v>
      </c>
      <c r="L195" s="2" t="n"/>
      <c r="M195" s="2" t="n"/>
      <c r="N195" s="2" t="n"/>
      <c r="O195" s="2" t="n"/>
      <c r="P195" s="2" t="n"/>
    </row>
    <row r="196">
      <c r="A196" s="2" t="inlineStr">
        <is>
          <t>02.01.06.01.0004</t>
        </is>
      </c>
      <c r="B196" s="3" t="inlineStr">
        <is>
          <t>30% RETENCION IVA - COMPRAS</t>
        </is>
      </c>
      <c r="C196" s="3" t="inlineStr">
        <is>
          <t>N</t>
        </is>
      </c>
      <c r="D196" s="19" t="n">
        <v>46071</v>
      </c>
      <c r="E196" s="3" t="inlineStr">
        <is>
          <t>CP</t>
        </is>
      </c>
      <c r="F196" s="3" t="n">
        <v>160</v>
      </c>
      <c r="G196" s="3" t="inlineStr">
        <is>
          <t>000006894</t>
        </is>
      </c>
      <c r="H196" s="3" t="inlineStr">
        <is>
          <t>FE TOYOTASERVICIOS S.A. 000006894</t>
        </is>
      </c>
      <c r="I196" s="3" t="n">
        <v>0</v>
      </c>
      <c r="J196" s="3" t="n">
        <v>1.34</v>
      </c>
      <c r="K196" s="17" t="n">
        <v>6490.22</v>
      </c>
      <c r="L196" s="2" t="n"/>
      <c r="M196" s="2" t="n"/>
      <c r="N196" s="2" t="n"/>
      <c r="O196" s="2" t="n"/>
      <c r="P196" s="2" t="n"/>
    </row>
    <row r="197">
      <c r="A197" s="2" t="inlineStr">
        <is>
          <t>02.01.06.01.0004</t>
        </is>
      </c>
      <c r="B197" s="3" t="inlineStr">
        <is>
          <t>30% RETENCION IVA - COMPRAS</t>
        </is>
      </c>
      <c r="C197" s="3" t="inlineStr">
        <is>
          <t>N</t>
        </is>
      </c>
      <c r="D197" s="19" t="n">
        <v>46072</v>
      </c>
      <c r="E197" s="3" t="inlineStr">
        <is>
          <t>INVEN</t>
        </is>
      </c>
      <c r="F197" s="3" t="n">
        <v>161</v>
      </c>
      <c r="G197" s="3" t="inlineStr">
        <is>
          <t>000000545</t>
        </is>
      </c>
      <c r="H197" s="3" t="inlineStr">
        <is>
          <t>IN YANGTSE-AUTO DEL ECUADOR S.A. 000000545</t>
        </is>
      </c>
      <c r="I197" s="3" t="n">
        <v>0</v>
      </c>
      <c r="J197" s="3" t="n">
        <v>1.17</v>
      </c>
      <c r="K197" s="17" t="n">
        <v>546.42</v>
      </c>
      <c r="L197" s="2" t="n"/>
      <c r="M197" s="2" t="n"/>
      <c r="N197" s="2" t="n"/>
      <c r="O197" s="2" t="n"/>
      <c r="P197" s="2" t="n"/>
    </row>
    <row r="198">
      <c r="A198" s="2" t="inlineStr">
        <is>
          <t>02.01.06.01.0004</t>
        </is>
      </c>
      <c r="B198" s="3" t="inlineStr">
        <is>
          <t>30% RETENCION IVA - COMPRAS</t>
        </is>
      </c>
      <c r="C198" s="3" t="inlineStr">
        <is>
          <t>N</t>
        </is>
      </c>
      <c r="D198" s="19" t="n">
        <v>46075</v>
      </c>
      <c r="E198" s="3" t="inlineStr">
        <is>
          <t>CP</t>
        </is>
      </c>
      <c r="F198" s="3" t="n">
        <v>202</v>
      </c>
      <c r="G198" s="3" t="inlineStr">
        <is>
          <t>000000178</t>
        </is>
      </c>
      <c r="H198" s="3" t="inlineStr">
        <is>
          <t>FE FILLIPPO SANCHEZ ALEXANDER 000000178</t>
        </is>
      </c>
      <c r="I198" s="3" t="n">
        <v>0</v>
      </c>
      <c r="J198" s="3" t="n">
        <v>495.72</v>
      </c>
      <c r="K198" s="17" t="n">
        <v>5985.05</v>
      </c>
      <c r="L198" s="2" t="n"/>
      <c r="M198" s="2" t="n"/>
      <c r="N198" s="2" t="n"/>
      <c r="O198" s="2" t="n"/>
      <c r="P198" s="2" t="n"/>
    </row>
    <row r="199">
      <c r="A199" s="2" t="inlineStr">
        <is>
          <t>02.01.06.01.0004</t>
        </is>
      </c>
      <c r="B199" s="3" t="inlineStr">
        <is>
          <t>30% RETENCION IVA - COMPRAS</t>
        </is>
      </c>
      <c r="C199" s="3" t="inlineStr">
        <is>
          <t>N</t>
        </is>
      </c>
      <c r="D199" s="19" t="n">
        <v>46075</v>
      </c>
      <c r="E199" s="3" t="inlineStr">
        <is>
          <t>CP</t>
        </is>
      </c>
      <c r="F199" s="3" t="n">
        <v>202</v>
      </c>
      <c r="G199" s="3" t="inlineStr">
        <is>
          <t>000001443</t>
        </is>
      </c>
      <c r="H199" s="3" t="inlineStr">
        <is>
          <t>FE TOYOTASERVICIOS S.A. 000001443</t>
        </is>
      </c>
      <c r="I199" s="3" t="n">
        <v>0</v>
      </c>
      <c r="J199" s="3" t="n">
        <v>22.48</v>
      </c>
      <c r="K199" s="17" t="n">
        <v>5949.21</v>
      </c>
      <c r="L199" s="2" t="n"/>
      <c r="M199" s="2" t="n"/>
      <c r="N199" s="2" t="n"/>
      <c r="O199" s="2" t="n"/>
      <c r="P199" s="2" t="n"/>
    </row>
    <row r="200">
      <c r="A200" s="2" t="inlineStr">
        <is>
          <t>02.01.06.01.0004</t>
        </is>
      </c>
      <c r="B200" s="3" t="inlineStr">
        <is>
          <t>30% RETENCION IVA - COMPRAS</t>
        </is>
      </c>
      <c r="C200" s="3" t="inlineStr">
        <is>
          <t>N</t>
        </is>
      </c>
      <c r="D200" s="19" t="n">
        <v>46075</v>
      </c>
      <c r="E200" s="3" t="inlineStr">
        <is>
          <t>CP</t>
        </is>
      </c>
      <c r="F200" s="3" t="n">
        <v>202</v>
      </c>
      <c r="G200" s="3" t="inlineStr">
        <is>
          <t>000005599</t>
        </is>
      </c>
      <c r="H200" s="3" t="inlineStr">
        <is>
          <t>FE SUAREZ JACOME DOLORES FERNA 000005599</t>
        </is>
      </c>
      <c r="I200" s="3" t="n">
        <v>0</v>
      </c>
      <c r="J200" s="3" t="n">
        <v>2.44</v>
      </c>
      <c r="K200" s="17" t="n">
        <v>5982.61</v>
      </c>
      <c r="L200" s="2" t="n"/>
      <c r="M200" s="2" t="n"/>
      <c r="N200" s="2" t="n"/>
      <c r="O200" s="2" t="n"/>
      <c r="P200" s="2" t="n"/>
    </row>
    <row r="201">
      <c r="A201" s="2" t="inlineStr">
        <is>
          <t>02.01.06.01.0004</t>
        </is>
      </c>
      <c r="B201" s="3" t="inlineStr">
        <is>
          <t>30% RETENCION IVA - COMPRAS</t>
        </is>
      </c>
      <c r="C201" s="3" t="inlineStr">
        <is>
          <t>N</t>
        </is>
      </c>
      <c r="D201" s="19" t="n">
        <v>46075</v>
      </c>
      <c r="E201" s="3" t="inlineStr">
        <is>
          <t>CP</t>
        </is>
      </c>
      <c r="F201" s="3" t="n">
        <v>202</v>
      </c>
      <c r="G201" s="3" t="inlineStr">
        <is>
          <t>000005600</t>
        </is>
      </c>
      <c r="H201" s="3" t="inlineStr">
        <is>
          <t>FE SUAREZ JACOME DOLORES FERNA 000005600</t>
        </is>
      </c>
      <c r="I201" s="3" t="n">
        <v>0</v>
      </c>
      <c r="J201" s="3" t="n">
        <v>1.65</v>
      </c>
      <c r="K201" s="17" t="n">
        <v>5980.96</v>
      </c>
      <c r="L201" s="2" t="n"/>
      <c r="M201" s="2" t="n"/>
      <c r="N201" s="2" t="n"/>
      <c r="O201" s="2" t="n"/>
      <c r="P201" s="2" t="n"/>
    </row>
    <row r="202">
      <c r="A202" s="2" t="inlineStr">
        <is>
          <t>02.01.06.01.0004</t>
        </is>
      </c>
      <c r="B202" s="3" t="inlineStr">
        <is>
          <t>30% RETENCION IVA - COMPRAS</t>
        </is>
      </c>
      <c r="C202" s="3" t="inlineStr">
        <is>
          <t>N</t>
        </is>
      </c>
      <c r="D202" s="19" t="n">
        <v>46075</v>
      </c>
      <c r="E202" s="3" t="inlineStr">
        <is>
          <t>CP</t>
        </is>
      </c>
      <c r="F202" s="3" t="n">
        <v>202</v>
      </c>
      <c r="G202" s="3" t="inlineStr">
        <is>
          <t>000005602</t>
        </is>
      </c>
      <c r="H202" s="3" t="inlineStr">
        <is>
          <t>FE SUAREZ JACOME DOLORES FERNA 000005602</t>
        </is>
      </c>
      <c r="I202" s="3" t="n">
        <v>0</v>
      </c>
      <c r="J202" s="17" t="n">
        <v>1.36</v>
      </c>
      <c r="K202" s="17" t="n">
        <v>5979.6</v>
      </c>
      <c r="L202" s="2" t="n"/>
      <c r="M202" s="2" t="n"/>
      <c r="N202" s="2" t="n"/>
      <c r="O202" s="2" t="n"/>
      <c r="P202" s="2" t="n"/>
    </row>
    <row r="203">
      <c r="A203" s="2" t="inlineStr">
        <is>
          <t>02.01.06.01.0004</t>
        </is>
      </c>
      <c r="B203" s="3" t="inlineStr">
        <is>
          <t>30% RETENCION IVA - COMPRAS</t>
        </is>
      </c>
      <c r="C203" s="3" t="inlineStr">
        <is>
          <t>N</t>
        </is>
      </c>
      <c r="D203" s="19" t="n">
        <v>46075</v>
      </c>
      <c r="E203" s="3" t="inlineStr">
        <is>
          <t>CP</t>
        </is>
      </c>
      <c r="F203" s="3" t="n">
        <v>202</v>
      </c>
      <c r="G203" s="3" t="inlineStr">
        <is>
          <t>000005603</t>
        </is>
      </c>
      <c r="H203" s="3" t="inlineStr">
        <is>
          <t>FE SUAREZ JACOME DOLORES FERNA 000005603</t>
        </is>
      </c>
      <c r="I203" s="3" t="n">
        <v>0</v>
      </c>
      <c r="J203" s="3" t="n">
        <v>2.74</v>
      </c>
      <c r="K203" s="17" t="n">
        <v>5976.86</v>
      </c>
      <c r="L203" s="2" t="n"/>
      <c r="M203" s="2" t="n"/>
      <c r="N203" s="2" t="n"/>
      <c r="O203" s="2" t="n"/>
      <c r="P203" s="2" t="n"/>
    </row>
    <row r="204">
      <c r="A204" s="2" t="inlineStr">
        <is>
          <t>02.01.06.01.0004</t>
        </is>
      </c>
      <c r="B204" s="3" t="inlineStr">
        <is>
          <t>30% RETENCION IVA - COMPRAS</t>
        </is>
      </c>
      <c r="C204" s="3" t="inlineStr">
        <is>
          <t>N</t>
        </is>
      </c>
      <c r="D204" s="19" t="n">
        <v>46075</v>
      </c>
      <c r="E204" s="3" t="inlineStr">
        <is>
          <t>CP</t>
        </is>
      </c>
      <c r="F204" s="3" t="n">
        <v>202</v>
      </c>
      <c r="G204" s="3" t="inlineStr">
        <is>
          <t>000005606</t>
        </is>
      </c>
      <c r="H204" s="3" t="inlineStr">
        <is>
          <t>FE SUAREZ JACOME DOLORES FERNA 000005606</t>
        </is>
      </c>
      <c r="I204" s="3" t="n">
        <v>0</v>
      </c>
      <c r="J204" s="3" t="n">
        <v>4.24</v>
      </c>
      <c r="K204" s="17" t="n">
        <v>5972.62</v>
      </c>
      <c r="L204" s="2" t="n"/>
      <c r="M204" s="2" t="n"/>
      <c r="N204" s="2" t="n"/>
      <c r="O204" s="2" t="n"/>
      <c r="P204" s="2" t="n"/>
    </row>
    <row r="205">
      <c r="A205" s="2" t="inlineStr">
        <is>
          <t>02.01.06.01.0004</t>
        </is>
      </c>
      <c r="B205" s="3" t="inlineStr">
        <is>
          <t>30% RETENCION IVA - COMPRAS</t>
        </is>
      </c>
      <c r="C205" s="3" t="inlineStr">
        <is>
          <t>N</t>
        </is>
      </c>
      <c r="D205" s="19" t="n">
        <v>46075</v>
      </c>
      <c r="E205" s="3" t="inlineStr">
        <is>
          <t>CP</t>
        </is>
      </c>
      <c r="F205" s="3" t="n">
        <v>202</v>
      </c>
      <c r="G205" s="3" t="inlineStr">
        <is>
          <t>000005607</t>
        </is>
      </c>
      <c r="H205" s="3" t="inlineStr">
        <is>
          <t>FE SUAREZ JACOME DOLORES FERNA 000005607</t>
        </is>
      </c>
      <c r="I205" s="3" t="n">
        <v>0</v>
      </c>
      <c r="J205" s="17" t="n">
        <v>0.93</v>
      </c>
      <c r="K205" s="17" t="n">
        <v>5971.69</v>
      </c>
      <c r="L205" s="2" t="n"/>
      <c r="M205" s="2" t="n"/>
      <c r="N205" s="2" t="n"/>
      <c r="O205" s="2" t="n"/>
      <c r="P205" s="2" t="n"/>
    </row>
    <row r="206">
      <c r="A206" s="2" t="inlineStr">
        <is>
          <t>02.01.06.01.0004</t>
        </is>
      </c>
      <c r="B206" s="3" t="inlineStr">
        <is>
          <t>30% RETENCION IVA - COMPRAS</t>
        </is>
      </c>
      <c r="C206" s="3" t="inlineStr">
        <is>
          <t>N</t>
        </is>
      </c>
      <c r="D206" s="19" t="n">
        <v>46075</v>
      </c>
      <c r="E206" s="3" t="inlineStr">
        <is>
          <t>CP</t>
        </is>
      </c>
      <c r="F206" s="3" t="n">
        <v>202</v>
      </c>
      <c r="G206" s="3" t="inlineStr">
        <is>
          <t>000006915</t>
        </is>
      </c>
      <c r="H206" s="3" t="inlineStr">
        <is>
          <t>FE TOYOTASERVICIOS S.A. 000006915</t>
        </is>
      </c>
      <c r="I206" s="3" t="n">
        <v>0</v>
      </c>
      <c r="J206" s="3" t="n">
        <v>11.7</v>
      </c>
      <c r="K206" s="17" t="n">
        <v>5937.51</v>
      </c>
      <c r="L206" s="2" t="n"/>
      <c r="M206" s="2" t="n"/>
      <c r="N206" s="2" t="n"/>
      <c r="O206" s="2" t="n"/>
      <c r="P206" s="2" t="n"/>
    </row>
    <row r="207">
      <c r="A207" s="2" t="inlineStr">
        <is>
          <t>02.01.06.01.0004</t>
        </is>
      </c>
      <c r="B207" s="3" t="inlineStr">
        <is>
          <t>30% RETENCION IVA - COMPRAS</t>
        </is>
      </c>
      <c r="C207" s="3" t="inlineStr">
        <is>
          <t>N</t>
        </is>
      </c>
      <c r="D207" s="19" t="n">
        <v>46075</v>
      </c>
      <c r="E207" s="3" t="inlineStr">
        <is>
          <t>CP</t>
        </is>
      </c>
      <c r="F207" s="3" t="n">
        <v>202</v>
      </c>
      <c r="G207" s="3" t="inlineStr">
        <is>
          <t>000007371</t>
        </is>
      </c>
      <c r="H207" s="3" t="inlineStr">
        <is>
          <t>FE ARELLANO YEPEZ ANDRES FERNA 000007371</t>
        </is>
      </c>
      <c r="I207" s="3" t="n">
        <v>0</v>
      </c>
      <c r="J207" s="3" t="n">
        <v>9.449999999999999</v>
      </c>
      <c r="K207" s="17" t="n">
        <v>6480.77</v>
      </c>
      <c r="L207" s="2" t="n"/>
      <c r="M207" s="2" t="n"/>
      <c r="N207" s="2" t="n"/>
      <c r="O207" s="2" t="n"/>
      <c r="P207" s="2" t="n"/>
    </row>
    <row r="208">
      <c r="A208" s="2" t="inlineStr">
        <is>
          <t>02.01.06.01.0004</t>
        </is>
      </c>
      <c r="B208" s="3" t="inlineStr">
        <is>
          <t>30% RETENCION IVA - COMPRAS</t>
        </is>
      </c>
      <c r="C208" s="3" t="inlineStr">
        <is>
          <t>N</t>
        </is>
      </c>
      <c r="D208" s="19" t="n">
        <v>46075</v>
      </c>
      <c r="E208" s="3" t="inlineStr">
        <is>
          <t>CP</t>
        </is>
      </c>
      <c r="F208" s="3" t="n">
        <v>202</v>
      </c>
      <c r="G208" s="3" t="inlineStr">
        <is>
          <t>000007752</t>
        </is>
      </c>
      <c r="H208" s="3" t="inlineStr">
        <is>
          <t>FE TOYOTASERVICIOS S.A. 000007752</t>
        </is>
      </c>
      <c r="I208" s="3" t="n">
        <v>0</v>
      </c>
      <c r="J208" s="3" t="n">
        <v>15.73</v>
      </c>
      <c r="K208" s="17" t="n">
        <v>5921.78</v>
      </c>
      <c r="L208" s="2" t="n"/>
      <c r="M208" s="2" t="n"/>
      <c r="N208" s="2" t="n"/>
      <c r="O208" s="2" t="n"/>
      <c r="P208" s="2" t="n"/>
    </row>
    <row r="209">
      <c r="A209" s="2" t="inlineStr">
        <is>
          <t>02.01.06.01.0004</t>
        </is>
      </c>
      <c r="B209" s="3" t="inlineStr">
        <is>
          <t>30% RETENCION IVA - COMPRAS</t>
        </is>
      </c>
      <c r="C209" s="3" t="inlineStr">
        <is>
          <t>N</t>
        </is>
      </c>
      <c r="D209" s="19" t="n">
        <v>46076</v>
      </c>
      <c r="E209" s="3" t="inlineStr">
        <is>
          <t>INVEN</t>
        </is>
      </c>
      <c r="F209" s="3" t="n">
        <v>203</v>
      </c>
      <c r="G209" s="3" t="inlineStr">
        <is>
          <t>000000561</t>
        </is>
      </c>
      <c r="H209" s="3" t="inlineStr">
        <is>
          <t>IN YANGTSE-AUTO DEL ECUADOR S.A. 000000561</t>
        </is>
      </c>
      <c r="I209" s="3" t="n">
        <v>0</v>
      </c>
      <c r="J209" s="3" t="n">
        <v>1.17</v>
      </c>
      <c r="K209" s="17" t="n">
        <v>545.25</v>
      </c>
      <c r="L209" s="2" t="n"/>
      <c r="M209" s="2" t="n"/>
      <c r="N209" s="2" t="n"/>
      <c r="O209" s="2" t="n"/>
      <c r="P209" s="2" t="n"/>
    </row>
    <row r="210">
      <c r="A210" s="2" t="inlineStr">
        <is>
          <t>02.01.06.01.0004</t>
        </is>
      </c>
      <c r="B210" s="3" t="inlineStr">
        <is>
          <t>30% RETENCION IVA - COMPRAS</t>
        </is>
      </c>
      <c r="C210" s="3" t="inlineStr">
        <is>
          <t>N</t>
        </is>
      </c>
      <c r="D210" s="19" t="n">
        <v>46076</v>
      </c>
      <c r="E210" s="3" t="inlineStr">
        <is>
          <t>INVEN</t>
        </is>
      </c>
      <c r="F210" s="3" t="n">
        <v>204</v>
      </c>
      <c r="G210" s="3" t="inlineStr">
        <is>
          <t>000014906</t>
        </is>
      </c>
      <c r="H210" s="3" t="inlineStr">
        <is>
          <t>IN TOYOTASERVICIOS S.A. 000014906</t>
        </is>
      </c>
      <c r="I210" s="3" t="n">
        <v>0</v>
      </c>
      <c r="J210" s="17" t="n">
        <v>9.9</v>
      </c>
      <c r="K210" s="17" t="n">
        <v>535.35</v>
      </c>
      <c r="L210" s="2" t="n"/>
      <c r="M210" s="2" t="n"/>
      <c r="N210" s="2" t="n"/>
      <c r="O210" s="2" t="n"/>
      <c r="P210" s="2" t="n"/>
    </row>
    <row r="211">
      <c r="A211" s="2" t="inlineStr">
        <is>
          <t>02.01.06.01.0004</t>
        </is>
      </c>
      <c r="B211" s="3" t="inlineStr">
        <is>
          <t>30% RETENCION IVA - COMPRAS</t>
        </is>
      </c>
      <c r="C211" s="3" t="inlineStr">
        <is>
          <t>N</t>
        </is>
      </c>
      <c r="D211" s="19" t="n">
        <v>46076</v>
      </c>
      <c r="E211" s="3" t="inlineStr">
        <is>
          <t>CP</t>
        </is>
      </c>
      <c r="F211" s="3" t="n">
        <v>205</v>
      </c>
      <c r="G211" s="3" t="inlineStr">
        <is>
          <t>000000684</t>
        </is>
      </c>
      <c r="H211" s="3" t="inlineStr">
        <is>
          <t>FE YANGTSE-AUTO DEL ECUADOR S. 000000684</t>
        </is>
      </c>
      <c r="I211" s="3" t="n">
        <v>0</v>
      </c>
      <c r="J211" s="17" t="n">
        <v>919.99</v>
      </c>
      <c r="K211" s="17" t="n">
        <v>5001.79</v>
      </c>
      <c r="L211" s="2" t="n"/>
      <c r="M211" s="2" t="n"/>
      <c r="N211" s="2" t="n"/>
      <c r="O211" s="2" t="n"/>
      <c r="P211" s="2" t="n"/>
    </row>
    <row r="212">
      <c r="A212" s="2" t="inlineStr">
        <is>
          <t>02.01.06.01.0004</t>
        </is>
      </c>
      <c r="B212" s="3" t="inlineStr">
        <is>
          <t>30% RETENCION IVA - COMPRAS</t>
        </is>
      </c>
      <c r="C212" s="3" t="inlineStr">
        <is>
          <t>N</t>
        </is>
      </c>
      <c r="D212" s="19" t="n">
        <v>46077</v>
      </c>
      <c r="E212" s="3" t="inlineStr">
        <is>
          <t>INVEN</t>
        </is>
      </c>
      <c r="F212" s="3" t="n">
        <v>221</v>
      </c>
      <c r="G212" s="3" t="inlineStr">
        <is>
          <t>000014907</t>
        </is>
      </c>
      <c r="H212" s="3" t="inlineStr">
        <is>
          <t>IN TOYOTASERVICIOS S.A. 000014907</t>
        </is>
      </c>
      <c r="I212" s="3" t="n">
        <v>0</v>
      </c>
      <c r="J212" s="17" t="n">
        <v>4.81</v>
      </c>
      <c r="K212" s="17" t="n">
        <v>530.54</v>
      </c>
      <c r="L212" s="2" t="n"/>
      <c r="M212" s="2" t="n"/>
      <c r="N212" s="2" t="n"/>
      <c r="O212" s="2" t="n"/>
      <c r="P212" s="2" t="n"/>
    </row>
    <row r="213">
      <c r="A213" s="2" t="inlineStr">
        <is>
          <t>02.01.06.01.0004</t>
        </is>
      </c>
      <c r="B213" s="3" t="inlineStr">
        <is>
          <t>30% RETENCION IVA - COMPRAS</t>
        </is>
      </c>
      <c r="C213" s="3" t="inlineStr">
        <is>
          <t>N</t>
        </is>
      </c>
      <c r="D213" s="19" t="n">
        <v>46077</v>
      </c>
      <c r="E213" s="3" t="inlineStr">
        <is>
          <t>CP</t>
        </is>
      </c>
      <c r="F213" s="3" t="n">
        <v>226</v>
      </c>
      <c r="G213" s="3" t="inlineStr">
        <is>
          <t>000000629</t>
        </is>
      </c>
      <c r="H213" s="3" t="inlineStr">
        <is>
          <t>FE PALACIOS DAVALOS MARCELO ED 000000629</t>
        </is>
      </c>
      <c r="I213" s="3" t="n">
        <v>0</v>
      </c>
      <c r="J213" s="3" t="n">
        <v>0.67</v>
      </c>
      <c r="K213" s="17" t="n">
        <v>5001.12</v>
      </c>
      <c r="L213" s="2" t="n"/>
      <c r="M213" s="2" t="n"/>
      <c r="N213" s="2" t="n"/>
      <c r="O213" s="2" t="n"/>
      <c r="P213" s="2" t="n"/>
    </row>
    <row r="214">
      <c r="A214" s="2" t="inlineStr">
        <is>
          <t>02.01.06.01.0004</t>
        </is>
      </c>
      <c r="B214" s="3" t="inlineStr">
        <is>
          <t>30% RETENCION IVA - COMPRAS</t>
        </is>
      </c>
      <c r="C214" s="3" t="inlineStr">
        <is>
          <t>N</t>
        </is>
      </c>
      <c r="D214" s="19" t="n">
        <v>46078</v>
      </c>
      <c r="E214" s="3" t="inlineStr">
        <is>
          <t>INVEN</t>
        </is>
      </c>
      <c r="F214" s="3" t="n">
        <v>230</v>
      </c>
      <c r="G214" s="3" t="inlineStr">
        <is>
          <t>000014912</t>
        </is>
      </c>
      <c r="H214" s="3" t="inlineStr">
        <is>
          <t>IN TOYOTASERVICIOS S.A. 000014912</t>
        </is>
      </c>
      <c r="I214" s="3" t="n">
        <v>0</v>
      </c>
      <c r="J214" s="3" t="n">
        <v>4.81</v>
      </c>
      <c r="K214" s="17" t="n">
        <v>525.73</v>
      </c>
      <c r="L214" s="2" t="n"/>
      <c r="M214" s="2" t="n"/>
      <c r="N214" s="2" t="n"/>
      <c r="O214" s="2" t="n"/>
      <c r="P214" s="2" t="n"/>
    </row>
    <row r="215">
      <c r="A215" s="2" t="inlineStr">
        <is>
          <t>02.01.06.01.0004</t>
        </is>
      </c>
      <c r="B215" s="3" t="inlineStr">
        <is>
          <t>30% RETENCION IVA - COMPRAS</t>
        </is>
      </c>
      <c r="C215" s="3" t="inlineStr">
        <is>
          <t>N</t>
        </is>
      </c>
      <c r="D215" s="19" t="n">
        <v>46078</v>
      </c>
      <c r="E215" s="3" t="inlineStr">
        <is>
          <t>INVEN</t>
        </is>
      </c>
      <c r="F215" s="3" t="n">
        <v>230</v>
      </c>
      <c r="G215" s="3" t="inlineStr">
        <is>
          <t>000014918</t>
        </is>
      </c>
      <c r="H215" s="3" t="inlineStr">
        <is>
          <t>IN TOYOTASERVICIOS S.A. 000014918</t>
        </is>
      </c>
      <c r="I215" s="3" t="n">
        <v>0</v>
      </c>
      <c r="J215" s="3" t="n">
        <v>30.71</v>
      </c>
      <c r="K215" s="17" t="n">
        <v>495.02</v>
      </c>
      <c r="L215" s="2" t="n"/>
      <c r="M215" s="2" t="n"/>
      <c r="N215" s="2" t="n"/>
      <c r="O215" s="2" t="n"/>
      <c r="P215" s="2" t="n"/>
    </row>
    <row r="216">
      <c r="A216" s="2" t="inlineStr">
        <is>
          <t>02.01.06.01.0004</t>
        </is>
      </c>
      <c r="B216" s="3" t="inlineStr">
        <is>
          <t>30% RETENCION IVA - COMPRAS</t>
        </is>
      </c>
      <c r="C216" s="3" t="inlineStr">
        <is>
          <t>N</t>
        </is>
      </c>
      <c r="D216" s="19" t="n">
        <v>46078</v>
      </c>
      <c r="E216" s="3" t="inlineStr">
        <is>
          <t>INVEN</t>
        </is>
      </c>
      <c r="F216" s="3" t="n">
        <v>230</v>
      </c>
      <c r="G216" s="3" t="inlineStr">
        <is>
          <t>000014919</t>
        </is>
      </c>
      <c r="H216" s="3" t="inlineStr">
        <is>
          <t>IN TOYOTASERVICIOS S.A. 000014919</t>
        </is>
      </c>
      <c r="I216" s="3" t="n">
        <v>0</v>
      </c>
      <c r="J216" s="3" t="n">
        <v>34.54</v>
      </c>
      <c r="K216" s="17" t="n">
        <v>460.48</v>
      </c>
      <c r="L216" s="2" t="n"/>
      <c r="M216" s="2" t="n"/>
      <c r="N216" s="2" t="n"/>
      <c r="O216" s="2" t="n"/>
      <c r="P216" s="2" t="n"/>
    </row>
    <row r="217">
      <c r="A217" s="2" t="inlineStr">
        <is>
          <t>02.01.06.01.0004</t>
        </is>
      </c>
      <c r="B217" s="3" t="inlineStr">
        <is>
          <t>30% RETENCION IVA - COMPRAS</t>
        </is>
      </c>
      <c r="C217" s="3" t="inlineStr">
        <is>
          <t>N</t>
        </is>
      </c>
      <c r="D217" s="19" t="n">
        <v>46078</v>
      </c>
      <c r="E217" s="3" t="inlineStr">
        <is>
          <t>INVEN</t>
        </is>
      </c>
      <c r="F217" s="3" t="n">
        <v>231</v>
      </c>
      <c r="G217" s="3" t="inlineStr">
        <is>
          <t>000006942</t>
        </is>
      </c>
      <c r="H217" s="3" t="inlineStr">
        <is>
          <t>IN TOYOTASERVICIOS S.A. 000006942</t>
        </is>
      </c>
      <c r="I217" s="3" t="n">
        <v>0</v>
      </c>
      <c r="J217" s="3" t="n">
        <v>24.57</v>
      </c>
      <c r="K217" s="17" t="n">
        <v>435.91</v>
      </c>
      <c r="L217" s="2" t="n"/>
      <c r="M217" s="2" t="n"/>
      <c r="N217" s="2" t="n"/>
      <c r="O217" s="2" t="n"/>
      <c r="P217" s="2" t="n"/>
    </row>
    <row r="218">
      <c r="A218" s="2" t="inlineStr">
        <is>
          <t>02.01.06.01.0004</t>
        </is>
      </c>
      <c r="B218" s="3" t="inlineStr">
        <is>
          <t>30% RETENCION IVA - COMPRAS</t>
        </is>
      </c>
      <c r="C218" s="3" t="inlineStr">
        <is>
          <t>N</t>
        </is>
      </c>
      <c r="D218" s="19" t="n">
        <v>46079</v>
      </c>
      <c r="E218" s="3" t="inlineStr">
        <is>
          <t>INVEN</t>
        </is>
      </c>
      <c r="F218" s="3" t="n">
        <v>255</v>
      </c>
      <c r="G218" s="3" t="inlineStr">
        <is>
          <t>000000573</t>
        </is>
      </c>
      <c r="H218" s="3" t="inlineStr">
        <is>
          <t>IN YANGTSE-AUTO DEL ECUADOR S.A. 000000573</t>
        </is>
      </c>
      <c r="I218" s="3" t="n">
        <v>0</v>
      </c>
      <c r="J218" s="3" t="n">
        <v>1.17</v>
      </c>
      <c r="K218" s="17" t="n">
        <v>434.74</v>
      </c>
      <c r="L218" s="2" t="n"/>
      <c r="M218" s="2" t="n"/>
      <c r="N218" s="2" t="n"/>
      <c r="O218" s="2" t="n"/>
      <c r="P218" s="2" t="n"/>
    </row>
    <row r="219">
      <c r="A219" s="2" t="inlineStr">
        <is>
          <t>02.01.06.01.0004</t>
        </is>
      </c>
      <c r="B219" s="3" t="inlineStr">
        <is>
          <t>30% RETENCION IVA - COMPRAS</t>
        </is>
      </c>
      <c r="C219" s="3" t="inlineStr">
        <is>
          <t>N</t>
        </is>
      </c>
      <c r="D219" s="19" t="n">
        <v>46079</v>
      </c>
      <c r="E219" s="3" t="inlineStr">
        <is>
          <t>CP</t>
        </is>
      </c>
      <c r="F219" s="3" t="n">
        <v>258</v>
      </c>
      <c r="G219" s="3" t="inlineStr">
        <is>
          <t>000000697</t>
        </is>
      </c>
      <c r="H219" s="3" t="inlineStr">
        <is>
          <t>FE YANGTSE-AUTO DEL ECUADOR S. 000000697</t>
        </is>
      </c>
      <c r="I219" s="3" t="n">
        <v>0</v>
      </c>
      <c r="J219" s="3" t="n">
        <v>1318.81</v>
      </c>
      <c r="K219" s="17" t="n">
        <v>3679.73</v>
      </c>
      <c r="L219" s="2" t="n"/>
      <c r="M219" s="2" t="n"/>
      <c r="N219" s="2" t="n"/>
      <c r="O219" s="2" t="n"/>
      <c r="P219" s="2" t="n"/>
    </row>
    <row r="220">
      <c r="A220" s="2" t="inlineStr">
        <is>
          <t>02.01.06.01.0004</t>
        </is>
      </c>
      <c r="B220" s="3" t="inlineStr">
        <is>
          <t>30% RETENCION IVA - COMPRAS</t>
        </is>
      </c>
      <c r="C220" s="3" t="inlineStr">
        <is>
          <t>N</t>
        </is>
      </c>
      <c r="D220" s="19" t="n">
        <v>46079</v>
      </c>
      <c r="E220" s="3" t="inlineStr">
        <is>
          <t>CP</t>
        </is>
      </c>
      <c r="F220" s="3" t="n">
        <v>258</v>
      </c>
      <c r="G220" s="3" t="inlineStr">
        <is>
          <t>000125851</t>
        </is>
      </c>
      <c r="H220" s="3" t="inlineStr">
        <is>
          <t>FE GONZALEZ VEGA EL MOTOR CIA 000125851</t>
        </is>
      </c>
      <c r="I220" s="3" t="n">
        <v>0</v>
      </c>
      <c r="J220" s="3" t="n">
        <v>2.58</v>
      </c>
      <c r="K220" s="17" t="n">
        <v>4998.54</v>
      </c>
      <c r="L220" s="2" t="n"/>
      <c r="M220" s="2" t="n"/>
      <c r="N220" s="2" t="n"/>
      <c r="O220" s="2" t="n"/>
      <c r="P220" s="2" t="n"/>
    </row>
    <row r="221">
      <c r="A221" s="2" t="inlineStr">
        <is>
          <t>02.01.06.01.0004</t>
        </is>
      </c>
      <c r="B221" s="3" t="inlineStr">
        <is>
          <t>30% RETENCION IVA - COMPRAS</t>
        </is>
      </c>
      <c r="C221" s="3" t="inlineStr">
        <is>
          <t>N</t>
        </is>
      </c>
      <c r="D221" s="19" t="n">
        <v>46080</v>
      </c>
      <c r="E221" s="3" t="inlineStr">
        <is>
          <t>INVEN</t>
        </is>
      </c>
      <c r="F221" s="3" t="n">
        <v>259</v>
      </c>
      <c r="G221" s="3" t="inlineStr">
        <is>
          <t>000014923</t>
        </is>
      </c>
      <c r="H221" s="3" t="inlineStr">
        <is>
          <t>IN TOYOTASERVICIOS S.A. 000014923</t>
        </is>
      </c>
      <c r="I221" s="3" t="n">
        <v>0</v>
      </c>
      <c r="J221" s="3" t="n">
        <v>27.95</v>
      </c>
      <c r="K221" s="17" t="n">
        <v>406.79</v>
      </c>
      <c r="L221" s="2" t="n"/>
      <c r="M221" s="2" t="n"/>
      <c r="N221" s="2" t="n"/>
      <c r="O221" s="2" t="n"/>
      <c r="P221" s="2" t="n"/>
    </row>
    <row r="222">
      <c r="A222" s="2" t="inlineStr">
        <is>
          <t>02.01.06.01.0004</t>
        </is>
      </c>
      <c r="B222" s="3" t="inlineStr">
        <is>
          <t>30% RETENCION IVA - COMPRAS</t>
        </is>
      </c>
      <c r="C222" s="3" t="inlineStr">
        <is>
          <t>N</t>
        </is>
      </c>
      <c r="D222" s="19" t="n">
        <v>46080</v>
      </c>
      <c r="E222" s="3" t="inlineStr">
        <is>
          <t>INVEN</t>
        </is>
      </c>
      <c r="F222" s="3" t="n">
        <v>259</v>
      </c>
      <c r="G222" s="3" t="inlineStr">
        <is>
          <t>000014924</t>
        </is>
      </c>
      <c r="H222" s="3" t="inlineStr">
        <is>
          <t>IN TOYOTASERVICIOS S.A. 000014924</t>
        </is>
      </c>
      <c r="I222" s="3" t="n">
        <v>0</v>
      </c>
      <c r="J222" s="3" t="n">
        <v>27.95</v>
      </c>
      <c r="K222" s="17" t="n">
        <v>378.84</v>
      </c>
      <c r="L222" s="2" t="n"/>
      <c r="M222" s="2" t="n"/>
      <c r="N222" s="2" t="n"/>
      <c r="O222" s="2" t="n"/>
      <c r="P222" s="2" t="n"/>
    </row>
    <row r="223">
      <c r="A223" s="2" t="inlineStr">
        <is>
          <t>02.01.06.01.0004</t>
        </is>
      </c>
      <c r="B223" s="3" t="inlineStr">
        <is>
          <t>30% RETENCION IVA - COMPRAS</t>
        </is>
      </c>
      <c r="C223" s="3" t="inlineStr">
        <is>
          <t>N</t>
        </is>
      </c>
      <c r="D223" s="19" t="n">
        <v>46080</v>
      </c>
      <c r="E223" s="3" t="inlineStr">
        <is>
          <t>INVEN</t>
        </is>
      </c>
      <c r="F223" s="3" t="n">
        <v>259</v>
      </c>
      <c r="G223" s="3" t="inlineStr">
        <is>
          <t>000014925</t>
        </is>
      </c>
      <c r="H223" s="3" t="inlineStr">
        <is>
          <t>IN TOYOTASERVICIOS S.A. 000014925</t>
        </is>
      </c>
      <c r="I223" s="3" t="n">
        <v>0</v>
      </c>
      <c r="J223" s="17" t="n">
        <v>27.95</v>
      </c>
      <c r="K223" s="17" t="n">
        <v>350.89</v>
      </c>
      <c r="L223" s="2" t="n"/>
      <c r="M223" s="2" t="n"/>
      <c r="N223" s="2" t="n"/>
      <c r="O223" s="2" t="n"/>
      <c r="P223" s="2" t="n"/>
    </row>
    <row r="224">
      <c r="A224" s="2" t="inlineStr">
        <is>
          <t>02.01.06.01.0004</t>
        </is>
      </c>
      <c r="B224" s="3" t="inlineStr">
        <is>
          <t>30% RETENCION IVA - COMPRAS</t>
        </is>
      </c>
      <c r="C224" s="3" t="inlineStr">
        <is>
          <t>N</t>
        </is>
      </c>
      <c r="D224" s="19" t="n">
        <v>46080</v>
      </c>
      <c r="E224" s="3" t="inlineStr">
        <is>
          <t>INVEN</t>
        </is>
      </c>
      <c r="F224" s="3" t="n">
        <v>259</v>
      </c>
      <c r="G224" s="3" t="inlineStr">
        <is>
          <t>000014926</t>
        </is>
      </c>
      <c r="H224" s="3" t="inlineStr">
        <is>
          <t>IN TOYOTASERVICIOS S.A. 000014926</t>
        </is>
      </c>
      <c r="I224" s="3" t="n">
        <v>0</v>
      </c>
      <c r="J224" s="17" t="n">
        <v>27.95</v>
      </c>
      <c r="K224" s="17" t="n">
        <v>322.94</v>
      </c>
      <c r="L224" s="2" t="n"/>
      <c r="M224" s="2" t="n"/>
      <c r="N224" s="2" t="n"/>
      <c r="O224" s="2" t="n"/>
      <c r="P224" s="2" t="n"/>
    </row>
    <row r="225">
      <c r="A225" s="2" t="inlineStr">
        <is>
          <t>02.01.06.01.0004</t>
        </is>
      </c>
      <c r="B225" s="3" t="inlineStr">
        <is>
          <t>30% RETENCION IVA - COMPRAS</t>
        </is>
      </c>
      <c r="C225" s="3" t="inlineStr">
        <is>
          <t>N</t>
        </is>
      </c>
      <c r="D225" s="19" t="n">
        <v>46080</v>
      </c>
      <c r="E225" s="3" t="inlineStr">
        <is>
          <t>INVEN</t>
        </is>
      </c>
      <c r="F225" s="3" t="n">
        <v>259</v>
      </c>
      <c r="G225" s="3" t="inlineStr">
        <is>
          <t>000014927</t>
        </is>
      </c>
      <c r="H225" s="3" t="inlineStr">
        <is>
          <t>IN TOYOTASERVICIOS S.A. 000014927</t>
        </is>
      </c>
      <c r="I225" s="3" t="n">
        <v>0</v>
      </c>
      <c r="J225" s="17" t="n">
        <v>27.95</v>
      </c>
      <c r="K225" s="17" t="n">
        <v>294.99</v>
      </c>
      <c r="L225" s="2" t="n"/>
      <c r="M225" s="2" t="n"/>
      <c r="N225" s="2" t="n"/>
      <c r="O225" s="2" t="n"/>
      <c r="P225" s="2" t="n"/>
    </row>
    <row r="226">
      <c r="A226" s="2" t="inlineStr">
        <is>
          <t>02.01.06.01.0004</t>
        </is>
      </c>
      <c r="B226" s="3" t="inlineStr">
        <is>
          <t>30% RETENCION IVA - COMPRAS</t>
        </is>
      </c>
      <c r="C226" s="3" t="inlineStr">
        <is>
          <t>N</t>
        </is>
      </c>
      <c r="D226" s="19" t="n">
        <v>46080</v>
      </c>
      <c r="E226" s="3" t="inlineStr">
        <is>
          <t>INVEN</t>
        </is>
      </c>
      <c r="F226" s="3" t="n">
        <v>259</v>
      </c>
      <c r="G226" s="3" t="inlineStr">
        <is>
          <t>000014931</t>
        </is>
      </c>
      <c r="H226" s="3" t="inlineStr">
        <is>
          <t>IN TOYOTASERVICIOS S.A. 000014931</t>
        </is>
      </c>
      <c r="I226" s="3" t="n">
        <v>0</v>
      </c>
      <c r="J226" s="3" t="n">
        <v>27.95</v>
      </c>
      <c r="K226" s="17" t="n">
        <v>267.04</v>
      </c>
      <c r="L226" s="2" t="n"/>
      <c r="M226" s="2" t="n"/>
      <c r="N226" s="2" t="n"/>
      <c r="O226" s="2" t="n"/>
      <c r="P226" s="2" t="n"/>
    </row>
    <row r="227">
      <c r="A227" s="2" t="inlineStr">
        <is>
          <t>02.01.06.01.0004</t>
        </is>
      </c>
      <c r="B227" s="3" t="inlineStr">
        <is>
          <t>30% RETENCION IVA - COMPRAS</t>
        </is>
      </c>
      <c r="C227" s="3" t="inlineStr">
        <is>
          <t>N</t>
        </is>
      </c>
      <c r="D227" s="19" t="n">
        <v>46080</v>
      </c>
      <c r="E227" s="3" t="inlineStr">
        <is>
          <t>INVEN</t>
        </is>
      </c>
      <c r="F227" s="3" t="n">
        <v>259</v>
      </c>
      <c r="G227" s="3" t="inlineStr">
        <is>
          <t>000014932</t>
        </is>
      </c>
      <c r="H227" s="3" t="inlineStr">
        <is>
          <t>IN TOYOTASERVICIOS S.A. 000014932</t>
        </is>
      </c>
      <c r="I227" s="3" t="n">
        <v>0</v>
      </c>
      <c r="J227" s="17" t="n">
        <v>27.95</v>
      </c>
      <c r="K227" s="17" t="n">
        <v>239.09</v>
      </c>
      <c r="L227" s="2" t="n"/>
      <c r="M227" s="2" t="n"/>
      <c r="N227" s="2" t="n"/>
      <c r="O227" s="2" t="n"/>
      <c r="P227" s="2" t="n"/>
    </row>
    <row r="228">
      <c r="A228" s="2" t="inlineStr">
        <is>
          <t>02.01.06.01.0004</t>
        </is>
      </c>
      <c r="B228" s="3" t="inlineStr">
        <is>
          <t>30% RETENCION IVA - COMPRAS</t>
        </is>
      </c>
      <c r="C228" s="3" t="inlineStr">
        <is>
          <t>N</t>
        </is>
      </c>
      <c r="D228" s="19" t="n">
        <v>46081</v>
      </c>
      <c r="E228" s="3" t="inlineStr">
        <is>
          <t>CP</t>
        </is>
      </c>
      <c r="F228" s="3" t="n">
        <v>311</v>
      </c>
      <c r="G228" s="3" t="inlineStr">
        <is>
          <t>000000714</t>
        </is>
      </c>
      <c r="H228" s="3" t="inlineStr">
        <is>
          <t>FE YANGTSE-AUTO DEL ECUADOR S. 000000714</t>
        </is>
      </c>
      <c r="I228" s="3" t="n">
        <v>0</v>
      </c>
      <c r="J228" s="3" t="n">
        <v>615.85</v>
      </c>
      <c r="K228" s="17" t="n">
        <v>2806.8</v>
      </c>
      <c r="L228" s="2" t="n"/>
      <c r="M228" s="2" t="n"/>
      <c r="N228" s="2" t="n"/>
      <c r="O228" s="2" t="n"/>
      <c r="P228" s="2" t="n"/>
    </row>
    <row r="229">
      <c r="A229" s="2" t="inlineStr">
        <is>
          <t>02.01.06.01.0004</t>
        </is>
      </c>
      <c r="B229" s="3" t="inlineStr">
        <is>
          <t>30% RETENCION IVA - COMPRAS</t>
        </is>
      </c>
      <c r="C229" s="3" t="inlineStr">
        <is>
          <t>N</t>
        </is>
      </c>
      <c r="D229" s="19" t="n">
        <v>46081</v>
      </c>
      <c r="E229" s="3" t="inlineStr">
        <is>
          <t>CP</t>
        </is>
      </c>
      <c r="F229" s="3" t="n">
        <v>311</v>
      </c>
      <c r="G229" s="3" t="inlineStr">
        <is>
          <t>000000716</t>
        </is>
      </c>
      <c r="H229" s="3" t="inlineStr">
        <is>
          <t>FE YANGTSE-AUTO DEL ECUADOR S. 000000716</t>
        </is>
      </c>
      <c r="I229" s="3" t="n">
        <v>0</v>
      </c>
      <c r="J229" s="3" t="n">
        <v>890.03</v>
      </c>
      <c r="K229" s="17" t="n">
        <v>1916.77</v>
      </c>
      <c r="L229" s="2" t="n"/>
      <c r="M229" s="2" t="n"/>
      <c r="N229" s="2" t="n"/>
      <c r="O229" s="2" t="n"/>
      <c r="P229" s="2" t="n"/>
    </row>
    <row r="230">
      <c r="A230" s="2" t="inlineStr">
        <is>
          <t>02.01.06.01.0004</t>
        </is>
      </c>
      <c r="B230" s="3" t="inlineStr">
        <is>
          <t>30% RETENCION IVA - COMPRAS</t>
        </is>
      </c>
      <c r="C230" s="3" t="inlineStr">
        <is>
          <t>N</t>
        </is>
      </c>
      <c r="D230" s="19" t="n">
        <v>46081</v>
      </c>
      <c r="E230" s="3" t="inlineStr">
        <is>
          <t>CP</t>
        </is>
      </c>
      <c r="F230" s="3" t="n">
        <v>311</v>
      </c>
      <c r="G230" s="3" t="inlineStr">
        <is>
          <t>000000866</t>
        </is>
      </c>
      <c r="H230" s="3" t="inlineStr">
        <is>
          <t>FE TOYOTASERVICIOS S.A. 000000866</t>
        </is>
      </c>
      <c r="I230" s="3" t="n">
        <v>0</v>
      </c>
      <c r="J230" s="3" t="n">
        <v>206.95</v>
      </c>
      <c r="K230" s="17" t="n">
        <v>3465.13</v>
      </c>
      <c r="L230" s="2" t="n"/>
      <c r="M230" s="2" t="n"/>
      <c r="N230" s="2" t="n"/>
      <c r="O230" s="2" t="n"/>
      <c r="P230" s="2" t="n"/>
    </row>
    <row r="231">
      <c r="A231" s="2" t="inlineStr">
        <is>
          <t>02.01.06.01.0004</t>
        </is>
      </c>
      <c r="B231" s="3" t="inlineStr">
        <is>
          <t>30% RETENCION IVA - COMPRAS</t>
        </is>
      </c>
      <c r="C231" s="3" t="inlineStr">
        <is>
          <t>N</t>
        </is>
      </c>
      <c r="D231" s="19" t="n">
        <v>46081</v>
      </c>
      <c r="E231" s="3" t="inlineStr">
        <is>
          <t>CP</t>
        </is>
      </c>
      <c r="F231" s="3" t="n">
        <v>311</v>
      </c>
      <c r="G231" s="3" t="inlineStr">
        <is>
          <t>000000867</t>
        </is>
      </c>
      <c r="H231" s="3" t="inlineStr">
        <is>
          <t>FE TOYOTASERVICIOS S.A. 000000867</t>
        </is>
      </c>
      <c r="I231" s="3" t="n">
        <v>0</v>
      </c>
      <c r="J231" s="3" t="n">
        <v>42.25</v>
      </c>
      <c r="K231" s="17" t="n">
        <v>3422.88</v>
      </c>
      <c r="L231" s="2" t="n"/>
      <c r="M231" s="2" t="n"/>
      <c r="N231" s="2" t="n"/>
      <c r="O231" s="2" t="n"/>
      <c r="P231" s="2" t="n"/>
    </row>
    <row r="232">
      <c r="A232" s="2" t="inlineStr">
        <is>
          <t>02.01.06.01.0004</t>
        </is>
      </c>
      <c r="B232" s="3" t="inlineStr">
        <is>
          <t>30% RETENCION IVA - COMPRAS</t>
        </is>
      </c>
      <c r="C232" s="3" t="inlineStr">
        <is>
          <t>N</t>
        </is>
      </c>
      <c r="D232" s="19" t="n">
        <v>46081</v>
      </c>
      <c r="E232" s="3" t="inlineStr">
        <is>
          <t>CP</t>
        </is>
      </c>
      <c r="F232" s="3" t="n">
        <v>311</v>
      </c>
      <c r="G232" s="3" t="inlineStr">
        <is>
          <t>000053045</t>
        </is>
      </c>
      <c r="H232" s="3" t="inlineStr">
        <is>
          <t>FE TOYOTASERVICIOS S.A. 000053045</t>
        </is>
      </c>
      <c r="I232" s="3" t="n">
        <v>0</v>
      </c>
      <c r="J232" s="3" t="n">
        <v>0.23</v>
      </c>
      <c r="K232" s="17" t="n">
        <v>3422.65</v>
      </c>
      <c r="L232" s="2" t="n"/>
      <c r="M232" s="2" t="n"/>
      <c r="N232" s="2" t="n"/>
      <c r="O232" s="2" t="n"/>
      <c r="P232" s="2" t="n"/>
    </row>
    <row r="233">
      <c r="A233" s="2" t="inlineStr">
        <is>
          <t>02.01.06.01.0004</t>
        </is>
      </c>
      <c r="B233" s="3" t="inlineStr">
        <is>
          <t>30% RETENCION IVA - COMPRAS</t>
        </is>
      </c>
      <c r="C233" s="3" t="inlineStr">
        <is>
          <t>N</t>
        </is>
      </c>
      <c r="D233" s="19" t="n">
        <v>46081</v>
      </c>
      <c r="E233" s="3" t="inlineStr">
        <is>
          <t>AGCM</t>
        </is>
      </c>
      <c r="F233" s="3" t="n">
        <v>332</v>
      </c>
      <c r="G233" s="3" t="n"/>
      <c r="H233" s="3" t="inlineStr">
        <is>
          <t>LIQUIDACION DE IMPUESTOS FEBERO 2026</t>
        </is>
      </c>
      <c r="I233" s="3" t="n">
        <v>10360.18</v>
      </c>
      <c r="J233" s="3" t="n">
        <v>0</v>
      </c>
      <c r="K233" s="17" t="n">
        <v>10360.18</v>
      </c>
      <c r="L233" s="2" t="n"/>
      <c r="M233" s="2" t="n"/>
      <c r="N233" s="2" t="n"/>
      <c r="O233" s="2" t="n"/>
      <c r="P233" s="2" t="n"/>
    </row>
    <row r="234">
      <c r="A234" s="2" t="inlineStr">
        <is>
          <t>02.01.06.01.0005</t>
        </is>
      </c>
      <c r="B234" s="3" t="inlineStr">
        <is>
          <t>70% RETENCION IVA -SERVICIOS</t>
        </is>
      </c>
      <c r="C234" s="3" t="inlineStr">
        <is>
          <t>N</t>
        </is>
      </c>
      <c r="D234" s="19" t="n">
        <v>46055</v>
      </c>
      <c r="E234" s="3" t="inlineStr">
        <is>
          <t>CP</t>
        </is>
      </c>
      <c r="F234" s="3" t="n">
        <v>29</v>
      </c>
      <c r="G234" s="3" t="inlineStr">
        <is>
          <t>000000116</t>
        </is>
      </c>
      <c r="H234" s="3" t="inlineStr">
        <is>
          <t>FE REINOSO SALAS YAJAIRA CAROL 000000116</t>
        </is>
      </c>
      <c r="I234" s="3" t="n">
        <v>0</v>
      </c>
      <c r="J234" s="3" t="n">
        <v>5.25</v>
      </c>
      <c r="K234" s="17" t="n">
        <v>814.89</v>
      </c>
      <c r="L234" s="2" t="n"/>
      <c r="M234" s="2" t="n"/>
      <c r="N234" s="2" t="n"/>
      <c r="O234" s="2" t="n"/>
      <c r="P234" s="2" t="n"/>
    </row>
    <row r="235">
      <c r="A235" s="2" t="inlineStr">
        <is>
          <t>02.01.06.01.0005</t>
        </is>
      </c>
      <c r="B235" s="3" t="inlineStr">
        <is>
          <t>70% RETENCION IVA -SERVICIOS</t>
        </is>
      </c>
      <c r="C235" s="3" t="inlineStr">
        <is>
          <t>N</t>
        </is>
      </c>
      <c r="D235" s="19" t="n">
        <v>46055</v>
      </c>
      <c r="E235" s="3" t="inlineStr">
        <is>
          <t>CP</t>
        </is>
      </c>
      <c r="F235" s="3" t="n">
        <v>29</v>
      </c>
      <c r="G235" s="3" t="inlineStr">
        <is>
          <t>000000118</t>
        </is>
      </c>
      <c r="H235" s="3" t="inlineStr">
        <is>
          <t>FE REINOSO SALAS YAJAIRA CAROL 000000118</t>
        </is>
      </c>
      <c r="I235" s="3" t="n">
        <v>0</v>
      </c>
      <c r="J235" s="3" t="n">
        <v>5.25</v>
      </c>
      <c r="K235" s="17" t="n">
        <v>809.64</v>
      </c>
      <c r="L235" s="2" t="n"/>
      <c r="M235" s="2" t="n"/>
      <c r="N235" s="2" t="n"/>
      <c r="O235" s="2" t="n"/>
      <c r="P235" s="2" t="n"/>
    </row>
    <row r="236">
      <c r="A236" s="2" t="inlineStr">
        <is>
          <t>02.01.06.01.0005</t>
        </is>
      </c>
      <c r="B236" s="3" t="inlineStr">
        <is>
          <t>70% RETENCION IVA -SERVICIOS</t>
        </is>
      </c>
      <c r="C236" s="3" t="inlineStr">
        <is>
          <t>N</t>
        </is>
      </c>
      <c r="D236" s="19" t="n">
        <v>46055</v>
      </c>
      <c r="E236" s="3" t="inlineStr">
        <is>
          <t>CP</t>
        </is>
      </c>
      <c r="F236" s="3" t="n">
        <v>29</v>
      </c>
      <c r="G236" s="3" t="inlineStr">
        <is>
          <t>000000119</t>
        </is>
      </c>
      <c r="H236" s="3" t="inlineStr">
        <is>
          <t>FE REINOSO SALAS YAJAIRA CAROL 000000119</t>
        </is>
      </c>
      <c r="I236" s="3" t="n">
        <v>0</v>
      </c>
      <c r="J236" s="3" t="n">
        <v>5.25</v>
      </c>
      <c r="K236" s="17" t="n">
        <v>804.39</v>
      </c>
      <c r="L236" s="2" t="n"/>
      <c r="M236" s="2" t="n"/>
      <c r="N236" s="2" t="n"/>
      <c r="O236" s="2" t="n"/>
      <c r="P236" s="2" t="n"/>
    </row>
    <row r="237">
      <c r="A237" s="2" t="inlineStr">
        <is>
          <t>02.01.06.01.0005</t>
        </is>
      </c>
      <c r="B237" s="3" t="inlineStr">
        <is>
          <t>70% RETENCION IVA -SERVICIOS</t>
        </is>
      </c>
      <c r="C237" s="3" t="inlineStr">
        <is>
          <t>N</t>
        </is>
      </c>
      <c r="D237" s="19" t="n">
        <v>46055</v>
      </c>
      <c r="E237" s="3" t="inlineStr">
        <is>
          <t>CP</t>
        </is>
      </c>
      <c r="F237" s="3" t="n">
        <v>29</v>
      </c>
      <c r="G237" s="3" t="inlineStr">
        <is>
          <t>000000120</t>
        </is>
      </c>
      <c r="H237" s="3" t="inlineStr">
        <is>
          <t>FE REINOSO SALAS YAJAIRA CAROL 000000120</t>
        </is>
      </c>
      <c r="I237" s="3" t="n">
        <v>0</v>
      </c>
      <c r="J237" s="17" t="n">
        <v>5.25</v>
      </c>
      <c r="K237" s="17" t="n">
        <v>799.14</v>
      </c>
      <c r="L237" s="2" t="n"/>
      <c r="M237" s="2" t="n"/>
      <c r="N237" s="2" t="n"/>
      <c r="O237" s="2" t="n"/>
      <c r="P237" s="2" t="n"/>
    </row>
    <row r="238">
      <c r="A238" s="2" t="inlineStr">
        <is>
          <t>02.01.06.01.0005</t>
        </is>
      </c>
      <c r="B238" s="3" t="inlineStr">
        <is>
          <t>70% RETENCION IVA -SERVICIOS</t>
        </is>
      </c>
      <c r="C238" s="3" t="inlineStr">
        <is>
          <t>N</t>
        </is>
      </c>
      <c r="D238" s="19" t="n">
        <v>46055</v>
      </c>
      <c r="E238" s="3" t="inlineStr">
        <is>
          <t>CP</t>
        </is>
      </c>
      <c r="F238" s="3" t="n">
        <v>29</v>
      </c>
      <c r="G238" s="3" t="inlineStr">
        <is>
          <t>000000170</t>
        </is>
      </c>
      <c r="H238" s="3" t="inlineStr">
        <is>
          <t>FE NARANJO ABRIL VICTORIA ESTE 000000170</t>
        </is>
      </c>
      <c r="I238" s="3" t="n">
        <v>0</v>
      </c>
      <c r="J238" s="17" t="n">
        <v>8.4</v>
      </c>
      <c r="K238" s="17" t="n">
        <v>820.14</v>
      </c>
      <c r="L238" s="2" t="n"/>
      <c r="M238" s="2" t="n"/>
      <c r="N238" s="2" t="n"/>
      <c r="O238" s="2" t="n"/>
      <c r="P238" s="2" t="n"/>
    </row>
    <row r="239">
      <c r="A239" s="2" t="inlineStr">
        <is>
          <t>02.01.06.01.0005</t>
        </is>
      </c>
      <c r="B239" s="3" t="inlineStr">
        <is>
          <t>70% RETENCION IVA -SERVICIOS</t>
        </is>
      </c>
      <c r="C239" s="3" t="inlineStr">
        <is>
          <t>N</t>
        </is>
      </c>
      <c r="D239" s="19" t="n">
        <v>46055</v>
      </c>
      <c r="E239" s="3" t="inlineStr">
        <is>
          <t>CP</t>
        </is>
      </c>
      <c r="F239" s="3" t="n">
        <v>29</v>
      </c>
      <c r="G239" s="3" t="inlineStr">
        <is>
          <t>000000195</t>
        </is>
      </c>
      <c r="H239" s="3" t="inlineStr">
        <is>
          <t>FE BACLT INMOBILIARIA S.A.S. 000000195</t>
        </is>
      </c>
      <c r="I239" s="3" t="n">
        <v>0</v>
      </c>
      <c r="J239" s="3" t="n">
        <v>1271.35</v>
      </c>
      <c r="K239" s="17" t="n">
        <v>2422.94</v>
      </c>
      <c r="L239" s="2" t="n"/>
      <c r="M239" s="2" t="n"/>
      <c r="N239" s="2" t="n"/>
      <c r="O239" s="2" t="n"/>
      <c r="P239" s="2" t="n"/>
    </row>
    <row r="240">
      <c r="A240" s="2" t="inlineStr">
        <is>
          <t>02.01.06.01.0005</t>
        </is>
      </c>
      <c r="B240" s="3" t="inlineStr">
        <is>
          <t>70% RETENCION IVA -SERVICIOS</t>
        </is>
      </c>
      <c r="C240" s="3" t="inlineStr">
        <is>
          <t>N</t>
        </is>
      </c>
      <c r="D240" s="19" t="n">
        <v>46055</v>
      </c>
      <c r="E240" s="3" t="inlineStr">
        <is>
          <t>CP</t>
        </is>
      </c>
      <c r="F240" s="3" t="n">
        <v>29</v>
      </c>
      <c r="G240" s="3" t="inlineStr">
        <is>
          <t>000000196</t>
        </is>
      </c>
      <c r="H240" s="3" t="inlineStr">
        <is>
          <t>FE BACLT INMOBILIARIA S.A.S. 000000196</t>
        </is>
      </c>
      <c r="I240" s="3" t="n">
        <v>0</v>
      </c>
      <c r="J240" s="17" t="n">
        <v>787.5</v>
      </c>
      <c r="K240" s="17" t="n">
        <v>1635.44</v>
      </c>
      <c r="L240" s="2" t="n"/>
      <c r="M240" s="2" t="n"/>
      <c r="N240" s="2" t="n"/>
      <c r="O240" s="2" t="n"/>
      <c r="P240" s="2" t="n"/>
    </row>
    <row r="241">
      <c r="A241" s="2" t="inlineStr">
        <is>
          <t>02.01.06.01.0005</t>
        </is>
      </c>
      <c r="B241" s="3" t="inlineStr">
        <is>
          <t>70% RETENCION IVA -SERVICIOS</t>
        </is>
      </c>
      <c r="C241" s="3" t="inlineStr">
        <is>
          <t>N</t>
        </is>
      </c>
      <c r="D241" s="19" t="n">
        <v>46055</v>
      </c>
      <c r="E241" s="3" t="inlineStr">
        <is>
          <t>CP</t>
        </is>
      </c>
      <c r="F241" s="3" t="n">
        <v>29</v>
      </c>
      <c r="G241" s="3" t="inlineStr">
        <is>
          <t>000000448</t>
        </is>
      </c>
      <c r="H241" s="3" t="inlineStr">
        <is>
          <t>FE CARLARSERVICE CIA. LTDA 000000448</t>
        </is>
      </c>
      <c r="I241" s="3" t="n">
        <v>0</v>
      </c>
      <c r="J241" s="17" t="n">
        <v>735</v>
      </c>
      <c r="K241" s="17" t="n">
        <v>874.1900000000001</v>
      </c>
      <c r="L241" s="2" t="n"/>
      <c r="M241" s="2" t="n"/>
      <c r="N241" s="2" t="n"/>
      <c r="O241" s="2" t="n"/>
      <c r="P241" s="2" t="n"/>
    </row>
    <row r="242">
      <c r="A242" s="2" t="inlineStr">
        <is>
          <t>02.01.06.01.0005</t>
        </is>
      </c>
      <c r="B242" s="3" t="inlineStr">
        <is>
          <t>70% RETENCION IVA -SERVICIOS</t>
        </is>
      </c>
      <c r="C242" s="3" t="inlineStr">
        <is>
          <t>N</t>
        </is>
      </c>
      <c r="D242" s="19" t="n">
        <v>46055</v>
      </c>
      <c r="E242" s="3" t="inlineStr">
        <is>
          <t>CP</t>
        </is>
      </c>
      <c r="F242" s="3" t="n">
        <v>29</v>
      </c>
      <c r="G242" s="3" t="inlineStr">
        <is>
          <t>000000811</t>
        </is>
      </c>
      <c r="H242" s="3" t="inlineStr">
        <is>
          <t>FE CONSEJO GUBERNATIVO DE LOS 000000811</t>
        </is>
      </c>
      <c r="I242" s="3" t="n">
        <v>0</v>
      </c>
      <c r="J242" s="17" t="n">
        <v>45.65</v>
      </c>
      <c r="K242" s="17" t="n">
        <v>828.54</v>
      </c>
      <c r="L242" s="2" t="n"/>
      <c r="M242" s="2" t="n"/>
      <c r="N242" s="2" t="n"/>
      <c r="O242" s="2" t="n"/>
      <c r="P242" s="2" t="n"/>
    </row>
    <row r="243">
      <c r="A243" s="2" t="inlineStr">
        <is>
          <t>02.01.06.01.0005</t>
        </is>
      </c>
      <c r="B243" s="3" t="inlineStr">
        <is>
          <t>70% RETENCION IVA -SERVICIOS</t>
        </is>
      </c>
      <c r="C243" s="3" t="inlineStr">
        <is>
          <t>N</t>
        </is>
      </c>
      <c r="D243" s="19" t="n">
        <v>46055</v>
      </c>
      <c r="E243" s="3" t="inlineStr">
        <is>
          <t>CP</t>
        </is>
      </c>
      <c r="F243" s="3" t="n">
        <v>29</v>
      </c>
      <c r="G243" s="3" t="inlineStr">
        <is>
          <t>000000820</t>
        </is>
      </c>
      <c r="H243" s="3" t="inlineStr">
        <is>
          <t>FE CAICEDO ALFONSO DAVID 000000820</t>
        </is>
      </c>
      <c r="I243" s="3" t="n">
        <v>0</v>
      </c>
      <c r="J243" s="3" t="n">
        <v>26.25</v>
      </c>
      <c r="K243" s="17" t="n">
        <v>1609.19</v>
      </c>
      <c r="L243" s="2" t="n"/>
      <c r="M243" s="2" t="n"/>
      <c r="N243" s="2" t="n"/>
      <c r="O243" s="2" t="n"/>
      <c r="P243" s="2" t="n"/>
    </row>
    <row r="244">
      <c r="A244" s="2" t="inlineStr">
        <is>
          <t>02.01.06.01.0005</t>
        </is>
      </c>
      <c r="B244" s="3" t="inlineStr">
        <is>
          <t>70% RETENCION IVA -SERVICIOS</t>
        </is>
      </c>
      <c r="C244" s="3" t="inlineStr">
        <is>
          <t>N</t>
        </is>
      </c>
      <c r="D244" s="19" t="n">
        <v>46056</v>
      </c>
      <c r="E244" s="3" t="inlineStr">
        <is>
          <t>CP</t>
        </is>
      </c>
      <c r="F244" s="3" t="n">
        <v>37</v>
      </c>
      <c r="G244" s="3" t="inlineStr">
        <is>
          <t>000000122</t>
        </is>
      </c>
      <c r="H244" s="3" t="inlineStr">
        <is>
          <t>FE REINOSO SALAS YAJAIRA CAROL 000000122</t>
        </is>
      </c>
      <c r="I244" s="3" t="n">
        <v>0</v>
      </c>
      <c r="J244" s="3" t="n">
        <v>4.2</v>
      </c>
      <c r="K244" s="17" t="n">
        <v>602.65</v>
      </c>
      <c r="L244" s="2" t="n"/>
      <c r="M244" s="2" t="n"/>
      <c r="N244" s="2" t="n"/>
      <c r="O244" s="2" t="n"/>
      <c r="P244" s="2" t="n"/>
    </row>
    <row r="245">
      <c r="A245" s="2" t="inlineStr">
        <is>
          <t>02.01.06.01.0005</t>
        </is>
      </c>
      <c r="B245" s="3" t="inlineStr">
        <is>
          <t>70% RETENCION IVA -SERVICIOS</t>
        </is>
      </c>
      <c r="C245" s="3" t="inlineStr">
        <is>
          <t>N</t>
        </is>
      </c>
      <c r="D245" s="19" t="n">
        <v>46056</v>
      </c>
      <c r="E245" s="3" t="inlineStr">
        <is>
          <t>CP</t>
        </is>
      </c>
      <c r="F245" s="3" t="n">
        <v>37</v>
      </c>
      <c r="G245" s="3" t="inlineStr">
        <is>
          <t>000000123</t>
        </is>
      </c>
      <c r="H245" s="3" t="inlineStr">
        <is>
          <t>FE REINOSO SALAS YAJAIRA CAROL 000000123</t>
        </is>
      </c>
      <c r="I245" s="3" t="n">
        <v>0</v>
      </c>
      <c r="J245" s="3" t="n">
        <v>4.2</v>
      </c>
      <c r="K245" s="17" t="n">
        <v>598.45</v>
      </c>
      <c r="L245" s="2" t="n"/>
      <c r="M245" s="2" t="n"/>
      <c r="N245" s="2" t="n"/>
      <c r="O245" s="2" t="n"/>
      <c r="P245" s="2" t="n"/>
    </row>
    <row r="246">
      <c r="A246" s="2" t="inlineStr">
        <is>
          <t>02.01.06.01.0005</t>
        </is>
      </c>
      <c r="B246" s="3" t="inlineStr">
        <is>
          <t>70% RETENCION IVA -SERVICIOS</t>
        </is>
      </c>
      <c r="C246" s="3" t="inlineStr">
        <is>
          <t>N</t>
        </is>
      </c>
      <c r="D246" s="19" t="n">
        <v>46056</v>
      </c>
      <c r="E246" s="3" t="inlineStr">
        <is>
          <t>CP</t>
        </is>
      </c>
      <c r="F246" s="3" t="n">
        <v>37</v>
      </c>
      <c r="G246" s="3" t="inlineStr">
        <is>
          <t>000000124</t>
        </is>
      </c>
      <c r="H246" s="3" t="inlineStr">
        <is>
          <t>FE REINOSO SALAS YAJAIRA CAROL 000000124</t>
        </is>
      </c>
      <c r="I246" s="3" t="n">
        <v>0</v>
      </c>
      <c r="J246" s="3" t="n">
        <v>15.75</v>
      </c>
      <c r="K246" s="17" t="n">
        <v>582.7</v>
      </c>
      <c r="L246" s="2" t="n"/>
      <c r="M246" s="2" t="n"/>
      <c r="N246" s="2" t="n"/>
      <c r="O246" s="2" t="n"/>
      <c r="P246" s="2" t="n"/>
    </row>
    <row r="247">
      <c r="A247" s="2" t="inlineStr">
        <is>
          <t>02.01.06.01.0005</t>
        </is>
      </c>
      <c r="B247" s="3" t="inlineStr">
        <is>
          <t>70% RETENCION IVA -SERVICIOS</t>
        </is>
      </c>
      <c r="C247" s="3" t="inlineStr">
        <is>
          <t>N</t>
        </is>
      </c>
      <c r="D247" s="19" t="n">
        <v>46056</v>
      </c>
      <c r="E247" s="3" t="inlineStr">
        <is>
          <t>CP</t>
        </is>
      </c>
      <c r="F247" s="3" t="n">
        <v>37</v>
      </c>
      <c r="G247" s="3" t="inlineStr">
        <is>
          <t>000000125</t>
        </is>
      </c>
      <c r="H247" s="3" t="inlineStr">
        <is>
          <t>FE REINOSO SALAS YAJAIRA CAROL 000000125</t>
        </is>
      </c>
      <c r="I247" s="3" t="n">
        <v>0</v>
      </c>
      <c r="J247" s="3" t="n">
        <v>4.2</v>
      </c>
      <c r="K247" s="17" t="n">
        <v>578.5</v>
      </c>
      <c r="L247" s="2" t="n"/>
      <c r="M247" s="2" t="n"/>
      <c r="N247" s="2" t="n"/>
      <c r="O247" s="2" t="n"/>
      <c r="P247" s="2" t="n"/>
    </row>
    <row r="248">
      <c r="A248" s="2" t="inlineStr">
        <is>
          <t>02.01.06.01.0005</t>
        </is>
      </c>
      <c r="B248" s="3" t="inlineStr">
        <is>
          <t>70% RETENCION IVA -SERVICIOS</t>
        </is>
      </c>
      <c r="C248" s="3" t="inlineStr">
        <is>
          <t>N</t>
        </is>
      </c>
      <c r="D248" s="19" t="n">
        <v>46056</v>
      </c>
      <c r="E248" s="3" t="inlineStr">
        <is>
          <t>CP</t>
        </is>
      </c>
      <c r="F248" s="3" t="n">
        <v>37</v>
      </c>
      <c r="G248" s="3" t="inlineStr">
        <is>
          <t>000005489</t>
        </is>
      </c>
      <c r="H248" s="3" t="inlineStr">
        <is>
          <t>FE CORPORACION CONFIABLE S.A. 000005489</t>
        </is>
      </c>
      <c r="I248" s="3" t="n">
        <v>0</v>
      </c>
      <c r="J248" s="3" t="n">
        <v>69.3</v>
      </c>
      <c r="K248" s="17" t="n">
        <v>641.01</v>
      </c>
      <c r="L248" s="2" t="n"/>
      <c r="M248" s="2" t="n"/>
      <c r="N248" s="2" t="n"/>
      <c r="O248" s="2" t="n"/>
      <c r="P248" s="2" t="n"/>
    </row>
    <row r="249">
      <c r="A249" s="2" t="inlineStr">
        <is>
          <t>02.01.06.01.0005</t>
        </is>
      </c>
      <c r="B249" s="3" t="inlineStr">
        <is>
          <t>70% RETENCION IVA -SERVICIOS</t>
        </is>
      </c>
      <c r="C249" s="3" t="inlineStr">
        <is>
          <t>N</t>
        </is>
      </c>
      <c r="D249" s="19" t="n">
        <v>46056</v>
      </c>
      <c r="E249" s="3" t="inlineStr">
        <is>
          <t>CP</t>
        </is>
      </c>
      <c r="F249" s="3" t="n">
        <v>37</v>
      </c>
      <c r="G249" s="3" t="inlineStr">
        <is>
          <t>000013391</t>
        </is>
      </c>
      <c r="H249" s="3" t="inlineStr">
        <is>
          <t>FE FIDUCIARIA ECUADOR FIDUECUA 000013391</t>
        </is>
      </c>
      <c r="I249" s="3" t="n">
        <v>0</v>
      </c>
      <c r="J249" s="3" t="n">
        <v>34.16</v>
      </c>
      <c r="K249" s="17" t="n">
        <v>606.85</v>
      </c>
      <c r="L249" s="2" t="n"/>
      <c r="M249" s="2" t="n"/>
      <c r="N249" s="2" t="n"/>
      <c r="O249" s="2" t="n"/>
      <c r="P249" s="2" t="n"/>
    </row>
    <row r="250">
      <c r="A250" s="2" t="inlineStr">
        <is>
          <t>02.01.06.01.0005</t>
        </is>
      </c>
      <c r="B250" s="3" t="inlineStr">
        <is>
          <t>70% RETENCION IVA -SERVICIOS</t>
        </is>
      </c>
      <c r="C250" s="3" t="inlineStr">
        <is>
          <t>N</t>
        </is>
      </c>
      <c r="D250" s="19" t="n">
        <v>46057</v>
      </c>
      <c r="E250" s="3" t="inlineStr">
        <is>
          <t>CP</t>
        </is>
      </c>
      <c r="F250" s="3" t="n">
        <v>53</v>
      </c>
      <c r="G250" s="3" t="inlineStr">
        <is>
          <t>000000377</t>
        </is>
      </c>
      <c r="H250" s="3" t="inlineStr">
        <is>
          <t>FE COMPA�IA TECNOXPERTISE S.A. 000000377</t>
        </is>
      </c>
      <c r="I250" s="3" t="n">
        <v>0</v>
      </c>
      <c r="J250" s="3" t="n">
        <v>10.5</v>
      </c>
      <c r="K250" s="17" t="n">
        <v>568</v>
      </c>
      <c r="L250" s="2" t="n"/>
      <c r="M250" s="2" t="n"/>
      <c r="N250" s="2" t="n"/>
      <c r="O250" s="2" t="n"/>
      <c r="P250" s="2" t="n"/>
    </row>
    <row r="251">
      <c r="A251" s="2" t="inlineStr">
        <is>
          <t>02.01.06.01.0005</t>
        </is>
      </c>
      <c r="B251" s="3" t="inlineStr">
        <is>
          <t>70% RETENCION IVA -SERVICIOS</t>
        </is>
      </c>
      <c r="C251" s="3" t="inlineStr">
        <is>
          <t>N</t>
        </is>
      </c>
      <c r="D251" s="19" t="n">
        <v>46057</v>
      </c>
      <c r="E251" s="3" t="inlineStr">
        <is>
          <t>CP</t>
        </is>
      </c>
      <c r="F251" s="3" t="n">
        <v>53</v>
      </c>
      <c r="G251" s="3" t="inlineStr">
        <is>
          <t>000001804</t>
        </is>
      </c>
      <c r="H251" s="3" t="inlineStr">
        <is>
          <t>FE DILIGENCIAS LEGALES 000001804</t>
        </is>
      </c>
      <c r="I251" s="3" t="n">
        <v>0</v>
      </c>
      <c r="J251" s="3" t="n">
        <v>21.94</v>
      </c>
      <c r="K251" s="17" t="n">
        <v>546.0599999999999</v>
      </c>
      <c r="L251" s="2" t="n"/>
      <c r="M251" s="2" t="n"/>
      <c r="N251" s="2" t="n"/>
      <c r="O251" s="2" t="n"/>
      <c r="P251" s="2" t="n"/>
    </row>
    <row r="252">
      <c r="A252" s="2" t="inlineStr">
        <is>
          <t>02.01.06.01.0005</t>
        </is>
      </c>
      <c r="B252" s="3" t="inlineStr">
        <is>
          <t>70% RETENCION IVA -SERVICIOS</t>
        </is>
      </c>
      <c r="C252" s="3" t="inlineStr">
        <is>
          <t>N</t>
        </is>
      </c>
      <c r="D252" s="19" t="n">
        <v>46057</v>
      </c>
      <c r="E252" s="3" t="inlineStr">
        <is>
          <t>CP</t>
        </is>
      </c>
      <c r="F252" s="3" t="n">
        <v>53</v>
      </c>
      <c r="G252" s="3" t="inlineStr">
        <is>
          <t>000052803</t>
        </is>
      </c>
      <c r="H252" s="3" t="inlineStr">
        <is>
          <t>FE TOYOTASERVICIOS S.A. 000052803</t>
        </is>
      </c>
      <c r="I252" s="3" t="n">
        <v>0</v>
      </c>
      <c r="J252" s="3" t="n">
        <v>2.04</v>
      </c>
      <c r="K252" s="17" t="n">
        <v>535.7</v>
      </c>
      <c r="L252" s="2" t="n"/>
      <c r="M252" s="2" t="n"/>
      <c r="N252" s="2" t="n"/>
      <c r="O252" s="2" t="n"/>
      <c r="P252" s="2" t="n"/>
    </row>
    <row r="253">
      <c r="A253" s="2" t="inlineStr">
        <is>
          <t>02.01.06.01.0005</t>
        </is>
      </c>
      <c r="B253" s="3" t="inlineStr">
        <is>
          <t>70% RETENCION IVA -SERVICIOS</t>
        </is>
      </c>
      <c r="C253" s="3" t="inlineStr">
        <is>
          <t>N</t>
        </is>
      </c>
      <c r="D253" s="19" t="n">
        <v>46057</v>
      </c>
      <c r="E253" s="3" t="inlineStr">
        <is>
          <t>CP</t>
        </is>
      </c>
      <c r="F253" s="3" t="n">
        <v>53</v>
      </c>
      <c r="G253" s="3" t="inlineStr">
        <is>
          <t>000076818</t>
        </is>
      </c>
      <c r="H253" s="3" t="inlineStr">
        <is>
          <t>FE MAYORGA MAYORGA WILSON RAMI 000076818</t>
        </is>
      </c>
      <c r="I253" s="3" t="n">
        <v>0</v>
      </c>
      <c r="J253" s="3" t="n">
        <v>7.19</v>
      </c>
      <c r="K253" s="17" t="n">
        <v>538.87</v>
      </c>
      <c r="L253" s="2" t="n"/>
      <c r="M253" s="2" t="n"/>
      <c r="N253" s="2" t="n"/>
      <c r="O253" s="2" t="n"/>
      <c r="P253" s="2" t="n"/>
    </row>
    <row r="254">
      <c r="A254" s="2" t="inlineStr">
        <is>
          <t>02.01.06.01.0005</t>
        </is>
      </c>
      <c r="B254" s="3" t="inlineStr">
        <is>
          <t>70% RETENCION IVA -SERVICIOS</t>
        </is>
      </c>
      <c r="C254" s="3" t="inlineStr">
        <is>
          <t>N</t>
        </is>
      </c>
      <c r="D254" s="19" t="n">
        <v>46057</v>
      </c>
      <c r="E254" s="3" t="inlineStr">
        <is>
          <t>CP</t>
        </is>
      </c>
      <c r="F254" s="3" t="n">
        <v>53</v>
      </c>
      <c r="G254" s="3" t="inlineStr">
        <is>
          <t>000076819</t>
        </is>
      </c>
      <c r="H254" s="3" t="inlineStr">
        <is>
          <t>FE MAYORGA MAYORGA WILSON RAMI 000076819</t>
        </is>
      </c>
      <c r="I254" s="3" t="n">
        <v>0</v>
      </c>
      <c r="J254" s="3" t="n">
        <v>1.13</v>
      </c>
      <c r="K254" s="17" t="n">
        <v>537.74</v>
      </c>
      <c r="L254" s="2" t="n"/>
      <c r="M254" s="2" t="n"/>
      <c r="N254" s="2" t="n"/>
      <c r="O254" s="2" t="n"/>
      <c r="P254" s="2" t="n"/>
    </row>
    <row r="255">
      <c r="A255" s="2" t="inlineStr">
        <is>
          <t>02.01.06.01.0005</t>
        </is>
      </c>
      <c r="B255" s="3" t="inlineStr">
        <is>
          <t>70% RETENCION IVA -SERVICIOS</t>
        </is>
      </c>
      <c r="C255" s="3" t="inlineStr">
        <is>
          <t>N</t>
        </is>
      </c>
      <c r="D255" s="19" t="n">
        <v>46058</v>
      </c>
      <c r="E255" s="3" t="inlineStr">
        <is>
          <t>CP</t>
        </is>
      </c>
      <c r="F255" s="3" t="n">
        <v>57</v>
      </c>
      <c r="G255" s="3" t="inlineStr">
        <is>
          <t>000000048</t>
        </is>
      </c>
      <c r="H255" s="3" t="inlineStr">
        <is>
          <t>FE SOCIEDAD INDIVISA VILLACIS 000000048</t>
        </is>
      </c>
      <c r="I255" s="3" t="n">
        <v>0</v>
      </c>
      <c r="J255" s="3" t="n">
        <v>42</v>
      </c>
      <c r="K255" s="17" t="n">
        <v>327.17</v>
      </c>
      <c r="L255" s="2" t="n"/>
      <c r="M255" s="2" t="n"/>
      <c r="N255" s="2" t="n"/>
      <c r="O255" s="2" t="n"/>
      <c r="P255" s="2" t="n"/>
    </row>
    <row r="256">
      <c r="A256" s="2" t="inlineStr">
        <is>
          <t>02.01.06.01.0005</t>
        </is>
      </c>
      <c r="B256" s="3" t="inlineStr">
        <is>
          <t>70% RETENCION IVA -SERVICIOS</t>
        </is>
      </c>
      <c r="C256" s="3" t="inlineStr">
        <is>
          <t>N</t>
        </is>
      </c>
      <c r="D256" s="19" t="n">
        <v>46058</v>
      </c>
      <c r="E256" s="3" t="inlineStr">
        <is>
          <t>CP</t>
        </is>
      </c>
      <c r="F256" s="3" t="n">
        <v>57</v>
      </c>
      <c r="G256" s="3" t="inlineStr">
        <is>
          <t>000000126</t>
        </is>
      </c>
      <c r="H256" s="3" t="inlineStr">
        <is>
          <t>FE REINOSO SALAS YAJAIRA CAROL 000000126</t>
        </is>
      </c>
      <c r="I256" s="3" t="n">
        <v>0</v>
      </c>
      <c r="J256" s="3" t="n">
        <v>5.25</v>
      </c>
      <c r="K256" s="17" t="n">
        <v>383.87</v>
      </c>
      <c r="L256" s="2" t="n"/>
      <c r="M256" s="2" t="n"/>
      <c r="N256" s="2" t="n"/>
      <c r="O256" s="2" t="n"/>
      <c r="P256" s="2" t="n"/>
    </row>
    <row r="257">
      <c r="A257" s="2" t="inlineStr">
        <is>
          <t>02.01.06.01.0005</t>
        </is>
      </c>
      <c r="B257" s="3" t="inlineStr">
        <is>
          <t>70% RETENCION IVA -SERVICIOS</t>
        </is>
      </c>
      <c r="C257" s="3" t="inlineStr">
        <is>
          <t>N</t>
        </is>
      </c>
      <c r="D257" s="19" t="n">
        <v>46058</v>
      </c>
      <c r="E257" s="3" t="inlineStr">
        <is>
          <t>CP</t>
        </is>
      </c>
      <c r="F257" s="3" t="n">
        <v>57</v>
      </c>
      <c r="G257" s="3" t="inlineStr">
        <is>
          <t>000000127</t>
        </is>
      </c>
      <c r="H257" s="3" t="inlineStr">
        <is>
          <t>FE REINOSO SALAS YAJAIRA CAROL 000000127</t>
        </is>
      </c>
      <c r="I257" s="3" t="n">
        <v>0</v>
      </c>
      <c r="J257" s="3" t="n">
        <v>5.25</v>
      </c>
      <c r="K257" s="17" t="n">
        <v>378.62</v>
      </c>
      <c r="L257" s="2" t="n"/>
      <c r="M257" s="2" t="n"/>
      <c r="N257" s="2" t="n"/>
      <c r="O257" s="2" t="n"/>
      <c r="P257" s="2" t="n"/>
    </row>
    <row r="258">
      <c r="A258" s="2" t="inlineStr">
        <is>
          <t>02.01.06.01.0005</t>
        </is>
      </c>
      <c r="B258" s="3" t="inlineStr">
        <is>
          <t>70% RETENCION IVA -SERVICIOS</t>
        </is>
      </c>
      <c r="C258" s="3" t="inlineStr">
        <is>
          <t>N</t>
        </is>
      </c>
      <c r="D258" s="19" t="n">
        <v>46058</v>
      </c>
      <c r="E258" s="3" t="inlineStr">
        <is>
          <t>CP</t>
        </is>
      </c>
      <c r="F258" s="3" t="n">
        <v>57</v>
      </c>
      <c r="G258" s="3" t="inlineStr">
        <is>
          <t>000000128</t>
        </is>
      </c>
      <c r="H258" s="3" t="inlineStr">
        <is>
          <t>FE REINOSO SALAS YAJAIRA CAROL 000000128</t>
        </is>
      </c>
      <c r="I258" s="3" t="n">
        <v>0</v>
      </c>
      <c r="J258" s="3" t="n">
        <v>4.2</v>
      </c>
      <c r="K258" s="17" t="n">
        <v>374.42</v>
      </c>
      <c r="L258" s="2" t="n"/>
      <c r="M258" s="2" t="n"/>
      <c r="N258" s="2" t="n"/>
      <c r="O258" s="2" t="n"/>
      <c r="P258" s="2" t="n"/>
    </row>
    <row r="259">
      <c r="A259" s="2" t="inlineStr">
        <is>
          <t>02.01.06.01.0005</t>
        </is>
      </c>
      <c r="B259" s="3" t="inlineStr">
        <is>
          <t>70% RETENCION IVA -SERVICIOS</t>
        </is>
      </c>
      <c r="C259" s="3" t="inlineStr">
        <is>
          <t>N</t>
        </is>
      </c>
      <c r="D259" s="19" t="n">
        <v>46058</v>
      </c>
      <c r="E259" s="3" t="inlineStr">
        <is>
          <t>CP</t>
        </is>
      </c>
      <c r="F259" s="3" t="n">
        <v>57</v>
      </c>
      <c r="G259" s="3" t="inlineStr">
        <is>
          <t>000000129</t>
        </is>
      </c>
      <c r="H259" s="3" t="inlineStr">
        <is>
          <t>FE REINOSO SALAS YAJAIRA CAROL 000000129</t>
        </is>
      </c>
      <c r="I259" s="3" t="n">
        <v>0</v>
      </c>
      <c r="J259" s="3" t="n">
        <v>5.25</v>
      </c>
      <c r="K259" s="17" t="n">
        <v>369.17</v>
      </c>
      <c r="L259" s="2" t="n"/>
      <c r="M259" s="2" t="n"/>
      <c r="N259" s="2" t="n"/>
      <c r="O259" s="2" t="n"/>
      <c r="P259" s="2" t="n"/>
    </row>
    <row r="260">
      <c r="A260" s="2" t="inlineStr">
        <is>
          <t>02.01.06.01.0005</t>
        </is>
      </c>
      <c r="B260" s="3" t="inlineStr">
        <is>
          <t>70% RETENCION IVA -SERVICIOS</t>
        </is>
      </c>
      <c r="C260" s="3" t="inlineStr">
        <is>
          <t>N</t>
        </is>
      </c>
      <c r="D260" s="19" t="n">
        <v>46058</v>
      </c>
      <c r="E260" s="3" t="inlineStr">
        <is>
          <t>CP</t>
        </is>
      </c>
      <c r="F260" s="3" t="n">
        <v>57</v>
      </c>
      <c r="G260" s="3" t="inlineStr">
        <is>
          <t>000000776</t>
        </is>
      </c>
      <c r="H260" s="3" t="inlineStr">
        <is>
          <t>FE COLCHA AREVALO LIZARDO ENRI 000000776</t>
        </is>
      </c>
      <c r="I260" s="3" t="n">
        <v>0</v>
      </c>
      <c r="J260" s="3" t="n">
        <v>16.8</v>
      </c>
      <c r="K260" s="17" t="n">
        <v>508.3</v>
      </c>
      <c r="L260" s="2" t="n"/>
      <c r="M260" s="2" t="n"/>
      <c r="N260" s="2" t="n"/>
      <c r="O260" s="2" t="n"/>
      <c r="P260" s="2" t="n"/>
    </row>
    <row r="261">
      <c r="A261" s="2" t="inlineStr">
        <is>
          <t>02.01.06.01.0005</t>
        </is>
      </c>
      <c r="B261" s="3" t="inlineStr">
        <is>
          <t>70% RETENCION IVA -SERVICIOS</t>
        </is>
      </c>
      <c r="C261" s="3" t="inlineStr">
        <is>
          <t>N</t>
        </is>
      </c>
      <c r="D261" s="19" t="n">
        <v>46058</v>
      </c>
      <c r="E261" s="3" t="inlineStr">
        <is>
          <t>CP</t>
        </is>
      </c>
      <c r="F261" s="3" t="n">
        <v>57</v>
      </c>
      <c r="G261" s="3" t="inlineStr">
        <is>
          <t>000002473</t>
        </is>
      </c>
      <c r="H261" s="3" t="inlineStr">
        <is>
          <t>FE COMP. DE SEGURIDAD PRIVADA 000002473</t>
        </is>
      </c>
      <c r="I261" s="3" t="n">
        <v>0</v>
      </c>
      <c r="J261" s="3" t="n">
        <v>119.18</v>
      </c>
      <c r="K261" s="17" t="n">
        <v>389.12</v>
      </c>
      <c r="L261" s="2" t="n"/>
      <c r="M261" s="2" t="n"/>
      <c r="N261" s="2" t="n"/>
      <c r="O261" s="2" t="n"/>
      <c r="P261" s="2" t="n"/>
    </row>
    <row r="262">
      <c r="A262" s="2" t="inlineStr">
        <is>
          <t>02.01.06.01.0005</t>
        </is>
      </c>
      <c r="B262" s="3" t="inlineStr">
        <is>
          <t>70% RETENCION IVA -SERVICIOS</t>
        </is>
      </c>
      <c r="C262" s="3" t="inlineStr">
        <is>
          <t>N</t>
        </is>
      </c>
      <c r="D262" s="19" t="n">
        <v>46058</v>
      </c>
      <c r="E262" s="3" t="inlineStr">
        <is>
          <t>CP</t>
        </is>
      </c>
      <c r="F262" s="3" t="n">
        <v>57</v>
      </c>
      <c r="G262" s="3" t="inlineStr">
        <is>
          <t>000005286</t>
        </is>
      </c>
      <c r="H262" s="3" t="inlineStr">
        <is>
          <t>FE TALENTOPSA S.A 000005286</t>
        </is>
      </c>
      <c r="I262" s="3" t="n">
        <v>0</v>
      </c>
      <c r="J262" s="3" t="n">
        <v>9.42</v>
      </c>
      <c r="K262" s="17" t="n">
        <v>317.75</v>
      </c>
      <c r="L262" s="2" t="n"/>
      <c r="M262" s="2" t="n"/>
      <c r="N262" s="2" t="n"/>
      <c r="O262" s="2" t="n"/>
      <c r="P262" s="2" t="n"/>
    </row>
    <row r="263">
      <c r="A263" s="2" t="inlineStr">
        <is>
          <t>02.01.06.01.0005</t>
        </is>
      </c>
      <c r="B263" s="3" t="inlineStr">
        <is>
          <t>70% RETENCION IVA -SERVICIOS</t>
        </is>
      </c>
      <c r="C263" s="3" t="inlineStr">
        <is>
          <t>N</t>
        </is>
      </c>
      <c r="D263" s="19" t="n">
        <v>46058</v>
      </c>
      <c r="E263" s="3" t="inlineStr">
        <is>
          <t>CP</t>
        </is>
      </c>
      <c r="F263" s="3" t="n">
        <v>57</v>
      </c>
      <c r="G263" s="3" t="inlineStr">
        <is>
          <t>000052828</t>
        </is>
      </c>
      <c r="H263" s="3" t="inlineStr">
        <is>
          <t>FE TOYOTASERVICIOS S.A. 000052828</t>
        </is>
      </c>
      <c r="I263" s="3" t="n">
        <v>0</v>
      </c>
      <c r="J263" s="3" t="n">
        <v>5.1</v>
      </c>
      <c r="K263" s="17" t="n">
        <v>312.65</v>
      </c>
      <c r="L263" s="2" t="n"/>
      <c r="M263" s="2" t="n"/>
      <c r="N263" s="2" t="n"/>
      <c r="O263" s="2" t="n"/>
      <c r="P263" s="2" t="n"/>
    </row>
    <row r="264">
      <c r="A264" s="2" t="inlineStr">
        <is>
          <t>02.01.06.01.0005</t>
        </is>
      </c>
      <c r="B264" s="3" t="inlineStr">
        <is>
          <t>70% RETENCION IVA -SERVICIOS</t>
        </is>
      </c>
      <c r="C264" s="3" t="inlineStr">
        <is>
          <t>N</t>
        </is>
      </c>
      <c r="D264" s="19" t="n">
        <v>46058</v>
      </c>
      <c r="E264" s="3" t="inlineStr">
        <is>
          <t>CP</t>
        </is>
      </c>
      <c r="F264" s="3" t="n">
        <v>57</v>
      </c>
      <c r="G264" s="3" t="inlineStr">
        <is>
          <t>000212880</t>
        </is>
      </c>
      <c r="H264" s="3" t="inlineStr">
        <is>
          <t>FE ARMAS MELENDEZ MONICA ALEXA 000212880</t>
        </is>
      </c>
      <c r="I264" s="3" t="n">
        <v>0</v>
      </c>
      <c r="J264" s="3" t="n">
        <v>10.6</v>
      </c>
      <c r="K264" s="17" t="n">
        <v>525.1</v>
      </c>
      <c r="L264" s="2" t="n"/>
      <c r="M264" s="2" t="n"/>
      <c r="N264" s="2" t="n"/>
      <c r="O264" s="2" t="n"/>
      <c r="P264" s="2" t="n"/>
    </row>
    <row r="265">
      <c r="A265" s="2" t="inlineStr">
        <is>
          <t>02.01.06.01.0005</t>
        </is>
      </c>
      <c r="B265" s="3" t="inlineStr">
        <is>
          <t>70% RETENCION IVA -SERVICIOS</t>
        </is>
      </c>
      <c r="C265" s="3" t="inlineStr">
        <is>
          <t>N</t>
        </is>
      </c>
      <c r="D265" s="19" t="n">
        <v>46059</v>
      </c>
      <c r="E265" s="3" t="inlineStr">
        <is>
          <t>CP</t>
        </is>
      </c>
      <c r="F265" s="3" t="n">
        <v>59</v>
      </c>
      <c r="G265" s="3" t="inlineStr">
        <is>
          <t>000006748</t>
        </is>
      </c>
      <c r="H265" s="3" t="inlineStr">
        <is>
          <t>FE ASO. EMPRESAS AUTOMOTRICES 000006748</t>
        </is>
      </c>
      <c r="I265" s="3" t="n">
        <v>0</v>
      </c>
      <c r="J265" s="3" t="n">
        <v>189</v>
      </c>
      <c r="K265" s="17" t="n">
        <v>123.65</v>
      </c>
      <c r="L265" s="2" t="n"/>
      <c r="M265" s="2" t="n"/>
      <c r="N265" s="2" t="n"/>
      <c r="O265" s="2" t="n"/>
      <c r="P265" s="2" t="n"/>
    </row>
    <row r="266">
      <c r="A266" s="2" t="inlineStr">
        <is>
          <t>02.01.06.01.0005</t>
        </is>
      </c>
      <c r="B266" s="3" t="inlineStr">
        <is>
          <t>70% RETENCION IVA -SERVICIOS</t>
        </is>
      </c>
      <c r="C266" s="3" t="inlineStr">
        <is>
          <t>N</t>
        </is>
      </c>
      <c r="D266" s="19" t="n">
        <v>46061</v>
      </c>
      <c r="E266" s="3" t="inlineStr">
        <is>
          <t>CP</t>
        </is>
      </c>
      <c r="F266" s="3" t="n">
        <v>70</v>
      </c>
      <c r="G266" s="3" t="inlineStr">
        <is>
          <t>000000052</t>
        </is>
      </c>
      <c r="H266" s="3" t="inlineStr">
        <is>
          <t>FE POVEDA ALMEIDA EFRAIN ALEJA 000000052</t>
        </is>
      </c>
      <c r="I266" s="3" t="n">
        <v>0</v>
      </c>
      <c r="J266" s="3" t="n">
        <v>9.449999999999999</v>
      </c>
      <c r="K266" s="17" t="n">
        <v>114.2</v>
      </c>
      <c r="L266" s="2" t="n"/>
      <c r="M266" s="2" t="n"/>
      <c r="N266" s="2" t="n"/>
      <c r="O266" s="2" t="n"/>
      <c r="P266" s="2" t="n"/>
    </row>
    <row r="267">
      <c r="A267" s="2" t="inlineStr">
        <is>
          <t>02.01.06.01.0005</t>
        </is>
      </c>
      <c r="B267" s="3" t="inlineStr">
        <is>
          <t>70% RETENCION IVA -SERVICIOS</t>
        </is>
      </c>
      <c r="C267" s="3" t="inlineStr">
        <is>
          <t>N</t>
        </is>
      </c>
      <c r="D267" s="19" t="n">
        <v>46061</v>
      </c>
      <c r="E267" s="3" t="inlineStr">
        <is>
          <t>CP</t>
        </is>
      </c>
      <c r="F267" s="3" t="n">
        <v>70</v>
      </c>
      <c r="G267" s="3" t="inlineStr">
        <is>
          <t>000006832</t>
        </is>
      </c>
      <c r="H267" s="3" t="inlineStr">
        <is>
          <t>FE TOYOTASERVICIOS S.A. 000006832</t>
        </is>
      </c>
      <c r="I267" s="3" t="n">
        <v>0</v>
      </c>
      <c r="J267" s="3" t="n">
        <v>1.45</v>
      </c>
      <c r="K267" s="17" t="n">
        <v>112.75</v>
      </c>
      <c r="L267" s="2" t="n"/>
      <c r="M267" s="2" t="n"/>
      <c r="N267" s="2" t="n"/>
      <c r="O267" s="2" t="n"/>
      <c r="P267" s="2" t="n"/>
    </row>
    <row r="268">
      <c r="A268" s="2" t="inlineStr">
        <is>
          <t>02.01.06.01.0005</t>
        </is>
      </c>
      <c r="B268" s="3" t="inlineStr">
        <is>
          <t>70% RETENCION IVA -SERVICIOS</t>
        </is>
      </c>
      <c r="C268" s="3" t="inlineStr">
        <is>
          <t>N</t>
        </is>
      </c>
      <c r="D268" s="19" t="n">
        <v>46061</v>
      </c>
      <c r="E268" s="3" t="inlineStr">
        <is>
          <t>CP</t>
        </is>
      </c>
      <c r="F268" s="3" t="n">
        <v>70</v>
      </c>
      <c r="G268" s="3" t="inlineStr">
        <is>
          <t>000006834</t>
        </is>
      </c>
      <c r="H268" s="3" t="inlineStr">
        <is>
          <t>FE TOYOTASERVICIOS S.A. 000006834</t>
        </is>
      </c>
      <c r="I268" s="3" t="n">
        <v>0</v>
      </c>
      <c r="J268" s="3" t="n">
        <v>1.45</v>
      </c>
      <c r="K268" s="17" t="n">
        <v>111.3</v>
      </c>
      <c r="L268" s="2" t="n"/>
      <c r="M268" s="2" t="n"/>
      <c r="N268" s="2" t="n"/>
      <c r="O268" s="2" t="n"/>
      <c r="P268" s="2" t="n"/>
    </row>
    <row r="269">
      <c r="A269" s="2" t="inlineStr">
        <is>
          <t>02.01.06.01.0005</t>
        </is>
      </c>
      <c r="B269" s="3" t="inlineStr">
        <is>
          <t>70% RETENCION IVA -SERVICIOS</t>
        </is>
      </c>
      <c r="C269" s="3" t="inlineStr">
        <is>
          <t>N</t>
        </is>
      </c>
      <c r="D269" s="19" t="n">
        <v>46061</v>
      </c>
      <c r="E269" s="3" t="inlineStr">
        <is>
          <t>CP</t>
        </is>
      </c>
      <c r="F269" s="3" t="n">
        <v>70</v>
      </c>
      <c r="G269" s="3" t="inlineStr">
        <is>
          <t>000052829</t>
        </is>
      </c>
      <c r="H269" s="3" t="inlineStr">
        <is>
          <t>FE TOYOTASERVICIOS S.A. 000052829</t>
        </is>
      </c>
      <c r="I269" s="3" t="n">
        <v>0</v>
      </c>
      <c r="J269" s="3" t="n">
        <v>18.9</v>
      </c>
      <c r="K269" s="17" t="n">
        <v>92.40000000000001</v>
      </c>
      <c r="L269" s="2" t="n"/>
      <c r="M269" s="2" t="n"/>
      <c r="N269" s="2" t="n"/>
      <c r="O269" s="2" t="n"/>
      <c r="P269" s="2" t="n"/>
    </row>
    <row r="270">
      <c r="A270" s="2" t="inlineStr">
        <is>
          <t>02.01.06.01.0005</t>
        </is>
      </c>
      <c r="B270" s="3" t="inlineStr">
        <is>
          <t>70% RETENCION IVA -SERVICIOS</t>
        </is>
      </c>
      <c r="C270" s="3" t="inlineStr">
        <is>
          <t>N</t>
        </is>
      </c>
      <c r="D270" s="19" t="n">
        <v>46062</v>
      </c>
      <c r="E270" s="3" t="inlineStr">
        <is>
          <t>CP</t>
        </is>
      </c>
      <c r="F270" s="3" t="n">
        <v>84</v>
      </c>
      <c r="G270" s="3" t="inlineStr">
        <is>
          <t>000000056</t>
        </is>
      </c>
      <c r="H270" s="3" t="inlineStr">
        <is>
          <t>FE POVEDA ALMEIDA EFRAIN ALEJA 000000056</t>
        </is>
      </c>
      <c r="I270" s="3" t="n">
        <v>0</v>
      </c>
      <c r="J270" s="3" t="n">
        <v>9.449999999999999</v>
      </c>
      <c r="K270" s="17" t="n">
        <v>0</v>
      </c>
      <c r="L270" s="2" t="n"/>
      <c r="M270" s="2" t="n"/>
      <c r="N270" s="2" t="n"/>
      <c r="O270" s="2" t="n"/>
      <c r="P270" s="2" t="n"/>
    </row>
    <row r="271">
      <c r="A271" s="2" t="inlineStr">
        <is>
          <t>02.01.06.01.0005</t>
        </is>
      </c>
      <c r="B271" s="3" t="inlineStr">
        <is>
          <t>70% RETENCION IVA -SERVICIOS</t>
        </is>
      </c>
      <c r="C271" s="3" t="inlineStr">
        <is>
          <t>N</t>
        </is>
      </c>
      <c r="D271" s="19" t="n">
        <v>46062</v>
      </c>
      <c r="E271" s="3" t="inlineStr">
        <is>
          <t>CP</t>
        </is>
      </c>
      <c r="F271" s="3" t="n">
        <v>84</v>
      </c>
      <c r="G271" s="3" t="inlineStr">
        <is>
          <t>000006770</t>
        </is>
      </c>
      <c r="H271" s="3" t="inlineStr">
        <is>
          <t>FE ASO. EMPRESAS AUTOMOTRICES 000006770</t>
        </is>
      </c>
      <c r="I271" s="3" t="n">
        <v>0</v>
      </c>
      <c r="J271" s="3" t="n">
        <v>64.05</v>
      </c>
      <c r="K271" s="17" t="n">
        <v>28.35</v>
      </c>
      <c r="L271" s="2" t="n"/>
      <c r="M271" s="2" t="n"/>
      <c r="N271" s="2" t="n"/>
      <c r="O271" s="2" t="n"/>
      <c r="P271" s="2" t="n"/>
    </row>
    <row r="272">
      <c r="A272" s="2" t="inlineStr">
        <is>
          <t>02.01.06.01.0005</t>
        </is>
      </c>
      <c r="B272" s="3" t="inlineStr">
        <is>
          <t>70% RETENCION IVA -SERVICIOS</t>
        </is>
      </c>
      <c r="C272" s="3" t="inlineStr">
        <is>
          <t>N</t>
        </is>
      </c>
      <c r="D272" s="19" t="n">
        <v>46062</v>
      </c>
      <c r="E272" s="3" t="inlineStr">
        <is>
          <t>CP</t>
        </is>
      </c>
      <c r="F272" s="3" t="n">
        <v>84</v>
      </c>
      <c r="G272" s="3" t="inlineStr">
        <is>
          <t>000010912</t>
        </is>
      </c>
      <c r="H272" s="3" t="inlineStr">
        <is>
          <t>FE MANTELCOA CIA. LTDA. 000010912</t>
        </is>
      </c>
      <c r="I272" s="3" t="n">
        <v>0</v>
      </c>
      <c r="J272" s="3" t="n">
        <v>18.9</v>
      </c>
      <c r="K272" s="17" t="n">
        <v>9.449999999999999</v>
      </c>
      <c r="L272" s="2" t="n"/>
      <c r="M272" s="2" t="n"/>
      <c r="N272" s="2" t="n"/>
      <c r="O272" s="2" t="n"/>
      <c r="P272" s="2" t="n"/>
    </row>
    <row r="273">
      <c r="A273" s="2" t="inlineStr">
        <is>
          <t>02.01.06.01.0005</t>
        </is>
      </c>
      <c r="B273" s="3" t="inlineStr">
        <is>
          <t>70% RETENCION IVA -SERVICIOS</t>
        </is>
      </c>
      <c r="C273" s="3" t="inlineStr">
        <is>
          <t>N</t>
        </is>
      </c>
      <c r="D273" s="19" t="n">
        <v>46063</v>
      </c>
      <c r="E273" s="3" t="inlineStr">
        <is>
          <t>CP</t>
        </is>
      </c>
      <c r="F273" s="3" t="n">
        <v>104</v>
      </c>
      <c r="G273" s="3" t="inlineStr">
        <is>
          <t>000000134</t>
        </is>
      </c>
      <c r="H273" s="3" t="inlineStr">
        <is>
          <t>FE REINOSO SALAS YAJAIRA CAROL 000000134</t>
        </is>
      </c>
      <c r="I273" s="3" t="n">
        <v>0</v>
      </c>
      <c r="J273" s="3" t="n">
        <v>4.2</v>
      </c>
      <c r="K273" s="17" t="n">
        <v>8174.85</v>
      </c>
      <c r="L273" s="2" t="n"/>
      <c r="M273" s="2" t="n"/>
      <c r="N273" s="2" t="n"/>
      <c r="O273" s="2" t="n"/>
      <c r="P273" s="2" t="n"/>
    </row>
    <row r="274">
      <c r="A274" s="2" t="inlineStr">
        <is>
          <t>02.01.06.01.0005</t>
        </is>
      </c>
      <c r="B274" s="3" t="inlineStr">
        <is>
          <t>70% RETENCION IVA -SERVICIOS</t>
        </is>
      </c>
      <c r="C274" s="3" t="inlineStr">
        <is>
          <t>N</t>
        </is>
      </c>
      <c r="D274" s="19" t="n">
        <v>46063</v>
      </c>
      <c r="E274" s="3" t="inlineStr">
        <is>
          <t>CP</t>
        </is>
      </c>
      <c r="F274" s="3" t="n">
        <v>104</v>
      </c>
      <c r="G274" s="3" t="inlineStr">
        <is>
          <t>000000414</t>
        </is>
      </c>
      <c r="H274" s="3" t="inlineStr">
        <is>
          <t>FE LAYOUT S.A. 000000414</t>
        </is>
      </c>
      <c r="I274" s="3" t="n">
        <v>0</v>
      </c>
      <c r="J274" s="3" t="n">
        <v>13.65</v>
      </c>
      <c r="K274" s="17" t="n">
        <v>8179.05</v>
      </c>
      <c r="L274" s="2" t="n"/>
      <c r="M274" s="2" t="n"/>
      <c r="N274" s="2" t="n"/>
      <c r="O274" s="2" t="n"/>
      <c r="P274" s="2" t="n"/>
    </row>
    <row r="275">
      <c r="A275" s="2" t="inlineStr">
        <is>
          <t>02.01.06.01.0005</t>
        </is>
      </c>
      <c r="B275" s="3" t="inlineStr">
        <is>
          <t>70% RETENCION IVA -SERVICIOS</t>
        </is>
      </c>
      <c r="C275" s="3" t="inlineStr">
        <is>
          <t>N</t>
        </is>
      </c>
      <c r="D275" s="19" t="n">
        <v>46064</v>
      </c>
      <c r="E275" s="3" t="inlineStr">
        <is>
          <t>CP</t>
        </is>
      </c>
      <c r="F275" s="3" t="n">
        <v>105</v>
      </c>
      <c r="G275" s="3" t="inlineStr">
        <is>
          <t>000012507</t>
        </is>
      </c>
      <c r="H275" s="3" t="inlineStr">
        <is>
          <t>FE PROANDES SECURITY CIA. LTDA 000012507</t>
        </is>
      </c>
      <c r="I275" s="3" t="n">
        <v>0</v>
      </c>
      <c r="J275" s="3" t="n">
        <v>2.1</v>
      </c>
      <c r="K275" s="17" t="n">
        <v>8172.75</v>
      </c>
      <c r="L275" s="2" t="n"/>
      <c r="M275" s="2" t="n"/>
      <c r="N275" s="2" t="n"/>
      <c r="O275" s="2" t="n"/>
      <c r="P275" s="2" t="n"/>
    </row>
    <row r="276">
      <c r="A276" s="2" t="inlineStr">
        <is>
          <t>02.01.06.01.0005</t>
        </is>
      </c>
      <c r="B276" s="3" t="inlineStr">
        <is>
          <t>70% RETENCION IVA -SERVICIOS</t>
        </is>
      </c>
      <c r="C276" s="3" t="inlineStr">
        <is>
          <t>N</t>
        </is>
      </c>
      <c r="D276" s="19" t="n">
        <v>46065</v>
      </c>
      <c r="E276" s="3" t="inlineStr">
        <is>
          <t>CP</t>
        </is>
      </c>
      <c r="F276" s="3" t="n">
        <v>121</v>
      </c>
      <c r="G276" s="3" t="inlineStr">
        <is>
          <t>000000046</t>
        </is>
      </c>
      <c r="H276" s="3" t="inlineStr">
        <is>
          <t>FE MERCANTIL TORRESCO CIA. LTD 000000046</t>
        </is>
      </c>
      <c r="I276" s="3" t="n">
        <v>0</v>
      </c>
      <c r="J276" s="3" t="n">
        <v>288.89</v>
      </c>
      <c r="K276" s="17" t="n">
        <v>7848.64</v>
      </c>
      <c r="L276" s="2" t="n"/>
      <c r="M276" s="2" t="n"/>
      <c r="N276" s="2" t="n"/>
      <c r="O276" s="2" t="n"/>
      <c r="P276" s="2" t="n"/>
    </row>
    <row r="277">
      <c r="A277" s="2" t="inlineStr">
        <is>
          <t>02.01.06.01.0005</t>
        </is>
      </c>
      <c r="B277" s="3" t="inlineStr">
        <is>
          <t>70% RETENCION IVA -SERVICIOS</t>
        </is>
      </c>
      <c r="C277" s="3" t="inlineStr">
        <is>
          <t>N</t>
        </is>
      </c>
      <c r="D277" s="19" t="n">
        <v>46065</v>
      </c>
      <c r="E277" s="3" t="inlineStr">
        <is>
          <t>CP</t>
        </is>
      </c>
      <c r="F277" s="3" t="n">
        <v>121</v>
      </c>
      <c r="G277" s="3" t="inlineStr">
        <is>
          <t>000001550</t>
        </is>
      </c>
      <c r="H277" s="3" t="inlineStr">
        <is>
          <t>FE AGUAS DIAS MARCO ANTONIO 000001550</t>
        </is>
      </c>
      <c r="I277" s="3" t="n">
        <v>0</v>
      </c>
      <c r="J277" s="3" t="n">
        <v>17.35</v>
      </c>
      <c r="K277" s="17" t="n">
        <v>8155.4</v>
      </c>
      <c r="L277" s="2" t="n"/>
      <c r="M277" s="2" t="n"/>
      <c r="N277" s="2" t="n"/>
      <c r="O277" s="2" t="n"/>
      <c r="P277" s="2" t="n"/>
    </row>
    <row r="278">
      <c r="A278" s="2" t="inlineStr">
        <is>
          <t>02.01.06.01.0005</t>
        </is>
      </c>
      <c r="B278" s="3" t="inlineStr">
        <is>
          <t>70% RETENCION IVA -SERVICIOS</t>
        </is>
      </c>
      <c r="C278" s="3" t="inlineStr">
        <is>
          <t>N</t>
        </is>
      </c>
      <c r="D278" s="19" t="n">
        <v>46065</v>
      </c>
      <c r="E278" s="3" t="inlineStr">
        <is>
          <t>CP</t>
        </is>
      </c>
      <c r="F278" s="3" t="n">
        <v>121</v>
      </c>
      <c r="G278" s="3" t="inlineStr">
        <is>
          <t>000006283</t>
        </is>
      </c>
      <c r="H278" s="3" t="inlineStr">
        <is>
          <t>FE LARREAUTO CIA. LTDA. 000006283</t>
        </is>
      </c>
      <c r="I278" s="3" t="n">
        <v>0</v>
      </c>
      <c r="J278" s="3" t="n">
        <v>5.25</v>
      </c>
      <c r="K278" s="17" t="n">
        <v>8150.15</v>
      </c>
      <c r="L278" s="2" t="n"/>
      <c r="M278" s="2" t="n"/>
      <c r="N278" s="2" t="n"/>
      <c r="O278" s="2" t="n"/>
      <c r="P278" s="2" t="n"/>
    </row>
    <row r="279">
      <c r="A279" s="2" t="inlineStr">
        <is>
          <t>02.01.06.01.0005</t>
        </is>
      </c>
      <c r="B279" s="3" t="inlineStr">
        <is>
          <t>70% RETENCION IVA -SERVICIOS</t>
        </is>
      </c>
      <c r="C279" s="3" t="inlineStr">
        <is>
          <t>N</t>
        </is>
      </c>
      <c r="D279" s="19" t="n">
        <v>46065</v>
      </c>
      <c r="E279" s="3" t="inlineStr">
        <is>
          <t>CP</t>
        </is>
      </c>
      <c r="F279" s="3" t="n">
        <v>121</v>
      </c>
      <c r="G279" s="3" t="inlineStr">
        <is>
          <t>000006870</t>
        </is>
      </c>
      <c r="H279" s="3" t="inlineStr">
        <is>
          <t>FE TOYOTASERVICIOS S.A. 000006870</t>
        </is>
      </c>
      <c r="I279" s="3" t="n">
        <v>0</v>
      </c>
      <c r="J279" s="3" t="n">
        <v>4.78</v>
      </c>
      <c r="K279" s="17" t="n">
        <v>7837.23</v>
      </c>
      <c r="L279" s="2" t="n"/>
      <c r="M279" s="2" t="n"/>
      <c r="N279" s="2" t="n"/>
      <c r="O279" s="2" t="n"/>
      <c r="P279" s="2" t="n"/>
    </row>
    <row r="280">
      <c r="A280" s="2" t="inlineStr">
        <is>
          <t>02.01.06.01.0005</t>
        </is>
      </c>
      <c r="B280" s="3" t="inlineStr">
        <is>
          <t>70% RETENCION IVA -SERVICIOS</t>
        </is>
      </c>
      <c r="C280" s="3" t="inlineStr">
        <is>
          <t>N</t>
        </is>
      </c>
      <c r="D280" s="19" t="n">
        <v>46065</v>
      </c>
      <c r="E280" s="3" t="inlineStr">
        <is>
          <t>CP</t>
        </is>
      </c>
      <c r="F280" s="3" t="n">
        <v>121</v>
      </c>
      <c r="G280" s="3" t="inlineStr">
        <is>
          <t>000007220</t>
        </is>
      </c>
      <c r="H280" s="3" t="inlineStr">
        <is>
          <t>FE SEVILLA GALARZA JOSE MANUEL 000007220</t>
        </is>
      </c>
      <c r="I280" s="3" t="n">
        <v>0</v>
      </c>
      <c r="J280" s="3" t="n">
        <v>6.63</v>
      </c>
      <c r="K280" s="17" t="n">
        <v>7842.01</v>
      </c>
      <c r="L280" s="2" t="n"/>
      <c r="M280" s="2" t="n"/>
      <c r="N280" s="2" t="n"/>
      <c r="O280" s="2" t="n"/>
      <c r="P280" s="2" t="n"/>
    </row>
    <row r="281">
      <c r="A281" s="2" t="inlineStr">
        <is>
          <t>02.01.06.01.0005</t>
        </is>
      </c>
      <c r="B281" s="3" t="inlineStr">
        <is>
          <t>70% RETENCION IVA -SERVICIOS</t>
        </is>
      </c>
      <c r="C281" s="3" t="inlineStr">
        <is>
          <t>N</t>
        </is>
      </c>
      <c r="D281" s="19" t="n">
        <v>46065</v>
      </c>
      <c r="E281" s="3" t="inlineStr">
        <is>
          <t>CP</t>
        </is>
      </c>
      <c r="F281" s="3" t="n">
        <v>121</v>
      </c>
      <c r="G281" s="3" t="inlineStr">
        <is>
          <t>000076914</t>
        </is>
      </c>
      <c r="H281" s="3" t="inlineStr">
        <is>
          <t>FE MAYORGA MAYORGA WILSON RAMI 000076914</t>
        </is>
      </c>
      <c r="I281" s="3" t="n">
        <v>0</v>
      </c>
      <c r="J281" s="3" t="n">
        <v>11.49</v>
      </c>
      <c r="K281" s="17" t="n">
        <v>8138.66</v>
      </c>
      <c r="L281" s="2" t="n"/>
      <c r="M281" s="2" t="n"/>
      <c r="N281" s="2" t="n"/>
      <c r="O281" s="2" t="n"/>
      <c r="P281" s="2" t="n"/>
    </row>
    <row r="282">
      <c r="A282" s="2" t="inlineStr">
        <is>
          <t>02.01.06.01.0005</t>
        </is>
      </c>
      <c r="B282" s="3" t="inlineStr">
        <is>
          <t>70% RETENCION IVA -SERVICIOS</t>
        </is>
      </c>
      <c r="C282" s="3" t="inlineStr">
        <is>
          <t>N</t>
        </is>
      </c>
      <c r="D282" s="19" t="n">
        <v>46065</v>
      </c>
      <c r="E282" s="3" t="inlineStr">
        <is>
          <t>CP</t>
        </is>
      </c>
      <c r="F282" s="3" t="n">
        <v>121</v>
      </c>
      <c r="G282" s="3" t="inlineStr">
        <is>
          <t>000076915</t>
        </is>
      </c>
      <c r="H282" s="3" t="inlineStr">
        <is>
          <t>FE MAYORGA MAYORGA WILSON RAMI 000076915</t>
        </is>
      </c>
      <c r="I282" s="3" t="n">
        <v>0</v>
      </c>
      <c r="J282" s="3" t="n">
        <v>1.13</v>
      </c>
      <c r="K282" s="17" t="n">
        <v>8137.53</v>
      </c>
      <c r="L282" s="2" t="n"/>
      <c r="M282" s="2" t="n"/>
      <c r="N282" s="2" t="n"/>
      <c r="O282" s="2" t="n"/>
      <c r="P282" s="2" t="n"/>
    </row>
    <row r="283">
      <c r="A283" s="2" t="inlineStr">
        <is>
          <t>02.01.06.01.0005</t>
        </is>
      </c>
      <c r="B283" s="3" t="inlineStr">
        <is>
          <t>70% RETENCION IVA -SERVICIOS</t>
        </is>
      </c>
      <c r="C283" s="3" t="inlineStr">
        <is>
          <t>N</t>
        </is>
      </c>
      <c r="D283" s="19" t="n">
        <v>46070</v>
      </c>
      <c r="E283" s="3" t="inlineStr">
        <is>
          <t>CP</t>
        </is>
      </c>
      <c r="F283" s="3" t="n">
        <v>135</v>
      </c>
      <c r="G283" s="3" t="inlineStr">
        <is>
          <t>000000002</t>
        </is>
      </c>
      <c r="H283" s="3" t="inlineStr">
        <is>
          <t>FE VALENZUELA SALAZAR JAVIER E 000000002</t>
        </is>
      </c>
      <c r="I283" s="3" t="n">
        <v>0</v>
      </c>
      <c r="J283" s="3" t="n">
        <v>330.75</v>
      </c>
      <c r="K283" s="17" t="n">
        <v>7506.48</v>
      </c>
      <c r="L283" s="2" t="n"/>
      <c r="M283" s="2" t="n"/>
      <c r="N283" s="2" t="n"/>
      <c r="O283" s="2" t="n"/>
      <c r="P283" s="2" t="n"/>
    </row>
    <row r="284">
      <c r="A284" s="2" t="inlineStr">
        <is>
          <t>02.01.06.01.0005</t>
        </is>
      </c>
      <c r="B284" s="3" t="inlineStr">
        <is>
          <t>70% RETENCION IVA -SERVICIOS</t>
        </is>
      </c>
      <c r="C284" s="3" t="inlineStr">
        <is>
          <t>N</t>
        </is>
      </c>
      <c r="D284" s="19" t="n">
        <v>46071</v>
      </c>
      <c r="E284" s="3" t="inlineStr">
        <is>
          <t>CP</t>
        </is>
      </c>
      <c r="F284" s="3" t="n">
        <v>160</v>
      </c>
      <c r="G284" s="3" t="inlineStr">
        <is>
          <t>000000003</t>
        </is>
      </c>
      <c r="H284" s="3" t="inlineStr">
        <is>
          <t>FE ZEA ALTAMIRANO MARIA ELENA 000000003</t>
        </is>
      </c>
      <c r="I284" s="3" t="n">
        <v>0</v>
      </c>
      <c r="J284" s="3" t="n">
        <v>330.75</v>
      </c>
      <c r="K284" s="17" t="n">
        <v>6297.59</v>
      </c>
      <c r="L284" s="2" t="n"/>
      <c r="M284" s="2" t="n"/>
      <c r="N284" s="2" t="n"/>
      <c r="O284" s="2" t="n"/>
      <c r="P284" s="2" t="n"/>
    </row>
    <row r="285">
      <c r="A285" s="2" t="inlineStr">
        <is>
          <t>02.01.06.01.0005</t>
        </is>
      </c>
      <c r="B285" s="3" t="inlineStr">
        <is>
          <t>70% RETENCION IVA -SERVICIOS</t>
        </is>
      </c>
      <c r="C285" s="3" t="inlineStr">
        <is>
          <t>N</t>
        </is>
      </c>
      <c r="D285" s="19" t="n">
        <v>46071</v>
      </c>
      <c r="E285" s="3" t="inlineStr">
        <is>
          <t>CP</t>
        </is>
      </c>
      <c r="F285" s="3" t="n">
        <v>160</v>
      </c>
      <c r="G285" s="3" t="inlineStr">
        <is>
          <t>000000137</t>
        </is>
      </c>
      <c r="H285" s="3" t="inlineStr">
        <is>
          <t>FE REINOSO SALAS YAJAIRA CAROL 000000137</t>
        </is>
      </c>
      <c r="I285" s="3" t="n">
        <v>0</v>
      </c>
      <c r="J285" s="3" t="n">
        <v>5.25</v>
      </c>
      <c r="K285" s="17" t="n">
        <v>6651.61</v>
      </c>
      <c r="L285" s="2" t="n"/>
      <c r="M285" s="2" t="n"/>
      <c r="N285" s="2" t="n"/>
      <c r="O285" s="2" t="n"/>
      <c r="P285" s="2" t="n"/>
    </row>
    <row r="286">
      <c r="A286" s="2" t="inlineStr">
        <is>
          <t>02.01.06.01.0005</t>
        </is>
      </c>
      <c r="B286" s="3" t="inlineStr">
        <is>
          <t>70% RETENCION IVA -SERVICIOS</t>
        </is>
      </c>
      <c r="C286" s="3" t="inlineStr">
        <is>
          <t>N</t>
        </is>
      </c>
      <c r="D286" s="19" t="n">
        <v>46071</v>
      </c>
      <c r="E286" s="3" t="inlineStr">
        <is>
          <t>CP</t>
        </is>
      </c>
      <c r="F286" s="3" t="n">
        <v>160</v>
      </c>
      <c r="G286" s="3" t="inlineStr">
        <is>
          <t>000000139</t>
        </is>
      </c>
      <c r="H286" s="3" t="inlineStr">
        <is>
          <t>FE REINOSO SALAS YAJAIRA CAROL 000000139</t>
        </is>
      </c>
      <c r="I286" s="3" t="n">
        <v>0</v>
      </c>
      <c r="J286" s="3" t="n">
        <v>4.2</v>
      </c>
      <c r="K286" s="17" t="n">
        <v>6647.41</v>
      </c>
      <c r="L286" s="2" t="n"/>
      <c r="M286" s="2" t="n"/>
      <c r="N286" s="2" t="n"/>
      <c r="O286" s="2" t="n"/>
      <c r="P286" s="2" t="n"/>
    </row>
    <row r="287">
      <c r="A287" s="2" t="inlineStr">
        <is>
          <t>02.01.06.01.0005</t>
        </is>
      </c>
      <c r="B287" s="3" t="inlineStr">
        <is>
          <t>70% RETENCION IVA -SERVICIOS</t>
        </is>
      </c>
      <c r="C287" s="3" t="inlineStr">
        <is>
          <t>N</t>
        </is>
      </c>
      <c r="D287" s="19" t="n">
        <v>46071</v>
      </c>
      <c r="E287" s="3" t="inlineStr">
        <is>
          <t>CP</t>
        </is>
      </c>
      <c r="F287" s="3" t="n">
        <v>160</v>
      </c>
      <c r="G287" s="3" t="inlineStr">
        <is>
          <t>000000140</t>
        </is>
      </c>
      <c r="H287" s="3" t="inlineStr">
        <is>
          <t>FE REINOSO SALAS YAJAIRA CAROL 000000140</t>
        </is>
      </c>
      <c r="I287" s="3" t="n">
        <v>0</v>
      </c>
      <c r="J287" s="3" t="n">
        <v>4.2</v>
      </c>
      <c r="K287" s="17" t="n">
        <v>6643.21</v>
      </c>
      <c r="L287" s="2" t="n"/>
      <c r="M287" s="2" t="n"/>
      <c r="N287" s="2" t="n"/>
      <c r="O287" s="2" t="n"/>
      <c r="P287" s="2" t="n"/>
    </row>
    <row r="288">
      <c r="A288" s="2" t="inlineStr">
        <is>
          <t>02.01.06.01.0005</t>
        </is>
      </c>
      <c r="B288" s="3" t="inlineStr">
        <is>
          <t>70% RETENCION IVA -SERVICIOS</t>
        </is>
      </c>
      <c r="C288" s="3" t="inlineStr">
        <is>
          <t>N</t>
        </is>
      </c>
      <c r="D288" s="19" t="n">
        <v>46071</v>
      </c>
      <c r="E288" s="3" t="inlineStr">
        <is>
          <t>CP</t>
        </is>
      </c>
      <c r="F288" s="3" t="n">
        <v>160</v>
      </c>
      <c r="G288" s="3" t="inlineStr">
        <is>
          <t>000000141</t>
        </is>
      </c>
      <c r="H288" s="3" t="inlineStr">
        <is>
          <t>FE REINOSO SALAS YAJAIRA CAROL 000000141</t>
        </is>
      </c>
      <c r="I288" s="3" t="n">
        <v>0</v>
      </c>
      <c r="J288" s="3" t="n">
        <v>4.2</v>
      </c>
      <c r="K288" s="17" t="n">
        <v>6639.01</v>
      </c>
      <c r="L288" s="2" t="n"/>
      <c r="M288" s="2" t="n"/>
      <c r="N288" s="2" t="n"/>
      <c r="O288" s="2" t="n"/>
      <c r="P288" s="2" t="n"/>
    </row>
    <row r="289">
      <c r="A289" s="2" t="inlineStr">
        <is>
          <t>02.01.06.01.0005</t>
        </is>
      </c>
      <c r="B289" s="3" t="inlineStr">
        <is>
          <t>70% RETENCION IVA -SERVICIOS</t>
        </is>
      </c>
      <c r="C289" s="3" t="inlineStr">
        <is>
          <t>N</t>
        </is>
      </c>
      <c r="D289" s="19" t="n">
        <v>46071</v>
      </c>
      <c r="E289" s="3" t="inlineStr">
        <is>
          <t>CP</t>
        </is>
      </c>
      <c r="F289" s="3" t="n">
        <v>160</v>
      </c>
      <c r="G289" s="3" t="inlineStr">
        <is>
          <t>000000142</t>
        </is>
      </c>
      <c r="H289" s="3" t="inlineStr">
        <is>
          <t>FE REINOSO SALAS YAJAIRA CAROL 000000142</t>
        </is>
      </c>
      <c r="I289" s="3" t="n">
        <v>0</v>
      </c>
      <c r="J289" s="3" t="n">
        <v>4.2</v>
      </c>
      <c r="K289" s="17" t="n">
        <v>6634.81</v>
      </c>
      <c r="L289" s="2" t="n"/>
      <c r="M289" s="2" t="n"/>
      <c r="N289" s="2" t="n"/>
      <c r="O289" s="2" t="n"/>
      <c r="P289" s="2" t="n"/>
    </row>
    <row r="290">
      <c r="A290" s="2" t="inlineStr">
        <is>
          <t>02.01.06.01.0005</t>
        </is>
      </c>
      <c r="B290" s="3" t="inlineStr">
        <is>
          <t>70% RETENCION IVA -SERVICIOS</t>
        </is>
      </c>
      <c r="C290" s="3" t="inlineStr">
        <is>
          <t>N</t>
        </is>
      </c>
      <c r="D290" s="19" t="n">
        <v>46071</v>
      </c>
      <c r="E290" s="3" t="inlineStr">
        <is>
          <t>CP</t>
        </is>
      </c>
      <c r="F290" s="3" t="n">
        <v>160</v>
      </c>
      <c r="G290" s="3" t="inlineStr">
        <is>
          <t>000000143</t>
        </is>
      </c>
      <c r="H290" s="3" t="inlineStr">
        <is>
          <t>FE REINOSO SALAS YAJAIRA CAROL 000000143</t>
        </is>
      </c>
      <c r="I290" s="3" t="n">
        <v>0</v>
      </c>
      <c r="J290" s="3" t="n">
        <v>4.2</v>
      </c>
      <c r="K290" s="17" t="n">
        <v>6630.61</v>
      </c>
      <c r="L290" s="2" t="n"/>
      <c r="M290" s="2" t="n"/>
      <c r="N290" s="2" t="n"/>
      <c r="O290" s="2" t="n"/>
      <c r="P290" s="2" t="n"/>
    </row>
    <row r="291">
      <c r="A291" s="2" t="inlineStr">
        <is>
          <t>02.01.06.01.0005</t>
        </is>
      </c>
      <c r="B291" s="3" t="inlineStr">
        <is>
          <t>70% RETENCION IVA -SERVICIOS</t>
        </is>
      </c>
      <c r="C291" s="3" t="inlineStr">
        <is>
          <t>N</t>
        </is>
      </c>
      <c r="D291" s="19" t="n">
        <v>46071</v>
      </c>
      <c r="E291" s="3" t="inlineStr">
        <is>
          <t>CP</t>
        </is>
      </c>
      <c r="F291" s="3" t="n">
        <v>160</v>
      </c>
      <c r="G291" s="3" t="inlineStr">
        <is>
          <t>000000451</t>
        </is>
      </c>
      <c r="H291" s="3" t="inlineStr">
        <is>
          <t>FE CARLARSERVICE CIA. LTDA 000000451</t>
        </is>
      </c>
      <c r="I291" s="3" t="n">
        <v>0</v>
      </c>
      <c r="J291" s="3" t="n">
        <v>63.84</v>
      </c>
      <c r="K291" s="17" t="n">
        <v>7043.64</v>
      </c>
      <c r="L291" s="2" t="n"/>
      <c r="M291" s="2" t="n"/>
      <c r="N291" s="2" t="n"/>
      <c r="O291" s="2" t="n"/>
      <c r="P291" s="2" t="n"/>
    </row>
    <row r="292">
      <c r="A292" s="2" t="inlineStr">
        <is>
          <t>02.01.06.01.0005</t>
        </is>
      </c>
      <c r="B292" s="3" t="inlineStr">
        <is>
          <t>70% RETENCION IVA -SERVICIOS</t>
        </is>
      </c>
      <c r="C292" s="3" t="inlineStr">
        <is>
          <t>N</t>
        </is>
      </c>
      <c r="D292" s="19" t="n">
        <v>46071</v>
      </c>
      <c r="E292" s="3" t="inlineStr">
        <is>
          <t>CP</t>
        </is>
      </c>
      <c r="F292" s="3" t="n">
        <v>160</v>
      </c>
      <c r="G292" s="3" t="inlineStr">
        <is>
          <t>000000454</t>
        </is>
      </c>
      <c r="H292" s="3" t="inlineStr">
        <is>
          <t>FE CARLARSERVICE CIA. LTDA 000000454</t>
        </is>
      </c>
      <c r="I292" s="3" t="n">
        <v>0</v>
      </c>
      <c r="J292" s="3" t="n">
        <v>47.64</v>
      </c>
      <c r="K292" s="17" t="n">
        <v>6996</v>
      </c>
      <c r="L292" s="2" t="n"/>
      <c r="M292" s="2" t="n"/>
      <c r="N292" s="2" t="n"/>
      <c r="O292" s="2" t="n"/>
      <c r="P292" s="2" t="n"/>
    </row>
    <row r="293">
      <c r="A293" s="2" t="inlineStr">
        <is>
          <t>02.01.06.01.0005</t>
        </is>
      </c>
      <c r="B293" s="3" t="inlineStr">
        <is>
          <t>70% RETENCION IVA -SERVICIOS</t>
        </is>
      </c>
      <c r="C293" s="3" t="inlineStr">
        <is>
          <t>N</t>
        </is>
      </c>
      <c r="D293" s="19" t="n">
        <v>46071</v>
      </c>
      <c r="E293" s="3" t="inlineStr">
        <is>
          <t>CP</t>
        </is>
      </c>
      <c r="F293" s="3" t="n">
        <v>160</v>
      </c>
      <c r="G293" s="3" t="inlineStr">
        <is>
          <t>000000456</t>
        </is>
      </c>
      <c r="H293" s="3" t="inlineStr">
        <is>
          <t>FE CARLARSERVICE CIA. LTDA 000000456</t>
        </is>
      </c>
      <c r="I293" s="3" t="n">
        <v>0</v>
      </c>
      <c r="J293" s="3" t="n">
        <v>104.25</v>
      </c>
      <c r="K293" s="17" t="n">
        <v>6891.75</v>
      </c>
      <c r="L293" s="2" t="n"/>
      <c r="M293" s="2" t="n"/>
      <c r="N293" s="2" t="n"/>
      <c r="O293" s="2" t="n"/>
      <c r="P293" s="2" t="n"/>
    </row>
    <row r="294">
      <c r="A294" s="2" t="inlineStr">
        <is>
          <t>02.01.06.01.0005</t>
        </is>
      </c>
      <c r="B294" s="3" t="inlineStr">
        <is>
          <t>70% RETENCION IVA -SERVICIOS</t>
        </is>
      </c>
      <c r="C294" s="3" t="inlineStr">
        <is>
          <t>N</t>
        </is>
      </c>
      <c r="D294" s="19" t="n">
        <v>46071</v>
      </c>
      <c r="E294" s="3" t="inlineStr">
        <is>
          <t>CP</t>
        </is>
      </c>
      <c r="F294" s="3" t="n">
        <v>160</v>
      </c>
      <c r="G294" s="3" t="inlineStr">
        <is>
          <t>000000550</t>
        </is>
      </c>
      <c r="H294" s="3" t="inlineStr">
        <is>
          <t>FE LOPEZ ANDRANGO SEGUNDO MANU 000000550</t>
        </is>
      </c>
      <c r="I294" s="3" t="n">
        <v>0</v>
      </c>
      <c r="J294" s="3" t="n">
        <v>10.5</v>
      </c>
      <c r="K294" s="17" t="n">
        <v>6708</v>
      </c>
      <c r="L294" s="2" t="n"/>
      <c r="M294" s="2" t="n"/>
      <c r="N294" s="2" t="n"/>
      <c r="O294" s="2" t="n"/>
      <c r="P294" s="2" t="n"/>
    </row>
    <row r="295">
      <c r="A295" s="2" t="inlineStr">
        <is>
          <t>02.01.06.01.0005</t>
        </is>
      </c>
      <c r="B295" s="3" t="inlineStr">
        <is>
          <t>70% RETENCION IVA -SERVICIOS</t>
        </is>
      </c>
      <c r="C295" s="3" t="inlineStr">
        <is>
          <t>N</t>
        </is>
      </c>
      <c r="D295" s="19" t="n">
        <v>46071</v>
      </c>
      <c r="E295" s="3" t="inlineStr">
        <is>
          <t>CP</t>
        </is>
      </c>
      <c r="F295" s="3" t="n">
        <v>160</v>
      </c>
      <c r="G295" s="3" t="inlineStr">
        <is>
          <t>000001113</t>
        </is>
      </c>
      <c r="H295" s="3" t="inlineStr">
        <is>
          <t>FE ASTUDILLO RIVADENEIRA CRIST 000001113</t>
        </is>
      </c>
      <c r="I295" s="3" t="n">
        <v>0</v>
      </c>
      <c r="J295" s="3" t="n">
        <v>199.5</v>
      </c>
      <c r="K295" s="17" t="n">
        <v>7306.98</v>
      </c>
      <c r="L295" s="2" t="n"/>
      <c r="M295" s="2" t="n"/>
      <c r="N295" s="2" t="n"/>
      <c r="O295" s="2" t="n"/>
      <c r="P295" s="2" t="n"/>
    </row>
    <row r="296">
      <c r="A296" s="2" t="inlineStr">
        <is>
          <t>02.01.06.01.0005</t>
        </is>
      </c>
      <c r="B296" s="3" t="inlineStr">
        <is>
          <t>70% RETENCION IVA -SERVICIOS</t>
        </is>
      </c>
      <c r="C296" s="3" t="inlineStr">
        <is>
          <t>N</t>
        </is>
      </c>
      <c r="D296" s="19" t="n">
        <v>46071</v>
      </c>
      <c r="E296" s="3" t="inlineStr">
        <is>
          <t>CP</t>
        </is>
      </c>
      <c r="F296" s="3" t="n">
        <v>160</v>
      </c>
      <c r="G296" s="3" t="inlineStr">
        <is>
          <t>000001114</t>
        </is>
      </c>
      <c r="H296" s="3" t="inlineStr">
        <is>
          <t>FE ASTUDILLO RIVADENEIRA CRIST 000001114</t>
        </is>
      </c>
      <c r="I296" s="3" t="n">
        <v>0</v>
      </c>
      <c r="J296" s="3" t="n">
        <v>199.5</v>
      </c>
      <c r="K296" s="17" t="n">
        <v>7107.48</v>
      </c>
      <c r="L296" s="2" t="n"/>
      <c r="M296" s="2" t="n"/>
      <c r="N296" s="2" t="n"/>
      <c r="O296" s="2" t="n"/>
      <c r="P296" s="2" t="n"/>
    </row>
    <row r="297">
      <c r="A297" s="2" t="inlineStr">
        <is>
          <t>02.01.06.01.0005</t>
        </is>
      </c>
      <c r="B297" s="3" t="inlineStr">
        <is>
          <t>70% RETENCION IVA -SERVICIOS</t>
        </is>
      </c>
      <c r="C297" s="3" t="inlineStr">
        <is>
          <t>N</t>
        </is>
      </c>
      <c r="D297" s="19" t="n">
        <v>46071</v>
      </c>
      <c r="E297" s="3" t="inlineStr">
        <is>
          <t>CP</t>
        </is>
      </c>
      <c r="F297" s="3" t="n">
        <v>160</v>
      </c>
      <c r="G297" s="3" t="inlineStr">
        <is>
          <t>000003635</t>
        </is>
      </c>
      <c r="H297" s="3" t="inlineStr">
        <is>
          <t>FE PAEZ ORTIZ CHRISTIAN GONZAL 000003635</t>
        </is>
      </c>
      <c r="I297" s="3" t="n">
        <v>0</v>
      </c>
      <c r="J297" s="3" t="n">
        <v>51.14</v>
      </c>
      <c r="K297" s="17" t="n">
        <v>6656.86</v>
      </c>
      <c r="L297" s="2" t="n"/>
      <c r="M297" s="2" t="n"/>
      <c r="N297" s="2" t="n"/>
      <c r="O297" s="2" t="n"/>
      <c r="P297" s="2" t="n"/>
    </row>
    <row r="298">
      <c r="A298" s="2" t="inlineStr">
        <is>
          <t>02.01.06.01.0005</t>
        </is>
      </c>
      <c r="B298" s="3" t="inlineStr">
        <is>
          <t>70% RETENCION IVA -SERVICIOS</t>
        </is>
      </c>
      <c r="C298" s="3" t="inlineStr">
        <is>
          <t>N</t>
        </is>
      </c>
      <c r="D298" s="19" t="n">
        <v>46071</v>
      </c>
      <c r="E298" s="3" t="inlineStr">
        <is>
          <t>CP</t>
        </is>
      </c>
      <c r="F298" s="3" t="n">
        <v>160</v>
      </c>
      <c r="G298" s="3" t="inlineStr">
        <is>
          <t>000006895</t>
        </is>
      </c>
      <c r="H298" s="3" t="inlineStr">
        <is>
          <t>FE TOYOTASERVICIOS S.A. 000006895</t>
        </is>
      </c>
      <c r="I298" s="3" t="n">
        <v>0</v>
      </c>
      <c r="J298" s="3" t="n">
        <v>2.27</v>
      </c>
      <c r="K298" s="17" t="n">
        <v>6628.34</v>
      </c>
      <c r="L298" s="2" t="n"/>
      <c r="M298" s="2" t="n"/>
      <c r="N298" s="2" t="n"/>
      <c r="O298" s="2" t="n"/>
      <c r="P298" s="2" t="n"/>
    </row>
    <row r="299">
      <c r="A299" s="2" t="inlineStr">
        <is>
          <t>02.01.06.01.0005</t>
        </is>
      </c>
      <c r="B299" s="3" t="inlineStr">
        <is>
          <t>70% RETENCION IVA -SERVICIOS</t>
        </is>
      </c>
      <c r="C299" s="3" t="inlineStr">
        <is>
          <t>N</t>
        </is>
      </c>
      <c r="D299" s="19" t="n">
        <v>46071</v>
      </c>
      <c r="E299" s="3" t="inlineStr">
        <is>
          <t>CP</t>
        </is>
      </c>
      <c r="F299" s="3" t="n">
        <v>160</v>
      </c>
      <c r="G299" s="3" t="inlineStr">
        <is>
          <t>000007432</t>
        </is>
      </c>
      <c r="H299" s="3" t="inlineStr">
        <is>
          <t>FE ETL-EC AUDITORES S.A. 000007432</t>
        </is>
      </c>
      <c r="I299" s="3" t="n">
        <v>0</v>
      </c>
      <c r="J299" s="3" t="n">
        <v>173.25</v>
      </c>
      <c r="K299" s="17" t="n">
        <v>6718.5</v>
      </c>
      <c r="L299" s="2" t="n"/>
      <c r="M299" s="2" t="n"/>
      <c r="N299" s="2" t="n"/>
      <c r="O299" s="2" t="n"/>
      <c r="P299" s="2" t="n"/>
    </row>
    <row r="300">
      <c r="A300" s="2" t="inlineStr">
        <is>
          <t>02.01.06.01.0005</t>
        </is>
      </c>
      <c r="B300" s="3" t="inlineStr">
        <is>
          <t>70% RETENCION IVA -SERVICIOS</t>
        </is>
      </c>
      <c r="C300" s="3" t="inlineStr">
        <is>
          <t>N</t>
        </is>
      </c>
      <c r="D300" s="19" t="n">
        <v>46072</v>
      </c>
      <c r="E300" s="3" t="inlineStr">
        <is>
          <t>CP</t>
        </is>
      </c>
      <c r="F300" s="3" t="n">
        <v>162</v>
      </c>
      <c r="G300" s="3" t="inlineStr">
        <is>
          <t>000193539</t>
        </is>
      </c>
      <c r="H300" s="3" t="inlineStr">
        <is>
          <t>FE CABRERA ROJAS DORIS MARIA 000193539</t>
        </is>
      </c>
      <c r="I300" s="3" t="n">
        <v>0</v>
      </c>
      <c r="J300" s="3" t="n">
        <v>7.78</v>
      </c>
      <c r="K300" s="17" t="n">
        <v>6289.81</v>
      </c>
      <c r="L300" s="2" t="n"/>
      <c r="M300" s="2" t="n"/>
      <c r="N300" s="2" t="n"/>
      <c r="O300" s="2" t="n"/>
      <c r="P300" s="2" t="n"/>
    </row>
    <row r="301">
      <c r="A301" s="2" t="inlineStr">
        <is>
          <t>02.01.06.01.0005</t>
        </is>
      </c>
      <c r="B301" s="3" t="inlineStr">
        <is>
          <t>70% RETENCION IVA -SERVICIOS</t>
        </is>
      </c>
      <c r="C301" s="3" t="inlineStr">
        <is>
          <t>N</t>
        </is>
      </c>
      <c r="D301" s="19" t="n">
        <v>46075</v>
      </c>
      <c r="E301" s="3" t="inlineStr">
        <is>
          <t>CP</t>
        </is>
      </c>
      <c r="F301" s="3" t="n">
        <v>202</v>
      </c>
      <c r="G301" s="3" t="inlineStr">
        <is>
          <t>000000177</t>
        </is>
      </c>
      <c r="H301" s="3" t="inlineStr">
        <is>
          <t>FE FILLIPPO SANCHEZ ALEXANDER 000000177</t>
        </is>
      </c>
      <c r="I301" s="3" t="n">
        <v>0</v>
      </c>
      <c r="J301" s="3" t="n">
        <v>2061.87</v>
      </c>
      <c r="K301" s="17" t="n">
        <v>4187.9</v>
      </c>
      <c r="L301" s="2" t="n"/>
      <c r="M301" s="2" t="n"/>
      <c r="N301" s="2" t="n"/>
      <c r="O301" s="2" t="n"/>
      <c r="P301" s="2" t="n"/>
    </row>
    <row r="302">
      <c r="A302" s="2" t="inlineStr">
        <is>
          <t>02.01.06.01.0005</t>
        </is>
      </c>
      <c r="B302" s="3" t="inlineStr">
        <is>
          <t>70% RETENCION IVA -SERVICIOS</t>
        </is>
      </c>
      <c r="C302" s="3" t="inlineStr">
        <is>
          <t>N</t>
        </is>
      </c>
      <c r="D302" s="19" t="n">
        <v>46075</v>
      </c>
      <c r="E302" s="3" t="inlineStr">
        <is>
          <t>CP</t>
        </is>
      </c>
      <c r="F302" s="3" t="n">
        <v>202</v>
      </c>
      <c r="G302" s="3" t="inlineStr">
        <is>
          <t>000000538</t>
        </is>
      </c>
      <c r="H302" s="3" t="inlineStr">
        <is>
          <t>FE CARRERA KUMMERFELD MANUEL F 000000538</t>
        </is>
      </c>
      <c r="I302" s="3" t="n">
        <v>0</v>
      </c>
      <c r="J302" s="3" t="n">
        <v>18.38</v>
      </c>
      <c r="K302" s="17" t="n">
        <v>6260.01</v>
      </c>
      <c r="L302" s="2" t="n"/>
      <c r="M302" s="2" t="n"/>
      <c r="N302" s="2" t="n"/>
      <c r="O302" s="2" t="n"/>
      <c r="P302" s="2" t="n"/>
    </row>
    <row r="303">
      <c r="A303" s="2" t="inlineStr">
        <is>
          <t>02.01.06.01.0005</t>
        </is>
      </c>
      <c r="B303" s="3" t="inlineStr">
        <is>
          <t>70% RETENCION IVA -SERVICIOS</t>
        </is>
      </c>
      <c r="C303" s="3" t="inlineStr">
        <is>
          <t>N</t>
        </is>
      </c>
      <c r="D303" s="19" t="n">
        <v>46075</v>
      </c>
      <c r="E303" s="3" t="inlineStr">
        <is>
          <t>CP</t>
        </is>
      </c>
      <c r="F303" s="3" t="n">
        <v>202</v>
      </c>
      <c r="G303" s="3" t="inlineStr">
        <is>
          <t>000001442</t>
        </is>
      </c>
      <c r="H303" s="3" t="inlineStr">
        <is>
          <t>FE TOYOTASERVICIOS S.A. 000001442</t>
        </is>
      </c>
      <c r="I303" s="3" t="n">
        <v>0</v>
      </c>
      <c r="J303" s="3" t="n">
        <v>43.35</v>
      </c>
      <c r="K303" s="17" t="n">
        <v>3822.09</v>
      </c>
      <c r="L303" s="2" t="n"/>
      <c r="M303" s="2" t="n"/>
      <c r="N303" s="2" t="n"/>
      <c r="O303" s="2" t="n"/>
      <c r="P303" s="2" t="n"/>
    </row>
    <row r="304">
      <c r="A304" s="2" t="inlineStr">
        <is>
          <t>02.01.06.01.0005</t>
        </is>
      </c>
      <c r="B304" s="3" t="inlineStr">
        <is>
          <t>70% RETENCION IVA -SERVICIOS</t>
        </is>
      </c>
      <c r="C304" s="3" t="inlineStr">
        <is>
          <t>N</t>
        </is>
      </c>
      <c r="D304" s="19" t="n">
        <v>46075</v>
      </c>
      <c r="E304" s="3" t="inlineStr">
        <is>
          <t>CP</t>
        </is>
      </c>
      <c r="F304" s="3" t="n">
        <v>202</v>
      </c>
      <c r="G304" s="3" t="inlineStr">
        <is>
          <t>000002690</t>
        </is>
      </c>
      <c r="H304" s="3" t="inlineStr">
        <is>
          <t>FE CASTRO MORALES OMAR VLADIMI 000002690</t>
        </is>
      </c>
      <c r="I304" s="3" t="n">
        <v>0</v>
      </c>
      <c r="J304" s="3" t="n">
        <v>2.56</v>
      </c>
      <c r="K304" s="17" t="n">
        <v>6257.45</v>
      </c>
      <c r="L304" s="2" t="n"/>
      <c r="M304" s="2" t="n"/>
      <c r="N304" s="2" t="n"/>
      <c r="O304" s="2" t="n"/>
      <c r="P304" s="2" t="n"/>
    </row>
    <row r="305">
      <c r="A305" s="2" t="inlineStr">
        <is>
          <t>02.01.06.01.0005</t>
        </is>
      </c>
      <c r="B305" s="3" t="inlineStr">
        <is>
          <t>70% RETENCION IVA -SERVICIOS</t>
        </is>
      </c>
      <c r="C305" s="3" t="inlineStr">
        <is>
          <t>N</t>
        </is>
      </c>
      <c r="D305" s="19" t="n">
        <v>46075</v>
      </c>
      <c r="E305" s="3" t="inlineStr">
        <is>
          <t>CP</t>
        </is>
      </c>
      <c r="F305" s="3" t="n">
        <v>202</v>
      </c>
      <c r="G305" s="3" t="inlineStr">
        <is>
          <t>000002699</t>
        </is>
      </c>
      <c r="H305" s="3" t="inlineStr">
        <is>
          <t>FE CASTRO MORALES OMAR VLADIMI 000002699</t>
        </is>
      </c>
      <c r="I305" s="3" t="n">
        <v>0</v>
      </c>
      <c r="J305" s="3" t="n">
        <v>2.56</v>
      </c>
      <c r="K305" s="3" t="n">
        <v>6254.89</v>
      </c>
      <c r="L305" s="2" t="n"/>
      <c r="M305" s="2" t="n"/>
      <c r="N305" s="2" t="n"/>
      <c r="O305" s="2" t="n"/>
      <c r="P305" s="2" t="n"/>
    </row>
    <row r="306">
      <c r="A306" s="2" t="inlineStr">
        <is>
          <t>02.01.06.01.0005</t>
        </is>
      </c>
      <c r="B306" s="3" t="inlineStr">
        <is>
          <t>70% RETENCION IVA -SERVICIOS</t>
        </is>
      </c>
      <c r="C306" s="3" t="inlineStr">
        <is>
          <t>N</t>
        </is>
      </c>
      <c r="D306" s="19" t="n">
        <v>46075</v>
      </c>
      <c r="E306" s="3" t="inlineStr">
        <is>
          <t>CP</t>
        </is>
      </c>
      <c r="F306" s="3" t="n">
        <v>202</v>
      </c>
      <c r="G306" s="3" t="inlineStr">
        <is>
          <t>000002706</t>
        </is>
      </c>
      <c r="H306" s="3" t="inlineStr">
        <is>
          <t>FE CASTRO MORALES OMAR VLADIMI 000002706</t>
        </is>
      </c>
      <c r="I306" s="3" t="n">
        <v>0</v>
      </c>
      <c r="J306" s="3" t="n">
        <v>2.56</v>
      </c>
      <c r="K306" s="3" t="n">
        <v>6252.33</v>
      </c>
      <c r="L306" s="2" t="n"/>
      <c r="M306" s="2" t="n"/>
      <c r="N306" s="2" t="n"/>
      <c r="O306" s="2" t="n"/>
      <c r="P306" s="2" t="n"/>
    </row>
    <row r="307">
      <c r="A307" s="2" t="inlineStr">
        <is>
          <t>02.01.06.01.0005</t>
        </is>
      </c>
      <c r="B307" s="3" t="inlineStr">
        <is>
          <t>70% RETENCION IVA -SERVICIOS</t>
        </is>
      </c>
      <c r="C307" s="3" t="inlineStr">
        <is>
          <t>N</t>
        </is>
      </c>
      <c r="D307" s="19" t="n">
        <v>46075</v>
      </c>
      <c r="E307" s="3" t="inlineStr">
        <is>
          <t>CP</t>
        </is>
      </c>
      <c r="F307" s="3" t="n">
        <v>202</v>
      </c>
      <c r="G307" s="3" t="inlineStr">
        <is>
          <t>000002708</t>
        </is>
      </c>
      <c r="H307" s="3" t="inlineStr">
        <is>
          <t>FE CASTRO MORALES OMAR VLADIMI 000002708</t>
        </is>
      </c>
      <c r="I307" s="3" t="n">
        <v>0</v>
      </c>
      <c r="J307" s="3" t="n">
        <v>2.56</v>
      </c>
      <c r="K307" s="3" t="n">
        <v>6249.77</v>
      </c>
      <c r="L307" s="2" t="n"/>
      <c r="M307" s="2" t="n"/>
      <c r="N307" s="2" t="n"/>
      <c r="O307" s="2" t="n"/>
      <c r="P307" s="2" t="n"/>
    </row>
    <row r="308">
      <c r="A308" s="2" t="inlineStr">
        <is>
          <t>02.01.06.01.0005</t>
        </is>
      </c>
      <c r="B308" s="3" t="inlineStr">
        <is>
          <t>70% RETENCION IVA -SERVICIOS</t>
        </is>
      </c>
      <c r="C308" s="3" t="inlineStr">
        <is>
          <t>N</t>
        </is>
      </c>
      <c r="D308" s="19" t="n">
        <v>46075</v>
      </c>
      <c r="E308" s="3" t="inlineStr">
        <is>
          <t>CP</t>
        </is>
      </c>
      <c r="F308" s="3" t="n">
        <v>202</v>
      </c>
      <c r="G308" s="3" t="inlineStr">
        <is>
          <t>000002993</t>
        </is>
      </c>
      <c r="H308" s="3" t="inlineStr">
        <is>
          <t>FE SERVICIOS DE RADIO Y TELEVI 000002993</t>
        </is>
      </c>
      <c r="I308" s="3" t="n">
        <v>0</v>
      </c>
      <c r="J308" s="3" t="n">
        <v>42</v>
      </c>
      <c r="K308" s="3" t="n">
        <v>3865.44</v>
      </c>
      <c r="L308" s="2" t="n"/>
      <c r="M308" s="2" t="n"/>
      <c r="N308" s="2" t="n"/>
      <c r="O308" s="2" t="n"/>
      <c r="P308" s="2" t="n"/>
    </row>
    <row r="309">
      <c r="A309" s="2" t="inlineStr">
        <is>
          <t>02.01.06.01.0005</t>
        </is>
      </c>
      <c r="B309" s="3" t="inlineStr">
        <is>
          <t>70% RETENCION IVA -SERVICIOS</t>
        </is>
      </c>
      <c r="C309" s="3" t="inlineStr">
        <is>
          <t>N</t>
        </is>
      </c>
      <c r="D309" s="19" t="n">
        <v>46075</v>
      </c>
      <c r="E309" s="3" t="inlineStr">
        <is>
          <t>CP</t>
        </is>
      </c>
      <c r="F309" s="3" t="n">
        <v>202</v>
      </c>
      <c r="G309" s="3" t="inlineStr">
        <is>
          <t>000003768</t>
        </is>
      </c>
      <c r="H309" s="3" t="inlineStr">
        <is>
          <t>FE PANTERA DE SEGURIDAD PHANTE 000003768</t>
        </is>
      </c>
      <c r="I309" s="3" t="n">
        <v>0</v>
      </c>
      <c r="J309" s="3" t="n">
        <v>280.46</v>
      </c>
      <c r="K309" s="3" t="n">
        <v>3907.44</v>
      </c>
      <c r="L309" s="2" t="n"/>
      <c r="M309" s="2" t="n"/>
      <c r="N309" s="2" t="n"/>
      <c r="O309" s="2" t="n"/>
      <c r="P309" s="2" t="n"/>
    </row>
    <row r="310">
      <c r="A310" s="2" t="inlineStr">
        <is>
          <t>02.01.06.01.0005</t>
        </is>
      </c>
      <c r="B310" s="3" t="inlineStr">
        <is>
          <t>70% RETENCION IVA -SERVICIOS</t>
        </is>
      </c>
      <c r="C310" s="3" t="inlineStr">
        <is>
          <t>N</t>
        </is>
      </c>
      <c r="D310" s="19" t="n">
        <v>46075</v>
      </c>
      <c r="E310" s="3" t="inlineStr">
        <is>
          <t>CP</t>
        </is>
      </c>
      <c r="F310" s="3" t="n">
        <v>202</v>
      </c>
      <c r="G310" s="3" t="inlineStr">
        <is>
          <t>000006916</t>
        </is>
      </c>
      <c r="H310" s="3" t="inlineStr">
        <is>
          <t>FE TOYOTASERVICIOS S.A. 000006916</t>
        </is>
      </c>
      <c r="I310" s="3" t="n">
        <v>0</v>
      </c>
      <c r="J310" s="3" t="n">
        <v>1.51</v>
      </c>
      <c r="K310" s="3" t="n">
        <v>3820.58</v>
      </c>
      <c r="L310" s="2" t="n"/>
      <c r="M310" s="2" t="n"/>
      <c r="N310" s="2" t="n"/>
      <c r="O310" s="2" t="n"/>
      <c r="P310" s="2" t="n"/>
    </row>
    <row r="311">
      <c r="A311" s="2" t="inlineStr">
        <is>
          <t>02.01.06.01.0005</t>
        </is>
      </c>
      <c r="B311" s="3" t="inlineStr">
        <is>
          <t>70% RETENCION IVA -SERVICIOS</t>
        </is>
      </c>
      <c r="C311" s="3" t="inlineStr">
        <is>
          <t>N</t>
        </is>
      </c>
      <c r="D311" s="19" t="n">
        <v>46075</v>
      </c>
      <c r="E311" s="3" t="inlineStr">
        <is>
          <t>CP</t>
        </is>
      </c>
      <c r="F311" s="3" t="n">
        <v>202</v>
      </c>
      <c r="G311" s="3" t="inlineStr">
        <is>
          <t>000007753</t>
        </is>
      </c>
      <c r="H311" s="3" t="inlineStr">
        <is>
          <t>FE TOYOTASERVICIOS S.A. 000007753</t>
        </is>
      </c>
      <c r="I311" s="3" t="n">
        <v>0</v>
      </c>
      <c r="J311" s="3" t="n">
        <v>9.65</v>
      </c>
      <c r="K311" s="3" t="n">
        <v>3810.93</v>
      </c>
      <c r="L311" s="2" t="n"/>
      <c r="M311" s="2" t="n"/>
      <c r="N311" s="2" t="n"/>
      <c r="O311" s="2" t="n"/>
      <c r="P311" s="2" t="n"/>
    </row>
    <row r="312">
      <c r="A312" s="2" t="inlineStr">
        <is>
          <t>02.01.06.01.0005</t>
        </is>
      </c>
      <c r="B312" s="3" t="inlineStr">
        <is>
          <t>70% RETENCION IVA -SERVICIOS</t>
        </is>
      </c>
      <c r="C312" s="3" t="inlineStr">
        <is>
          <t>N</t>
        </is>
      </c>
      <c r="D312" s="19" t="n">
        <v>46075</v>
      </c>
      <c r="E312" s="3" t="inlineStr">
        <is>
          <t>CP</t>
        </is>
      </c>
      <c r="F312" s="3" t="n">
        <v>202</v>
      </c>
      <c r="G312" s="3" t="inlineStr">
        <is>
          <t>000021000</t>
        </is>
      </c>
      <c r="H312" s="3" t="inlineStr">
        <is>
          <t>FE CAMARA DE COMERCIO DE AMBAT 000021000</t>
        </is>
      </c>
      <c r="I312" s="3" t="n">
        <v>0</v>
      </c>
      <c r="J312" s="3" t="n">
        <v>11.42</v>
      </c>
      <c r="K312" s="3" t="n">
        <v>6278.39</v>
      </c>
      <c r="L312" s="2" t="n"/>
      <c r="M312" s="2" t="n"/>
      <c r="N312" s="2" t="n"/>
      <c r="O312" s="2" t="n"/>
      <c r="P312" s="2" t="n"/>
    </row>
    <row r="313">
      <c r="A313" s="2" t="inlineStr">
        <is>
          <t>02.01.06.01.0005</t>
        </is>
      </c>
      <c r="B313" s="3" t="inlineStr">
        <is>
          <t>70% RETENCION IVA -SERVICIOS</t>
        </is>
      </c>
      <c r="C313" s="3" t="inlineStr">
        <is>
          <t>N</t>
        </is>
      </c>
      <c r="D313" s="19" t="n">
        <v>46077</v>
      </c>
      <c r="E313" s="3" t="inlineStr">
        <is>
          <t>CP</t>
        </is>
      </c>
      <c r="F313" s="3" t="n">
        <v>226</v>
      </c>
      <c r="G313" s="3" t="inlineStr">
        <is>
          <t>000000628</t>
        </is>
      </c>
      <c r="H313" s="3" t="inlineStr">
        <is>
          <t>FE PALACIOS DAVALOS MARCELO ED 000000628</t>
        </is>
      </c>
      <c r="I313" s="3" t="n">
        <v>0</v>
      </c>
      <c r="J313" s="3" t="n">
        <v>3.68</v>
      </c>
      <c r="K313" s="3" t="n">
        <v>3807.25</v>
      </c>
      <c r="L313" s="2" t="n"/>
      <c r="M313" s="2" t="n"/>
      <c r="N313" s="2" t="n"/>
      <c r="O313" s="2" t="n"/>
      <c r="P313" s="2" t="n"/>
    </row>
    <row r="314">
      <c r="A314" s="2" t="inlineStr">
        <is>
          <t>02.01.06.01.0005</t>
        </is>
      </c>
      <c r="B314" s="3" t="inlineStr">
        <is>
          <t>70% RETENCION IVA -SERVICIOS</t>
        </is>
      </c>
      <c r="C314" s="3" t="inlineStr">
        <is>
          <t>N</t>
        </is>
      </c>
      <c r="D314" s="19" t="n">
        <v>46077</v>
      </c>
      <c r="E314" s="3" t="inlineStr">
        <is>
          <t>CP</t>
        </is>
      </c>
      <c r="F314" s="3" t="n">
        <v>226</v>
      </c>
      <c r="G314" s="3" t="inlineStr">
        <is>
          <t>000007757</t>
        </is>
      </c>
      <c r="H314" s="3" t="inlineStr">
        <is>
          <t>FE TOYOTASERVICIOS S.A. 000007757</t>
        </is>
      </c>
      <c r="I314" s="3" t="n">
        <v>0</v>
      </c>
      <c r="J314" s="3" t="n">
        <v>5.25</v>
      </c>
      <c r="K314" s="3" t="n">
        <v>3802</v>
      </c>
      <c r="L314" s="2" t="n"/>
      <c r="M314" s="2" t="n"/>
      <c r="N314" s="2" t="n"/>
      <c r="O314" s="2" t="n"/>
      <c r="P314" s="2" t="n"/>
    </row>
    <row r="315">
      <c r="A315" s="2" t="inlineStr">
        <is>
          <t>02.01.06.01.0005</t>
        </is>
      </c>
      <c r="B315" s="3" t="inlineStr">
        <is>
          <t>70% RETENCION IVA -SERVICIOS</t>
        </is>
      </c>
      <c r="C315" s="3" t="inlineStr">
        <is>
          <t>N</t>
        </is>
      </c>
      <c r="D315" s="19" t="n">
        <v>46077</v>
      </c>
      <c r="E315" s="3" t="inlineStr">
        <is>
          <t>CP</t>
        </is>
      </c>
      <c r="F315" s="3" t="n">
        <v>226</v>
      </c>
      <c r="G315" s="3" t="inlineStr">
        <is>
          <t>000007758</t>
        </is>
      </c>
      <c r="H315" s="3" t="inlineStr">
        <is>
          <t>FE TOYOTASERVICIOS S.A. 000007758</t>
        </is>
      </c>
      <c r="I315" s="3" t="n">
        <v>0</v>
      </c>
      <c r="J315" s="3" t="n">
        <v>14.7</v>
      </c>
      <c r="K315" s="3" t="n">
        <v>3787.3</v>
      </c>
      <c r="L315" s="2" t="n"/>
      <c r="M315" s="2" t="n"/>
      <c r="N315" s="2" t="n"/>
      <c r="O315" s="2" t="n"/>
      <c r="P315" s="2" t="n"/>
    </row>
    <row r="316">
      <c r="A316" s="2" t="inlineStr">
        <is>
          <t>02.01.06.01.0005</t>
        </is>
      </c>
      <c r="B316" s="3" t="inlineStr">
        <is>
          <t>70% RETENCION IVA -SERVICIOS</t>
        </is>
      </c>
      <c r="C316" s="3" t="inlineStr">
        <is>
          <t>N</t>
        </is>
      </c>
      <c r="D316" s="19" t="n">
        <v>46077</v>
      </c>
      <c r="E316" s="3" t="inlineStr">
        <is>
          <t>CP</t>
        </is>
      </c>
      <c r="F316" s="3" t="n">
        <v>226</v>
      </c>
      <c r="G316" s="3" t="inlineStr">
        <is>
          <t>000007759</t>
        </is>
      </c>
      <c r="H316" s="3" t="inlineStr">
        <is>
          <t>FE TOYOTASERVICIOS S.A. 000007759</t>
        </is>
      </c>
      <c r="I316" s="3" t="n">
        <v>0</v>
      </c>
      <c r="J316" s="3" t="n">
        <v>39.38</v>
      </c>
      <c r="K316" s="3" t="n">
        <v>3747.92</v>
      </c>
      <c r="L316" s="2" t="n"/>
      <c r="M316" s="2" t="n"/>
      <c r="N316" s="2" t="n"/>
      <c r="O316" s="2" t="n"/>
      <c r="P316" s="2" t="n"/>
    </row>
    <row r="317">
      <c r="A317" s="2" t="inlineStr">
        <is>
          <t>02.01.06.01.0005</t>
        </is>
      </c>
      <c r="B317" s="3" t="inlineStr">
        <is>
          <t>70% RETENCION IVA -SERVICIOS</t>
        </is>
      </c>
      <c r="C317" s="3" t="inlineStr">
        <is>
          <t>N</t>
        </is>
      </c>
      <c r="D317" s="19" t="n">
        <v>46077</v>
      </c>
      <c r="E317" s="3" t="inlineStr">
        <is>
          <t>CP</t>
        </is>
      </c>
      <c r="F317" s="3" t="n">
        <v>226</v>
      </c>
      <c r="G317" s="3" t="inlineStr">
        <is>
          <t>000007760</t>
        </is>
      </c>
      <c r="H317" s="3" t="inlineStr">
        <is>
          <t>FE TOYOTASERVICIOS S.A. 000007760</t>
        </is>
      </c>
      <c r="I317" s="3" t="n">
        <v>0</v>
      </c>
      <c r="J317" s="3" t="n">
        <v>6.3</v>
      </c>
      <c r="K317" s="3" t="n">
        <v>3741.62</v>
      </c>
      <c r="L317" s="2" t="n"/>
      <c r="M317" s="2" t="n"/>
      <c r="N317" s="2" t="n"/>
      <c r="O317" s="2" t="n"/>
      <c r="P317" s="2" t="n"/>
    </row>
    <row r="318">
      <c r="A318" s="2" t="inlineStr">
        <is>
          <t>02.01.06.01.0005</t>
        </is>
      </c>
      <c r="B318" s="3" t="inlineStr">
        <is>
          <t>70% RETENCION IVA -SERVICIOS</t>
        </is>
      </c>
      <c r="C318" s="3" t="inlineStr">
        <is>
          <t>N</t>
        </is>
      </c>
      <c r="D318" s="19" t="n">
        <v>46077</v>
      </c>
      <c r="E318" s="3" t="inlineStr">
        <is>
          <t>CP</t>
        </is>
      </c>
      <c r="F318" s="3" t="n">
        <v>226</v>
      </c>
      <c r="G318" s="3" t="inlineStr">
        <is>
          <t>000007761</t>
        </is>
      </c>
      <c r="H318" s="3" t="inlineStr">
        <is>
          <t>FE TOYOTASERVICIOS S.A. 000007761</t>
        </is>
      </c>
      <c r="I318" s="3" t="n">
        <v>0</v>
      </c>
      <c r="J318" s="3" t="n">
        <v>6.3</v>
      </c>
      <c r="K318" s="3" t="n">
        <v>3735.32</v>
      </c>
      <c r="L318" s="2" t="n"/>
      <c r="M318" s="2" t="n"/>
      <c r="N318" s="2" t="n"/>
      <c r="O318" s="2" t="n"/>
      <c r="P318" s="2" t="n"/>
    </row>
    <row r="319">
      <c r="A319" s="2" t="inlineStr">
        <is>
          <t>02.01.06.01.0005</t>
        </is>
      </c>
      <c r="B319" s="3" t="inlineStr">
        <is>
          <t>70% RETENCION IVA -SERVICIOS</t>
        </is>
      </c>
      <c r="C319" s="3" t="inlineStr">
        <is>
          <t>N</t>
        </is>
      </c>
      <c r="D319" s="19" t="n">
        <v>46079</v>
      </c>
      <c r="E319" s="3" t="inlineStr">
        <is>
          <t>CP</t>
        </is>
      </c>
      <c r="F319" s="3" t="n">
        <v>258</v>
      </c>
      <c r="G319" s="3" t="inlineStr">
        <is>
          <t>000000914</t>
        </is>
      </c>
      <c r="H319" s="3" t="inlineStr">
        <is>
          <t>FE NOBOA CABRERA GALO HERNAN 000000914</t>
        </is>
      </c>
      <c r="I319" s="3" t="n">
        <v>0</v>
      </c>
      <c r="J319" s="3" t="n">
        <v>1.58</v>
      </c>
      <c r="K319" s="3" t="n">
        <v>3713.19</v>
      </c>
      <c r="L319" s="2" t="n"/>
      <c r="M319" s="2" t="n"/>
      <c r="N319" s="2" t="n"/>
      <c r="O319" s="2" t="n"/>
      <c r="P319" s="2" t="n"/>
    </row>
    <row r="320">
      <c r="A320" s="2" t="inlineStr">
        <is>
          <t>02.01.06.01.0005</t>
        </is>
      </c>
      <c r="B320" s="3" t="inlineStr">
        <is>
          <t>70% RETENCION IVA -SERVICIOS</t>
        </is>
      </c>
      <c r="C320" s="3" t="inlineStr">
        <is>
          <t>N</t>
        </is>
      </c>
      <c r="D320" s="19" t="n">
        <v>46079</v>
      </c>
      <c r="E320" s="3" t="inlineStr">
        <is>
          <t>CP</t>
        </is>
      </c>
      <c r="F320" s="3" t="n">
        <v>258</v>
      </c>
      <c r="G320" s="3" t="inlineStr">
        <is>
          <t>000007768</t>
        </is>
      </c>
      <c r="H320" s="3" t="inlineStr">
        <is>
          <t>FE TOYOTASERVICIOS S.A. 000007768</t>
        </is>
      </c>
      <c r="I320" s="3" t="n">
        <v>0</v>
      </c>
      <c r="J320" s="3" t="n">
        <v>6.3</v>
      </c>
      <c r="K320" s="3" t="n">
        <v>3706.89</v>
      </c>
      <c r="L320" s="2" t="n"/>
      <c r="M320" s="2" t="n"/>
      <c r="N320" s="2" t="n"/>
      <c r="O320" s="2" t="n"/>
      <c r="P320" s="2" t="n"/>
    </row>
    <row r="321">
      <c r="A321" s="2" t="inlineStr">
        <is>
          <t>02.01.06.01.0005</t>
        </is>
      </c>
      <c r="B321" s="3" t="inlineStr">
        <is>
          <t>70% RETENCION IVA -SERVICIOS</t>
        </is>
      </c>
      <c r="C321" s="3" t="inlineStr">
        <is>
          <t>N</t>
        </is>
      </c>
      <c r="D321" s="19" t="n">
        <v>46079</v>
      </c>
      <c r="E321" s="3" t="inlineStr">
        <is>
          <t>CP</t>
        </is>
      </c>
      <c r="F321" s="3" t="n">
        <v>258</v>
      </c>
      <c r="G321" s="3" t="inlineStr">
        <is>
          <t>000007769</t>
        </is>
      </c>
      <c r="H321" s="3" t="inlineStr">
        <is>
          <t>FE TOYOTASERVICIOS S.A. 000007769</t>
        </is>
      </c>
      <c r="I321" s="3" t="n">
        <v>0</v>
      </c>
      <c r="J321" s="3" t="n">
        <v>6.3</v>
      </c>
      <c r="K321" s="3" t="n">
        <v>3700.59</v>
      </c>
      <c r="L321" s="2" t="n"/>
      <c r="M321" s="2" t="n"/>
      <c r="N321" s="2" t="n"/>
      <c r="O321" s="2" t="n"/>
      <c r="P321" s="2" t="n"/>
    </row>
    <row r="322">
      <c r="A322" s="2" t="inlineStr">
        <is>
          <t>02.01.06.01.0005</t>
        </is>
      </c>
      <c r="B322" s="3" t="inlineStr">
        <is>
          <t>70% RETENCION IVA -SERVICIOS</t>
        </is>
      </c>
      <c r="C322" s="3" t="inlineStr">
        <is>
          <t>N</t>
        </is>
      </c>
      <c r="D322" s="19" t="n">
        <v>46079</v>
      </c>
      <c r="E322" s="3" t="inlineStr">
        <is>
          <t>CP</t>
        </is>
      </c>
      <c r="F322" s="3" t="n">
        <v>258</v>
      </c>
      <c r="G322" s="3" t="inlineStr">
        <is>
          <t>000007770</t>
        </is>
      </c>
      <c r="H322" s="3" t="inlineStr">
        <is>
          <t>FE TOYOTASERVICIOS S.A. 000007770</t>
        </is>
      </c>
      <c r="I322" s="3" t="n">
        <v>0</v>
      </c>
      <c r="J322" s="3" t="n">
        <v>6.3</v>
      </c>
      <c r="K322" s="3" t="n">
        <v>3694.29</v>
      </c>
      <c r="L322" s="2" t="n"/>
      <c r="M322" s="2" t="n"/>
      <c r="N322" s="2" t="n"/>
      <c r="O322" s="2" t="n"/>
      <c r="P322" s="2" t="n"/>
    </row>
    <row r="323">
      <c r="A323" s="2" t="inlineStr">
        <is>
          <t>02.01.06.01.0005</t>
        </is>
      </c>
      <c r="B323" s="3" t="inlineStr">
        <is>
          <t>70% RETENCION IVA -SERVICIOS</t>
        </is>
      </c>
      <c r="C323" s="3" t="inlineStr">
        <is>
          <t>N</t>
        </is>
      </c>
      <c r="D323" s="19" t="n">
        <v>46079</v>
      </c>
      <c r="E323" s="3" t="inlineStr">
        <is>
          <t>CP</t>
        </is>
      </c>
      <c r="F323" s="3" t="n">
        <v>258</v>
      </c>
      <c r="G323" s="3" t="inlineStr">
        <is>
          <t>000011919</t>
        </is>
      </c>
      <c r="H323" s="3" t="inlineStr">
        <is>
          <t>FE CODEX 000011919</t>
        </is>
      </c>
      <c r="I323" s="3" t="n">
        <v>0</v>
      </c>
      <c r="J323" s="3" t="n">
        <v>20.55</v>
      </c>
      <c r="K323" s="3" t="n">
        <v>3714.77</v>
      </c>
      <c r="L323" s="2" t="n"/>
      <c r="M323" s="2" t="n"/>
      <c r="N323" s="2" t="n"/>
      <c r="O323" s="2" t="n"/>
      <c r="P323" s="2" t="n"/>
    </row>
    <row r="324">
      <c r="A324" s="2" t="inlineStr">
        <is>
          <t>02.01.06.01.0005</t>
        </is>
      </c>
      <c r="B324" s="3" t="inlineStr">
        <is>
          <t>70% RETENCION IVA -SERVICIOS</t>
        </is>
      </c>
      <c r="C324" s="3" t="inlineStr">
        <is>
          <t>N</t>
        </is>
      </c>
      <c r="D324" s="19" t="n">
        <v>46081</v>
      </c>
      <c r="E324" s="3" t="inlineStr">
        <is>
          <t>CP</t>
        </is>
      </c>
      <c r="F324" s="3" t="n">
        <v>311</v>
      </c>
      <c r="G324" s="3" t="inlineStr">
        <is>
          <t>000053046</t>
        </is>
      </c>
      <c r="H324" s="3" t="inlineStr">
        <is>
          <t>FE TOYOTASERVICIOS S.A. 000053046</t>
        </is>
      </c>
      <c r="I324" s="3" t="n">
        <v>0</v>
      </c>
      <c r="J324" s="3" t="n">
        <v>88.83</v>
      </c>
      <c r="K324" s="3" t="n">
        <v>710.3099999999999</v>
      </c>
      <c r="L324" s="2" t="n"/>
      <c r="M324" s="2" t="n"/>
      <c r="N324" s="2" t="n"/>
      <c r="O324" s="2" t="n"/>
      <c r="P324" s="2" t="n"/>
    </row>
    <row r="325">
      <c r="A325" s="2" t="inlineStr">
        <is>
          <t>02.01.06.01.0005</t>
        </is>
      </c>
      <c r="B325" s="3" t="inlineStr">
        <is>
          <t>70% RETENCION IVA -SERVICIOS</t>
        </is>
      </c>
      <c r="C325" s="3" t="inlineStr">
        <is>
          <t>N</t>
        </is>
      </c>
      <c r="D325" s="19" t="n">
        <v>46081</v>
      </c>
      <c r="E325" s="3" t="inlineStr">
        <is>
          <t>AGCM</t>
        </is>
      </c>
      <c r="F325" s="3" t="n">
        <v>332</v>
      </c>
      <c r="G325" s="3" t="n"/>
      <c r="H325" s="3" t="inlineStr">
        <is>
          <t>LIQUIDACION DE IMPUESTOS FEBERO 2026</t>
        </is>
      </c>
      <c r="I325" s="3" t="n">
        <v>8192.700000000001</v>
      </c>
      <c r="J325" s="3" t="n">
        <v>0</v>
      </c>
      <c r="K325" s="3" t="n">
        <v>8192.700000000001</v>
      </c>
      <c r="L325" s="2" t="n"/>
      <c r="M325" s="2" t="n"/>
      <c r="N325" s="2" t="n"/>
      <c r="O325" s="2" t="n"/>
      <c r="P325" s="2" t="n"/>
    </row>
    <row r="326">
      <c r="A326" s="2" t="inlineStr">
        <is>
          <t>02.01.06.01.0006</t>
        </is>
      </c>
      <c r="B326" s="3" t="inlineStr">
        <is>
          <t>100 % RETENCION IVA</t>
        </is>
      </c>
      <c r="C326" s="3" t="inlineStr">
        <is>
          <t>N</t>
        </is>
      </c>
      <c r="D326" s="19" t="n">
        <v>46056</v>
      </c>
      <c r="E326" s="3" t="inlineStr">
        <is>
          <t>CP</t>
        </is>
      </c>
      <c r="F326" s="3" t="n">
        <v>37</v>
      </c>
      <c r="G326" s="3" t="inlineStr">
        <is>
          <t>000000050</t>
        </is>
      </c>
      <c r="H326" s="3" t="inlineStr">
        <is>
          <t>FE PALACIOS LARREA FRANCISCO J 000000050</t>
        </is>
      </c>
      <c r="I326" s="3" t="n">
        <v>0</v>
      </c>
      <c r="J326" s="3" t="n">
        <v>166.67</v>
      </c>
      <c r="K326" s="3" t="n">
        <v>808.48</v>
      </c>
      <c r="L326" s="2" t="n"/>
      <c r="M326" s="2" t="n"/>
      <c r="N326" s="2" t="n"/>
      <c r="O326" s="2" t="n"/>
      <c r="P326" s="2" t="n"/>
    </row>
    <row r="327">
      <c r="A327" s="2" t="inlineStr">
        <is>
          <t>02.01.06.01.0006</t>
        </is>
      </c>
      <c r="B327" s="3" t="inlineStr">
        <is>
          <t>100 % RETENCION IVA</t>
        </is>
      </c>
      <c r="C327" s="3" t="inlineStr">
        <is>
          <t>N</t>
        </is>
      </c>
      <c r="D327" s="19" t="n">
        <v>46058</v>
      </c>
      <c r="E327" s="3" t="inlineStr">
        <is>
          <t>CP</t>
        </is>
      </c>
      <c r="F327" s="3" t="n">
        <v>57</v>
      </c>
      <c r="G327" s="3" t="inlineStr">
        <is>
          <t>000000021</t>
        </is>
      </c>
      <c r="H327" s="3" t="inlineStr">
        <is>
          <t>FE GARCES PEREZ HECTOR BOLIVAR 000000021</t>
        </is>
      </c>
      <c r="I327" s="3" t="n">
        <v>0</v>
      </c>
      <c r="J327" s="3" t="n">
        <v>675</v>
      </c>
      <c r="K327" s="3" t="n">
        <v>0</v>
      </c>
      <c r="L327" s="2" t="n"/>
      <c r="M327" s="2" t="n"/>
      <c r="N327" s="2" t="n"/>
      <c r="O327" s="2" t="n"/>
      <c r="P327" s="2" t="n"/>
    </row>
    <row r="328">
      <c r="A328" s="2" t="inlineStr">
        <is>
          <t>02.01.06.01.0006</t>
        </is>
      </c>
      <c r="B328" s="3" t="inlineStr">
        <is>
          <t>100 % RETENCION IVA</t>
        </is>
      </c>
      <c r="C328" s="3" t="inlineStr">
        <is>
          <t>N</t>
        </is>
      </c>
      <c r="D328" s="19" t="n">
        <v>46058</v>
      </c>
      <c r="E328" s="3" t="inlineStr">
        <is>
          <t>CP</t>
        </is>
      </c>
      <c r="F328" s="3" t="n">
        <v>57</v>
      </c>
      <c r="G328" s="3" t="inlineStr">
        <is>
          <t>000000091</t>
        </is>
      </c>
      <c r="H328" s="3" t="inlineStr">
        <is>
          <t>FE CALERO OLMOS NANCY DEL ROCI 000000091</t>
        </is>
      </c>
      <c r="I328" s="3" t="n">
        <v>0</v>
      </c>
      <c r="J328" s="3" t="n">
        <v>133.48</v>
      </c>
      <c r="K328" s="3" t="n">
        <v>675</v>
      </c>
      <c r="L328" s="2" t="n"/>
      <c r="M328" s="2" t="n"/>
      <c r="N328" s="2" t="n"/>
      <c r="O328" s="2" t="n"/>
      <c r="P328" s="2" t="n"/>
    </row>
    <row r="329">
      <c r="A329" s="2" t="inlineStr">
        <is>
          <t>02.01.06.01.0006</t>
        </is>
      </c>
      <c r="B329" s="3" t="inlineStr">
        <is>
          <t>100 % RETENCION IVA</t>
        </is>
      </c>
      <c r="C329" s="3" t="inlineStr">
        <is>
          <t>N</t>
        </is>
      </c>
      <c r="D329" s="19" t="n">
        <v>46081</v>
      </c>
      <c r="E329" s="3" t="inlineStr">
        <is>
          <t>AGCM</t>
        </is>
      </c>
      <c r="F329" s="3" t="n">
        <v>332</v>
      </c>
      <c r="G329" s="3" t="n"/>
      <c r="H329" s="3" t="inlineStr">
        <is>
          <t>LIQUIDACION DE IMPUESTOS FEBERO 2026</t>
        </is>
      </c>
      <c r="I329" s="3" t="n">
        <v>975.15</v>
      </c>
      <c r="J329" s="3" t="n">
        <v>0</v>
      </c>
      <c r="K329" s="3" t="n">
        <v>975.15</v>
      </c>
      <c r="L329" s="2" t="n"/>
      <c r="M329" s="2" t="n"/>
      <c r="N329" s="2" t="n"/>
      <c r="O329" s="2" t="n"/>
      <c r="P329" s="2" t="n"/>
    </row>
    <row r="330">
      <c r="A330" s="2" t="n"/>
      <c r="B330" s="3" t="n"/>
      <c r="C330" s="3" t="n"/>
      <c r="D330" s="19" t="n"/>
      <c r="E330" s="3" t="n"/>
      <c r="F330" s="3" t="n"/>
      <c r="G330" s="3" t="n"/>
      <c r="H330" s="3" t="n"/>
      <c r="I330" s="3" t="n"/>
      <c r="J330" s="3" t="n"/>
      <c r="K330" s="3" t="n"/>
      <c r="L330" s="2" t="n"/>
      <c r="M330" s="2" t="n"/>
      <c r="N330" s="2" t="n"/>
      <c r="O330" s="2" t="n"/>
      <c r="P330" s="2" t="n"/>
    </row>
    <row r="331">
      <c r="A331" s="2" t="n"/>
      <c r="B331" s="3" t="n"/>
      <c r="C331" s="3" t="n"/>
      <c r="D331" s="19" t="n"/>
      <c r="E331" s="3" t="n"/>
      <c r="F331" s="3" t="n"/>
      <c r="G331" s="3" t="n"/>
      <c r="H331" s="3" t="n"/>
      <c r="I331" s="3" t="n"/>
      <c r="J331" s="3" t="n"/>
      <c r="K331" s="3" t="n"/>
      <c r="L331" s="2" t="n"/>
      <c r="M331" s="2" t="n"/>
      <c r="N331" s="2" t="n"/>
      <c r="O331" s="2" t="n"/>
      <c r="P331" s="2" t="n"/>
    </row>
    <row r="332">
      <c r="A332" s="2" t="n"/>
      <c r="B332" s="3" t="n"/>
      <c r="C332" s="3" t="n"/>
      <c r="D332" s="19" t="n"/>
      <c r="E332" s="3" t="n"/>
      <c r="F332" s="3" t="n"/>
      <c r="G332" s="3" t="n"/>
      <c r="H332" s="3" t="n"/>
      <c r="I332" s="3" t="n"/>
      <c r="J332" s="3" t="n"/>
      <c r="K332" s="3" t="n"/>
      <c r="L332" s="2" t="n"/>
      <c r="M332" s="2" t="n"/>
      <c r="N332" s="2" t="n"/>
      <c r="O332" s="2" t="n"/>
      <c r="P332" s="2" t="n"/>
    </row>
    <row r="333">
      <c r="A333" s="2" t="n"/>
      <c r="B333" s="3" t="n"/>
      <c r="C333" s="3" t="n"/>
      <c r="D333" s="19" t="n"/>
      <c r="E333" s="3" t="n"/>
      <c r="F333" s="3" t="n"/>
      <c r="G333" s="3" t="n"/>
      <c r="H333" s="3" t="n"/>
      <c r="I333" s="3" t="n"/>
      <c r="J333" s="3" t="n"/>
      <c r="K333" s="3" t="n"/>
      <c r="L333" s="2" t="n"/>
      <c r="M333" s="2" t="n"/>
      <c r="N333" s="2" t="n"/>
      <c r="O333" s="2" t="n"/>
      <c r="P333" s="2" t="n"/>
    </row>
    <row r="334">
      <c r="A334" s="2" t="n"/>
      <c r="B334" s="3" t="n"/>
      <c r="C334" s="3" t="n"/>
      <c r="D334" s="19" t="n"/>
      <c r="E334" s="3" t="n"/>
      <c r="F334" s="3" t="n"/>
      <c r="G334" s="3" t="n"/>
      <c r="H334" s="3" t="n"/>
      <c r="I334" s="3" t="n"/>
      <c r="J334" s="3" t="n"/>
      <c r="K334" s="3" t="n"/>
      <c r="L334" s="2" t="n"/>
      <c r="M334" s="2" t="n"/>
      <c r="N334" s="2" t="n"/>
      <c r="O334" s="2" t="n"/>
      <c r="P334" s="2" t="n"/>
    </row>
    <row r="335">
      <c r="A335" s="2" t="n"/>
      <c r="B335" s="3" t="n"/>
      <c r="C335" s="3" t="n"/>
      <c r="D335" s="19" t="n"/>
      <c r="E335" s="3" t="n"/>
      <c r="F335" s="3" t="n"/>
      <c r="G335" s="3" t="n"/>
      <c r="H335" s="3" t="n"/>
      <c r="I335" s="3" t="n"/>
      <c r="J335" s="3" t="n"/>
      <c r="K335" s="3" t="n"/>
      <c r="L335" s="2" t="n"/>
      <c r="M335" s="2" t="n"/>
      <c r="N335" s="2" t="n"/>
      <c r="O335" s="2" t="n"/>
      <c r="P335" s="2" t="n"/>
    </row>
    <row r="336">
      <c r="A336" s="2" t="n"/>
      <c r="B336" s="3" t="n"/>
      <c r="C336" s="3" t="n"/>
      <c r="D336" s="19" t="n"/>
      <c r="E336" s="3" t="n"/>
      <c r="F336" s="3" t="n"/>
      <c r="G336" s="3" t="n"/>
      <c r="H336" s="3" t="n"/>
      <c r="I336" s="3" t="n"/>
      <c r="J336" s="3" t="n"/>
      <c r="K336" s="3" t="n"/>
      <c r="L336" s="2" t="n"/>
      <c r="M336" s="2" t="n"/>
      <c r="N336" s="2" t="n"/>
      <c r="O336" s="2" t="n"/>
      <c r="P336" s="2" t="n"/>
    </row>
    <row r="337">
      <c r="A337" s="2" t="n"/>
      <c r="B337" s="3" t="n"/>
      <c r="C337" s="3" t="n"/>
      <c r="D337" s="19" t="n"/>
      <c r="E337" s="3" t="n"/>
      <c r="F337" s="3" t="n"/>
      <c r="G337" s="3" t="n"/>
      <c r="H337" s="3" t="n"/>
      <c r="I337" s="3" t="n"/>
      <c r="J337" s="3" t="n"/>
      <c r="K337" s="3" t="n"/>
      <c r="L337" s="2" t="n"/>
      <c r="M337" s="2" t="n"/>
      <c r="N337" s="2" t="n"/>
      <c r="O337" s="2" t="n"/>
      <c r="P337" s="2" t="n"/>
    </row>
    <row r="338">
      <c r="A338" s="2" t="n"/>
      <c r="B338" s="3" t="n"/>
      <c r="C338" s="3" t="n"/>
      <c r="D338" s="19" t="n"/>
      <c r="E338" s="3" t="n"/>
      <c r="F338" s="3" t="n"/>
      <c r="G338" s="3" t="n"/>
      <c r="H338" s="3" t="n"/>
      <c r="I338" s="3" t="n"/>
      <c r="J338" s="3" t="n"/>
      <c r="K338" s="3" t="n"/>
      <c r="L338" s="2" t="n"/>
      <c r="M338" s="2" t="n"/>
      <c r="N338" s="2" t="n"/>
      <c r="O338" s="2" t="n"/>
      <c r="P338" s="2" t="n"/>
    </row>
    <row r="339">
      <c r="A339" s="2" t="n"/>
      <c r="B339" s="3" t="n"/>
      <c r="C339" s="3" t="n"/>
      <c r="D339" s="19" t="n"/>
      <c r="E339" s="3" t="n"/>
      <c r="F339" s="3" t="n"/>
      <c r="G339" s="3" t="n"/>
      <c r="H339" s="3" t="n"/>
      <c r="I339" s="3" t="n"/>
      <c r="J339" s="3" t="n"/>
      <c r="K339" s="3" t="n"/>
      <c r="L339" s="2" t="n"/>
      <c r="M339" s="2" t="n"/>
      <c r="N339" s="2" t="n"/>
      <c r="O339" s="2" t="n"/>
      <c r="P339" s="2" t="n"/>
    </row>
    <row r="340">
      <c r="A340" s="2" t="n"/>
      <c r="B340" s="3" t="n"/>
      <c r="C340" s="3" t="n"/>
      <c r="D340" s="19" t="n"/>
      <c r="E340" s="3" t="n"/>
      <c r="F340" s="3" t="n"/>
      <c r="G340" s="3" t="n"/>
      <c r="H340" s="3" t="n"/>
      <c r="I340" s="3" t="n"/>
      <c r="J340" s="3" t="n"/>
      <c r="K340" s="3" t="n"/>
      <c r="L340" s="2" t="n"/>
      <c r="M340" s="2" t="n"/>
      <c r="N340" s="2" t="n"/>
      <c r="O340" s="2" t="n"/>
      <c r="P340" s="2" t="n"/>
    </row>
    <row r="341">
      <c r="A341" s="2" t="n"/>
      <c r="B341" s="3" t="n"/>
      <c r="C341" s="3" t="n"/>
      <c r="D341" s="19" t="n"/>
      <c r="E341" s="3" t="n"/>
      <c r="F341" s="3" t="n"/>
      <c r="G341" s="3" t="n"/>
      <c r="H341" s="3" t="n"/>
      <c r="I341" s="3" t="n"/>
      <c r="J341" s="3" t="n"/>
      <c r="K341" s="3" t="n"/>
      <c r="L341" s="2" t="n"/>
      <c r="M341" s="2" t="n"/>
      <c r="N341" s="2" t="n"/>
      <c r="O341" s="2" t="n"/>
      <c r="P341" s="2" t="n"/>
    </row>
    <row r="342">
      <c r="A342" s="2" t="n"/>
      <c r="B342" s="3" t="n"/>
      <c r="C342" s="3" t="n"/>
      <c r="D342" s="19" t="n"/>
      <c r="E342" s="3" t="n"/>
      <c r="F342" s="3" t="n"/>
      <c r="G342" s="3" t="n"/>
      <c r="H342" s="3" t="n"/>
      <c r="I342" s="3" t="n"/>
      <c r="J342" s="3" t="n"/>
      <c r="K342" s="3" t="n"/>
      <c r="L342" s="2" t="n"/>
      <c r="M342" s="2" t="n"/>
      <c r="N342" s="2" t="n"/>
      <c r="O342" s="2" t="n"/>
      <c r="P342" s="2" t="n"/>
    </row>
    <row r="343">
      <c r="A343" s="2" t="n"/>
      <c r="B343" s="3" t="n"/>
      <c r="C343" s="3" t="n"/>
      <c r="D343" s="19" t="n"/>
      <c r="E343" s="3" t="n"/>
      <c r="F343" s="3" t="n"/>
      <c r="G343" s="3" t="n"/>
      <c r="H343" s="3" t="n"/>
      <c r="I343" s="3" t="n"/>
      <c r="J343" s="3" t="n"/>
      <c r="K343" s="3" t="n"/>
      <c r="L343" s="2" t="n"/>
      <c r="M343" s="2" t="n"/>
      <c r="N343" s="2" t="n"/>
      <c r="O343" s="2" t="n"/>
      <c r="P343" s="2" t="n"/>
    </row>
    <row r="344">
      <c r="A344" s="2" t="n"/>
      <c r="B344" s="3" t="n"/>
      <c r="C344" s="3" t="n"/>
      <c r="D344" s="19" t="n"/>
      <c r="E344" s="3" t="n"/>
      <c r="F344" s="3" t="n"/>
      <c r="G344" s="3" t="n"/>
      <c r="H344" s="3" t="n"/>
      <c r="I344" s="3" t="n"/>
      <c r="J344" s="3" t="n"/>
      <c r="K344" s="3" t="n"/>
      <c r="L344" s="2" t="n"/>
      <c r="M344" s="2" t="n"/>
      <c r="N344" s="2" t="n"/>
      <c r="O344" s="2" t="n"/>
      <c r="P344" s="2" t="n"/>
    </row>
    <row r="345">
      <c r="A345" s="2" t="n"/>
      <c r="B345" s="3" t="n"/>
      <c r="C345" s="3" t="n"/>
      <c r="D345" s="19" t="n"/>
      <c r="E345" s="3" t="n"/>
      <c r="F345" s="3" t="n"/>
      <c r="G345" s="3" t="n"/>
      <c r="H345" s="3" t="n"/>
      <c r="I345" s="3" t="n"/>
      <c r="J345" s="3" t="n"/>
      <c r="K345" s="3" t="n"/>
      <c r="L345" s="2" t="n"/>
      <c r="M345" s="2" t="n"/>
      <c r="N345" s="2" t="n"/>
      <c r="O345" s="2" t="n"/>
      <c r="P345" s="2" t="n"/>
    </row>
    <row r="346">
      <c r="A346" s="2" t="n"/>
      <c r="B346" s="3" t="n"/>
      <c r="C346" s="3" t="n"/>
      <c r="D346" s="19" t="n"/>
      <c r="E346" s="3" t="n"/>
      <c r="F346" s="3" t="n"/>
      <c r="G346" s="3" t="n"/>
      <c r="H346" s="3" t="n"/>
      <c r="I346" s="3" t="n"/>
      <c r="J346" s="3" t="n"/>
      <c r="K346" s="3" t="n"/>
      <c r="L346" s="2" t="n"/>
      <c r="M346" s="2" t="n"/>
      <c r="N346" s="2" t="n"/>
      <c r="O346" s="2" t="n"/>
      <c r="P346" s="2" t="n"/>
    </row>
    <row r="347">
      <c r="A347" s="2" t="n"/>
      <c r="B347" s="3" t="n"/>
      <c r="C347" s="3" t="n"/>
      <c r="D347" s="19" t="n"/>
      <c r="E347" s="3" t="n"/>
      <c r="F347" s="3" t="n"/>
      <c r="G347" s="3" t="n"/>
      <c r="H347" s="3" t="n"/>
      <c r="I347" s="3" t="n"/>
      <c r="J347" s="3" t="n"/>
      <c r="K347" s="17" t="n"/>
      <c r="L347" s="2" t="n"/>
      <c r="M347" s="2" t="n"/>
      <c r="N347" s="2" t="n"/>
      <c r="O347" s="2" t="n"/>
      <c r="P347" s="2" t="n"/>
    </row>
    <row r="348">
      <c r="A348" s="2" t="n"/>
      <c r="B348" s="3" t="n"/>
      <c r="C348" s="3" t="n"/>
      <c r="D348" s="19" t="n"/>
      <c r="E348" s="3" t="n"/>
      <c r="F348" s="3" t="n"/>
      <c r="G348" s="3" t="n"/>
      <c r="H348" s="3" t="n"/>
      <c r="I348" s="3" t="n"/>
      <c r="J348" s="3" t="n"/>
      <c r="K348" s="17" t="n"/>
      <c r="L348" s="2" t="n"/>
      <c r="M348" s="2" t="n"/>
      <c r="N348" s="2" t="n"/>
      <c r="O348" s="2" t="n"/>
      <c r="P348" s="2" t="n"/>
    </row>
    <row r="349">
      <c r="A349" s="2" t="n"/>
      <c r="B349" s="3" t="n"/>
      <c r="C349" s="3" t="n"/>
      <c r="D349" s="19" t="n"/>
      <c r="E349" s="3" t="n"/>
      <c r="F349" s="3" t="n"/>
      <c r="G349" s="3" t="n"/>
      <c r="H349" s="3" t="n"/>
      <c r="I349" s="3" t="n"/>
      <c r="J349" s="3" t="n"/>
      <c r="K349" s="17" t="n"/>
      <c r="L349" s="2" t="n"/>
      <c r="M349" s="2" t="n"/>
      <c r="N349" s="2" t="n"/>
      <c r="O349" s="2" t="n"/>
      <c r="P349" s="2" t="n"/>
    </row>
    <row r="350">
      <c r="A350" s="2" t="n"/>
      <c r="B350" s="3" t="n"/>
      <c r="C350" s="3" t="n"/>
      <c r="D350" s="19" t="n"/>
      <c r="E350" s="3" t="n"/>
      <c r="F350" s="3" t="n"/>
      <c r="G350" s="3" t="n"/>
      <c r="H350" s="3" t="n"/>
      <c r="I350" s="3" t="n"/>
      <c r="J350" s="3" t="n"/>
      <c r="K350" s="17" t="n"/>
      <c r="L350" s="2" t="n"/>
      <c r="M350" s="2" t="n"/>
      <c r="N350" s="2" t="n"/>
      <c r="O350" s="2" t="n"/>
      <c r="P350" s="2" t="n"/>
    </row>
    <row r="351">
      <c r="A351" s="2" t="n"/>
      <c r="B351" s="3" t="n"/>
      <c r="C351" s="3" t="n"/>
      <c r="D351" s="19" t="n"/>
      <c r="E351" s="3" t="n"/>
      <c r="F351" s="3" t="n"/>
      <c r="G351" s="3" t="n"/>
      <c r="H351" s="3" t="n"/>
      <c r="I351" s="3" t="n"/>
      <c r="J351" s="3" t="n"/>
      <c r="K351" s="17" t="n"/>
      <c r="L351" s="2" t="n"/>
      <c r="M351" s="2" t="n"/>
      <c r="N351" s="2" t="n"/>
      <c r="O351" s="2" t="n"/>
      <c r="P351" s="2" t="n"/>
    </row>
    <row r="352">
      <c r="A352" s="2" t="n"/>
      <c r="B352" s="3" t="n"/>
      <c r="C352" s="3" t="n"/>
      <c r="D352" s="19" t="n"/>
      <c r="E352" s="3" t="n"/>
      <c r="F352" s="3" t="n"/>
      <c r="G352" s="3" t="n"/>
      <c r="H352" s="3" t="n"/>
      <c r="I352" s="3" t="n"/>
      <c r="J352" s="3" t="n"/>
      <c r="K352" s="17" t="n"/>
      <c r="L352" s="2" t="n"/>
      <c r="M352" s="2" t="n"/>
      <c r="N352" s="2" t="n"/>
      <c r="O352" s="2" t="n"/>
      <c r="P352" s="2" t="n"/>
    </row>
    <row r="353">
      <c r="A353" s="2" t="n"/>
      <c r="B353" s="3" t="n"/>
      <c r="C353" s="3" t="n"/>
      <c r="D353" s="19" t="n"/>
      <c r="E353" s="3" t="n"/>
      <c r="F353" s="3" t="n"/>
      <c r="G353" s="3" t="n"/>
      <c r="H353" s="3" t="n"/>
      <c r="I353" s="3" t="n"/>
      <c r="J353" s="3" t="n"/>
      <c r="K353" s="17" t="n"/>
      <c r="L353" s="2" t="n"/>
      <c r="M353" s="2" t="n"/>
      <c r="N353" s="2" t="n"/>
      <c r="O353" s="2" t="n"/>
      <c r="P353" s="2" t="n"/>
    </row>
    <row r="354">
      <c r="A354" s="2" t="n"/>
      <c r="B354" s="3" t="n"/>
      <c r="C354" s="3" t="n"/>
      <c r="D354" s="19" t="n"/>
      <c r="E354" s="3" t="n"/>
      <c r="F354" s="3" t="n"/>
      <c r="G354" s="3" t="n"/>
      <c r="H354" s="3" t="n"/>
      <c r="I354" s="3" t="n"/>
      <c r="J354" s="3" t="n"/>
      <c r="K354" s="17" t="n"/>
      <c r="L354" s="2" t="n"/>
      <c r="M354" s="2" t="n"/>
      <c r="N354" s="2" t="n"/>
      <c r="O354" s="2" t="n"/>
      <c r="P354" s="2" t="n"/>
    </row>
    <row r="355">
      <c r="A355" s="2" t="n"/>
      <c r="B355" s="3" t="n"/>
      <c r="C355" s="3" t="n"/>
      <c r="D355" s="19" t="n"/>
      <c r="E355" s="3" t="n"/>
      <c r="F355" s="3" t="n"/>
      <c r="G355" s="3" t="n"/>
      <c r="H355" s="3" t="n"/>
      <c r="I355" s="3" t="n"/>
      <c r="J355" s="3" t="n"/>
      <c r="K355" s="17" t="n"/>
      <c r="L355" s="2" t="n"/>
      <c r="M355" s="2" t="n"/>
      <c r="N355" s="2" t="n"/>
      <c r="O355" s="2" t="n"/>
      <c r="P355" s="2" t="n"/>
    </row>
    <row r="356">
      <c r="A356" s="2" t="n"/>
      <c r="B356" s="3" t="n"/>
      <c r="C356" s="3" t="n"/>
      <c r="D356" s="19" t="n"/>
      <c r="E356" s="3" t="n"/>
      <c r="F356" s="3" t="n"/>
      <c r="G356" s="3" t="n"/>
      <c r="H356" s="3" t="n"/>
      <c r="I356" s="3" t="n"/>
      <c r="J356" s="3" t="n"/>
      <c r="K356" s="17" t="n"/>
      <c r="L356" s="2" t="n"/>
      <c r="M356" s="2" t="n"/>
      <c r="N356" s="2" t="n"/>
      <c r="O356" s="2" t="n"/>
      <c r="P356" s="2" t="n"/>
    </row>
    <row r="357">
      <c r="A357" s="2" t="n"/>
      <c r="B357" s="3" t="n"/>
      <c r="C357" s="3" t="n"/>
      <c r="D357" s="19" t="n"/>
      <c r="E357" s="3" t="n"/>
      <c r="F357" s="3" t="n"/>
      <c r="G357" s="3" t="n"/>
      <c r="H357" s="3" t="n"/>
      <c r="I357" s="3" t="n"/>
      <c r="J357" s="3" t="n"/>
      <c r="K357" s="17" t="n"/>
      <c r="L357" s="2" t="n"/>
      <c r="M357" s="2" t="n"/>
      <c r="N357" s="2" t="n"/>
      <c r="O357" s="2" t="n"/>
      <c r="P357" s="2" t="n"/>
    </row>
    <row r="358">
      <c r="A358" s="2" t="n"/>
      <c r="B358" s="3" t="n"/>
      <c r="C358" s="3" t="n"/>
      <c r="D358" s="19" t="n"/>
      <c r="E358" s="3" t="n"/>
      <c r="F358" s="3" t="n"/>
      <c r="G358" s="3" t="n"/>
      <c r="H358" s="3" t="n"/>
      <c r="I358" s="3" t="n"/>
      <c r="J358" s="3" t="n"/>
      <c r="K358" s="17" t="n"/>
      <c r="L358" s="2" t="n"/>
      <c r="M358" s="2" t="n"/>
      <c r="N358" s="2" t="n"/>
      <c r="O358" s="2" t="n"/>
      <c r="P358" s="2" t="n"/>
    </row>
    <row r="359">
      <c r="A359" s="2" t="n"/>
      <c r="B359" s="3" t="n"/>
      <c r="C359" s="3" t="n"/>
      <c r="D359" s="19" t="n"/>
      <c r="E359" s="3" t="n"/>
      <c r="F359" s="3" t="n"/>
      <c r="G359" s="3" t="n"/>
      <c r="H359" s="3" t="n"/>
      <c r="I359" s="3" t="n"/>
      <c r="J359" s="3" t="n"/>
      <c r="K359" s="17" t="n"/>
      <c r="L359" s="2" t="n"/>
      <c r="M359" s="2" t="n"/>
      <c r="N359" s="2" t="n"/>
      <c r="O359" s="2" t="n"/>
      <c r="P359" s="2" t="n"/>
    </row>
    <row r="360">
      <c r="A360" s="2" t="n"/>
      <c r="B360" s="3" t="n"/>
      <c r="C360" s="3" t="n"/>
      <c r="D360" s="19" t="n"/>
      <c r="E360" s="3" t="n"/>
      <c r="F360" s="3" t="n"/>
      <c r="G360" s="3" t="n"/>
      <c r="H360" s="3" t="n"/>
      <c r="I360" s="3" t="n"/>
      <c r="J360" s="3" t="n"/>
      <c r="K360" s="17" t="n"/>
      <c r="L360" s="2" t="n"/>
      <c r="M360" s="2" t="n"/>
      <c r="N360" s="2" t="n"/>
      <c r="O360" s="2" t="n"/>
      <c r="P360" s="2" t="n"/>
    </row>
    <row r="361">
      <c r="A361" s="2" t="n"/>
      <c r="B361" s="3" t="n"/>
      <c r="C361" s="3" t="n"/>
      <c r="D361" s="19" t="n"/>
      <c r="E361" s="3" t="n"/>
      <c r="F361" s="3" t="n"/>
      <c r="G361" s="3" t="n"/>
      <c r="H361" s="3" t="n"/>
      <c r="I361" s="3" t="n"/>
      <c r="J361" s="3" t="n"/>
      <c r="K361" s="17" t="n"/>
      <c r="L361" s="2" t="n"/>
      <c r="M361" s="2" t="n"/>
      <c r="N361" s="2" t="n"/>
      <c r="O361" s="2" t="n"/>
      <c r="P361" s="2" t="n"/>
    </row>
    <row r="362">
      <c r="A362" s="2" t="n"/>
      <c r="B362" s="3" t="n"/>
      <c r="C362" s="3" t="n"/>
      <c r="D362" s="19" t="n"/>
      <c r="E362" s="3" t="n"/>
      <c r="F362" s="3" t="n"/>
      <c r="G362" s="3" t="n"/>
      <c r="H362" s="3" t="n"/>
      <c r="I362" s="3" t="n"/>
      <c r="J362" s="3" t="n"/>
      <c r="K362" s="17" t="n"/>
      <c r="L362" s="2" t="n"/>
      <c r="M362" s="2" t="n"/>
      <c r="N362" s="2" t="n"/>
      <c r="O362" s="2" t="n"/>
      <c r="P362" s="2" t="n"/>
    </row>
    <row r="363">
      <c r="A363" s="2" t="n"/>
      <c r="B363" s="3" t="n"/>
      <c r="C363" s="3" t="n"/>
      <c r="D363" s="19" t="n"/>
      <c r="E363" s="3" t="n"/>
      <c r="F363" s="3" t="n"/>
      <c r="G363" s="3" t="n"/>
      <c r="H363" s="3" t="n"/>
      <c r="I363" s="3" t="n"/>
      <c r="J363" s="3" t="n"/>
      <c r="K363" s="17" t="n"/>
      <c r="L363" s="2" t="n"/>
      <c r="M363" s="2" t="n"/>
      <c r="N363" s="2" t="n"/>
      <c r="O363" s="2" t="n"/>
      <c r="P363" s="2" t="n"/>
    </row>
    <row r="364">
      <c r="A364" s="2" t="n"/>
      <c r="B364" s="3" t="n"/>
      <c r="C364" s="3" t="n"/>
      <c r="D364" s="19" t="n"/>
      <c r="E364" s="3" t="n"/>
      <c r="F364" s="3" t="n"/>
      <c r="G364" s="3" t="n"/>
      <c r="H364" s="3" t="n"/>
      <c r="I364" s="3" t="n"/>
      <c r="J364" s="3" t="n"/>
      <c r="K364" s="17" t="n"/>
      <c r="L364" s="2" t="n"/>
      <c r="M364" s="2" t="n"/>
      <c r="N364" s="2" t="n"/>
      <c r="O364" s="2" t="n"/>
      <c r="P364" s="2" t="n"/>
    </row>
    <row r="365">
      <c r="A365" s="2" t="n"/>
      <c r="B365" s="3" t="n"/>
      <c r="C365" s="3" t="n"/>
      <c r="D365" s="19" t="n"/>
      <c r="E365" s="3" t="n"/>
      <c r="F365" s="3" t="n"/>
      <c r="G365" s="3" t="n"/>
      <c r="H365" s="3" t="n"/>
      <c r="I365" s="3" t="n"/>
      <c r="J365" s="3" t="n"/>
      <c r="K365" s="17" t="n"/>
      <c r="L365" s="2" t="n"/>
      <c r="M365" s="2" t="n"/>
      <c r="N365" s="2" t="n"/>
      <c r="O365" s="2" t="n"/>
      <c r="P365" s="2" t="n"/>
    </row>
    <row r="366">
      <c r="A366" s="2" t="n"/>
      <c r="B366" s="3" t="n"/>
      <c r="C366" s="3" t="n"/>
      <c r="D366" s="19" t="n"/>
      <c r="E366" s="3" t="n"/>
      <c r="F366" s="3" t="n"/>
      <c r="G366" s="3" t="n"/>
      <c r="H366" s="3" t="n"/>
      <c r="I366" s="3" t="n"/>
      <c r="J366" s="3" t="n"/>
      <c r="K366" s="17" t="n"/>
      <c r="L366" s="2" t="n"/>
      <c r="M366" s="2" t="n"/>
      <c r="N366" s="2" t="n"/>
      <c r="O366" s="2" t="n"/>
      <c r="P366" s="2" t="n"/>
    </row>
    <row r="367">
      <c r="A367" s="2" t="n"/>
      <c r="B367" s="3" t="n"/>
      <c r="C367" s="3" t="n"/>
      <c r="D367" s="19" t="n"/>
      <c r="E367" s="3" t="n"/>
      <c r="F367" s="3" t="n"/>
      <c r="G367" s="3" t="n"/>
      <c r="H367" s="3" t="n"/>
      <c r="I367" s="3" t="n"/>
      <c r="J367" s="3" t="n"/>
      <c r="K367" s="17" t="n"/>
      <c r="L367" s="2" t="n"/>
      <c r="M367" s="2" t="n"/>
      <c r="N367" s="2" t="n"/>
      <c r="O367" s="2" t="n"/>
      <c r="P367" s="2" t="n"/>
    </row>
    <row r="368">
      <c r="A368" s="2" t="n"/>
      <c r="B368" s="3" t="n"/>
      <c r="C368" s="3" t="n"/>
      <c r="D368" s="19" t="n"/>
      <c r="E368" s="3" t="n"/>
      <c r="F368" s="3" t="n"/>
      <c r="G368" s="3" t="n"/>
      <c r="H368" s="3" t="n"/>
      <c r="I368" s="3" t="n"/>
      <c r="J368" s="3" t="n"/>
      <c r="K368" s="17" t="n"/>
      <c r="L368" s="2" t="n"/>
      <c r="M368" s="2" t="n"/>
      <c r="N368" s="2" t="n"/>
      <c r="O368" s="2" t="n"/>
      <c r="P368" s="2" t="n"/>
    </row>
    <row r="369">
      <c r="A369" s="2" t="n"/>
      <c r="B369" s="3" t="n"/>
      <c r="C369" s="3" t="n"/>
      <c r="D369" s="19" t="n"/>
      <c r="E369" s="3" t="n"/>
      <c r="F369" s="3" t="n"/>
      <c r="G369" s="3" t="n"/>
      <c r="H369" s="3" t="n"/>
      <c r="I369" s="3" t="n"/>
      <c r="J369" s="3" t="n"/>
      <c r="K369" s="17" t="n"/>
      <c r="L369" s="2" t="n"/>
      <c r="M369" s="2" t="n"/>
      <c r="N369" s="2" t="n"/>
      <c r="O369" s="2" t="n"/>
      <c r="P369" s="2" t="n"/>
    </row>
    <row r="370">
      <c r="A370" s="2" t="n"/>
      <c r="B370" s="3" t="n"/>
      <c r="C370" s="3" t="n"/>
      <c r="D370" s="19" t="n"/>
      <c r="E370" s="3" t="n"/>
      <c r="F370" s="3" t="n"/>
      <c r="G370" s="3" t="n"/>
      <c r="H370" s="3" t="n"/>
      <c r="I370" s="3" t="n"/>
      <c r="J370" s="3" t="n"/>
      <c r="K370" s="17" t="n"/>
      <c r="L370" s="2" t="n"/>
      <c r="M370" s="2" t="n"/>
      <c r="N370" s="2" t="n"/>
      <c r="O370" s="2" t="n"/>
      <c r="P370" s="2" t="n"/>
    </row>
    <row r="371">
      <c r="A371" s="2" t="n"/>
      <c r="B371" s="3" t="n"/>
      <c r="C371" s="3" t="n"/>
      <c r="D371" s="19" t="n"/>
      <c r="E371" s="3" t="n"/>
      <c r="F371" s="3" t="n"/>
      <c r="G371" s="3" t="n"/>
      <c r="H371" s="3" t="n"/>
      <c r="I371" s="3" t="n"/>
      <c r="J371" s="3" t="n"/>
      <c r="K371" s="17" t="n"/>
      <c r="L371" s="2" t="n"/>
      <c r="M371" s="2" t="n"/>
      <c r="N371" s="2" t="n"/>
      <c r="O371" s="2" t="n"/>
      <c r="P371" s="2" t="n"/>
    </row>
    <row r="372">
      <c r="A372" s="2" t="n"/>
      <c r="B372" s="3" t="n"/>
      <c r="C372" s="3" t="n"/>
      <c r="D372" s="19" t="n"/>
      <c r="E372" s="3" t="n"/>
      <c r="F372" s="3" t="n"/>
      <c r="G372" s="3" t="n"/>
      <c r="H372" s="3" t="n"/>
      <c r="I372" s="3" t="n"/>
      <c r="J372" s="3" t="n"/>
      <c r="K372" s="17" t="n"/>
      <c r="L372" s="2" t="n"/>
      <c r="M372" s="2" t="n"/>
      <c r="N372" s="2" t="n"/>
      <c r="O372" s="2" t="n"/>
      <c r="P372" s="2" t="n"/>
    </row>
    <row r="373">
      <c r="A373" s="2" t="n"/>
      <c r="B373" s="3" t="n"/>
      <c r="C373" s="3" t="n"/>
      <c r="D373" s="19" t="n"/>
      <c r="E373" s="3" t="n"/>
      <c r="F373" s="3" t="n"/>
      <c r="G373" s="3" t="n"/>
      <c r="H373" s="3" t="n"/>
      <c r="I373" s="3" t="n"/>
      <c r="J373" s="3" t="n"/>
      <c r="K373" s="17" t="n"/>
      <c r="L373" s="2" t="n"/>
      <c r="M373" s="2" t="n"/>
      <c r="N373" s="2" t="n"/>
      <c r="O373" s="2" t="n"/>
      <c r="P373" s="2" t="n"/>
    </row>
    <row r="374">
      <c r="A374" s="2" t="n"/>
      <c r="B374" s="3" t="n"/>
      <c r="C374" s="3" t="n"/>
      <c r="D374" s="19" t="n"/>
      <c r="E374" s="3" t="n"/>
      <c r="F374" s="3" t="n"/>
      <c r="G374" s="3" t="n"/>
      <c r="H374" s="3" t="n"/>
      <c r="I374" s="3" t="n"/>
      <c r="J374" s="3" t="n"/>
      <c r="K374" s="17" t="n"/>
      <c r="L374" s="2" t="n"/>
      <c r="M374" s="2" t="n"/>
      <c r="N374" s="2" t="n"/>
      <c r="O374" s="2" t="n"/>
      <c r="P374" s="2" t="n"/>
    </row>
    <row r="375">
      <c r="A375" s="2" t="n"/>
      <c r="B375" s="3" t="n"/>
      <c r="C375" s="3" t="n"/>
      <c r="D375" s="19" t="n"/>
      <c r="E375" s="3" t="n"/>
      <c r="F375" s="3" t="n"/>
      <c r="G375" s="3" t="n"/>
      <c r="H375" s="3" t="n"/>
      <c r="I375" s="3" t="n"/>
      <c r="J375" s="17" t="n"/>
      <c r="K375" s="17" t="n"/>
      <c r="L375" s="2" t="n"/>
      <c r="M375" s="2" t="n"/>
      <c r="N375" s="2" t="n"/>
      <c r="O375" s="2" t="n"/>
      <c r="P375" s="2" t="n"/>
    </row>
    <row r="376">
      <c r="A376" s="2" t="n"/>
      <c r="B376" s="3" t="n"/>
      <c r="C376" s="3" t="n"/>
      <c r="D376" s="19" t="n"/>
      <c r="E376" s="3" t="n"/>
      <c r="F376" s="3" t="n"/>
      <c r="G376" s="3" t="n"/>
      <c r="H376" s="3" t="n"/>
      <c r="I376" s="3" t="n"/>
      <c r="J376" s="3" t="n"/>
      <c r="K376" s="17" t="n"/>
      <c r="L376" s="2" t="n"/>
      <c r="M376" s="2" t="n"/>
      <c r="N376" s="2" t="n"/>
      <c r="O376" s="2" t="n"/>
      <c r="P376" s="2" t="n"/>
    </row>
    <row r="377">
      <c r="A377" s="2" t="n"/>
      <c r="B377" s="3" t="n"/>
      <c r="C377" s="3" t="n"/>
      <c r="D377" s="19" t="n"/>
      <c r="E377" s="3" t="n"/>
      <c r="F377" s="3" t="n"/>
      <c r="G377" s="3" t="n"/>
      <c r="H377" s="3" t="n"/>
      <c r="I377" s="3" t="n"/>
      <c r="J377" s="3" t="n"/>
      <c r="K377" s="17" t="n"/>
      <c r="L377" s="2" t="n"/>
      <c r="M377" s="2" t="n"/>
      <c r="N377" s="2" t="n"/>
      <c r="O377" s="2" t="n"/>
      <c r="P377" s="2" t="n"/>
    </row>
    <row r="378">
      <c r="A378" s="2" t="n"/>
      <c r="B378" s="3" t="n"/>
      <c r="C378" s="3" t="n"/>
      <c r="D378" s="19" t="n"/>
      <c r="E378" s="3" t="n"/>
      <c r="F378" s="3" t="n"/>
      <c r="G378" s="3" t="n"/>
      <c r="H378" s="3" t="n"/>
      <c r="I378" s="3" t="n"/>
      <c r="J378" s="3" t="n"/>
      <c r="K378" s="17" t="n"/>
      <c r="L378" s="2" t="n"/>
      <c r="M378" s="2" t="n"/>
      <c r="N378" s="2" t="n"/>
      <c r="O378" s="2" t="n"/>
      <c r="P378" s="2" t="n"/>
    </row>
    <row r="379">
      <c r="A379" s="2" t="n"/>
      <c r="B379" s="3" t="n"/>
      <c r="C379" s="3" t="n"/>
      <c r="D379" s="19" t="n"/>
      <c r="E379" s="3" t="n"/>
      <c r="F379" s="3" t="n"/>
      <c r="G379" s="3" t="n"/>
      <c r="H379" s="3" t="n"/>
      <c r="I379" s="3" t="n"/>
      <c r="J379" s="3" t="n"/>
      <c r="K379" s="17" t="n"/>
      <c r="L379" s="2" t="n"/>
      <c r="M379" s="2" t="n"/>
      <c r="N379" s="2" t="n"/>
      <c r="O379" s="2" t="n"/>
      <c r="P379" s="2" t="n"/>
    </row>
    <row r="380">
      <c r="A380" s="2" t="n"/>
      <c r="B380" s="3" t="n"/>
      <c r="C380" s="3" t="n"/>
      <c r="D380" s="19" t="n"/>
      <c r="E380" s="3" t="n"/>
      <c r="F380" s="3" t="n"/>
      <c r="G380" s="3" t="n"/>
      <c r="H380" s="3" t="n"/>
      <c r="I380" s="3" t="n"/>
      <c r="J380" s="3" t="n"/>
      <c r="K380" s="17" t="n"/>
      <c r="L380" s="2" t="n"/>
      <c r="M380" s="2" t="n"/>
      <c r="N380" s="2" t="n"/>
      <c r="O380" s="2" t="n"/>
      <c r="P380" s="2" t="n"/>
    </row>
    <row r="381">
      <c r="A381" s="2" t="n"/>
      <c r="B381" s="3" t="n"/>
      <c r="C381" s="3" t="n"/>
      <c r="D381" s="19" t="n"/>
      <c r="E381" s="3" t="n"/>
      <c r="F381" s="3" t="n"/>
      <c r="G381" s="3" t="n"/>
      <c r="H381" s="3" t="n"/>
      <c r="I381" s="3" t="n"/>
      <c r="J381" s="3" t="n"/>
      <c r="K381" s="17" t="n"/>
      <c r="L381" s="2" t="n"/>
      <c r="M381" s="2" t="n"/>
      <c r="N381" s="2" t="n"/>
      <c r="O381" s="2" t="n"/>
      <c r="P381" s="2" t="n"/>
    </row>
    <row r="382">
      <c r="A382" s="2" t="n"/>
      <c r="B382" s="3" t="n"/>
      <c r="C382" s="3" t="n"/>
      <c r="D382" s="19" t="n"/>
      <c r="E382" s="3" t="n"/>
      <c r="F382" s="3" t="n"/>
      <c r="G382" s="3" t="n"/>
      <c r="H382" s="3" t="n"/>
      <c r="I382" s="3" t="n"/>
      <c r="J382" s="3" t="n"/>
      <c r="K382" s="17" t="n"/>
      <c r="L382" s="2" t="n"/>
      <c r="M382" s="2" t="n"/>
      <c r="N382" s="2" t="n"/>
      <c r="O382" s="2" t="n"/>
      <c r="P382" s="2" t="n"/>
    </row>
    <row r="383">
      <c r="A383" s="2" t="n"/>
      <c r="B383" s="3" t="n"/>
      <c r="C383" s="3" t="n"/>
      <c r="D383" s="19" t="n"/>
      <c r="E383" s="3" t="n"/>
      <c r="F383" s="3" t="n"/>
      <c r="G383" s="3" t="n"/>
      <c r="H383" s="3" t="n"/>
      <c r="I383" s="3" t="n"/>
      <c r="J383" s="3" t="n"/>
      <c r="K383" s="17" t="n"/>
      <c r="L383" s="2" t="n"/>
      <c r="M383" s="2" t="n"/>
      <c r="N383" s="2" t="n"/>
      <c r="O383" s="2" t="n"/>
      <c r="P383" s="2" t="n"/>
    </row>
    <row r="384">
      <c r="A384" s="2" t="n"/>
      <c r="B384" s="3" t="n"/>
      <c r="C384" s="3" t="n"/>
      <c r="D384" s="19" t="n"/>
      <c r="E384" s="3" t="n"/>
      <c r="F384" s="3" t="n"/>
      <c r="G384" s="3" t="n"/>
      <c r="H384" s="3" t="n"/>
      <c r="I384" s="3" t="n"/>
      <c r="J384" s="3" t="n"/>
      <c r="K384" s="17" t="n"/>
      <c r="L384" s="2" t="n"/>
      <c r="M384" s="2" t="n"/>
      <c r="N384" s="2" t="n"/>
      <c r="O384" s="2" t="n"/>
      <c r="P384" s="2" t="n"/>
    </row>
    <row r="385">
      <c r="A385" s="2" t="n"/>
      <c r="B385" s="3" t="n"/>
      <c r="C385" s="3" t="n"/>
      <c r="D385" s="19" t="n"/>
      <c r="E385" s="3" t="n"/>
      <c r="F385" s="3" t="n"/>
      <c r="G385" s="3" t="n"/>
      <c r="H385" s="3" t="n"/>
      <c r="I385" s="3" t="n"/>
      <c r="J385" s="3" t="n"/>
      <c r="K385" s="17" t="n"/>
      <c r="L385" s="2" t="n"/>
      <c r="M385" s="2" t="n"/>
      <c r="N385" s="2" t="n"/>
      <c r="O385" s="2" t="n"/>
      <c r="P385" s="2" t="n"/>
    </row>
    <row r="386">
      <c r="A386" s="2" t="n"/>
      <c r="B386" s="3" t="n"/>
      <c r="C386" s="3" t="n"/>
      <c r="D386" s="19" t="n"/>
      <c r="E386" s="3" t="n"/>
      <c r="F386" s="3" t="n"/>
      <c r="G386" s="3" t="n"/>
      <c r="H386" s="3" t="n"/>
      <c r="I386" s="3" t="n"/>
      <c r="J386" s="3" t="n"/>
      <c r="K386" s="17" t="n"/>
      <c r="L386" s="2" t="n"/>
      <c r="M386" s="2" t="n"/>
      <c r="N386" s="2" t="n"/>
      <c r="O386" s="2" t="n"/>
      <c r="P386" s="2" t="n"/>
    </row>
    <row r="387">
      <c r="A387" s="2" t="n"/>
      <c r="B387" s="3" t="n"/>
      <c r="C387" s="3" t="n"/>
      <c r="D387" s="19" t="n"/>
      <c r="E387" s="3" t="n"/>
      <c r="F387" s="3" t="n"/>
      <c r="G387" s="3" t="n"/>
      <c r="H387" s="3" t="n"/>
      <c r="I387" s="3" t="n"/>
      <c r="J387" s="3" t="n"/>
      <c r="K387" s="17" t="n"/>
      <c r="L387" s="2" t="n"/>
      <c r="M387" s="2" t="n"/>
      <c r="N387" s="2" t="n"/>
      <c r="O387" s="2" t="n"/>
      <c r="P387" s="2" t="n"/>
    </row>
    <row r="388">
      <c r="A388" s="2" t="n"/>
      <c r="B388" s="3" t="n"/>
      <c r="C388" s="3" t="n"/>
      <c r="D388" s="19" t="n"/>
      <c r="E388" s="3" t="n"/>
      <c r="F388" s="3" t="n"/>
      <c r="G388" s="3" t="n"/>
      <c r="H388" s="3" t="n"/>
      <c r="I388" s="3" t="n"/>
      <c r="J388" s="3" t="n"/>
      <c r="K388" s="17" t="n"/>
      <c r="L388" s="2" t="n"/>
      <c r="M388" s="2" t="n"/>
      <c r="N388" s="2" t="n"/>
      <c r="O388" s="2" t="n"/>
      <c r="P388" s="2" t="n"/>
    </row>
    <row r="389">
      <c r="A389" s="2" t="n"/>
      <c r="B389" s="3" t="n"/>
      <c r="C389" s="3" t="n"/>
      <c r="D389" s="19" t="n"/>
      <c r="E389" s="3" t="n"/>
      <c r="F389" s="3" t="n"/>
      <c r="G389" s="3" t="n"/>
      <c r="H389" s="3" t="n"/>
      <c r="I389" s="3" t="n"/>
      <c r="J389" s="3" t="n"/>
      <c r="K389" s="17" t="n"/>
      <c r="L389" s="2" t="n"/>
      <c r="M389" s="2" t="n"/>
      <c r="N389" s="2" t="n"/>
      <c r="O389" s="2" t="n"/>
      <c r="P389" s="2" t="n"/>
    </row>
    <row r="390">
      <c r="A390" s="2" t="n"/>
      <c r="B390" s="3" t="n"/>
      <c r="C390" s="3" t="n"/>
      <c r="D390" s="19" t="n"/>
      <c r="E390" s="3" t="n"/>
      <c r="F390" s="3" t="n"/>
      <c r="G390" s="3" t="n"/>
      <c r="H390" s="3" t="n"/>
      <c r="I390" s="3" t="n"/>
      <c r="J390" s="3" t="n"/>
      <c r="K390" s="17" t="n"/>
      <c r="L390" s="2" t="n"/>
      <c r="M390" s="2" t="n"/>
      <c r="N390" s="2" t="n"/>
      <c r="O390" s="2" t="n"/>
      <c r="P390" s="2" t="n"/>
    </row>
    <row r="391">
      <c r="A391" s="2" t="n"/>
      <c r="B391" s="3" t="n"/>
      <c r="C391" s="3" t="n"/>
      <c r="D391" s="19" t="n"/>
      <c r="E391" s="3" t="n"/>
      <c r="F391" s="3" t="n"/>
      <c r="G391" s="3" t="n"/>
      <c r="H391" s="3" t="n"/>
      <c r="I391" s="3" t="n"/>
      <c r="J391" s="3" t="n"/>
      <c r="K391" s="17" t="n"/>
      <c r="L391" s="2" t="n"/>
      <c r="M391" s="2" t="n"/>
      <c r="N391" s="2" t="n"/>
      <c r="O391" s="2" t="n"/>
      <c r="P391" s="2" t="n"/>
    </row>
    <row r="392">
      <c r="A392" s="2" t="n"/>
      <c r="B392" s="3" t="n"/>
      <c r="C392" s="3" t="n"/>
      <c r="D392" s="19" t="n"/>
      <c r="E392" s="3" t="n"/>
      <c r="F392" s="3" t="n"/>
      <c r="G392" s="3" t="n"/>
      <c r="H392" s="3" t="n"/>
      <c r="I392" s="3" t="n"/>
      <c r="J392" s="3" t="n"/>
      <c r="K392" s="17" t="n"/>
      <c r="L392" s="2" t="n"/>
      <c r="M392" s="2" t="n"/>
      <c r="N392" s="2" t="n"/>
      <c r="O392" s="2" t="n"/>
      <c r="P392" s="2" t="n"/>
    </row>
    <row r="393">
      <c r="A393" s="2" t="n"/>
      <c r="B393" s="3" t="n"/>
      <c r="C393" s="3" t="n"/>
      <c r="D393" s="19" t="n"/>
      <c r="E393" s="3" t="n"/>
      <c r="F393" s="3" t="n"/>
      <c r="G393" s="3" t="n"/>
      <c r="H393" s="3" t="n"/>
      <c r="I393" s="3" t="n"/>
      <c r="J393" s="3" t="n"/>
      <c r="K393" s="17" t="n"/>
      <c r="L393" s="2" t="n"/>
      <c r="M393" s="2" t="n"/>
      <c r="N393" s="2" t="n"/>
      <c r="O393" s="2" t="n"/>
      <c r="P393" s="2" t="n"/>
    </row>
    <row r="394">
      <c r="A394" s="2" t="n"/>
      <c r="B394" s="3" t="n"/>
      <c r="C394" s="3" t="n"/>
      <c r="D394" s="19" t="n"/>
      <c r="E394" s="3" t="n"/>
      <c r="F394" s="3" t="n"/>
      <c r="G394" s="3" t="n"/>
      <c r="H394" s="3" t="n"/>
      <c r="I394" s="3" t="n"/>
      <c r="J394" s="3" t="n"/>
      <c r="K394" s="17" t="n"/>
      <c r="L394" s="2" t="n"/>
      <c r="M394" s="2" t="n"/>
      <c r="N394" s="2" t="n"/>
      <c r="O394" s="2" t="n"/>
      <c r="P394" s="2" t="n"/>
    </row>
    <row r="395">
      <c r="A395" s="2" t="n"/>
      <c r="B395" s="3" t="n"/>
      <c r="C395" s="3" t="n"/>
      <c r="D395" s="19" t="n"/>
      <c r="E395" s="3" t="n"/>
      <c r="F395" s="3" t="n"/>
      <c r="G395" s="3" t="n"/>
      <c r="H395" s="3" t="n"/>
      <c r="I395" s="3" t="n"/>
      <c r="J395" s="3" t="n"/>
      <c r="K395" s="17" t="n"/>
      <c r="L395" s="2" t="n"/>
      <c r="M395" s="2" t="n"/>
      <c r="N395" s="2" t="n"/>
      <c r="O395" s="2" t="n"/>
      <c r="P395" s="2" t="n"/>
    </row>
    <row r="396">
      <c r="A396" s="2" t="n"/>
      <c r="B396" s="3" t="n"/>
      <c r="C396" s="3" t="n"/>
      <c r="D396" s="19" t="n"/>
      <c r="E396" s="3" t="n"/>
      <c r="F396" s="3" t="n"/>
      <c r="G396" s="3" t="n"/>
      <c r="H396" s="3" t="n"/>
      <c r="I396" s="3" t="n"/>
      <c r="J396" s="3" t="n"/>
      <c r="K396" s="17" t="n"/>
      <c r="L396" s="2" t="n"/>
      <c r="M396" s="2" t="n"/>
      <c r="N396" s="2" t="n"/>
      <c r="O396" s="2" t="n"/>
      <c r="P396" s="2" t="n"/>
    </row>
    <row r="397">
      <c r="A397" s="2" t="n"/>
      <c r="B397" s="3" t="n"/>
      <c r="C397" s="3" t="n"/>
      <c r="D397" s="19" t="n"/>
      <c r="E397" s="3" t="n"/>
      <c r="F397" s="3" t="n"/>
      <c r="G397" s="3" t="n"/>
      <c r="H397" s="3" t="n"/>
      <c r="I397" s="3" t="n"/>
      <c r="J397" s="3" t="n"/>
      <c r="K397" s="17" t="n"/>
      <c r="L397" s="2" t="n"/>
      <c r="M397" s="2" t="n"/>
      <c r="N397" s="2" t="n"/>
      <c r="O397" s="2" t="n"/>
      <c r="P397" s="2" t="n"/>
    </row>
    <row r="398">
      <c r="A398" s="2" t="n"/>
      <c r="B398" s="3" t="n"/>
      <c r="C398" s="3" t="n"/>
      <c r="D398" s="19" t="n"/>
      <c r="E398" s="3" t="n"/>
      <c r="F398" s="3" t="n"/>
      <c r="G398" s="3" t="n"/>
      <c r="H398" s="3" t="n"/>
      <c r="I398" s="3" t="n"/>
      <c r="J398" s="3" t="n"/>
      <c r="K398" s="17" t="n"/>
      <c r="L398" s="2" t="n"/>
      <c r="M398" s="2" t="n"/>
      <c r="N398" s="2" t="n"/>
      <c r="O398" s="2" t="n"/>
      <c r="P398" s="2" t="n"/>
    </row>
    <row r="399">
      <c r="A399" s="2" t="n"/>
      <c r="B399" s="3" t="n"/>
      <c r="C399" s="3" t="n"/>
      <c r="D399" s="19" t="n"/>
      <c r="E399" s="3" t="n"/>
      <c r="F399" s="3" t="n"/>
      <c r="G399" s="3" t="n"/>
      <c r="H399" s="3" t="n"/>
      <c r="I399" s="3" t="n"/>
      <c r="J399" s="3" t="n"/>
      <c r="K399" s="17" t="n"/>
      <c r="L399" s="2" t="n"/>
      <c r="M399" s="2" t="n"/>
      <c r="N399" s="2" t="n"/>
      <c r="O399" s="2" t="n"/>
      <c r="P399" s="2" t="n"/>
    </row>
    <row r="400">
      <c r="A400" s="2" t="n"/>
      <c r="B400" s="3" t="n"/>
      <c r="C400" s="3" t="n"/>
      <c r="D400" s="19" t="n"/>
      <c r="E400" s="3" t="n"/>
      <c r="F400" s="3" t="n"/>
      <c r="G400" s="3" t="n"/>
      <c r="H400" s="3" t="n"/>
      <c r="I400" s="3" t="n"/>
      <c r="J400" s="3" t="n"/>
      <c r="K400" s="17" t="n"/>
      <c r="L400" s="2" t="n"/>
      <c r="M400" s="2" t="n"/>
      <c r="N400" s="2" t="n"/>
      <c r="O400" s="2" t="n"/>
      <c r="P400" s="2" t="n"/>
    </row>
    <row r="401">
      <c r="A401" s="2" t="n"/>
      <c r="B401" s="3" t="n"/>
      <c r="C401" s="3" t="n"/>
      <c r="D401" s="19" t="n"/>
      <c r="E401" s="3" t="n"/>
      <c r="F401" s="3" t="n"/>
      <c r="G401" s="3" t="n"/>
      <c r="H401" s="3" t="n"/>
      <c r="I401" s="3" t="n"/>
      <c r="J401" s="3" t="n"/>
      <c r="K401" s="17" t="n"/>
      <c r="L401" s="2" t="n"/>
      <c r="M401" s="2" t="n"/>
      <c r="N401" s="2" t="n"/>
      <c r="O401" s="2" t="n"/>
      <c r="P401" s="2" t="n"/>
    </row>
    <row r="402">
      <c r="A402" s="2" t="n"/>
      <c r="B402" s="3" t="n"/>
      <c r="C402" s="3" t="n"/>
      <c r="D402" s="19" t="n"/>
      <c r="E402" s="3" t="n"/>
      <c r="F402" s="3" t="n"/>
      <c r="G402" s="3" t="n"/>
      <c r="H402" s="3" t="n"/>
      <c r="I402" s="3" t="n"/>
      <c r="J402" s="3" t="n"/>
      <c r="K402" s="17" t="n"/>
      <c r="L402" s="2" t="n"/>
      <c r="M402" s="2" t="n"/>
      <c r="N402" s="2" t="n"/>
      <c r="O402" s="2" t="n"/>
      <c r="P402" s="2" t="n"/>
    </row>
    <row r="403">
      <c r="A403" s="2" t="n"/>
      <c r="B403" s="3" t="n"/>
      <c r="C403" s="3" t="n"/>
      <c r="D403" s="19" t="n"/>
      <c r="E403" s="3" t="n"/>
      <c r="F403" s="3" t="n"/>
      <c r="G403" s="3" t="n"/>
      <c r="H403" s="3" t="n"/>
      <c r="I403" s="3" t="n"/>
      <c r="J403" s="3" t="n"/>
      <c r="K403" s="17" t="n"/>
      <c r="L403" s="2" t="n"/>
      <c r="M403" s="2" t="n"/>
      <c r="N403" s="2" t="n"/>
      <c r="O403" s="2" t="n"/>
      <c r="P403" s="2" t="n"/>
    </row>
    <row r="404">
      <c r="A404" s="2" t="n"/>
      <c r="B404" s="3" t="n"/>
      <c r="C404" s="3" t="n"/>
      <c r="D404" s="19" t="n"/>
      <c r="E404" s="3" t="n"/>
      <c r="F404" s="3" t="n"/>
      <c r="G404" s="3" t="n"/>
      <c r="H404" s="3" t="n"/>
      <c r="I404" s="3" t="n"/>
      <c r="J404" s="3" t="n"/>
      <c r="K404" s="17" t="n"/>
      <c r="L404" s="2" t="n"/>
      <c r="M404" s="2" t="n"/>
      <c r="N404" s="2" t="n"/>
      <c r="O404" s="2" t="n"/>
      <c r="P404" s="2" t="n"/>
    </row>
    <row r="405">
      <c r="A405" s="2" t="n"/>
      <c r="B405" s="3" t="n"/>
      <c r="C405" s="3" t="n"/>
      <c r="D405" s="19" t="n"/>
      <c r="E405" s="3" t="n"/>
      <c r="F405" s="3" t="n"/>
      <c r="G405" s="3" t="n"/>
      <c r="H405" s="3" t="n"/>
      <c r="I405" s="3" t="n"/>
      <c r="J405" s="3" t="n"/>
      <c r="K405" s="17" t="n"/>
      <c r="L405" s="2" t="n"/>
      <c r="M405" s="2" t="n"/>
      <c r="N405" s="2" t="n"/>
      <c r="O405" s="2" t="n"/>
      <c r="P405" s="2" t="n"/>
    </row>
    <row r="406">
      <c r="A406" s="2" t="n"/>
      <c r="B406" s="3" t="n"/>
      <c r="C406" s="3" t="n"/>
      <c r="D406" s="19" t="n"/>
      <c r="E406" s="3" t="n"/>
      <c r="F406" s="3" t="n"/>
      <c r="G406" s="3" t="n"/>
      <c r="H406" s="3" t="n"/>
      <c r="I406" s="3" t="n"/>
      <c r="J406" s="3" t="n"/>
      <c r="K406" s="17" t="n"/>
      <c r="L406" s="2" t="n"/>
      <c r="M406" s="2" t="n"/>
      <c r="N406" s="2" t="n"/>
      <c r="O406" s="2" t="n"/>
      <c r="P406" s="2" t="n"/>
    </row>
    <row r="407">
      <c r="A407" s="2" t="n"/>
      <c r="B407" s="3" t="n"/>
      <c r="C407" s="3" t="n"/>
      <c r="D407" s="19" t="n"/>
      <c r="E407" s="3" t="n"/>
      <c r="F407" s="3" t="n"/>
      <c r="G407" s="3" t="n"/>
      <c r="H407" s="3" t="n"/>
      <c r="I407" s="3" t="n"/>
      <c r="J407" s="3" t="n"/>
      <c r="K407" s="17" t="n"/>
      <c r="L407" s="2" t="n"/>
      <c r="M407" s="2" t="n"/>
      <c r="N407" s="2" t="n"/>
      <c r="O407" s="2" t="n"/>
      <c r="P407" s="2" t="n"/>
    </row>
    <row r="408">
      <c r="A408" s="2" t="n"/>
      <c r="B408" s="3" t="n"/>
      <c r="C408" s="3" t="n"/>
      <c r="D408" s="19" t="n"/>
      <c r="E408" s="3" t="n"/>
      <c r="F408" s="3" t="n"/>
      <c r="G408" s="3" t="n"/>
      <c r="H408" s="3" t="n"/>
      <c r="I408" s="3" t="n"/>
      <c r="J408" s="3" t="n"/>
      <c r="K408" s="17" t="n"/>
      <c r="L408" s="2" t="n"/>
      <c r="M408" s="2" t="n"/>
      <c r="N408" s="2" t="n"/>
      <c r="O408" s="2" t="n"/>
      <c r="P408" s="2" t="n"/>
    </row>
    <row r="409">
      <c r="A409" s="2" t="n"/>
      <c r="B409" s="3" t="n"/>
      <c r="C409" s="3" t="n"/>
      <c r="D409" s="19" t="n"/>
      <c r="E409" s="3" t="n"/>
      <c r="F409" s="3" t="n"/>
      <c r="G409" s="3" t="n"/>
      <c r="H409" s="3" t="n"/>
      <c r="I409" s="3" t="n"/>
      <c r="J409" s="3" t="n"/>
      <c r="K409" s="17" t="n"/>
      <c r="L409" s="2" t="n"/>
      <c r="M409" s="2" t="n"/>
      <c r="N409" s="2" t="n"/>
      <c r="O409" s="2" t="n"/>
      <c r="P409" s="2" t="n"/>
    </row>
    <row r="410">
      <c r="A410" s="2" t="n"/>
      <c r="B410" s="3" t="n"/>
      <c r="C410" s="3" t="n"/>
      <c r="D410" s="19" t="n"/>
      <c r="E410" s="3" t="n"/>
      <c r="F410" s="3" t="n"/>
      <c r="G410" s="3" t="n"/>
      <c r="H410" s="3" t="n"/>
      <c r="I410" s="3" t="n"/>
      <c r="J410" s="3" t="n"/>
      <c r="K410" s="17" t="n"/>
      <c r="L410" s="2" t="n"/>
      <c r="M410" s="2" t="n"/>
      <c r="N410" s="2" t="n"/>
      <c r="O410" s="2" t="n"/>
      <c r="P410" s="2" t="n"/>
    </row>
    <row r="411">
      <c r="A411" s="2" t="n"/>
      <c r="B411" s="3" t="n"/>
      <c r="C411" s="3" t="n"/>
      <c r="D411" s="19" t="n"/>
      <c r="E411" s="3" t="n"/>
      <c r="F411" s="3" t="n"/>
      <c r="G411" s="3" t="n"/>
      <c r="H411" s="3" t="n"/>
      <c r="I411" s="3" t="n"/>
      <c r="J411" s="3" t="n"/>
      <c r="K411" s="17" t="n"/>
      <c r="L411" s="2" t="n"/>
      <c r="M411" s="2" t="n"/>
      <c r="N411" s="2" t="n"/>
      <c r="O411" s="2" t="n"/>
      <c r="P411" s="2" t="n"/>
    </row>
    <row r="412">
      <c r="A412" s="2" t="n"/>
      <c r="B412" s="3" t="n"/>
      <c r="C412" s="3" t="n"/>
      <c r="D412" s="19" t="n"/>
      <c r="E412" s="3" t="n"/>
      <c r="F412" s="3" t="n"/>
      <c r="G412" s="3" t="n"/>
      <c r="H412" s="3" t="n"/>
      <c r="I412" s="3" t="n"/>
      <c r="J412" s="3" t="n"/>
      <c r="K412" s="17" t="n"/>
      <c r="L412" s="2" t="n"/>
      <c r="M412" s="2" t="n"/>
      <c r="N412" s="2" t="n"/>
      <c r="O412" s="2" t="n"/>
      <c r="P412" s="2" t="n"/>
    </row>
    <row r="413">
      <c r="A413" s="2" t="n"/>
      <c r="B413" s="3" t="n"/>
      <c r="C413" s="3" t="n"/>
      <c r="D413" s="19" t="n"/>
      <c r="E413" s="3" t="n"/>
      <c r="F413" s="3" t="n"/>
      <c r="G413" s="3" t="n"/>
      <c r="H413" s="3" t="n"/>
      <c r="I413" s="3" t="n"/>
      <c r="J413" s="3" t="n"/>
      <c r="K413" s="17" t="n"/>
      <c r="L413" s="2" t="n"/>
      <c r="M413" s="2" t="n"/>
      <c r="N413" s="2" t="n"/>
      <c r="O413" s="2" t="n"/>
      <c r="P413" s="2" t="n"/>
    </row>
    <row r="414">
      <c r="A414" s="2" t="n"/>
      <c r="B414" s="3" t="n"/>
      <c r="C414" s="3" t="n"/>
      <c r="D414" s="19" t="n"/>
      <c r="E414" s="3" t="n"/>
      <c r="F414" s="3" t="n"/>
      <c r="G414" s="3" t="n"/>
      <c r="H414" s="3" t="n"/>
      <c r="I414" s="3" t="n"/>
      <c r="J414" s="3" t="n"/>
      <c r="K414" s="17" t="n"/>
      <c r="L414" s="2" t="n"/>
      <c r="M414" s="2" t="n"/>
      <c r="N414" s="2" t="n"/>
      <c r="O414" s="2" t="n"/>
      <c r="P414" s="2" t="n"/>
    </row>
    <row r="415">
      <c r="A415" s="2" t="n"/>
      <c r="B415" s="3" t="n"/>
      <c r="C415" s="3" t="n"/>
      <c r="D415" s="19" t="n"/>
      <c r="E415" s="3" t="n"/>
      <c r="F415" s="3" t="n"/>
      <c r="G415" s="3" t="n"/>
      <c r="H415" s="3" t="n"/>
      <c r="I415" s="3" t="n"/>
      <c r="J415" s="3" t="n"/>
      <c r="K415" s="17" t="n"/>
      <c r="L415" s="2" t="n"/>
      <c r="M415" s="2" t="n"/>
      <c r="N415" s="2" t="n"/>
      <c r="O415" s="2" t="n"/>
      <c r="P415" s="2" t="n"/>
    </row>
    <row r="416">
      <c r="A416" s="2" t="n"/>
      <c r="B416" s="3" t="n"/>
      <c r="C416" s="3" t="n"/>
      <c r="D416" s="19" t="n"/>
      <c r="E416" s="3" t="n"/>
      <c r="F416" s="3" t="n"/>
      <c r="G416" s="3" t="n"/>
      <c r="H416" s="3" t="n"/>
      <c r="I416" s="3" t="n"/>
      <c r="J416" s="3" t="n"/>
      <c r="K416" s="17" t="n"/>
      <c r="L416" s="2" t="n"/>
      <c r="M416" s="2" t="n"/>
      <c r="N416" s="2" t="n"/>
      <c r="O416" s="2" t="n"/>
      <c r="P416" s="2" t="n"/>
    </row>
    <row r="417">
      <c r="A417" s="2" t="n"/>
      <c r="B417" s="3" t="n"/>
      <c r="C417" s="3" t="n"/>
      <c r="D417" s="19" t="n"/>
      <c r="E417" s="3" t="n"/>
      <c r="F417" s="3" t="n"/>
      <c r="G417" s="3" t="n"/>
      <c r="H417" s="3" t="n"/>
      <c r="I417" s="3" t="n"/>
      <c r="J417" s="3" t="n"/>
      <c r="K417" s="17" t="n"/>
      <c r="L417" s="2" t="n"/>
      <c r="M417" s="2" t="n"/>
      <c r="N417" s="2" t="n"/>
      <c r="O417" s="2" t="n"/>
      <c r="P417" s="2" t="n"/>
    </row>
    <row r="418">
      <c r="A418" s="2" t="n"/>
      <c r="B418" s="3" t="n"/>
      <c r="C418" s="3" t="n"/>
      <c r="D418" s="19" t="n"/>
      <c r="E418" s="3" t="n"/>
      <c r="F418" s="3" t="n"/>
      <c r="G418" s="3" t="n"/>
      <c r="H418" s="3" t="n"/>
      <c r="I418" s="3" t="n"/>
      <c r="J418" s="3" t="n"/>
      <c r="K418" s="17" t="n"/>
      <c r="L418" s="2" t="n"/>
      <c r="M418" s="2" t="n"/>
      <c r="N418" s="2" t="n"/>
      <c r="O418" s="2" t="n"/>
      <c r="P418" s="2" t="n"/>
    </row>
    <row r="419">
      <c r="A419" s="2" t="n"/>
      <c r="B419" s="3" t="n"/>
      <c r="C419" s="3" t="n"/>
      <c r="D419" s="19" t="n"/>
      <c r="E419" s="3" t="n"/>
      <c r="F419" s="3" t="n"/>
      <c r="G419" s="3" t="n"/>
      <c r="H419" s="3" t="n"/>
      <c r="I419" s="3" t="n"/>
      <c r="J419" s="3" t="n"/>
      <c r="K419" s="17" t="n"/>
      <c r="L419" s="2" t="n"/>
      <c r="M419" s="2" t="n"/>
      <c r="N419" s="2" t="n"/>
      <c r="O419" s="2" t="n"/>
      <c r="P419" s="2" t="n"/>
    </row>
    <row r="420">
      <c r="A420" s="2" t="n"/>
      <c r="B420" s="3" t="n"/>
      <c r="C420" s="3" t="n"/>
      <c r="D420" s="19" t="n"/>
      <c r="E420" s="3" t="n"/>
      <c r="F420" s="3" t="n"/>
      <c r="G420" s="3" t="n"/>
      <c r="H420" s="3" t="n"/>
      <c r="I420" s="3" t="n"/>
      <c r="J420" s="3" t="n"/>
      <c r="K420" s="17" t="n"/>
      <c r="L420" s="2" t="n"/>
      <c r="M420" s="2" t="n"/>
      <c r="N420" s="2" t="n"/>
      <c r="O420" s="2" t="n"/>
      <c r="P420" s="2" t="n"/>
    </row>
    <row r="421">
      <c r="A421" s="2" t="n"/>
      <c r="B421" s="3" t="n"/>
      <c r="C421" s="3" t="n"/>
      <c r="D421" s="19" t="n"/>
      <c r="E421" s="3" t="n"/>
      <c r="F421" s="3" t="n"/>
      <c r="G421" s="3" t="n"/>
      <c r="H421" s="3" t="n"/>
      <c r="I421" s="3" t="n"/>
      <c r="J421" s="3" t="n"/>
      <c r="K421" s="17" t="n"/>
      <c r="L421" s="2" t="n"/>
      <c r="M421" s="2" t="n"/>
      <c r="N421" s="2" t="n"/>
      <c r="O421" s="2" t="n"/>
      <c r="P421" s="2" t="n"/>
    </row>
    <row r="422">
      <c r="A422" s="2" t="n"/>
      <c r="B422" s="3" t="n"/>
      <c r="C422" s="3" t="n"/>
      <c r="D422" s="19" t="n"/>
      <c r="E422" s="3" t="n"/>
      <c r="F422" s="3" t="n"/>
      <c r="G422" s="3" t="n"/>
      <c r="H422" s="3" t="n"/>
      <c r="I422" s="3" t="n"/>
      <c r="J422" s="3" t="n"/>
      <c r="K422" s="3" t="n"/>
      <c r="L422" s="2" t="n"/>
      <c r="M422" s="2" t="n"/>
      <c r="N422" s="2" t="n"/>
      <c r="O422" s="2" t="n"/>
      <c r="P422" s="2" t="n"/>
    </row>
    <row r="423">
      <c r="A423" s="2" t="n"/>
      <c r="B423" s="3" t="n"/>
      <c r="C423" s="3" t="n"/>
      <c r="D423" s="19" t="n"/>
      <c r="E423" s="3" t="n"/>
      <c r="F423" s="3" t="n"/>
      <c r="G423" s="3" t="n"/>
      <c r="H423" s="3" t="n"/>
      <c r="I423" s="3" t="n"/>
      <c r="J423" s="3" t="n"/>
      <c r="K423" s="3" t="n"/>
      <c r="L423" s="2" t="n"/>
      <c r="M423" s="2" t="n"/>
      <c r="N423" s="2" t="n"/>
      <c r="O423" s="2" t="n"/>
      <c r="P423" s="2" t="n"/>
    </row>
    <row r="424">
      <c r="A424" s="2" t="n"/>
      <c r="B424" s="3" t="n"/>
      <c r="C424" s="3" t="n"/>
      <c r="D424" s="19" t="n"/>
      <c r="E424" s="3" t="n"/>
      <c r="F424" s="3" t="n"/>
      <c r="G424" s="3" t="n"/>
      <c r="H424" s="3" t="n"/>
      <c r="I424" s="3" t="n"/>
      <c r="J424" s="3" t="n"/>
      <c r="K424" s="3" t="n"/>
      <c r="L424" s="2" t="n"/>
      <c r="M424" s="2" t="n"/>
      <c r="N424" s="2" t="n"/>
      <c r="O424" s="2" t="n"/>
      <c r="P424" s="2" t="n"/>
    </row>
    <row r="425">
      <c r="A425" s="2" t="n"/>
      <c r="B425" s="3" t="n"/>
      <c r="C425" s="3" t="n"/>
      <c r="D425" s="19" t="n"/>
      <c r="E425" s="3" t="n"/>
      <c r="F425" s="3" t="n"/>
      <c r="G425" s="3" t="n"/>
      <c r="H425" s="3" t="n"/>
      <c r="I425" s="3" t="n"/>
      <c r="J425" s="3" t="n"/>
      <c r="K425" s="3" t="n"/>
      <c r="L425" s="2" t="n"/>
      <c r="M425" s="2" t="n"/>
      <c r="N425" s="2" t="n"/>
      <c r="O425" s="2" t="n"/>
      <c r="P425" s="2" t="n"/>
    </row>
    <row r="426">
      <c r="A426" s="2" t="n"/>
      <c r="B426" s="3" t="n"/>
      <c r="C426" s="3" t="n"/>
      <c r="D426" s="19" t="n"/>
      <c r="E426" s="3" t="n"/>
      <c r="F426" s="3" t="n"/>
      <c r="G426" s="3" t="n"/>
      <c r="H426" s="3" t="n"/>
      <c r="I426" s="3" t="n"/>
      <c r="J426" s="3" t="n"/>
      <c r="K426" s="3" t="n"/>
      <c r="L426" s="2" t="n"/>
      <c r="M426" s="2" t="n"/>
      <c r="N426" s="2" t="n"/>
      <c r="O426" s="2" t="n"/>
      <c r="P426" s="2" t="n"/>
    </row>
    <row r="427">
      <c r="A427" s="2" t="n"/>
      <c r="B427" s="3" t="n"/>
      <c r="C427" s="3" t="n"/>
      <c r="D427" s="19" t="n"/>
      <c r="E427" s="3" t="n"/>
      <c r="F427" s="3" t="n"/>
      <c r="G427" s="3" t="n"/>
      <c r="H427" s="3" t="n"/>
      <c r="I427" s="3" t="n"/>
      <c r="J427" s="3" t="n"/>
      <c r="K427" s="3" t="n"/>
      <c r="L427" s="2" t="n"/>
      <c r="M427" s="2" t="n"/>
      <c r="N427" s="2" t="n"/>
      <c r="O427" s="2" t="n"/>
      <c r="P427" s="2" t="n"/>
    </row>
    <row r="428">
      <c r="A428" s="2" t="n"/>
      <c r="B428" s="3" t="n"/>
      <c r="C428" s="3" t="n"/>
      <c r="D428" s="19" t="n"/>
      <c r="E428" s="3" t="n"/>
      <c r="F428" s="3" t="n"/>
      <c r="G428" s="3" t="n"/>
      <c r="H428" s="3" t="n"/>
      <c r="I428" s="3" t="n"/>
      <c r="J428" s="3" t="n"/>
      <c r="K428" s="3" t="n"/>
      <c r="L428" s="2" t="n"/>
      <c r="M428" s="2" t="n"/>
      <c r="N428" s="2" t="n"/>
      <c r="O428" s="2" t="n"/>
      <c r="P428" s="2" t="n"/>
    </row>
    <row r="429">
      <c r="A429" s="2" t="n"/>
      <c r="B429" s="3" t="n"/>
      <c r="C429" s="3" t="n"/>
      <c r="D429" s="19" t="n"/>
      <c r="E429" s="3" t="n"/>
      <c r="F429" s="3" t="n"/>
      <c r="G429" s="3" t="n"/>
      <c r="H429" s="3" t="n"/>
      <c r="I429" s="3" t="n"/>
      <c r="J429" s="3" t="n"/>
      <c r="K429" s="3" t="n"/>
      <c r="L429" s="2" t="n"/>
      <c r="M429" s="2" t="n"/>
      <c r="N429" s="2" t="n"/>
      <c r="O429" s="2" t="n"/>
      <c r="P429" s="2" t="n"/>
    </row>
    <row r="430">
      <c r="A430" s="2" t="n"/>
      <c r="B430" s="3" t="n"/>
      <c r="C430" s="3" t="n"/>
      <c r="D430" s="19" t="n"/>
      <c r="E430" s="3" t="n"/>
      <c r="F430" s="3" t="n"/>
      <c r="G430" s="3" t="n"/>
      <c r="H430" s="3" t="n"/>
      <c r="I430" s="3" t="n"/>
      <c r="J430" s="3" t="n"/>
      <c r="K430" s="3" t="n"/>
      <c r="L430" s="2" t="n"/>
      <c r="M430" s="2" t="n"/>
      <c r="N430" s="2" t="n"/>
      <c r="O430" s="2" t="n"/>
      <c r="P430" s="2" t="n"/>
    </row>
    <row r="431">
      <c r="A431" s="2" t="n"/>
      <c r="B431" s="3" t="n"/>
      <c r="C431" s="3" t="n"/>
      <c r="D431" s="19" t="n"/>
      <c r="E431" s="3" t="n"/>
      <c r="F431" s="3" t="n"/>
      <c r="G431" s="3" t="n"/>
      <c r="H431" s="3" t="n"/>
      <c r="I431" s="3" t="n"/>
      <c r="J431" s="3" t="n"/>
      <c r="K431" s="3" t="n"/>
      <c r="L431" s="2" t="n"/>
      <c r="M431" s="2" t="n"/>
      <c r="N431" s="2" t="n"/>
      <c r="O431" s="2" t="n"/>
      <c r="P431" s="2" t="n"/>
    </row>
    <row r="432">
      <c r="A432" s="2" t="n"/>
      <c r="B432" s="3" t="n"/>
      <c r="C432" s="3" t="n"/>
      <c r="D432" s="19" t="n"/>
      <c r="E432" s="3" t="n"/>
      <c r="F432" s="3" t="n"/>
      <c r="G432" s="3" t="n"/>
      <c r="H432" s="3" t="n"/>
      <c r="I432" s="3" t="n"/>
      <c r="J432" s="3" t="n"/>
      <c r="K432" s="3" t="n"/>
      <c r="L432" s="2" t="n"/>
      <c r="M432" s="2" t="n"/>
      <c r="N432" s="2" t="n"/>
      <c r="O432" s="2" t="n"/>
      <c r="P432" s="2" t="n"/>
    </row>
    <row r="433">
      <c r="A433" s="2" t="n"/>
      <c r="B433" s="3" t="n"/>
      <c r="C433" s="3" t="n"/>
      <c r="D433" s="19" t="n"/>
      <c r="E433" s="3" t="n"/>
      <c r="F433" s="3" t="n"/>
      <c r="G433" s="3" t="n"/>
      <c r="H433" s="3" t="n"/>
      <c r="I433" s="3" t="n"/>
      <c r="J433" s="3" t="n"/>
      <c r="K433" s="3" t="n"/>
      <c r="L433" s="2" t="n"/>
      <c r="M433" s="2" t="n"/>
      <c r="N433" s="2" t="n"/>
      <c r="O433" s="2" t="n"/>
      <c r="P433" s="2" t="n"/>
    </row>
    <row r="434">
      <c r="A434" s="2" t="n"/>
      <c r="B434" s="3" t="n"/>
      <c r="C434" s="3" t="n"/>
      <c r="D434" s="19" t="n"/>
      <c r="E434" s="3" t="n"/>
      <c r="F434" s="3" t="n"/>
      <c r="G434" s="3" t="n"/>
      <c r="H434" s="3" t="n"/>
      <c r="I434" s="3" t="n"/>
      <c r="J434" s="3" t="n"/>
      <c r="K434" s="17" t="n"/>
      <c r="L434" s="2" t="n"/>
      <c r="M434" s="2" t="n"/>
      <c r="N434" s="2" t="n"/>
      <c r="O434" s="2" t="n"/>
      <c r="P434" s="2" t="n"/>
    </row>
    <row r="435">
      <c r="A435" s="2" t="n"/>
      <c r="B435" s="3" t="n"/>
      <c r="C435" s="3" t="n"/>
      <c r="D435" s="19" t="n"/>
      <c r="E435" s="3" t="n"/>
      <c r="F435" s="3" t="n"/>
      <c r="G435" s="3" t="n"/>
      <c r="H435" s="3" t="n"/>
      <c r="I435" s="3" t="n"/>
      <c r="J435" s="3" t="n"/>
      <c r="K435" s="17" t="n"/>
      <c r="L435" s="2" t="n"/>
      <c r="M435" s="2" t="n"/>
      <c r="N435" s="2" t="n"/>
      <c r="O435" s="2" t="n"/>
      <c r="P435" s="2" t="n"/>
    </row>
    <row r="436">
      <c r="A436" s="2" t="n"/>
      <c r="B436" s="3" t="n"/>
      <c r="C436" s="3" t="n"/>
      <c r="D436" s="19" t="n"/>
      <c r="E436" s="3" t="n"/>
      <c r="F436" s="3" t="n"/>
      <c r="G436" s="3" t="n"/>
      <c r="H436" s="3" t="n"/>
      <c r="I436" s="3" t="n"/>
      <c r="J436" s="3" t="n"/>
      <c r="K436" s="17" t="n"/>
      <c r="L436" s="2" t="n"/>
      <c r="M436" s="2" t="n"/>
      <c r="N436" s="2" t="n"/>
      <c r="O436" s="2" t="n"/>
      <c r="P436" s="2" t="n"/>
    </row>
    <row r="437">
      <c r="A437" s="2" t="n"/>
      <c r="B437" s="3" t="n"/>
      <c r="C437" s="3" t="n"/>
      <c r="D437" s="19" t="n"/>
      <c r="E437" s="3" t="n"/>
      <c r="F437" s="3" t="n"/>
      <c r="G437" s="3" t="n"/>
      <c r="H437" s="3" t="n"/>
      <c r="I437" s="3" t="n"/>
      <c r="J437" s="3" t="n"/>
      <c r="K437" s="17" t="n"/>
      <c r="L437" s="2" t="n"/>
      <c r="M437" s="2" t="n"/>
      <c r="N437" s="2" t="n"/>
      <c r="O437" s="2" t="n"/>
      <c r="P437" s="2" t="n"/>
    </row>
    <row r="438">
      <c r="A438" s="2" t="n"/>
      <c r="B438" s="3" t="n"/>
      <c r="C438" s="3" t="n"/>
      <c r="D438" s="19" t="n"/>
      <c r="E438" s="3" t="n"/>
      <c r="F438" s="3" t="n"/>
      <c r="G438" s="3" t="n"/>
      <c r="H438" s="3" t="n"/>
      <c r="I438" s="3" t="n"/>
      <c r="J438" s="3" t="n"/>
      <c r="K438" s="17" t="n"/>
      <c r="L438" s="2" t="n"/>
      <c r="M438" s="2" t="n"/>
      <c r="N438" s="2" t="n"/>
      <c r="O438" s="2" t="n"/>
      <c r="P438" s="2" t="n"/>
    </row>
    <row r="439">
      <c r="A439" s="2" t="n"/>
      <c r="B439" s="3" t="n"/>
      <c r="C439" s="3" t="n"/>
      <c r="D439" s="19" t="n"/>
      <c r="E439" s="3" t="n"/>
      <c r="F439" s="3" t="n"/>
      <c r="G439" s="3" t="n"/>
      <c r="H439" s="3" t="n"/>
      <c r="I439" s="3" t="n"/>
      <c r="J439" s="3" t="n"/>
      <c r="K439" s="17" t="n"/>
      <c r="L439" s="2" t="n"/>
      <c r="M439" s="2" t="n"/>
      <c r="N439" s="2" t="n"/>
      <c r="O439" s="2" t="n"/>
      <c r="P439" s="2" t="n"/>
    </row>
    <row r="440">
      <c r="A440" s="2" t="n"/>
      <c r="B440" s="3" t="n"/>
      <c r="C440" s="3" t="n"/>
      <c r="D440" s="19" t="n"/>
      <c r="E440" s="3" t="n"/>
      <c r="F440" s="3" t="n"/>
      <c r="G440" s="3" t="n"/>
      <c r="H440" s="3" t="n"/>
      <c r="I440" s="3" t="n"/>
      <c r="J440" s="3" t="n"/>
      <c r="K440" s="17" t="n"/>
      <c r="L440" s="2" t="n"/>
      <c r="M440" s="2" t="n"/>
      <c r="N440" s="2" t="n"/>
      <c r="O440" s="2" t="n"/>
      <c r="P440" s="2" t="n"/>
    </row>
    <row r="441">
      <c r="A441" s="2" t="n"/>
      <c r="B441" s="3" t="n"/>
      <c r="C441" s="3" t="n"/>
      <c r="D441" s="19" t="n"/>
      <c r="E441" s="3" t="n"/>
      <c r="F441" s="3" t="n"/>
      <c r="G441" s="3" t="n"/>
      <c r="H441" s="3" t="n"/>
      <c r="I441" s="3" t="n"/>
      <c r="J441" s="3" t="n"/>
      <c r="K441" s="17" t="n"/>
      <c r="L441" s="2" t="n"/>
      <c r="M441" s="2" t="n"/>
      <c r="N441" s="2" t="n"/>
      <c r="O441" s="2" t="n"/>
      <c r="P441" s="2" t="n"/>
    </row>
    <row r="442">
      <c r="A442" s="2" t="n"/>
      <c r="B442" s="3" t="n"/>
      <c r="C442" s="3" t="n"/>
      <c r="D442" s="19" t="n"/>
      <c r="E442" s="3" t="n"/>
      <c r="F442" s="3" t="n"/>
      <c r="G442" s="3" t="n"/>
      <c r="H442" s="3" t="n"/>
      <c r="I442" s="3" t="n"/>
      <c r="J442" s="3" t="n"/>
      <c r="K442" s="17" t="n"/>
      <c r="L442" s="2" t="n"/>
      <c r="M442" s="2" t="n"/>
      <c r="N442" s="2" t="n"/>
      <c r="O442" s="2" t="n"/>
      <c r="P442" s="2" t="n"/>
    </row>
    <row r="443">
      <c r="A443" s="2" t="n"/>
      <c r="B443" s="3" t="n"/>
      <c r="C443" s="3" t="n"/>
      <c r="D443" s="19" t="n"/>
      <c r="E443" s="3" t="n"/>
      <c r="F443" s="3" t="n"/>
      <c r="G443" s="3" t="n"/>
      <c r="H443" s="3" t="n"/>
      <c r="I443" s="3" t="n"/>
      <c r="J443" s="3" t="n"/>
      <c r="K443" s="17" t="n"/>
      <c r="L443" s="2" t="n"/>
      <c r="M443" s="2" t="n"/>
      <c r="N443" s="2" t="n"/>
      <c r="O443" s="2" t="n"/>
      <c r="P443" s="2" t="n"/>
    </row>
    <row r="444">
      <c r="A444" s="2" t="n"/>
      <c r="B444" s="3" t="n"/>
      <c r="C444" s="3" t="n"/>
      <c r="D444" s="19" t="n"/>
      <c r="E444" s="3" t="n"/>
      <c r="F444" s="3" t="n"/>
      <c r="G444" s="3" t="n"/>
      <c r="H444" s="3" t="n"/>
      <c r="I444" s="3" t="n"/>
      <c r="J444" s="3" t="n"/>
      <c r="K444" s="17" t="n"/>
      <c r="L444" s="2" t="n"/>
      <c r="M444" s="2" t="n"/>
      <c r="N444" s="2" t="n"/>
      <c r="O444" s="2" t="n"/>
      <c r="P444" s="2" t="n"/>
    </row>
    <row r="445">
      <c r="A445" s="2" t="n"/>
      <c r="B445" s="3" t="n"/>
      <c r="C445" s="3" t="n"/>
      <c r="D445" s="19" t="n"/>
      <c r="E445" s="3" t="n"/>
      <c r="F445" s="3" t="n"/>
      <c r="G445" s="3" t="n"/>
      <c r="H445" s="3" t="n"/>
      <c r="I445" s="3" t="n"/>
      <c r="J445" s="3" t="n"/>
      <c r="K445" s="17" t="n"/>
      <c r="L445" s="2" t="n"/>
      <c r="M445" s="2" t="n"/>
      <c r="N445" s="2" t="n"/>
      <c r="O445" s="2" t="n"/>
      <c r="P445" s="2" t="n"/>
    </row>
    <row r="446">
      <c r="A446" s="2" t="n"/>
      <c r="B446" s="3" t="n"/>
      <c r="C446" s="3" t="n"/>
      <c r="D446" s="19" t="n"/>
      <c r="E446" s="3" t="n"/>
      <c r="F446" s="3" t="n"/>
      <c r="G446" s="3" t="n"/>
      <c r="H446" s="3" t="n"/>
      <c r="I446" s="3" t="n"/>
      <c r="J446" s="3" t="n"/>
      <c r="K446" s="17" t="n"/>
      <c r="L446" s="2" t="n"/>
      <c r="M446" s="2" t="n"/>
      <c r="N446" s="2" t="n"/>
      <c r="O446" s="2" t="n"/>
      <c r="P446" s="2" t="n"/>
    </row>
    <row r="447">
      <c r="A447" s="2" t="n"/>
      <c r="B447" s="3" t="n"/>
      <c r="C447" s="3" t="n"/>
      <c r="D447" s="19" t="n"/>
      <c r="E447" s="3" t="n"/>
      <c r="F447" s="3" t="n"/>
      <c r="G447" s="3" t="n"/>
      <c r="H447" s="3" t="n"/>
      <c r="I447" s="3" t="n"/>
      <c r="J447" s="3" t="n"/>
      <c r="K447" s="17" t="n"/>
      <c r="L447" s="2" t="n"/>
      <c r="M447" s="2" t="n"/>
      <c r="N447" s="2" t="n"/>
      <c r="O447" s="2" t="n"/>
      <c r="P447" s="2" t="n"/>
    </row>
    <row r="448">
      <c r="A448" s="2" t="n"/>
      <c r="B448" s="3" t="n"/>
      <c r="C448" s="3" t="n"/>
      <c r="D448" s="19" t="n"/>
      <c r="E448" s="3" t="n"/>
      <c r="F448" s="3" t="n"/>
      <c r="G448" s="3" t="n"/>
      <c r="H448" s="3" t="n"/>
      <c r="I448" s="3" t="n"/>
      <c r="J448" s="3" t="n"/>
      <c r="K448" s="17" t="n"/>
      <c r="L448" s="2" t="n"/>
      <c r="M448" s="2" t="n"/>
      <c r="N448" s="2" t="n"/>
      <c r="O448" s="2" t="n"/>
      <c r="P448" s="2" t="n"/>
    </row>
    <row r="449">
      <c r="A449" s="2" t="n"/>
      <c r="B449" s="3" t="n"/>
      <c r="C449" s="3" t="n"/>
      <c r="D449" s="19" t="n"/>
      <c r="E449" s="3" t="n"/>
      <c r="F449" s="3" t="n"/>
      <c r="G449" s="3" t="n"/>
      <c r="H449" s="3" t="n"/>
      <c r="I449" s="3" t="n"/>
      <c r="J449" s="3" t="n"/>
      <c r="K449" s="17" t="n"/>
      <c r="L449" s="2" t="n"/>
      <c r="M449" s="2" t="n"/>
      <c r="N449" s="2" t="n"/>
      <c r="O449" s="2" t="n"/>
      <c r="P449" s="2" t="n"/>
    </row>
    <row r="450">
      <c r="A450" s="2" t="n"/>
      <c r="B450" s="3" t="n"/>
      <c r="C450" s="3" t="n"/>
      <c r="D450" s="19" t="n"/>
      <c r="E450" s="3" t="n"/>
      <c r="F450" s="3" t="n"/>
      <c r="G450" s="3" t="n"/>
      <c r="H450" s="3" t="n"/>
      <c r="I450" s="3" t="n"/>
      <c r="J450" s="3" t="n"/>
      <c r="K450" s="17" t="n"/>
      <c r="L450" s="2" t="n"/>
      <c r="M450" s="2" t="n"/>
      <c r="N450" s="2" t="n"/>
      <c r="O450" s="2" t="n"/>
      <c r="P450" s="2" t="n"/>
    </row>
    <row r="451">
      <c r="A451" s="2" t="n"/>
      <c r="B451" s="3" t="n"/>
      <c r="C451" s="3" t="n"/>
      <c r="D451" s="19" t="n"/>
      <c r="E451" s="3" t="n"/>
      <c r="F451" s="3" t="n"/>
      <c r="G451" s="3" t="n"/>
      <c r="H451" s="3" t="n"/>
      <c r="I451" s="3" t="n"/>
      <c r="J451" s="3" t="n"/>
      <c r="K451" s="17" t="n"/>
      <c r="L451" s="2" t="n"/>
      <c r="M451" s="2" t="n"/>
      <c r="N451" s="2" t="n"/>
      <c r="O451" s="2" t="n"/>
      <c r="P451" s="2" t="n"/>
    </row>
    <row r="452">
      <c r="A452" s="2" t="n"/>
      <c r="B452" s="3" t="n"/>
      <c r="C452" s="3" t="n"/>
      <c r="D452" s="19" t="n"/>
      <c r="E452" s="3" t="n"/>
      <c r="F452" s="3" t="n"/>
      <c r="G452" s="3" t="n"/>
      <c r="H452" s="3" t="n"/>
      <c r="I452" s="3" t="n"/>
      <c r="J452" s="3" t="n"/>
      <c r="K452" s="17" t="n"/>
      <c r="L452" s="2" t="n"/>
      <c r="M452" s="2" t="n"/>
      <c r="N452" s="2" t="n"/>
      <c r="O452" s="2" t="n"/>
      <c r="P452" s="2" t="n"/>
    </row>
    <row r="453">
      <c r="A453" s="2" t="n"/>
      <c r="B453" s="3" t="n"/>
      <c r="C453" s="3" t="n"/>
      <c r="D453" s="19" t="n"/>
      <c r="E453" s="3" t="n"/>
      <c r="F453" s="3" t="n"/>
      <c r="G453" s="3" t="n"/>
      <c r="H453" s="3" t="n"/>
      <c r="I453" s="3" t="n"/>
      <c r="J453" s="3" t="n"/>
      <c r="K453" s="17" t="n"/>
      <c r="L453" s="2" t="n"/>
      <c r="M453" s="2" t="n"/>
      <c r="N453" s="2" t="n"/>
      <c r="O453" s="2" t="n"/>
      <c r="P453" s="2" t="n"/>
    </row>
    <row r="454">
      <c r="A454" s="2" t="n"/>
      <c r="B454" s="3" t="n"/>
      <c r="C454" s="3" t="n"/>
      <c r="D454" s="19" t="n"/>
      <c r="E454" s="3" t="n"/>
      <c r="F454" s="3" t="n"/>
      <c r="G454" s="3" t="n"/>
      <c r="H454" s="3" t="n"/>
      <c r="I454" s="3" t="n"/>
      <c r="J454" s="3" t="n"/>
      <c r="K454" s="17" t="n"/>
      <c r="L454" s="2" t="n"/>
      <c r="M454" s="2" t="n"/>
      <c r="N454" s="2" t="n"/>
      <c r="O454" s="2" t="n"/>
      <c r="P454" s="2" t="n"/>
    </row>
    <row r="455">
      <c r="A455" s="2" t="n"/>
      <c r="B455" s="3" t="n"/>
      <c r="C455" s="3" t="n"/>
      <c r="D455" s="19" t="n"/>
      <c r="E455" s="3" t="n"/>
      <c r="F455" s="3" t="n"/>
      <c r="G455" s="3" t="n"/>
      <c r="H455" s="3" t="n"/>
      <c r="I455" s="3" t="n"/>
      <c r="J455" s="3" t="n"/>
      <c r="K455" s="17" t="n"/>
      <c r="L455" s="2" t="n"/>
      <c r="M455" s="2" t="n"/>
      <c r="N455" s="2" t="n"/>
      <c r="O455" s="2" t="n"/>
      <c r="P455" s="2" t="n"/>
    </row>
    <row r="456">
      <c r="A456" s="2" t="n"/>
      <c r="B456" s="3" t="n"/>
      <c r="C456" s="3" t="n"/>
      <c r="D456" s="19" t="n"/>
      <c r="E456" s="3" t="n"/>
      <c r="F456" s="3" t="n"/>
      <c r="G456" s="3" t="n"/>
      <c r="H456" s="3" t="n"/>
      <c r="I456" s="3" t="n"/>
      <c r="J456" s="17" t="n"/>
      <c r="K456" s="17" t="n"/>
      <c r="L456" s="2" t="n"/>
      <c r="M456" s="2" t="n"/>
      <c r="N456" s="2" t="n"/>
      <c r="O456" s="2" t="n"/>
      <c r="P456" s="2" t="n"/>
    </row>
    <row r="457">
      <c r="A457" s="2" t="n"/>
      <c r="B457" s="3" t="n"/>
      <c r="C457" s="3" t="n"/>
      <c r="D457" s="19" t="n"/>
      <c r="E457" s="3" t="n"/>
      <c r="F457" s="3" t="n"/>
      <c r="G457" s="3" t="n"/>
      <c r="H457" s="3" t="n"/>
      <c r="I457" s="3" t="n"/>
      <c r="J457" s="3" t="n"/>
      <c r="K457" s="17" t="n"/>
      <c r="L457" s="2" t="n"/>
      <c r="M457" s="2" t="n"/>
      <c r="N457" s="2" t="n"/>
      <c r="O457" s="2" t="n"/>
      <c r="P457" s="2" t="n"/>
    </row>
    <row r="458">
      <c r="A458" s="2" t="n"/>
      <c r="B458" s="3" t="n"/>
      <c r="C458" s="3" t="n"/>
      <c r="D458" s="19" t="n"/>
      <c r="E458" s="3" t="n"/>
      <c r="F458" s="3" t="n"/>
      <c r="G458" s="3" t="n"/>
      <c r="H458" s="3" t="n"/>
      <c r="I458" s="3" t="n"/>
      <c r="J458" s="3" t="n"/>
      <c r="K458" s="17" t="n"/>
      <c r="L458" s="2" t="n"/>
      <c r="M458" s="2" t="n"/>
      <c r="N458" s="2" t="n"/>
      <c r="O458" s="2" t="n"/>
      <c r="P458" s="2" t="n"/>
    </row>
    <row r="459">
      <c r="A459" s="2" t="n"/>
      <c r="B459" s="3" t="n"/>
      <c r="C459" s="3" t="n"/>
      <c r="D459" s="19" t="n"/>
      <c r="E459" s="3" t="n"/>
      <c r="F459" s="3" t="n"/>
      <c r="G459" s="3" t="n"/>
      <c r="H459" s="3" t="n"/>
      <c r="I459" s="3" t="n"/>
      <c r="J459" s="3" t="n"/>
      <c r="K459" s="17" t="n"/>
      <c r="L459" s="2" t="n"/>
      <c r="M459" s="2" t="n"/>
      <c r="N459" s="2" t="n"/>
      <c r="O459" s="2" t="n"/>
      <c r="P459" s="2" t="n"/>
    </row>
    <row r="460">
      <c r="A460" s="2" t="n"/>
      <c r="B460" s="3" t="n"/>
      <c r="C460" s="3" t="n"/>
      <c r="D460" s="19" t="n"/>
      <c r="E460" s="3" t="n"/>
      <c r="F460" s="3" t="n"/>
      <c r="G460" s="3" t="n"/>
      <c r="H460" s="3" t="n"/>
      <c r="I460" s="3" t="n"/>
      <c r="J460" s="3" t="n"/>
      <c r="K460" s="17" t="n"/>
      <c r="L460" s="2" t="n"/>
      <c r="M460" s="2" t="n"/>
      <c r="N460" s="2" t="n"/>
      <c r="O460" s="2" t="n"/>
      <c r="P460" s="2" t="n"/>
    </row>
    <row r="461">
      <c r="A461" s="2" t="n"/>
      <c r="B461" s="3" t="n"/>
      <c r="C461" s="3" t="n"/>
      <c r="D461" s="19" t="n"/>
      <c r="E461" s="3" t="n"/>
      <c r="F461" s="3" t="n"/>
      <c r="G461" s="3" t="n"/>
      <c r="H461" s="3" t="n"/>
      <c r="I461" s="3" t="n"/>
      <c r="J461" s="3" t="n"/>
      <c r="K461" s="17" t="n"/>
      <c r="L461" s="2" t="n"/>
      <c r="M461" s="2" t="n"/>
      <c r="N461" s="2" t="n"/>
      <c r="O461" s="2" t="n"/>
      <c r="P461" s="2" t="n"/>
    </row>
    <row r="462">
      <c r="A462" s="2" t="n"/>
      <c r="B462" s="3" t="n"/>
      <c r="C462" s="3" t="n"/>
      <c r="D462" s="19" t="n"/>
      <c r="E462" s="3" t="n"/>
      <c r="F462" s="3" t="n"/>
      <c r="G462" s="3" t="n"/>
      <c r="H462" s="3" t="n"/>
      <c r="I462" s="3" t="n"/>
      <c r="J462" s="3" t="n"/>
      <c r="K462" s="17" t="n"/>
      <c r="L462" s="2" t="n"/>
      <c r="M462" s="2" t="n"/>
      <c r="N462" s="2" t="n"/>
      <c r="O462" s="2" t="n"/>
      <c r="P462" s="2" t="n"/>
    </row>
    <row r="463">
      <c r="A463" s="2" t="n"/>
      <c r="B463" s="3" t="n"/>
      <c r="C463" s="3" t="n"/>
      <c r="D463" s="19" t="n"/>
      <c r="E463" s="3" t="n"/>
      <c r="F463" s="3" t="n"/>
      <c r="G463" s="3" t="n"/>
      <c r="H463" s="3" t="n"/>
      <c r="I463" s="3" t="n"/>
      <c r="J463" s="3" t="n"/>
      <c r="K463" s="17" t="n"/>
      <c r="L463" s="2" t="n"/>
      <c r="M463" s="2" t="n"/>
      <c r="N463" s="2" t="n"/>
      <c r="O463" s="2" t="n"/>
      <c r="P463" s="2" t="n"/>
    </row>
    <row r="464">
      <c r="A464" s="2" t="n"/>
      <c r="B464" s="3" t="n"/>
      <c r="C464" s="3" t="n"/>
      <c r="D464" s="19" t="n"/>
      <c r="E464" s="3" t="n"/>
      <c r="F464" s="3" t="n"/>
      <c r="G464" s="3" t="n"/>
      <c r="H464" s="3" t="n"/>
      <c r="I464" s="3" t="n"/>
      <c r="J464" s="3" t="n"/>
      <c r="K464" s="17" t="n"/>
      <c r="L464" s="2" t="n"/>
      <c r="M464" s="2" t="n"/>
      <c r="N464" s="2" t="n"/>
      <c r="O464" s="2" t="n"/>
      <c r="P464" s="2" t="n"/>
    </row>
    <row r="465">
      <c r="A465" s="2" t="n"/>
      <c r="B465" s="3" t="n"/>
      <c r="C465" s="3" t="n"/>
      <c r="D465" s="19" t="n"/>
      <c r="E465" s="3" t="n"/>
      <c r="F465" s="3" t="n"/>
      <c r="G465" s="3" t="n"/>
      <c r="H465" s="3" t="n"/>
      <c r="I465" s="3" t="n"/>
      <c r="J465" s="3" t="n"/>
      <c r="K465" s="17" t="n"/>
      <c r="L465" s="2" t="n"/>
      <c r="M465" s="2" t="n"/>
      <c r="N465" s="2" t="n"/>
      <c r="O465" s="2" t="n"/>
      <c r="P465" s="2" t="n"/>
    </row>
    <row r="466">
      <c r="A466" s="2" t="n"/>
      <c r="B466" s="3" t="n"/>
      <c r="C466" s="3" t="n"/>
      <c r="D466" s="19" t="n"/>
      <c r="E466" s="3" t="n"/>
      <c r="F466" s="3" t="n"/>
      <c r="G466" s="3" t="n"/>
      <c r="H466" s="3" t="n"/>
      <c r="I466" s="3" t="n"/>
      <c r="J466" s="3" t="n"/>
      <c r="K466" s="17" t="n"/>
      <c r="L466" s="2" t="n"/>
      <c r="M466" s="2" t="n"/>
      <c r="N466" s="2" t="n"/>
      <c r="O466" s="2" t="n"/>
      <c r="P466" s="2" t="n"/>
    </row>
    <row r="467">
      <c r="A467" s="2" t="n"/>
      <c r="B467" s="3" t="n"/>
      <c r="C467" s="3" t="n"/>
      <c r="D467" s="19" t="n"/>
      <c r="E467" s="3" t="n"/>
      <c r="F467" s="3" t="n"/>
      <c r="G467" s="3" t="n"/>
      <c r="H467" s="3" t="n"/>
      <c r="I467" s="3" t="n"/>
      <c r="J467" s="3" t="n"/>
      <c r="K467" s="17" t="n"/>
      <c r="L467" s="2" t="n"/>
      <c r="M467" s="2" t="n"/>
      <c r="N467" s="2" t="n"/>
      <c r="O467" s="2" t="n"/>
      <c r="P467" s="2" t="n"/>
    </row>
    <row r="468">
      <c r="A468" s="2" t="n"/>
      <c r="B468" s="3" t="n"/>
      <c r="C468" s="3" t="n"/>
      <c r="D468" s="19" t="n"/>
      <c r="E468" s="3" t="n"/>
      <c r="F468" s="3" t="n"/>
      <c r="G468" s="3" t="n"/>
      <c r="H468" s="3" t="n"/>
      <c r="I468" s="3" t="n"/>
      <c r="J468" s="3" t="n"/>
      <c r="K468" s="17" t="n"/>
      <c r="L468" s="2" t="n"/>
      <c r="M468" s="2" t="n"/>
      <c r="N468" s="2" t="n"/>
      <c r="O468" s="2" t="n"/>
      <c r="P468" s="2" t="n"/>
    </row>
    <row r="469">
      <c r="A469" s="2" t="n"/>
      <c r="B469" s="3" t="n"/>
      <c r="C469" s="3" t="n"/>
      <c r="D469" s="19" t="n"/>
      <c r="E469" s="3" t="n"/>
      <c r="F469" s="3" t="n"/>
      <c r="G469" s="3" t="n"/>
      <c r="H469" s="3" t="n"/>
      <c r="I469" s="3" t="n"/>
      <c r="J469" s="3" t="n"/>
      <c r="K469" s="17" t="n"/>
      <c r="L469" s="2" t="n"/>
      <c r="M469" s="2" t="n"/>
      <c r="N469" s="2" t="n"/>
      <c r="O469" s="2" t="n"/>
      <c r="P469" s="2" t="n"/>
    </row>
    <row r="470">
      <c r="A470" s="2" t="n"/>
      <c r="B470" s="3" t="n"/>
      <c r="C470" s="3" t="n"/>
      <c r="D470" s="19" t="n"/>
      <c r="E470" s="3" t="n"/>
      <c r="F470" s="3" t="n"/>
      <c r="G470" s="3" t="n"/>
      <c r="H470" s="3" t="n"/>
      <c r="I470" s="3" t="n"/>
      <c r="J470" s="3" t="n"/>
      <c r="K470" s="17" t="n"/>
      <c r="L470" s="2" t="n"/>
      <c r="M470" s="2" t="n"/>
      <c r="N470" s="2" t="n"/>
      <c r="O470" s="2" t="n"/>
      <c r="P470" s="2" t="n"/>
    </row>
    <row r="471">
      <c r="A471" s="2" t="n"/>
      <c r="B471" s="3" t="n"/>
      <c r="C471" s="3" t="n"/>
      <c r="D471" s="19" t="n"/>
      <c r="E471" s="3" t="n"/>
      <c r="F471" s="3" t="n"/>
      <c r="G471" s="3" t="n"/>
      <c r="H471" s="3" t="n"/>
      <c r="I471" s="3" t="n"/>
      <c r="J471" s="3" t="n"/>
      <c r="K471" s="17" t="n"/>
      <c r="L471" s="2" t="n"/>
      <c r="M471" s="2" t="n"/>
      <c r="N471" s="2" t="n"/>
      <c r="O471" s="2" t="n"/>
      <c r="P471" s="2" t="n"/>
    </row>
    <row r="472">
      <c r="A472" s="2" t="n"/>
      <c r="B472" s="3" t="n"/>
      <c r="C472" s="3" t="n"/>
      <c r="D472" s="19" t="n"/>
      <c r="E472" s="3" t="n"/>
      <c r="F472" s="3" t="n"/>
      <c r="G472" s="3" t="n"/>
      <c r="H472" s="3" t="n"/>
      <c r="I472" s="3" t="n"/>
      <c r="J472" s="3" t="n"/>
      <c r="K472" s="17" t="n"/>
      <c r="L472" s="2" t="n"/>
      <c r="M472" s="2" t="n"/>
      <c r="N472" s="2" t="n"/>
      <c r="O472" s="2" t="n"/>
      <c r="P472" s="2" t="n"/>
    </row>
    <row r="473">
      <c r="A473" s="2" t="n"/>
      <c r="B473" s="3" t="n"/>
      <c r="C473" s="3" t="n"/>
      <c r="D473" s="19" t="n"/>
      <c r="E473" s="3" t="n"/>
      <c r="F473" s="3" t="n"/>
      <c r="G473" s="3" t="n"/>
      <c r="H473" s="3" t="n"/>
      <c r="I473" s="3" t="n"/>
      <c r="J473" s="17" t="n"/>
      <c r="K473" s="17" t="n"/>
      <c r="L473" s="2" t="n"/>
      <c r="M473" s="2" t="n"/>
      <c r="N473" s="2" t="n"/>
      <c r="O473" s="2" t="n"/>
      <c r="P473" s="2" t="n"/>
    </row>
    <row r="474">
      <c r="A474" s="2" t="n"/>
      <c r="B474" s="3" t="n"/>
      <c r="C474" s="3" t="n"/>
      <c r="D474" s="19" t="n"/>
      <c r="E474" s="3" t="n"/>
      <c r="F474" s="3" t="n"/>
      <c r="G474" s="3" t="n"/>
      <c r="H474" s="3" t="n"/>
      <c r="I474" s="3" t="n"/>
      <c r="J474" s="3" t="n"/>
      <c r="K474" s="17" t="n"/>
      <c r="L474" s="2" t="n"/>
      <c r="M474" s="2" t="n"/>
      <c r="N474" s="2" t="n"/>
      <c r="O474" s="2" t="n"/>
      <c r="P474" s="2" t="n"/>
    </row>
    <row r="475">
      <c r="A475" s="2" t="n"/>
      <c r="B475" s="3" t="n"/>
      <c r="C475" s="3" t="n"/>
      <c r="D475" s="19" t="n"/>
      <c r="E475" s="3" t="n"/>
      <c r="F475" s="3" t="n"/>
      <c r="G475" s="3" t="n"/>
      <c r="H475" s="3" t="n"/>
      <c r="I475" s="3" t="n"/>
      <c r="J475" s="3" t="n"/>
      <c r="K475" s="17" t="n"/>
      <c r="L475" s="2" t="n"/>
      <c r="M475" s="2" t="n"/>
      <c r="N475" s="2" t="n"/>
      <c r="O475" s="2" t="n"/>
      <c r="P475" s="2" t="n"/>
    </row>
    <row r="476">
      <c r="A476" s="2" t="n"/>
      <c r="B476" s="3" t="n"/>
      <c r="C476" s="3" t="n"/>
      <c r="D476" s="19" t="n"/>
      <c r="E476" s="3" t="n"/>
      <c r="F476" s="3" t="n"/>
      <c r="G476" s="3" t="n"/>
      <c r="H476" s="3" t="n"/>
      <c r="I476" s="3" t="n"/>
      <c r="J476" s="3" t="n"/>
      <c r="K476" s="17" t="n"/>
      <c r="L476" s="2" t="n"/>
      <c r="M476" s="2" t="n"/>
      <c r="N476" s="2" t="n"/>
      <c r="O476" s="2" t="n"/>
      <c r="P476" s="2" t="n"/>
    </row>
    <row r="477">
      <c r="A477" s="2" t="n"/>
      <c r="B477" s="3" t="n"/>
      <c r="C477" s="3" t="n"/>
      <c r="D477" s="19" t="n"/>
      <c r="E477" s="3" t="n"/>
      <c r="F477" s="3" t="n"/>
      <c r="G477" s="3" t="n"/>
      <c r="H477" s="3" t="n"/>
      <c r="I477" s="3" t="n"/>
      <c r="J477" s="3" t="n"/>
      <c r="K477" s="17" t="n"/>
      <c r="L477" s="2" t="n"/>
      <c r="M477" s="2" t="n"/>
      <c r="N477" s="2" t="n"/>
      <c r="O477" s="2" t="n"/>
      <c r="P477" s="2" t="n"/>
    </row>
    <row r="478">
      <c r="A478" s="2" t="n"/>
      <c r="B478" s="3" t="n"/>
      <c r="C478" s="3" t="n"/>
      <c r="D478" s="19" t="n"/>
      <c r="E478" s="3" t="n"/>
      <c r="F478" s="3" t="n"/>
      <c r="G478" s="3" t="n"/>
      <c r="H478" s="3" t="n"/>
      <c r="I478" s="3" t="n"/>
      <c r="J478" s="3" t="n"/>
      <c r="K478" s="17" t="n"/>
      <c r="L478" s="2" t="n"/>
      <c r="M478" s="2" t="n"/>
      <c r="N478" s="2" t="n"/>
      <c r="O478" s="2" t="n"/>
      <c r="P478" s="2" t="n"/>
    </row>
    <row r="479">
      <c r="A479" s="2" t="n"/>
      <c r="B479" s="3" t="n"/>
      <c r="C479" s="3" t="n"/>
      <c r="D479" s="19" t="n"/>
      <c r="E479" s="3" t="n"/>
      <c r="F479" s="3" t="n"/>
      <c r="G479" s="3" t="n"/>
      <c r="H479" s="3" t="n"/>
      <c r="I479" s="3" t="n"/>
      <c r="J479" s="3" t="n"/>
      <c r="K479" s="17" t="n"/>
      <c r="L479" s="2" t="n"/>
      <c r="M479" s="2" t="n"/>
      <c r="N479" s="2" t="n"/>
      <c r="O479" s="2" t="n"/>
      <c r="P479" s="2" t="n"/>
    </row>
    <row r="480">
      <c r="A480" s="2" t="n"/>
      <c r="B480" s="3" t="n"/>
      <c r="C480" s="3" t="n"/>
      <c r="D480" s="19" t="n"/>
      <c r="E480" s="3" t="n"/>
      <c r="F480" s="3" t="n"/>
      <c r="G480" s="3" t="n"/>
      <c r="H480" s="3" t="n"/>
      <c r="I480" s="3" t="n"/>
      <c r="J480" s="3" t="n"/>
      <c r="K480" s="17" t="n"/>
      <c r="L480" s="2" t="n"/>
      <c r="M480" s="2" t="n"/>
      <c r="N480" s="2" t="n"/>
      <c r="O480" s="2" t="n"/>
      <c r="P480" s="2" t="n"/>
    </row>
    <row r="481">
      <c r="A481" s="2" t="n"/>
      <c r="B481" s="3" t="n"/>
      <c r="C481" s="3" t="n"/>
      <c r="D481" s="19" t="n"/>
      <c r="E481" s="3" t="n"/>
      <c r="F481" s="3" t="n"/>
      <c r="G481" s="3" t="n"/>
      <c r="H481" s="3" t="n"/>
      <c r="I481" s="3" t="n"/>
      <c r="J481" s="3" t="n"/>
      <c r="K481" s="17" t="n"/>
      <c r="L481" s="2" t="n"/>
      <c r="M481" s="2" t="n"/>
      <c r="N481" s="2" t="n"/>
      <c r="O481" s="2" t="n"/>
      <c r="P481" s="2" t="n"/>
    </row>
    <row r="482">
      <c r="A482" s="2" t="n"/>
      <c r="B482" s="3" t="n"/>
      <c r="C482" s="3" t="n"/>
      <c r="D482" s="19" t="n"/>
      <c r="E482" s="3" t="n"/>
      <c r="F482" s="3" t="n"/>
      <c r="G482" s="3" t="n"/>
      <c r="H482" s="3" t="n"/>
      <c r="I482" s="3" t="n"/>
      <c r="J482" s="3" t="n"/>
      <c r="K482" s="17" t="n"/>
      <c r="L482" s="2" t="n"/>
      <c r="M482" s="2" t="n"/>
      <c r="N482" s="2" t="n"/>
      <c r="O482" s="2" t="n"/>
      <c r="P482" s="2" t="n"/>
    </row>
    <row r="483">
      <c r="A483" s="2" t="n"/>
      <c r="B483" s="3" t="n"/>
      <c r="C483" s="3" t="n"/>
      <c r="D483" s="19" t="n"/>
      <c r="E483" s="3" t="n"/>
      <c r="F483" s="3" t="n"/>
      <c r="G483" s="3" t="n"/>
      <c r="H483" s="3" t="n"/>
      <c r="I483" s="3" t="n"/>
      <c r="J483" s="3" t="n"/>
      <c r="K483" s="17" t="n"/>
      <c r="L483" s="2" t="n"/>
      <c r="M483" s="2" t="n"/>
      <c r="N483" s="2" t="n"/>
      <c r="O483" s="2" t="n"/>
      <c r="P483" s="2" t="n"/>
    </row>
    <row r="484">
      <c r="A484" s="2" t="n"/>
      <c r="B484" s="3" t="n"/>
      <c r="C484" s="3" t="n"/>
      <c r="D484" s="19" t="n"/>
      <c r="E484" s="3" t="n"/>
      <c r="F484" s="3" t="n"/>
      <c r="G484" s="3" t="n"/>
      <c r="H484" s="3" t="n"/>
      <c r="I484" s="3" t="n"/>
      <c r="J484" s="3" t="n"/>
      <c r="K484" s="17" t="n"/>
      <c r="L484" s="2" t="n"/>
      <c r="M484" s="2" t="n"/>
      <c r="N484" s="2" t="n"/>
      <c r="O484" s="2" t="n"/>
      <c r="P484" s="2" t="n"/>
    </row>
    <row r="485">
      <c r="A485" s="2" t="n"/>
      <c r="B485" s="3" t="n"/>
      <c r="C485" s="3" t="n"/>
      <c r="D485" s="19" t="n"/>
      <c r="E485" s="3" t="n"/>
      <c r="F485" s="3" t="n"/>
      <c r="G485" s="3" t="n"/>
      <c r="H485" s="3" t="n"/>
      <c r="I485" s="3" t="n"/>
      <c r="J485" s="3" t="n"/>
      <c r="K485" s="17" t="n"/>
      <c r="L485" s="2" t="n"/>
      <c r="M485" s="2" t="n"/>
      <c r="N485" s="2" t="n"/>
      <c r="O485" s="2" t="n"/>
      <c r="P485" s="2" t="n"/>
    </row>
    <row r="486">
      <c r="A486" s="2" t="n"/>
      <c r="B486" s="3" t="n"/>
      <c r="C486" s="3" t="n"/>
      <c r="D486" s="19" t="n"/>
      <c r="E486" s="3" t="n"/>
      <c r="F486" s="3" t="n"/>
      <c r="G486" s="3" t="n"/>
      <c r="H486" s="3" t="n"/>
      <c r="I486" s="3" t="n"/>
      <c r="J486" s="3" t="n"/>
      <c r="K486" s="17" t="n"/>
      <c r="L486" s="2" t="n"/>
      <c r="M486" s="2" t="n"/>
      <c r="N486" s="2" t="n"/>
      <c r="O486" s="2" t="n"/>
      <c r="P486" s="2" t="n"/>
    </row>
    <row r="487">
      <c r="A487" s="2" t="n"/>
      <c r="B487" s="3" t="n"/>
      <c r="C487" s="3" t="n"/>
      <c r="D487" s="19" t="n"/>
      <c r="E487" s="3" t="n"/>
      <c r="F487" s="3" t="n"/>
      <c r="G487" s="3" t="n"/>
      <c r="H487" s="3" t="n"/>
      <c r="I487" s="3" t="n"/>
      <c r="J487" s="3" t="n"/>
      <c r="K487" s="17" t="n"/>
      <c r="L487" s="2" t="n"/>
      <c r="M487" s="2" t="n"/>
      <c r="N487" s="2" t="n"/>
      <c r="O487" s="2" t="n"/>
      <c r="P487" s="2" t="n"/>
    </row>
    <row r="488">
      <c r="A488" s="2" t="n"/>
      <c r="B488" s="3" t="n"/>
      <c r="C488" s="3" t="n"/>
      <c r="D488" s="19" t="n"/>
      <c r="E488" s="3" t="n"/>
      <c r="F488" s="3" t="n"/>
      <c r="G488" s="3" t="n"/>
      <c r="H488" s="3" t="n"/>
      <c r="I488" s="3" t="n"/>
      <c r="J488" s="3" t="n"/>
      <c r="K488" s="17" t="n"/>
      <c r="L488" s="2" t="n"/>
      <c r="M488" s="2" t="n"/>
      <c r="N488" s="2" t="n"/>
      <c r="O488" s="2" t="n"/>
      <c r="P488" s="2" t="n"/>
    </row>
    <row r="489">
      <c r="A489" s="2" t="n"/>
      <c r="B489" s="3" t="n"/>
      <c r="C489" s="3" t="n"/>
      <c r="D489" s="19" t="n"/>
      <c r="E489" s="3" t="n"/>
      <c r="F489" s="3" t="n"/>
      <c r="G489" s="3" t="n"/>
      <c r="H489" s="3" t="n"/>
      <c r="I489" s="3" t="n"/>
      <c r="J489" s="3" t="n"/>
      <c r="K489" s="17" t="n"/>
      <c r="L489" s="2" t="n"/>
      <c r="M489" s="2" t="n"/>
      <c r="N489" s="2" t="n"/>
      <c r="O489" s="2" t="n"/>
      <c r="P489" s="2" t="n"/>
    </row>
    <row r="490">
      <c r="A490" s="2" t="n"/>
      <c r="B490" s="3" t="n"/>
      <c r="C490" s="3" t="n"/>
      <c r="D490" s="19" t="n"/>
      <c r="E490" s="3" t="n"/>
      <c r="F490" s="3" t="n"/>
      <c r="G490" s="3" t="n"/>
      <c r="H490" s="3" t="n"/>
      <c r="I490" s="3" t="n"/>
      <c r="J490" s="3" t="n"/>
      <c r="K490" s="17" t="n"/>
      <c r="L490" s="2" t="n"/>
      <c r="M490" s="2" t="n"/>
      <c r="N490" s="2" t="n"/>
      <c r="O490" s="2" t="n"/>
      <c r="P490" s="2" t="n"/>
    </row>
    <row r="491">
      <c r="A491" s="2" t="n"/>
      <c r="B491" s="3" t="n"/>
      <c r="C491" s="3" t="n"/>
      <c r="D491" s="19" t="n"/>
      <c r="E491" s="3" t="n"/>
      <c r="F491" s="3" t="n"/>
      <c r="G491" s="3" t="n"/>
      <c r="H491" s="3" t="n"/>
      <c r="I491" s="3" t="n"/>
      <c r="J491" s="3" t="n"/>
      <c r="K491" s="17" t="n"/>
      <c r="L491" s="2" t="n"/>
      <c r="M491" s="2" t="n"/>
      <c r="N491" s="2" t="n"/>
      <c r="O491" s="2" t="n"/>
      <c r="P491" s="2" t="n"/>
    </row>
    <row r="492">
      <c r="A492" s="2" t="n"/>
      <c r="B492" s="3" t="n"/>
      <c r="C492" s="3" t="n"/>
      <c r="D492" s="19" t="n"/>
      <c r="E492" s="3" t="n"/>
      <c r="F492" s="3" t="n"/>
      <c r="G492" s="3" t="n"/>
      <c r="H492" s="3" t="n"/>
      <c r="I492" s="3" t="n"/>
      <c r="J492" s="3" t="n"/>
      <c r="K492" s="17" t="n"/>
      <c r="L492" s="2" t="n"/>
      <c r="M492" s="2" t="n"/>
      <c r="N492" s="2" t="n"/>
      <c r="O492" s="2" t="n"/>
      <c r="P492" s="2" t="n"/>
    </row>
    <row r="493">
      <c r="A493" s="2" t="n"/>
      <c r="B493" s="3" t="n"/>
      <c r="C493" s="3" t="n"/>
      <c r="D493" s="19" t="n"/>
      <c r="E493" s="3" t="n"/>
      <c r="F493" s="3" t="n"/>
      <c r="G493" s="3" t="n"/>
      <c r="H493" s="3" t="n"/>
      <c r="I493" s="3" t="n"/>
      <c r="J493" s="3" t="n"/>
      <c r="K493" s="17" t="n"/>
      <c r="L493" s="2" t="n"/>
      <c r="M493" s="2" t="n"/>
      <c r="N493" s="2" t="n"/>
      <c r="O493" s="2" t="n"/>
      <c r="P493" s="2" t="n"/>
    </row>
    <row r="494">
      <c r="A494" s="2" t="n"/>
      <c r="B494" s="3" t="n"/>
      <c r="C494" s="3" t="n"/>
      <c r="D494" s="19" t="n"/>
      <c r="E494" s="3" t="n"/>
      <c r="F494" s="3" t="n"/>
      <c r="G494" s="3" t="n"/>
      <c r="H494" s="3" t="n"/>
      <c r="I494" s="3" t="n"/>
      <c r="J494" s="3" t="n"/>
      <c r="K494" s="17" t="n"/>
      <c r="L494" s="2" t="n"/>
      <c r="M494" s="2" t="n"/>
      <c r="N494" s="2" t="n"/>
      <c r="O494" s="2" t="n"/>
      <c r="P494" s="2" t="n"/>
    </row>
    <row r="495">
      <c r="A495" s="2" t="n"/>
      <c r="B495" s="3" t="n"/>
      <c r="C495" s="3" t="n"/>
      <c r="D495" s="19" t="n"/>
      <c r="E495" s="3" t="n"/>
      <c r="F495" s="3" t="n"/>
      <c r="G495" s="3" t="n"/>
      <c r="H495" s="3" t="n"/>
      <c r="I495" s="3" t="n"/>
      <c r="J495" s="3" t="n"/>
      <c r="K495" s="17" t="n"/>
      <c r="L495" s="2" t="n"/>
      <c r="M495" s="2" t="n"/>
      <c r="N495" s="2" t="n"/>
      <c r="O495" s="2" t="n"/>
      <c r="P495" s="2" t="n"/>
    </row>
    <row r="496">
      <c r="A496" s="2" t="n"/>
      <c r="B496" s="3" t="n"/>
      <c r="C496" s="3" t="n"/>
      <c r="D496" s="19" t="n"/>
      <c r="E496" s="3" t="n"/>
      <c r="F496" s="3" t="n"/>
      <c r="G496" s="3" t="n"/>
      <c r="H496" s="3" t="n"/>
      <c r="I496" s="3" t="n"/>
      <c r="J496" s="3" t="n"/>
      <c r="K496" s="17" t="n"/>
      <c r="L496" s="2" t="n"/>
      <c r="M496" s="2" t="n"/>
      <c r="N496" s="2" t="n"/>
      <c r="O496" s="2" t="n"/>
      <c r="P496" s="2" t="n"/>
    </row>
    <row r="497">
      <c r="A497" s="2" t="n"/>
      <c r="B497" s="3" t="n"/>
      <c r="C497" s="3" t="n"/>
      <c r="D497" s="19" t="n"/>
      <c r="E497" s="3" t="n"/>
      <c r="F497" s="3" t="n"/>
      <c r="G497" s="3" t="n"/>
      <c r="H497" s="3" t="n"/>
      <c r="I497" s="3" t="n"/>
      <c r="J497" s="3" t="n"/>
      <c r="K497" s="17" t="n"/>
      <c r="L497" s="2" t="n"/>
      <c r="M497" s="2" t="n"/>
      <c r="N497" s="2" t="n"/>
      <c r="O497" s="2" t="n"/>
      <c r="P497" s="2" t="n"/>
    </row>
    <row r="498">
      <c r="A498" s="2" t="n"/>
      <c r="B498" s="3" t="n"/>
      <c r="C498" s="3" t="n"/>
      <c r="D498" s="19" t="n"/>
      <c r="E498" s="3" t="n"/>
      <c r="F498" s="3" t="n"/>
      <c r="G498" s="3" t="n"/>
      <c r="H498" s="3" t="n"/>
      <c r="I498" s="3" t="n"/>
      <c r="J498" s="3" t="n"/>
      <c r="K498" s="17" t="n"/>
      <c r="L498" s="2" t="n"/>
      <c r="M498" s="2" t="n"/>
      <c r="N498" s="2" t="n"/>
      <c r="O498" s="2" t="n"/>
      <c r="P498" s="2" t="n"/>
    </row>
    <row r="499">
      <c r="A499" s="2" t="n"/>
      <c r="B499" s="3" t="n"/>
      <c r="C499" s="3" t="n"/>
      <c r="D499" s="19" t="n"/>
      <c r="E499" s="3" t="n"/>
      <c r="F499" s="3" t="n"/>
      <c r="G499" s="3" t="n"/>
      <c r="H499" s="3" t="n"/>
      <c r="I499" s="3" t="n"/>
      <c r="J499" s="3" t="n"/>
      <c r="K499" s="17" t="n"/>
      <c r="L499" s="2" t="n"/>
      <c r="M499" s="2" t="n"/>
      <c r="N499" s="2" t="n"/>
      <c r="O499" s="2" t="n"/>
      <c r="P499" s="2" t="n"/>
    </row>
    <row r="500">
      <c r="A500" s="2" t="n"/>
      <c r="B500" s="3" t="n"/>
      <c r="C500" s="3" t="n"/>
      <c r="D500" s="19" t="n"/>
      <c r="E500" s="3" t="n"/>
      <c r="F500" s="3" t="n"/>
      <c r="G500" s="3" t="n"/>
      <c r="H500" s="3" t="n"/>
      <c r="I500" s="3" t="n"/>
      <c r="J500" s="3" t="n"/>
      <c r="K500" s="17" t="n"/>
      <c r="L500" s="2" t="n"/>
      <c r="M500" s="2" t="n"/>
      <c r="N500" s="2" t="n"/>
      <c r="O500" s="2" t="n"/>
      <c r="P500" s="2" t="n"/>
    </row>
    <row r="501">
      <c r="A501" s="2" t="n"/>
      <c r="B501" s="3" t="n"/>
      <c r="C501" s="3" t="n"/>
      <c r="D501" s="19" t="n"/>
      <c r="E501" s="3" t="n"/>
      <c r="F501" s="3" t="n"/>
      <c r="G501" s="3" t="n"/>
      <c r="H501" s="3" t="n"/>
      <c r="I501" s="3" t="n"/>
      <c r="J501" s="3" t="n"/>
      <c r="K501" s="17" t="n"/>
      <c r="L501" s="2" t="n"/>
      <c r="M501" s="2" t="n"/>
      <c r="N501" s="2" t="n"/>
      <c r="O501" s="2" t="n"/>
      <c r="P501" s="2" t="n"/>
    </row>
    <row r="502">
      <c r="A502" s="2" t="n"/>
      <c r="B502" s="3" t="n"/>
      <c r="C502" s="3" t="n"/>
      <c r="D502" s="19" t="n"/>
      <c r="E502" s="3" t="n"/>
      <c r="F502" s="3" t="n"/>
      <c r="G502" s="3" t="n"/>
      <c r="H502" s="3" t="n"/>
      <c r="I502" s="3" t="n"/>
      <c r="J502" s="3" t="n"/>
      <c r="K502" s="17" t="n"/>
      <c r="L502" s="2" t="n"/>
      <c r="M502" s="2" t="n"/>
      <c r="N502" s="2" t="n"/>
      <c r="O502" s="2" t="n"/>
      <c r="P502" s="2" t="n"/>
    </row>
    <row r="503">
      <c r="A503" s="2" t="n"/>
      <c r="B503" s="3" t="n"/>
      <c r="C503" s="3" t="n"/>
      <c r="D503" s="19" t="n"/>
      <c r="E503" s="3" t="n"/>
      <c r="F503" s="3" t="n"/>
      <c r="G503" s="3" t="n"/>
      <c r="H503" s="3" t="n"/>
      <c r="I503" s="3" t="n"/>
      <c r="J503" s="3" t="n"/>
      <c r="K503" s="17" t="n"/>
      <c r="L503" s="2" t="n"/>
      <c r="M503" s="2" t="n"/>
      <c r="N503" s="2" t="n"/>
      <c r="O503" s="2" t="n"/>
      <c r="P503" s="2" t="n"/>
    </row>
    <row r="504">
      <c r="A504" s="2" t="n"/>
      <c r="B504" s="3" t="n"/>
      <c r="C504" s="3" t="n"/>
      <c r="D504" s="19" t="n"/>
      <c r="E504" s="3" t="n"/>
      <c r="F504" s="3" t="n"/>
      <c r="G504" s="3" t="n"/>
      <c r="H504" s="3" t="n"/>
      <c r="I504" s="3" t="n"/>
      <c r="J504" s="3" t="n"/>
      <c r="K504" s="17" t="n"/>
      <c r="L504" s="2" t="n"/>
      <c r="M504" s="2" t="n"/>
      <c r="N504" s="2" t="n"/>
      <c r="O504" s="2" t="n"/>
      <c r="P504" s="2" t="n"/>
    </row>
    <row r="505">
      <c r="A505" s="2" t="n"/>
      <c r="B505" s="3" t="n"/>
      <c r="C505" s="3" t="n"/>
      <c r="D505" s="19" t="n"/>
      <c r="E505" s="3" t="n"/>
      <c r="F505" s="3" t="n"/>
      <c r="G505" s="3" t="n"/>
      <c r="H505" s="3" t="n"/>
      <c r="I505" s="3" t="n"/>
      <c r="J505" s="3" t="n"/>
      <c r="K505" s="17" t="n"/>
      <c r="L505" s="2" t="n"/>
      <c r="M505" s="2" t="n"/>
      <c r="N505" s="2" t="n"/>
      <c r="O505" s="2" t="n"/>
      <c r="P505" s="2" t="n"/>
    </row>
    <row r="506">
      <c r="A506" s="2" t="n"/>
      <c r="B506" s="3" t="n"/>
      <c r="C506" s="3" t="n"/>
      <c r="D506" s="19" t="n"/>
      <c r="E506" s="3" t="n"/>
      <c r="F506" s="3" t="n"/>
      <c r="G506" s="3" t="n"/>
      <c r="H506" s="3" t="n"/>
      <c r="I506" s="3" t="n"/>
      <c r="J506" s="3" t="n"/>
      <c r="K506" s="17" t="n"/>
      <c r="L506" s="2" t="n"/>
      <c r="M506" s="2" t="n"/>
      <c r="N506" s="2" t="n"/>
      <c r="O506" s="2" t="n"/>
      <c r="P506" s="2" t="n"/>
    </row>
    <row r="507">
      <c r="A507" s="2" t="n"/>
      <c r="B507" s="3" t="n"/>
      <c r="C507" s="3" t="n"/>
      <c r="D507" s="19" t="n"/>
      <c r="E507" s="3" t="n"/>
      <c r="F507" s="3" t="n"/>
      <c r="G507" s="3" t="n"/>
      <c r="H507" s="3" t="n"/>
      <c r="I507" s="3" t="n"/>
      <c r="J507" s="3" t="n"/>
      <c r="K507" s="17" t="n"/>
      <c r="L507" s="2" t="n"/>
      <c r="M507" s="2" t="n"/>
      <c r="N507" s="2" t="n"/>
      <c r="O507" s="2" t="n"/>
      <c r="P507" s="2" t="n"/>
    </row>
    <row r="508">
      <c r="A508" s="2" t="n"/>
      <c r="B508" s="3" t="n"/>
      <c r="C508" s="3" t="n"/>
      <c r="D508" s="19" t="n"/>
      <c r="E508" s="3" t="n"/>
      <c r="F508" s="3" t="n"/>
      <c r="G508" s="3" t="n"/>
      <c r="H508" s="3" t="n"/>
      <c r="I508" s="3" t="n"/>
      <c r="J508" s="3" t="n"/>
      <c r="K508" s="17" t="n"/>
      <c r="L508" s="2" t="n"/>
      <c r="M508" s="2" t="n"/>
      <c r="N508" s="2" t="n"/>
      <c r="O508" s="2" t="n"/>
      <c r="P508" s="2" t="n"/>
    </row>
    <row r="509">
      <c r="A509" s="2" t="n"/>
      <c r="B509" s="3" t="n"/>
      <c r="C509" s="3" t="n"/>
      <c r="D509" s="19" t="n"/>
      <c r="E509" s="3" t="n"/>
      <c r="F509" s="3" t="n"/>
      <c r="G509" s="3" t="n"/>
      <c r="H509" s="3" t="n"/>
      <c r="I509" s="3" t="n"/>
      <c r="J509" s="3" t="n"/>
      <c r="K509" s="17" t="n"/>
      <c r="L509" s="2" t="n"/>
      <c r="M509" s="2" t="n"/>
      <c r="N509" s="2" t="n"/>
      <c r="O509" s="2" t="n"/>
      <c r="P509" s="2" t="n"/>
    </row>
    <row r="510">
      <c r="A510" s="2" t="n"/>
      <c r="B510" s="3" t="n"/>
      <c r="C510" s="3" t="n"/>
      <c r="D510" s="19" t="n"/>
      <c r="E510" s="3" t="n"/>
      <c r="F510" s="3" t="n"/>
      <c r="G510" s="3" t="n"/>
      <c r="H510" s="3" t="n"/>
      <c r="I510" s="3" t="n"/>
      <c r="J510" s="3" t="n"/>
      <c r="K510" s="17" t="n"/>
      <c r="L510" s="2" t="n"/>
      <c r="M510" s="2" t="n"/>
      <c r="N510" s="2" t="n"/>
      <c r="O510" s="2" t="n"/>
      <c r="P510" s="2" t="n"/>
    </row>
    <row r="511">
      <c r="A511" s="2" t="n"/>
      <c r="B511" s="3" t="n"/>
      <c r="C511" s="3" t="n"/>
      <c r="D511" s="19" t="n"/>
      <c r="E511" s="3" t="n"/>
      <c r="F511" s="3" t="n"/>
      <c r="G511" s="3" t="n"/>
      <c r="H511" s="3" t="n"/>
      <c r="I511" s="3" t="n"/>
      <c r="J511" s="3" t="n"/>
      <c r="K511" s="17" t="n"/>
      <c r="L511" s="2" t="n"/>
      <c r="M511" s="2" t="n"/>
      <c r="N511" s="2" t="n"/>
      <c r="O511" s="2" t="n"/>
      <c r="P511" s="2" t="n"/>
    </row>
    <row r="512">
      <c r="A512" s="2" t="n"/>
      <c r="B512" s="3" t="n"/>
      <c r="C512" s="3" t="n"/>
      <c r="D512" s="19" t="n"/>
      <c r="E512" s="3" t="n"/>
      <c r="F512" s="3" t="n"/>
      <c r="G512" s="3" t="n"/>
      <c r="H512" s="3" t="n"/>
      <c r="I512" s="3" t="n"/>
      <c r="J512" s="3" t="n"/>
      <c r="K512" s="17" t="n"/>
      <c r="L512" s="2" t="n"/>
      <c r="M512" s="2" t="n"/>
      <c r="N512" s="2" t="n"/>
      <c r="O512" s="2" t="n"/>
      <c r="P512" s="2" t="n"/>
    </row>
    <row r="513">
      <c r="A513" s="2" t="n"/>
      <c r="B513" s="3" t="n"/>
      <c r="C513" s="3" t="n"/>
      <c r="D513" s="19" t="n"/>
      <c r="E513" s="3" t="n"/>
      <c r="F513" s="3" t="n"/>
      <c r="G513" s="3" t="n"/>
      <c r="H513" s="3" t="n"/>
      <c r="I513" s="3" t="n"/>
      <c r="J513" s="3" t="n"/>
      <c r="K513" s="3" t="n"/>
      <c r="L513" s="2" t="n"/>
      <c r="M513" s="2" t="n"/>
      <c r="N513" s="2" t="n"/>
      <c r="O513" s="2" t="n"/>
      <c r="P513" s="2" t="n"/>
    </row>
    <row r="514">
      <c r="A514" s="2" t="n"/>
      <c r="B514" s="3" t="n"/>
      <c r="C514" s="3" t="n"/>
      <c r="D514" s="19" t="n"/>
      <c r="E514" s="3" t="n"/>
      <c r="F514" s="3" t="n"/>
      <c r="G514" s="3" t="n"/>
      <c r="H514" s="3" t="n"/>
      <c r="I514" s="3" t="n"/>
      <c r="J514" s="3" t="n"/>
      <c r="K514" s="3" t="n"/>
      <c r="L514" s="2" t="n"/>
      <c r="M514" s="2" t="n"/>
      <c r="N514" s="2" t="n"/>
      <c r="O514" s="2" t="n"/>
      <c r="P514" s="2" t="n"/>
    </row>
    <row r="515">
      <c r="A515" s="2" t="n"/>
      <c r="B515" s="3" t="n"/>
      <c r="C515" s="3" t="n"/>
      <c r="D515" s="19" t="n"/>
      <c r="E515" s="3" t="n"/>
      <c r="F515" s="3" t="n"/>
      <c r="G515" s="3" t="n"/>
      <c r="H515" s="3" t="n"/>
      <c r="I515" s="3" t="n"/>
      <c r="J515" s="3" t="n"/>
      <c r="K515" s="3" t="n"/>
      <c r="L515" s="2" t="n"/>
      <c r="M515" s="2" t="n"/>
      <c r="N515" s="2" t="n"/>
      <c r="O515" s="2" t="n"/>
      <c r="P515" s="2" t="n"/>
    </row>
  </sheetData>
  <autoFilter ref="A1:K329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59"/>
  <sheetViews>
    <sheetView workbookViewId="0">
      <selection activeCell="A1" sqref="A1"/>
    </sheetView>
  </sheetViews>
  <sheetFormatPr baseColWidth="10" defaultRowHeight="15"/>
  <cols>
    <col width="15.28515625" bestFit="1" customWidth="1" min="1" max="1"/>
    <col width="16.5703125" customWidth="1" min="2" max="2"/>
    <col width="4.7109375" customWidth="1" min="3" max="3"/>
    <col width="11.7109375" bestFit="1" customWidth="1" min="4" max="4"/>
    <col width="12.85546875" bestFit="1" customWidth="1" min="5" max="5"/>
    <col width="47.7109375" bestFit="1" customWidth="1" min="8" max="8"/>
    <col width="11.5703125" bestFit="1" customWidth="1" min="9" max="9"/>
    <col width="11.7109375" bestFit="1" customWidth="1" min="11" max="11"/>
  </cols>
  <sheetData>
    <row r="1">
      <c r="A1" s="13" t="inlineStr">
        <is>
          <t>COD</t>
        </is>
      </c>
      <c r="B1" s="13" t="inlineStr">
        <is>
          <t>CUENTA</t>
        </is>
      </c>
      <c r="C1" s="13" t="inlineStr">
        <is>
          <t>EXT</t>
        </is>
      </c>
      <c r="D1" s="13" t="inlineStr">
        <is>
          <t>FECHA</t>
        </is>
      </c>
      <c r="E1" s="13" t="inlineStr">
        <is>
          <t>ORIGEN</t>
        </is>
      </c>
      <c r="F1" s="13" t="inlineStr">
        <is>
          <t>ASIENTO</t>
        </is>
      </c>
      <c r="G1" s="13" t="inlineStr">
        <is>
          <t>DOCU</t>
        </is>
      </c>
      <c r="H1" s="13" t="inlineStr">
        <is>
          <t>DETALLE</t>
        </is>
      </c>
      <c r="I1" s="13" t="inlineStr">
        <is>
          <t>DEBE</t>
        </is>
      </c>
      <c r="J1" s="13" t="inlineStr">
        <is>
          <t>HABER</t>
        </is>
      </c>
      <c r="K1" s="13" t="inlineStr">
        <is>
          <t>SALDO</t>
        </is>
      </c>
    </row>
    <row r="2">
      <c r="A2" s="3" t="inlineStr">
        <is>
          <t>02.01.06.01.0017</t>
        </is>
      </c>
      <c r="B2" s="3" t="inlineStr">
        <is>
          <t>15% IVA</t>
        </is>
      </c>
      <c r="C2" s="3" t="inlineStr">
        <is>
          <t>N</t>
        </is>
      </c>
      <c r="D2" s="19" t="n">
        <v>46063</v>
      </c>
      <c r="E2" s="3" t="inlineStr">
        <is>
          <t>CP</t>
        </is>
      </c>
      <c r="F2" s="3" t="n">
        <v>104</v>
      </c>
      <c r="G2" s="3" t="n">
        <v>50774</v>
      </c>
      <c r="H2" s="3" t="inlineStr">
        <is>
          <t>FE ASEGURADORA DEL SUR C.A. 000050774</t>
        </is>
      </c>
      <c r="I2" s="3" t="n">
        <v>30.26</v>
      </c>
      <c r="J2" s="3" t="n">
        <v>0</v>
      </c>
      <c r="K2" s="17" t="n">
        <v>30.26</v>
      </c>
    </row>
    <row r="3">
      <c r="A3" s="3" t="inlineStr">
        <is>
          <t>02.01.06.01.0017</t>
        </is>
      </c>
      <c r="B3" s="3" t="inlineStr">
        <is>
          <t>15% IVA</t>
        </is>
      </c>
      <c r="C3" s="3" t="inlineStr">
        <is>
          <t>N</t>
        </is>
      </c>
      <c r="D3" s="19" t="n">
        <v>46063</v>
      </c>
      <c r="E3" s="3" t="inlineStr">
        <is>
          <t>CP</t>
        </is>
      </c>
      <c r="F3" s="3" t="n">
        <v>104</v>
      </c>
      <c r="G3" s="3" t="n">
        <v>50792</v>
      </c>
      <c r="H3" s="3" t="inlineStr">
        <is>
          <t>FE ASEGURADORA DEL SUR C.A. 000050792</t>
        </is>
      </c>
      <c r="I3" s="3" t="n">
        <v>151.18</v>
      </c>
      <c r="J3" s="3" t="n">
        <v>0</v>
      </c>
      <c r="K3" s="17" t="n">
        <v>181.44</v>
      </c>
    </row>
    <row r="4">
      <c r="A4" s="3" t="inlineStr">
        <is>
          <t>02.01.06.01.0017</t>
        </is>
      </c>
      <c r="B4" s="3" t="inlineStr">
        <is>
          <t>15% IVA</t>
        </is>
      </c>
      <c r="C4" s="3" t="inlineStr">
        <is>
          <t>N</t>
        </is>
      </c>
      <c r="D4" s="19" t="n">
        <v>46063</v>
      </c>
      <c r="E4" s="3" t="inlineStr">
        <is>
          <t>CP</t>
        </is>
      </c>
      <c r="F4" s="3" t="n">
        <v>104</v>
      </c>
      <c r="G4" s="3" t="n">
        <v>413</v>
      </c>
      <c r="H4" s="3" t="inlineStr">
        <is>
          <t>FE LAYOUT S.A. 000000413</t>
        </is>
      </c>
      <c r="I4" s="3" t="n">
        <v>184.7</v>
      </c>
      <c r="J4" s="3" t="n">
        <v>0</v>
      </c>
      <c r="K4" s="17" t="n">
        <v>366.14</v>
      </c>
    </row>
    <row r="5">
      <c r="A5" s="3" t="inlineStr">
        <is>
          <t>02.01.06.01.0017</t>
        </is>
      </c>
      <c r="B5" s="3" t="inlineStr">
        <is>
          <t>15% IVA</t>
        </is>
      </c>
      <c r="C5" s="3" t="inlineStr">
        <is>
          <t>N</t>
        </is>
      </c>
      <c r="D5" s="19" t="n">
        <v>46063</v>
      </c>
      <c r="E5" s="3" t="inlineStr">
        <is>
          <t>CP</t>
        </is>
      </c>
      <c r="F5" s="3" t="n">
        <v>104</v>
      </c>
      <c r="G5" s="3" t="n">
        <v>414</v>
      </c>
      <c r="H5" s="3" t="inlineStr">
        <is>
          <t>FE LAYOUT S.A. 000000414</t>
        </is>
      </c>
      <c r="I5" s="3" t="n">
        <v>19.5</v>
      </c>
      <c r="J5" s="3" t="n">
        <v>0</v>
      </c>
      <c r="K5" s="17" t="n">
        <v>385.64</v>
      </c>
    </row>
    <row r="6">
      <c r="A6" s="3" t="inlineStr">
        <is>
          <t>02.01.06.01.0017</t>
        </is>
      </c>
      <c r="B6" s="3" t="inlineStr">
        <is>
          <t>15% IVA</t>
        </is>
      </c>
      <c r="C6" s="3" t="inlineStr">
        <is>
          <t>N</t>
        </is>
      </c>
      <c r="D6" s="19" t="n">
        <v>46063</v>
      </c>
      <c r="E6" s="3" t="inlineStr">
        <is>
          <t>CP</t>
        </is>
      </c>
      <c r="F6" s="3" t="n">
        <v>104</v>
      </c>
      <c r="G6" s="3" t="n">
        <v>142395</v>
      </c>
      <c r="H6" s="3" t="inlineStr">
        <is>
          <t>FE MEJIA CARRASCO VICTOR LEONE 000142395</t>
        </is>
      </c>
      <c r="I6" s="3" t="n">
        <v>108.26</v>
      </c>
      <c r="J6" s="3" t="n">
        <v>0</v>
      </c>
      <c r="K6" s="17" t="n">
        <v>493.9</v>
      </c>
    </row>
    <row r="7">
      <c r="A7" s="3" t="inlineStr">
        <is>
          <t>02.01.06.01.0017</t>
        </is>
      </c>
      <c r="B7" s="3" t="inlineStr">
        <is>
          <t>15% IVA</t>
        </is>
      </c>
      <c r="C7" s="3" t="inlineStr">
        <is>
          <t>N</t>
        </is>
      </c>
      <c r="D7" s="19" t="n">
        <v>46063</v>
      </c>
      <c r="E7" s="3" t="inlineStr">
        <is>
          <t>CP</t>
        </is>
      </c>
      <c r="F7" s="3" t="n">
        <v>104</v>
      </c>
      <c r="G7" s="3" t="n">
        <v>134</v>
      </c>
      <c r="H7" s="3" t="inlineStr">
        <is>
          <t>FE REINOSO SALAS YAJAIRA CAROL 000000134</t>
        </is>
      </c>
      <c r="I7" s="3" t="n">
        <v>6</v>
      </c>
      <c r="J7" s="3" t="n">
        <v>0</v>
      </c>
      <c r="K7" s="17" t="n">
        <v>499.9</v>
      </c>
    </row>
    <row r="8">
      <c r="A8" s="3" t="inlineStr">
        <is>
          <t>02.01.06.01.0017</t>
        </is>
      </c>
      <c r="B8" s="3" t="inlineStr">
        <is>
          <t>15% IVA</t>
        </is>
      </c>
      <c r="C8" s="3" t="inlineStr">
        <is>
          <t>N</t>
        </is>
      </c>
      <c r="D8" s="19" t="n">
        <v>46063</v>
      </c>
      <c r="E8" s="3" t="inlineStr">
        <is>
          <t>CP</t>
        </is>
      </c>
      <c r="F8" s="3" t="n">
        <v>104</v>
      </c>
      <c r="G8" s="3" t="n">
        <v>14882</v>
      </c>
      <c r="H8" s="3" t="inlineStr">
        <is>
          <t>FE TOYOTASERVICIOS S.A. 000014882</t>
        </is>
      </c>
      <c r="I8" s="3" t="n">
        <v>19.5</v>
      </c>
      <c r="J8" s="3" t="n">
        <v>0</v>
      </c>
      <c r="K8" s="17" t="n">
        <v>519.4</v>
      </c>
    </row>
    <row r="9">
      <c r="A9" s="3" t="inlineStr">
        <is>
          <t>02.01.06.01.0017</t>
        </is>
      </c>
      <c r="B9" s="3" t="inlineStr">
        <is>
          <t>15% IVA</t>
        </is>
      </c>
      <c r="C9" s="3" t="inlineStr">
        <is>
          <t>N</t>
        </is>
      </c>
      <c r="D9" s="19" t="n">
        <v>46063</v>
      </c>
      <c r="E9" s="3" t="inlineStr">
        <is>
          <t>CP</t>
        </is>
      </c>
      <c r="F9" s="3" t="n">
        <v>104</v>
      </c>
      <c r="G9" s="3" t="n">
        <v>521</v>
      </c>
      <c r="H9" s="3" t="inlineStr">
        <is>
          <t>LC VELEZ CAIZA ANDREA CRISTINA 000000521</t>
        </is>
      </c>
      <c r="I9" s="3" t="n">
        <v>10.19</v>
      </c>
      <c r="J9" s="3" t="n">
        <v>0</v>
      </c>
      <c r="K9" s="17" t="n">
        <v>529.59</v>
      </c>
    </row>
    <row r="10">
      <c r="A10" s="3" t="inlineStr">
        <is>
          <t>02.01.06.01.0017</t>
        </is>
      </c>
      <c r="B10" s="3" t="inlineStr">
        <is>
          <t>15% IVA</t>
        </is>
      </c>
      <c r="C10" s="3" t="inlineStr">
        <is>
          <t>N</t>
        </is>
      </c>
      <c r="D10" s="19" t="n">
        <v>46055</v>
      </c>
      <c r="E10" s="3" t="inlineStr">
        <is>
          <t>CP</t>
        </is>
      </c>
      <c r="F10" s="3" t="n">
        <v>29</v>
      </c>
      <c r="G10" s="3" t="n">
        <v>195</v>
      </c>
      <c r="H10" s="3" t="inlineStr">
        <is>
          <t>FE BACLT INMOBILIARIA S.A.S. 000000195</t>
        </is>
      </c>
      <c r="I10" s="3" t="n">
        <v>1816.21</v>
      </c>
      <c r="J10" s="3" t="n">
        <v>0</v>
      </c>
      <c r="K10" s="17" t="n">
        <v>2345.8</v>
      </c>
    </row>
    <row r="11">
      <c r="A11" s="3" t="inlineStr">
        <is>
          <t>02.01.06.01.0017</t>
        </is>
      </c>
      <c r="B11" s="3" t="inlineStr">
        <is>
          <t>15% IVA</t>
        </is>
      </c>
      <c r="C11" s="3" t="inlineStr">
        <is>
          <t>N</t>
        </is>
      </c>
      <c r="D11" s="19" t="n">
        <v>46055</v>
      </c>
      <c r="E11" s="3" t="inlineStr">
        <is>
          <t>CP</t>
        </is>
      </c>
      <c r="F11" s="3" t="n">
        <v>29</v>
      </c>
      <c r="G11" s="3" t="n">
        <v>196</v>
      </c>
      <c r="H11" s="3" t="inlineStr">
        <is>
          <t>FE BACLT INMOBILIARIA S.A.S. 000000196</t>
        </is>
      </c>
      <c r="I11" s="3" t="n">
        <v>1125</v>
      </c>
      <c r="J11" s="3" t="n">
        <v>0</v>
      </c>
      <c r="K11" s="17" t="n">
        <v>3470.8</v>
      </c>
    </row>
    <row r="12">
      <c r="A12" s="3" t="inlineStr">
        <is>
          <t>02.01.06.01.0017</t>
        </is>
      </c>
      <c r="B12" s="3" t="inlineStr">
        <is>
          <t>15% IVA</t>
        </is>
      </c>
      <c r="C12" s="3" t="inlineStr">
        <is>
          <t>N</t>
        </is>
      </c>
      <c r="D12" s="19" t="n">
        <v>46055</v>
      </c>
      <c r="E12" s="3" t="inlineStr">
        <is>
          <t>CP</t>
        </is>
      </c>
      <c r="F12" s="3" t="n">
        <v>29</v>
      </c>
      <c r="G12" s="3" t="n">
        <v>820</v>
      </c>
      <c r="H12" s="3" t="inlineStr">
        <is>
          <t>FE CAICEDO ALFONSO DAVID 000000820</t>
        </is>
      </c>
      <c r="I12" s="3" t="n">
        <v>37.5</v>
      </c>
      <c r="J12" s="3" t="n">
        <v>0</v>
      </c>
      <c r="K12" s="17" t="n">
        <v>3508.3</v>
      </c>
    </row>
    <row r="13">
      <c r="A13" s="3" t="inlineStr">
        <is>
          <t>02.01.06.01.0017</t>
        </is>
      </c>
      <c r="B13" s="3" t="inlineStr">
        <is>
          <t>15% IVA</t>
        </is>
      </c>
      <c r="C13" s="3" t="inlineStr">
        <is>
          <t>N</t>
        </is>
      </c>
      <c r="D13" s="19" t="n">
        <v>46055</v>
      </c>
      <c r="E13" s="3" t="inlineStr">
        <is>
          <t>CP</t>
        </is>
      </c>
      <c r="F13" s="3" t="n">
        <v>29</v>
      </c>
      <c r="G13" s="3" t="n">
        <v>448</v>
      </c>
      <c r="H13" s="3" t="inlineStr">
        <is>
          <t>FE CARLARSERVICE CIA. LTDA 000000448</t>
        </is>
      </c>
      <c r="I13" s="3" t="n">
        <v>1050</v>
      </c>
      <c r="J13" s="3" t="n">
        <v>0</v>
      </c>
      <c r="K13" s="17" t="n">
        <v>4558.3</v>
      </c>
    </row>
    <row r="14">
      <c r="A14" s="3" t="inlineStr">
        <is>
          <t>02.01.06.01.0017</t>
        </is>
      </c>
      <c r="B14" s="3" t="inlineStr">
        <is>
          <t>15% IVA</t>
        </is>
      </c>
      <c r="C14" s="3" t="inlineStr">
        <is>
          <t>N</t>
        </is>
      </c>
      <c r="D14" s="19" t="n">
        <v>46055</v>
      </c>
      <c r="E14" s="3" t="inlineStr">
        <is>
          <t>CP</t>
        </is>
      </c>
      <c r="F14" s="3" t="n">
        <v>29</v>
      </c>
      <c r="G14" s="3" t="n">
        <v>74969</v>
      </c>
      <c r="H14" s="3" t="inlineStr">
        <is>
          <t>FE CARRO SEGURO CARSEG S.A. 000074969</t>
        </is>
      </c>
      <c r="I14" s="3" t="n">
        <v>81</v>
      </c>
      <c r="J14" s="3" t="n">
        <v>0</v>
      </c>
      <c r="K14" s="17" t="n">
        <v>4639.3</v>
      </c>
    </row>
    <row r="15">
      <c r="A15" s="3" t="inlineStr">
        <is>
          <t>02.01.06.01.0017</t>
        </is>
      </c>
      <c r="B15" s="3" t="inlineStr">
        <is>
          <t>15% IVA</t>
        </is>
      </c>
      <c r="C15" s="3" t="inlineStr">
        <is>
          <t>N</t>
        </is>
      </c>
      <c r="D15" s="19" t="n">
        <v>46055</v>
      </c>
      <c r="E15" s="3" t="inlineStr">
        <is>
          <t>CP</t>
        </is>
      </c>
      <c r="F15" s="3" t="n">
        <v>29</v>
      </c>
      <c r="G15" s="3" t="n">
        <v>811</v>
      </c>
      <c r="H15" s="3" t="inlineStr">
        <is>
          <t>FE CONSEJO GUBERNATIVO DE LOS 000000811</t>
        </is>
      </c>
      <c r="I15" s="3" t="n">
        <v>65.22</v>
      </c>
      <c r="J15" s="3" t="n">
        <v>0</v>
      </c>
      <c r="K15" s="17" t="n">
        <v>4704.52</v>
      </c>
    </row>
    <row r="16">
      <c r="A16" s="3" t="inlineStr">
        <is>
          <t>02.01.06.01.0017</t>
        </is>
      </c>
      <c r="B16" s="3" t="inlineStr">
        <is>
          <t>15% IVA</t>
        </is>
      </c>
      <c r="C16" s="3" t="inlineStr">
        <is>
          <t>N</t>
        </is>
      </c>
      <c r="D16" s="19" t="n">
        <v>46055</v>
      </c>
      <c r="E16" s="3" t="inlineStr">
        <is>
          <t>CP</t>
        </is>
      </c>
      <c r="F16" s="3" t="n">
        <v>29</v>
      </c>
      <c r="G16" s="3" t="n">
        <v>171</v>
      </c>
      <c r="H16" s="3" t="inlineStr">
        <is>
          <t>FE ESTACION DE SERVICIO EL FOG 000000171</t>
        </is>
      </c>
      <c r="I16" s="3" t="n">
        <v>6.52</v>
      </c>
      <c r="J16" s="3" t="n">
        <v>0</v>
      </c>
      <c r="K16" s="17" t="n">
        <v>4711.04</v>
      </c>
    </row>
    <row r="17">
      <c r="A17" s="3" t="inlineStr">
        <is>
          <t>02.01.06.01.0017</t>
        </is>
      </c>
      <c r="B17" s="3" t="inlineStr">
        <is>
          <t>15% IVA</t>
        </is>
      </c>
      <c r="C17" s="3" t="inlineStr">
        <is>
          <t>N</t>
        </is>
      </c>
      <c r="D17" s="19" t="n">
        <v>46055</v>
      </c>
      <c r="E17" s="3" t="inlineStr">
        <is>
          <t>CP</t>
        </is>
      </c>
      <c r="F17" s="3" t="n">
        <v>29</v>
      </c>
      <c r="G17" s="3" t="n">
        <v>170</v>
      </c>
      <c r="H17" s="3" t="inlineStr">
        <is>
          <t>FE NARANJO ABRIL VICTORIA ESTE 000000170</t>
        </is>
      </c>
      <c r="I17" s="3" t="n">
        <v>12</v>
      </c>
      <c r="J17" s="3" t="n">
        <v>0</v>
      </c>
      <c r="K17" s="17" t="n">
        <v>4723.04</v>
      </c>
    </row>
    <row r="18">
      <c r="A18" s="3" t="inlineStr">
        <is>
          <t>02.01.06.01.0017</t>
        </is>
      </c>
      <c r="B18" s="3" t="inlineStr">
        <is>
          <t>15% IVA</t>
        </is>
      </c>
      <c r="C18" s="3" t="inlineStr">
        <is>
          <t>N</t>
        </is>
      </c>
      <c r="D18" s="19" t="n">
        <v>46055</v>
      </c>
      <c r="E18" s="3" t="inlineStr">
        <is>
          <t>CP</t>
        </is>
      </c>
      <c r="F18" s="3" t="n">
        <v>29</v>
      </c>
      <c r="G18" s="3" t="n">
        <v>116</v>
      </c>
      <c r="H18" s="3" t="inlineStr">
        <is>
          <t>FE REINOSO SALAS YAJAIRA CAROL 000000116</t>
        </is>
      </c>
      <c r="I18" s="3" t="n">
        <v>7.5</v>
      </c>
      <c r="J18" s="3" t="n">
        <v>0</v>
      </c>
      <c r="K18" s="17" t="n">
        <v>4730.54</v>
      </c>
    </row>
    <row r="19">
      <c r="A19" s="3" t="inlineStr">
        <is>
          <t>02.01.06.01.0017</t>
        </is>
      </c>
      <c r="B19" s="3" t="inlineStr">
        <is>
          <t>15% IVA</t>
        </is>
      </c>
      <c r="C19" s="3" t="inlineStr">
        <is>
          <t>N</t>
        </is>
      </c>
      <c r="D19" s="19" t="n">
        <v>46055</v>
      </c>
      <c r="E19" s="3" t="inlineStr">
        <is>
          <t>CP</t>
        </is>
      </c>
      <c r="F19" s="3" t="n">
        <v>29</v>
      </c>
      <c r="G19" s="3" t="n">
        <v>118</v>
      </c>
      <c r="H19" s="3" t="inlineStr">
        <is>
          <t>FE REINOSO SALAS YAJAIRA CAROL 000000118</t>
        </is>
      </c>
      <c r="I19" s="3" t="n">
        <v>7.5</v>
      </c>
      <c r="J19" s="3" t="n">
        <v>0</v>
      </c>
      <c r="K19" s="17" t="n">
        <v>4738.04</v>
      </c>
    </row>
    <row r="20">
      <c r="A20" s="3" t="inlineStr">
        <is>
          <t>02.01.06.01.0017</t>
        </is>
      </c>
      <c r="B20" s="3" t="inlineStr">
        <is>
          <t>15% IVA</t>
        </is>
      </c>
      <c r="C20" s="3" t="inlineStr">
        <is>
          <t>N</t>
        </is>
      </c>
      <c r="D20" s="19" t="n">
        <v>46055</v>
      </c>
      <c r="E20" s="3" t="inlineStr">
        <is>
          <t>CP</t>
        </is>
      </c>
      <c r="F20" s="3" t="n">
        <v>29</v>
      </c>
      <c r="G20" s="3" t="n">
        <v>119</v>
      </c>
      <c r="H20" s="3" t="inlineStr">
        <is>
          <t>FE REINOSO SALAS YAJAIRA CAROL 000000119</t>
        </is>
      </c>
      <c r="I20" s="3" t="n">
        <v>7.5</v>
      </c>
      <c r="J20" s="3" t="n">
        <v>0</v>
      </c>
      <c r="K20" s="17" t="n">
        <v>4745.54</v>
      </c>
    </row>
    <row r="21">
      <c r="A21" s="3" t="inlineStr">
        <is>
          <t>02.01.06.01.0017</t>
        </is>
      </c>
      <c r="B21" s="3" t="inlineStr">
        <is>
          <t>15% IVA</t>
        </is>
      </c>
      <c r="C21" s="3" t="inlineStr">
        <is>
          <t>N</t>
        </is>
      </c>
      <c r="D21" s="19" t="n">
        <v>46055</v>
      </c>
      <c r="E21" s="3" t="inlineStr">
        <is>
          <t>CP</t>
        </is>
      </c>
      <c r="F21" s="3" t="n">
        <v>29</v>
      </c>
      <c r="G21" s="3" t="n">
        <v>120</v>
      </c>
      <c r="H21" s="3" t="inlineStr">
        <is>
          <t>FE REINOSO SALAS YAJAIRA CAROL 000000120</t>
        </is>
      </c>
      <c r="I21" s="3" t="n">
        <v>7.5</v>
      </c>
      <c r="J21" s="3" t="n">
        <v>0</v>
      </c>
      <c r="K21" s="17" t="n">
        <v>4753.04</v>
      </c>
    </row>
    <row r="22">
      <c r="A22" s="3" t="inlineStr">
        <is>
          <t>02.01.06.01.0017</t>
        </is>
      </c>
      <c r="B22" s="3" t="inlineStr">
        <is>
          <t>15% IVA</t>
        </is>
      </c>
      <c r="C22" s="3" t="inlineStr">
        <is>
          <t>N</t>
        </is>
      </c>
      <c r="D22" s="19" t="n">
        <v>46055</v>
      </c>
      <c r="E22" s="3" t="inlineStr">
        <is>
          <t>CP</t>
        </is>
      </c>
      <c r="F22" s="3" t="n">
        <v>29</v>
      </c>
      <c r="G22" s="3" t="n">
        <v>423457</v>
      </c>
      <c r="H22" s="3" t="inlineStr">
        <is>
          <t>FE TELCONET S.A 000423457</t>
        </is>
      </c>
      <c r="I22" s="3" t="n">
        <v>55.8</v>
      </c>
      <c r="J22" s="3" t="n">
        <v>0</v>
      </c>
      <c r="K22" s="17" t="n">
        <v>4808.84</v>
      </c>
    </row>
    <row r="23">
      <c r="A23" s="3" t="inlineStr">
        <is>
          <t>02.01.06.01.0017</t>
        </is>
      </c>
      <c r="B23" s="3" t="inlineStr">
        <is>
          <t>15% IVA</t>
        </is>
      </c>
      <c r="C23" s="3" t="inlineStr">
        <is>
          <t>N</t>
        </is>
      </c>
      <c r="D23" s="19" t="n">
        <v>46055</v>
      </c>
      <c r="E23" s="3" t="inlineStr">
        <is>
          <t>CP</t>
        </is>
      </c>
      <c r="F23" s="3" t="n">
        <v>29</v>
      </c>
      <c r="G23" s="3" t="n">
        <v>31786</v>
      </c>
      <c r="H23" s="3" t="inlineStr">
        <is>
          <t>FE VARGAS TORRES WALTTER DARIO 000031786</t>
        </is>
      </c>
      <c r="I23" s="3" t="n">
        <v>25.5</v>
      </c>
      <c r="J23" s="3" t="n">
        <v>0</v>
      </c>
      <c r="K23" s="17" t="n">
        <v>4834.34</v>
      </c>
    </row>
    <row r="24">
      <c r="A24" s="3" t="inlineStr">
        <is>
          <t>02.01.06.01.0017</t>
        </is>
      </c>
      <c r="B24" s="3" t="inlineStr">
        <is>
          <t>15% IVA</t>
        </is>
      </c>
      <c r="C24" s="3" t="inlineStr">
        <is>
          <t>N</t>
        </is>
      </c>
      <c r="D24" s="19" t="n">
        <v>46056</v>
      </c>
      <c r="E24" s="3" t="inlineStr">
        <is>
          <t>CP</t>
        </is>
      </c>
      <c r="F24" s="3" t="n">
        <v>37</v>
      </c>
      <c r="G24" s="3" t="n">
        <v>5489</v>
      </c>
      <c r="H24" s="3" t="inlineStr">
        <is>
          <t>FE CORPORACION CONFIABLE S.A. 000005489</t>
        </is>
      </c>
      <c r="I24" s="3" t="n">
        <v>99</v>
      </c>
      <c r="J24" s="3" t="n">
        <v>0</v>
      </c>
      <c r="K24" s="17" t="n">
        <v>4933.34</v>
      </c>
    </row>
    <row r="25">
      <c r="A25" s="3" t="inlineStr">
        <is>
          <t>02.01.06.01.0017</t>
        </is>
      </c>
      <c r="B25" s="3" t="inlineStr">
        <is>
          <t>15% IVA</t>
        </is>
      </c>
      <c r="C25" s="3" t="inlineStr">
        <is>
          <t>N</t>
        </is>
      </c>
      <c r="D25" s="19" t="n">
        <v>46056</v>
      </c>
      <c r="E25" s="3" t="inlineStr">
        <is>
          <t>CP</t>
        </is>
      </c>
      <c r="F25" s="3" t="n">
        <v>37</v>
      </c>
      <c r="G25" s="3" t="n">
        <v>13391</v>
      </c>
      <c r="H25" s="3" t="inlineStr">
        <is>
          <t>FE FIDUCIARIA ECUADOR FIDUECUA 000013391</t>
        </is>
      </c>
      <c r="I25" s="3" t="n">
        <v>48.8</v>
      </c>
      <c r="J25" s="3" t="n">
        <v>0</v>
      </c>
      <c r="K25" s="17" t="n">
        <v>4982.14</v>
      </c>
    </row>
    <row r="26">
      <c r="A26" s="3" t="inlineStr">
        <is>
          <t>02.01.06.01.0017</t>
        </is>
      </c>
      <c r="B26" s="3" t="inlineStr">
        <is>
          <t>15% IVA</t>
        </is>
      </c>
      <c r="C26" s="3" t="inlineStr">
        <is>
          <t>N</t>
        </is>
      </c>
      <c r="D26" s="19" t="n">
        <v>46056</v>
      </c>
      <c r="E26" s="3" t="inlineStr">
        <is>
          <t>CP</t>
        </is>
      </c>
      <c r="F26" s="3" t="n">
        <v>37</v>
      </c>
      <c r="G26" s="3" t="n">
        <v>3601</v>
      </c>
      <c r="H26" s="3" t="inlineStr">
        <is>
          <t>FE PAEZ ORTIZ CHRISTIAN GONZAL 000003601</t>
        </is>
      </c>
      <c r="I26" s="3" t="n">
        <v>69</v>
      </c>
      <c r="J26" s="3" t="n">
        <v>0</v>
      </c>
      <c r="K26" s="17" t="n">
        <v>5051.14</v>
      </c>
    </row>
    <row r="27">
      <c r="A27" s="3" t="inlineStr">
        <is>
          <t>02.01.06.01.0017</t>
        </is>
      </c>
      <c r="B27" s="3" t="inlineStr">
        <is>
          <t>15% IVA</t>
        </is>
      </c>
      <c r="C27" s="3" t="inlineStr">
        <is>
          <t>N</t>
        </is>
      </c>
      <c r="D27" s="19" t="n">
        <v>46056</v>
      </c>
      <c r="E27" s="3" t="inlineStr">
        <is>
          <t>CP</t>
        </is>
      </c>
      <c r="F27" s="3" t="n">
        <v>37</v>
      </c>
      <c r="G27" s="3" t="n">
        <v>3602</v>
      </c>
      <c r="H27" s="3" t="inlineStr">
        <is>
          <t>FE PAEZ ORTIZ CHRISTIAN GONZAL 000003602</t>
        </is>
      </c>
      <c r="I27" s="3" t="n">
        <v>7.2</v>
      </c>
      <c r="J27" s="3" t="n">
        <v>0</v>
      </c>
      <c r="K27" s="17" t="n">
        <v>5058.34</v>
      </c>
    </row>
    <row r="28">
      <c r="A28" s="3" t="inlineStr">
        <is>
          <t>02.01.06.01.0017</t>
        </is>
      </c>
      <c r="B28" s="3" t="inlineStr">
        <is>
          <t>15% IVA</t>
        </is>
      </c>
      <c r="C28" s="3" t="inlineStr">
        <is>
          <t>N</t>
        </is>
      </c>
      <c r="D28" s="19" t="n">
        <v>46056</v>
      </c>
      <c r="E28" s="3" t="inlineStr">
        <is>
          <t>CP</t>
        </is>
      </c>
      <c r="F28" s="3" t="n">
        <v>37</v>
      </c>
      <c r="G28" s="3" t="n">
        <v>3603</v>
      </c>
      <c r="H28" s="3" t="inlineStr">
        <is>
          <t>FE PAEZ ORTIZ CHRISTIAN GONZAL 000003603</t>
        </is>
      </c>
      <c r="I28" s="3" t="n">
        <v>11.39</v>
      </c>
      <c r="J28" s="3" t="n">
        <v>0</v>
      </c>
      <c r="K28" s="17" t="n">
        <v>5069.73</v>
      </c>
    </row>
    <row r="29">
      <c r="A29" s="3" t="inlineStr">
        <is>
          <t>02.01.06.01.0017</t>
        </is>
      </c>
      <c r="B29" s="3" t="inlineStr">
        <is>
          <t>15% IVA</t>
        </is>
      </c>
      <c r="C29" s="3" t="inlineStr">
        <is>
          <t>N</t>
        </is>
      </c>
      <c r="D29" s="19" t="n">
        <v>46056</v>
      </c>
      <c r="E29" s="3" t="inlineStr">
        <is>
          <t>CP</t>
        </is>
      </c>
      <c r="F29" s="3" t="n">
        <v>37</v>
      </c>
      <c r="G29" s="3" t="n">
        <v>50</v>
      </c>
      <c r="H29" s="3" t="inlineStr">
        <is>
          <t>FE PALACIOS LARREA FRANCISCO J 000000050</t>
        </is>
      </c>
      <c r="I29" s="3" t="n">
        <v>166.67</v>
      </c>
      <c r="J29" s="3" t="n">
        <v>0</v>
      </c>
      <c r="K29" s="17" t="n">
        <v>5236.4</v>
      </c>
    </row>
    <row r="30">
      <c r="A30" s="3" t="inlineStr">
        <is>
          <t>02.01.06.01.0017</t>
        </is>
      </c>
      <c r="B30" s="3" t="inlineStr">
        <is>
          <t>15% IVA</t>
        </is>
      </c>
      <c r="C30" s="3" t="inlineStr">
        <is>
          <t>N</t>
        </is>
      </c>
      <c r="D30" s="19" t="n">
        <v>46056</v>
      </c>
      <c r="E30" s="3" t="inlineStr">
        <is>
          <t>CP</t>
        </is>
      </c>
      <c r="F30" s="3" t="n">
        <v>37</v>
      </c>
      <c r="G30" s="3" t="n">
        <v>122</v>
      </c>
      <c r="H30" s="3" t="inlineStr">
        <is>
          <t>FE REINOSO SALAS YAJAIRA CAROL 000000122</t>
        </is>
      </c>
      <c r="I30" s="3" t="n">
        <v>6</v>
      </c>
      <c r="J30" s="3" t="n">
        <v>0</v>
      </c>
      <c r="K30" s="17" t="n">
        <v>5242.4</v>
      </c>
    </row>
    <row r="31">
      <c r="A31" s="3" t="inlineStr">
        <is>
          <t>02.01.06.01.0017</t>
        </is>
      </c>
      <c r="B31" s="3" t="inlineStr">
        <is>
          <t>15% IVA</t>
        </is>
      </c>
      <c r="C31" s="3" t="inlineStr">
        <is>
          <t>N</t>
        </is>
      </c>
      <c r="D31" s="19" t="n">
        <v>46056</v>
      </c>
      <c r="E31" s="3" t="inlineStr">
        <is>
          <t>CP</t>
        </is>
      </c>
      <c r="F31" s="3" t="n">
        <v>37</v>
      </c>
      <c r="G31" s="3" t="n">
        <v>123</v>
      </c>
      <c r="H31" s="3" t="inlineStr">
        <is>
          <t>FE REINOSO SALAS YAJAIRA CAROL 000000123</t>
        </is>
      </c>
      <c r="I31" s="3" t="n">
        <v>6</v>
      </c>
      <c r="J31" s="3" t="n">
        <v>0</v>
      </c>
      <c r="K31" s="17" t="n">
        <v>5248.4</v>
      </c>
    </row>
    <row r="32">
      <c r="A32" s="3" t="inlineStr">
        <is>
          <t>02.01.06.01.0017</t>
        </is>
      </c>
      <c r="B32" s="3" t="inlineStr">
        <is>
          <t>15% IVA</t>
        </is>
      </c>
      <c r="C32" s="3" t="inlineStr">
        <is>
          <t>N</t>
        </is>
      </c>
      <c r="D32" s="19" t="n">
        <v>46056</v>
      </c>
      <c r="E32" s="3" t="inlineStr">
        <is>
          <t>CP</t>
        </is>
      </c>
      <c r="F32" s="3" t="n">
        <v>37</v>
      </c>
      <c r="G32" s="3" t="n">
        <v>124</v>
      </c>
      <c r="H32" s="3" t="inlineStr">
        <is>
          <t>FE REINOSO SALAS YAJAIRA CAROL 000000124</t>
        </is>
      </c>
      <c r="I32" s="3" t="n">
        <v>22.5</v>
      </c>
      <c r="J32" s="3" t="n">
        <v>0</v>
      </c>
      <c r="K32" s="17" t="n">
        <v>5270.9</v>
      </c>
    </row>
    <row r="33">
      <c r="A33" s="3" t="inlineStr">
        <is>
          <t>02.01.06.01.0017</t>
        </is>
      </c>
      <c r="B33" s="3" t="inlineStr">
        <is>
          <t>15% IVA</t>
        </is>
      </c>
      <c r="C33" s="3" t="inlineStr">
        <is>
          <t>N</t>
        </is>
      </c>
      <c r="D33" s="19" t="n">
        <v>46056</v>
      </c>
      <c r="E33" s="3" t="inlineStr">
        <is>
          <t>CP</t>
        </is>
      </c>
      <c r="F33" s="3" t="n">
        <v>37</v>
      </c>
      <c r="G33" s="3" t="n">
        <v>125</v>
      </c>
      <c r="H33" s="3" t="inlineStr">
        <is>
          <t>FE REINOSO SALAS YAJAIRA CAROL 000000125</t>
        </is>
      </c>
      <c r="I33" s="3" t="n">
        <v>6</v>
      </c>
      <c r="J33" s="3" t="n">
        <v>0</v>
      </c>
      <c r="K33" s="17" t="n">
        <v>5276.9</v>
      </c>
    </row>
    <row r="34">
      <c r="A34" s="3" t="inlineStr">
        <is>
          <t>02.01.06.01.0017</t>
        </is>
      </c>
      <c r="B34" s="3" t="inlineStr">
        <is>
          <t>15% IVA</t>
        </is>
      </c>
      <c r="C34" s="3" t="inlineStr">
        <is>
          <t>N</t>
        </is>
      </c>
      <c r="D34" s="19" t="n">
        <v>46056</v>
      </c>
      <c r="E34" s="3" t="inlineStr">
        <is>
          <t>CP</t>
        </is>
      </c>
      <c r="F34" s="3" t="n">
        <v>37</v>
      </c>
      <c r="G34" s="3" t="n">
        <v>31801</v>
      </c>
      <c r="H34" s="3" t="inlineStr">
        <is>
          <t>FE VARGAS TORRES WALTTER DARIO 000031801</t>
        </is>
      </c>
      <c r="I34" s="17" t="n">
        <v>76.5</v>
      </c>
      <c r="J34" s="3" t="n">
        <v>0</v>
      </c>
      <c r="K34" s="17" t="n">
        <v>5353.4</v>
      </c>
    </row>
    <row r="35">
      <c r="A35" s="3" t="inlineStr">
        <is>
          <t>02.01.06.01.0017</t>
        </is>
      </c>
      <c r="B35" s="3" t="inlineStr">
        <is>
          <t>15% IVA</t>
        </is>
      </c>
      <c r="C35" s="3" t="inlineStr">
        <is>
          <t>N</t>
        </is>
      </c>
      <c r="D35" s="19" t="n">
        <v>46056</v>
      </c>
      <c r="E35" s="3" t="inlineStr">
        <is>
          <t>CP</t>
        </is>
      </c>
      <c r="F35" s="3" t="n">
        <v>37</v>
      </c>
      <c r="G35" s="3" t="n">
        <v>1912</v>
      </c>
      <c r="H35" s="3" t="inlineStr">
        <is>
          <t>FE YANEZ APUANGO CRISTINA DE L 000001912</t>
        </is>
      </c>
      <c r="I35" s="3" t="n">
        <v>6</v>
      </c>
      <c r="J35" s="3" t="n">
        <v>0</v>
      </c>
      <c r="K35" s="17" t="n">
        <v>5359.4</v>
      </c>
    </row>
    <row r="36">
      <c r="A36" s="3" t="inlineStr">
        <is>
          <t>02.01.06.01.0017</t>
        </is>
      </c>
      <c r="B36" s="3" t="inlineStr">
        <is>
          <t>15% IVA</t>
        </is>
      </c>
      <c r="C36" s="3" t="inlineStr">
        <is>
          <t>N</t>
        </is>
      </c>
      <c r="D36" s="19" t="n">
        <v>46056</v>
      </c>
      <c r="E36" s="3" t="inlineStr">
        <is>
          <t>CP</t>
        </is>
      </c>
      <c r="F36" s="3" t="n">
        <v>37</v>
      </c>
      <c r="G36" s="3" t="n">
        <v>629</v>
      </c>
      <c r="H36" s="3" t="inlineStr">
        <is>
          <t>FE YANGTSE-AUTO DEL ECUADOR S. 000000629</t>
        </is>
      </c>
      <c r="I36" s="3" t="n">
        <v>1974.91</v>
      </c>
      <c r="J36" s="3" t="n">
        <v>0</v>
      </c>
      <c r="K36" s="17" t="n">
        <v>7334.31</v>
      </c>
    </row>
    <row r="37">
      <c r="A37" s="3" t="inlineStr">
        <is>
          <t>02.01.06.01.0017</t>
        </is>
      </c>
      <c r="B37" s="3" t="inlineStr">
        <is>
          <t>15% IVA</t>
        </is>
      </c>
      <c r="C37" s="3" t="inlineStr">
        <is>
          <t>N</t>
        </is>
      </c>
      <c r="D37" s="19" t="n">
        <v>46057</v>
      </c>
      <c r="E37" s="3" t="inlineStr">
        <is>
          <t>CP</t>
        </is>
      </c>
      <c r="F37" s="3" t="n">
        <v>53</v>
      </c>
      <c r="G37" s="3" t="n">
        <v>377</v>
      </c>
      <c r="H37" s="3" t="inlineStr">
        <is>
          <t>FE COMPAÑIA TECNOXPERTISE S.A. 000000377</t>
        </is>
      </c>
      <c r="I37" s="17" t="n">
        <v>15</v>
      </c>
      <c r="J37" s="3" t="n">
        <v>0</v>
      </c>
      <c r="K37" s="17" t="n">
        <v>7349.31</v>
      </c>
    </row>
    <row r="38">
      <c r="A38" s="3" t="inlineStr">
        <is>
          <t>02.01.06.01.0017</t>
        </is>
      </c>
      <c r="B38" s="3" t="inlineStr">
        <is>
          <t>15% IVA</t>
        </is>
      </c>
      <c r="C38" s="3" t="inlineStr">
        <is>
          <t>N</t>
        </is>
      </c>
      <c r="D38" s="19" t="n">
        <v>46057</v>
      </c>
      <c r="E38" s="3" t="inlineStr">
        <is>
          <t>CP</t>
        </is>
      </c>
      <c r="F38" s="3" t="n">
        <v>53</v>
      </c>
      <c r="G38" s="3" t="n">
        <v>1804</v>
      </c>
      <c r="H38" s="3" t="inlineStr">
        <is>
          <t>FE DILIGENCIAS LEGALES 000001804</t>
        </is>
      </c>
      <c r="I38" s="17" t="n">
        <v>31.34</v>
      </c>
      <c r="J38" s="3" t="n">
        <v>0</v>
      </c>
      <c r="K38" s="17" t="n">
        <v>7380.65</v>
      </c>
    </row>
    <row r="39">
      <c r="A39" s="3" t="inlineStr">
        <is>
          <t>02.01.06.01.0017</t>
        </is>
      </c>
      <c r="B39" s="3" t="inlineStr">
        <is>
          <t>15% IVA</t>
        </is>
      </c>
      <c r="C39" s="3" t="inlineStr">
        <is>
          <t>N</t>
        </is>
      </c>
      <c r="D39" s="19" t="n">
        <v>46057</v>
      </c>
      <c r="E39" s="3" t="inlineStr">
        <is>
          <t>CP</t>
        </is>
      </c>
      <c r="F39" s="3" t="n">
        <v>53</v>
      </c>
      <c r="G39" s="3" t="n">
        <v>76818</v>
      </c>
      <c r="H39" s="3" t="inlineStr">
        <is>
          <t>FE MAYORGA MAYORGA WILSON RAMI 000076818</t>
        </is>
      </c>
      <c r="I39" s="17" t="n">
        <v>10.27</v>
      </c>
      <c r="J39" s="3" t="n">
        <v>0</v>
      </c>
      <c r="K39" s="17" t="n">
        <v>7390.92</v>
      </c>
    </row>
    <row r="40">
      <c r="A40" s="3" t="inlineStr">
        <is>
          <t>02.01.06.01.0017</t>
        </is>
      </c>
      <c r="B40" s="3" t="inlineStr">
        <is>
          <t>15% IVA</t>
        </is>
      </c>
      <c r="C40" s="3" t="inlineStr">
        <is>
          <t>N</t>
        </is>
      </c>
      <c r="D40" s="19" t="n">
        <v>46057</v>
      </c>
      <c r="E40" s="3" t="inlineStr">
        <is>
          <t>CP</t>
        </is>
      </c>
      <c r="F40" s="3" t="n">
        <v>53</v>
      </c>
      <c r="G40" s="3" t="n">
        <v>76819</v>
      </c>
      <c r="H40" s="3" t="inlineStr">
        <is>
          <t>FE MAYORGA MAYORGA WILSON RAMI 000076819</t>
        </is>
      </c>
      <c r="I40" s="17" t="n">
        <v>1.61</v>
      </c>
      <c r="J40" s="3" t="n">
        <v>0</v>
      </c>
      <c r="K40" s="17" t="n">
        <v>7392.53</v>
      </c>
    </row>
    <row r="41">
      <c r="A41" s="3" t="inlineStr">
        <is>
          <t>02.01.06.01.0017</t>
        </is>
      </c>
      <c r="B41" s="3" t="inlineStr">
        <is>
          <t>15% IVA</t>
        </is>
      </c>
      <c r="C41" s="3" t="inlineStr">
        <is>
          <t>N</t>
        </is>
      </c>
      <c r="D41" s="19" t="n">
        <v>46057</v>
      </c>
      <c r="E41" s="3" t="inlineStr">
        <is>
          <t>CP</t>
        </is>
      </c>
      <c r="F41" s="3" t="n">
        <v>53</v>
      </c>
      <c r="G41" s="3" t="n">
        <v>52803</v>
      </c>
      <c r="H41" s="3" t="inlineStr">
        <is>
          <t>FE TOYOTASERVICIOS S.A. 000052803</t>
        </is>
      </c>
      <c r="I41" s="17" t="n">
        <v>2.91</v>
      </c>
      <c r="J41" s="3" t="n">
        <v>0</v>
      </c>
      <c r="K41" s="17" t="n">
        <v>7395.44</v>
      </c>
    </row>
    <row r="42">
      <c r="A42" s="3" t="inlineStr">
        <is>
          <t>02.01.06.01.0017</t>
        </is>
      </c>
      <c r="B42" s="3" t="inlineStr">
        <is>
          <t>15% IVA</t>
        </is>
      </c>
      <c r="C42" s="3" t="inlineStr">
        <is>
          <t>N</t>
        </is>
      </c>
      <c r="D42" s="19" t="n">
        <v>46057</v>
      </c>
      <c r="E42" s="3" t="inlineStr">
        <is>
          <t>CP</t>
        </is>
      </c>
      <c r="F42" s="3" t="n">
        <v>53</v>
      </c>
      <c r="G42" s="3" t="n">
        <v>52804</v>
      </c>
      <c r="H42" s="3" t="inlineStr">
        <is>
          <t>FE TOYOTASERVICIOS S.A. 000052804</t>
        </is>
      </c>
      <c r="I42" s="17" t="n">
        <v>9.550000000000001</v>
      </c>
      <c r="J42" s="3" t="n">
        <v>0</v>
      </c>
      <c r="K42" s="17" t="n">
        <v>7404.99</v>
      </c>
    </row>
    <row r="43">
      <c r="A43" s="3" t="inlineStr">
        <is>
          <t>02.01.06.01.0017</t>
        </is>
      </c>
      <c r="B43" s="3" t="inlineStr">
        <is>
          <t>15% IVA</t>
        </is>
      </c>
      <c r="C43" s="3" t="inlineStr">
        <is>
          <t>N</t>
        </is>
      </c>
      <c r="D43" s="19" t="n">
        <v>46058</v>
      </c>
      <c r="E43" s="3" t="inlineStr">
        <is>
          <t>CP</t>
        </is>
      </c>
      <c r="F43" s="3" t="n">
        <v>57</v>
      </c>
      <c r="G43" s="3" t="n">
        <v>212880</v>
      </c>
      <c r="H43" s="3" t="inlineStr">
        <is>
          <t>FE ARMAS MELENDEZ MONICA ALEXA 000212880</t>
        </is>
      </c>
      <c r="I43" s="17" t="n">
        <v>15.14</v>
      </c>
      <c r="J43" s="3" t="n">
        <v>0</v>
      </c>
      <c r="K43" s="17" t="n">
        <v>7420.13</v>
      </c>
    </row>
    <row r="44">
      <c r="A44" s="3" t="inlineStr">
        <is>
          <t>02.01.06.01.0017</t>
        </is>
      </c>
      <c r="B44" s="3" t="inlineStr">
        <is>
          <t>15% IVA</t>
        </is>
      </c>
      <c r="C44" s="3" t="inlineStr">
        <is>
          <t>N</t>
        </is>
      </c>
      <c r="D44" s="19" t="n">
        <v>46058</v>
      </c>
      <c r="E44" s="3" t="inlineStr">
        <is>
          <t>CP</t>
        </is>
      </c>
      <c r="F44" s="3" t="n">
        <v>57</v>
      </c>
      <c r="G44" s="3" t="n">
        <v>50763</v>
      </c>
      <c r="H44" s="3" t="inlineStr">
        <is>
          <t>FE ASEGURADORA DEL SUR C.A. 000050763</t>
        </is>
      </c>
      <c r="I44" s="17" t="n">
        <v>72.81</v>
      </c>
      <c r="J44" s="3" t="n">
        <v>0</v>
      </c>
      <c r="K44" s="17" t="n">
        <v>7492.94</v>
      </c>
    </row>
    <row r="45">
      <c r="A45" s="3" t="inlineStr">
        <is>
          <t>02.01.06.01.0017</t>
        </is>
      </c>
      <c r="B45" s="3" t="inlineStr">
        <is>
          <t>15% IVA</t>
        </is>
      </c>
      <c r="C45" s="3" t="inlineStr">
        <is>
          <t>N</t>
        </is>
      </c>
      <c r="D45" s="19" t="n">
        <v>46058</v>
      </c>
      <c r="E45" s="3" t="inlineStr">
        <is>
          <t>CP</t>
        </is>
      </c>
      <c r="F45" s="3" t="n">
        <v>57</v>
      </c>
      <c r="G45" s="3" t="n">
        <v>91</v>
      </c>
      <c r="H45" s="3" t="inlineStr">
        <is>
          <t>FE CALERO OLMOS NANCY DEL ROCI 000000091</t>
        </is>
      </c>
      <c r="I45" s="17" t="n">
        <v>133.48</v>
      </c>
      <c r="J45" s="3" t="n">
        <v>0</v>
      </c>
      <c r="K45" s="17" t="n">
        <v>7626.42</v>
      </c>
    </row>
    <row r="46">
      <c r="A46" s="3" t="inlineStr">
        <is>
          <t>02.01.06.01.0017</t>
        </is>
      </c>
      <c r="B46" s="3" t="inlineStr">
        <is>
          <t>15% IVA</t>
        </is>
      </c>
      <c r="C46" s="3" t="inlineStr">
        <is>
          <t>N</t>
        </is>
      </c>
      <c r="D46" s="19" t="n">
        <v>46058</v>
      </c>
      <c r="E46" s="3" t="inlineStr">
        <is>
          <t>CP</t>
        </is>
      </c>
      <c r="F46" s="3" t="n">
        <v>57</v>
      </c>
      <c r="G46" s="3" t="n">
        <v>776</v>
      </c>
      <c r="H46" s="3" t="inlineStr">
        <is>
          <t>FE COLCHA AREVALO LIZARDO ENRI 000000776</t>
        </is>
      </c>
      <c r="I46" s="17" t="n">
        <v>24</v>
      </c>
      <c r="J46" s="3" t="n">
        <v>0</v>
      </c>
      <c r="K46" s="17" t="n">
        <v>7650.42</v>
      </c>
    </row>
    <row r="47">
      <c r="A47" s="3" t="inlineStr">
        <is>
          <t>02.01.06.01.0017</t>
        </is>
      </c>
      <c r="B47" s="3" t="inlineStr">
        <is>
          <t>15% IVA</t>
        </is>
      </c>
      <c r="C47" s="3" t="inlineStr">
        <is>
          <t>N</t>
        </is>
      </c>
      <c r="D47" s="19" t="n">
        <v>46058</v>
      </c>
      <c r="E47" s="3" t="inlineStr">
        <is>
          <t>CP</t>
        </is>
      </c>
      <c r="F47" s="3" t="n">
        <v>57</v>
      </c>
      <c r="G47" s="3" t="n">
        <v>2473</v>
      </c>
      <c r="H47" s="3" t="inlineStr">
        <is>
          <t>FE COMP. DE SEGURIDAD PRIVADA 000002473</t>
        </is>
      </c>
      <c r="I47" s="17" t="n">
        <v>170.26</v>
      </c>
      <c r="J47" s="3" t="n">
        <v>0</v>
      </c>
      <c r="K47" s="17" t="n">
        <v>7820.68</v>
      </c>
    </row>
    <row r="48">
      <c r="A48" s="3" t="inlineStr">
        <is>
          <t>02.01.06.01.0017</t>
        </is>
      </c>
      <c r="B48" s="3" t="inlineStr">
        <is>
          <t>15% IVA</t>
        </is>
      </c>
      <c r="C48" s="3" t="inlineStr">
        <is>
          <t>N</t>
        </is>
      </c>
      <c r="D48" s="19" t="n">
        <v>46058</v>
      </c>
      <c r="E48" s="3" t="inlineStr">
        <is>
          <t>CP</t>
        </is>
      </c>
      <c r="F48" s="3" t="n">
        <v>57</v>
      </c>
      <c r="G48" s="3" t="n">
        <v>1511536</v>
      </c>
      <c r="H48" s="3" t="inlineStr">
        <is>
          <t>FE DATAFAST S.A. 001511536</t>
        </is>
      </c>
      <c r="I48" s="3" t="n">
        <v>1.2</v>
      </c>
      <c r="J48" s="3" t="n">
        <v>0</v>
      </c>
      <c r="K48" s="17" t="n">
        <v>7821.88</v>
      </c>
    </row>
    <row r="49">
      <c r="A49" s="3" t="inlineStr">
        <is>
          <t>02.01.06.01.0017</t>
        </is>
      </c>
      <c r="B49" s="3" t="inlineStr">
        <is>
          <t>15% IVA</t>
        </is>
      </c>
      <c r="C49" s="3" t="inlineStr">
        <is>
          <t>N</t>
        </is>
      </c>
      <c r="D49" s="19" t="n">
        <v>46058</v>
      </c>
      <c r="E49" s="3" t="inlineStr">
        <is>
          <t>CP</t>
        </is>
      </c>
      <c r="F49" s="3" t="n">
        <v>57</v>
      </c>
      <c r="G49" s="3" t="n">
        <v>1511537</v>
      </c>
      <c r="H49" s="3" t="inlineStr">
        <is>
          <t>FE DATAFAST S.A. 001511537</t>
        </is>
      </c>
      <c r="I49" s="3" t="n">
        <v>1.2</v>
      </c>
      <c r="J49" s="3" t="n">
        <v>0</v>
      </c>
      <c r="K49" s="17" t="n">
        <v>7823.08</v>
      </c>
    </row>
    <row r="50">
      <c r="A50" s="3" t="inlineStr">
        <is>
          <t>02.01.06.01.0017</t>
        </is>
      </c>
      <c r="B50" s="3" t="inlineStr">
        <is>
          <t>15% IVA</t>
        </is>
      </c>
      <c r="C50" s="3" t="inlineStr">
        <is>
          <t>N</t>
        </is>
      </c>
      <c r="D50" s="19" t="n">
        <v>46058</v>
      </c>
      <c r="E50" s="3" t="inlineStr">
        <is>
          <t>CP</t>
        </is>
      </c>
      <c r="F50" s="3" t="n">
        <v>57</v>
      </c>
      <c r="G50" s="3" t="n">
        <v>1511538</v>
      </c>
      <c r="H50" s="3" t="inlineStr">
        <is>
          <t>FE DATAFAST S.A. 001511538</t>
        </is>
      </c>
      <c r="I50" s="3" t="n">
        <v>1.2</v>
      </c>
      <c r="J50" s="3" t="n">
        <v>0</v>
      </c>
      <c r="K50" s="17" t="n">
        <v>7824.28</v>
      </c>
    </row>
    <row r="51">
      <c r="A51" s="3" t="inlineStr">
        <is>
          <t>02.01.06.01.0017</t>
        </is>
      </c>
      <c r="B51" s="3" t="inlineStr">
        <is>
          <t>15% IVA</t>
        </is>
      </c>
      <c r="C51" s="3" t="inlineStr">
        <is>
          <t>N</t>
        </is>
      </c>
      <c r="D51" s="19" t="n">
        <v>46058</v>
      </c>
      <c r="E51" s="3" t="inlineStr">
        <is>
          <t>CP</t>
        </is>
      </c>
      <c r="F51" s="3" t="n">
        <v>57</v>
      </c>
      <c r="G51" s="3" t="n">
        <v>21</v>
      </c>
      <c r="H51" s="3" t="inlineStr">
        <is>
          <t>FE GARCES PEREZ HECTOR BOLIVAR 000000021</t>
        </is>
      </c>
      <c r="I51" s="3" t="n">
        <v>675</v>
      </c>
      <c r="J51" s="3" t="n">
        <v>0</v>
      </c>
      <c r="K51" s="17" t="n">
        <v>8499.280000000001</v>
      </c>
    </row>
    <row r="52">
      <c r="A52" s="3" t="inlineStr">
        <is>
          <t>02.01.06.01.0017</t>
        </is>
      </c>
      <c r="B52" s="3" t="inlineStr">
        <is>
          <t>15% IVA</t>
        </is>
      </c>
      <c r="C52" s="3" t="inlineStr">
        <is>
          <t>N</t>
        </is>
      </c>
      <c r="D52" s="19" t="n">
        <v>46058</v>
      </c>
      <c r="E52" s="3" t="inlineStr">
        <is>
          <t>CP</t>
        </is>
      </c>
      <c r="F52" s="3" t="n">
        <v>57</v>
      </c>
      <c r="G52" s="3" t="n">
        <v>123259</v>
      </c>
      <c r="H52" s="3" t="inlineStr">
        <is>
          <t>FE LAAR CIA. LTDA. 000123259</t>
        </is>
      </c>
      <c r="I52" s="3" t="n">
        <v>5.09</v>
      </c>
      <c r="J52" s="3" t="n">
        <v>0</v>
      </c>
      <c r="K52" s="17" t="n">
        <v>8504.370000000001</v>
      </c>
    </row>
    <row r="53">
      <c r="A53" s="3" t="inlineStr">
        <is>
          <t>02.01.06.01.0017</t>
        </is>
      </c>
      <c r="B53" s="3" t="inlineStr">
        <is>
          <t>15% IVA</t>
        </is>
      </c>
      <c r="C53" s="3" t="inlineStr">
        <is>
          <t>N</t>
        </is>
      </c>
      <c r="D53" s="19" t="n">
        <v>46058</v>
      </c>
      <c r="E53" s="3" t="inlineStr">
        <is>
          <t>CP</t>
        </is>
      </c>
      <c r="F53" s="3" t="n">
        <v>57</v>
      </c>
      <c r="G53" s="3" t="n">
        <v>123260</v>
      </c>
      <c r="H53" s="3" t="inlineStr">
        <is>
          <t>FE LAAR CIA. LTDA. 000123260</t>
        </is>
      </c>
      <c r="I53" s="3" t="n">
        <v>10.34</v>
      </c>
      <c r="J53" s="3" t="n">
        <v>0</v>
      </c>
      <c r="K53" s="17" t="n">
        <v>8514.709999999999</v>
      </c>
    </row>
    <row r="54">
      <c r="A54" s="3" t="inlineStr">
        <is>
          <t>02.01.06.01.0017</t>
        </is>
      </c>
      <c r="B54" s="3" t="inlineStr">
        <is>
          <t>15% IVA</t>
        </is>
      </c>
      <c r="C54" s="3" t="inlineStr">
        <is>
          <t>N</t>
        </is>
      </c>
      <c r="D54" s="19" t="n">
        <v>46058</v>
      </c>
      <c r="E54" s="3" t="inlineStr">
        <is>
          <t>CP</t>
        </is>
      </c>
      <c r="F54" s="3" t="n">
        <v>57</v>
      </c>
      <c r="G54" s="3" t="n">
        <v>126</v>
      </c>
      <c r="H54" s="3" t="inlineStr">
        <is>
          <t>FE REINOSO SALAS YAJAIRA CAROL 000000126</t>
        </is>
      </c>
      <c r="I54" s="17" t="n">
        <v>7.5</v>
      </c>
      <c r="J54" s="3" t="n">
        <v>0</v>
      </c>
      <c r="K54" s="17" t="n">
        <v>8522.209999999999</v>
      </c>
    </row>
    <row r="55">
      <c r="A55" s="3" t="inlineStr">
        <is>
          <t>02.01.06.01.0017</t>
        </is>
      </c>
      <c r="B55" s="3" t="inlineStr">
        <is>
          <t>15% IVA</t>
        </is>
      </c>
      <c r="C55" s="3" t="inlineStr">
        <is>
          <t>N</t>
        </is>
      </c>
      <c r="D55" s="19" t="n">
        <v>46058</v>
      </c>
      <c r="E55" s="3" t="inlineStr">
        <is>
          <t>CP</t>
        </is>
      </c>
      <c r="F55" s="3" t="n">
        <v>57</v>
      </c>
      <c r="G55" s="3" t="n">
        <v>127</v>
      </c>
      <c r="H55" s="3" t="inlineStr">
        <is>
          <t>FE REINOSO SALAS YAJAIRA CAROL 000000127</t>
        </is>
      </c>
      <c r="I55" s="17" t="n">
        <v>7.5</v>
      </c>
      <c r="J55" s="3" t="n">
        <v>0</v>
      </c>
      <c r="K55" s="17" t="n">
        <v>8529.709999999999</v>
      </c>
    </row>
    <row r="56">
      <c r="A56" s="3" t="inlineStr">
        <is>
          <t>02.01.06.01.0017</t>
        </is>
      </c>
      <c r="B56" s="3" t="inlineStr">
        <is>
          <t>15% IVA</t>
        </is>
      </c>
      <c r="C56" s="3" t="inlineStr">
        <is>
          <t>N</t>
        </is>
      </c>
      <c r="D56" s="19" t="n">
        <v>46058</v>
      </c>
      <c r="E56" s="3" t="inlineStr">
        <is>
          <t>CP</t>
        </is>
      </c>
      <c r="F56" s="3" t="n">
        <v>57</v>
      </c>
      <c r="G56" s="3" t="n">
        <v>128</v>
      </c>
      <c r="H56" s="3" t="inlineStr">
        <is>
          <t>FE REINOSO SALAS YAJAIRA CAROL 000000128</t>
        </is>
      </c>
      <c r="I56" s="17" t="n">
        <v>6</v>
      </c>
      <c r="J56" s="3" t="n">
        <v>0</v>
      </c>
      <c r="K56" s="17" t="n">
        <v>8535.709999999999</v>
      </c>
    </row>
    <row r="57">
      <c r="A57" s="3" t="inlineStr">
        <is>
          <t>02.01.06.01.0017</t>
        </is>
      </c>
      <c r="B57" s="3" t="inlineStr">
        <is>
          <t>15% IVA</t>
        </is>
      </c>
      <c r="C57" s="3" t="inlineStr">
        <is>
          <t>N</t>
        </is>
      </c>
      <c r="D57" s="19" t="n">
        <v>46058</v>
      </c>
      <c r="E57" s="3" t="inlineStr">
        <is>
          <t>CP</t>
        </is>
      </c>
      <c r="F57" s="3" t="n">
        <v>57</v>
      </c>
      <c r="G57" s="3" t="n">
        <v>129</v>
      </c>
      <c r="H57" s="3" t="inlineStr">
        <is>
          <t>FE REINOSO SALAS YAJAIRA CAROL 000000129</t>
        </is>
      </c>
      <c r="I57" s="17" t="n">
        <v>7.5</v>
      </c>
      <c r="J57" s="3" t="n">
        <v>0</v>
      </c>
      <c r="K57" s="17" t="n">
        <v>8543.209999999999</v>
      </c>
    </row>
    <row r="58">
      <c r="A58" s="3" t="inlineStr">
        <is>
          <t>02.01.06.01.0017</t>
        </is>
      </c>
      <c r="B58" s="3" t="inlineStr">
        <is>
          <t>15% IVA</t>
        </is>
      </c>
      <c r="C58" s="3" t="inlineStr">
        <is>
          <t>N</t>
        </is>
      </c>
      <c r="D58" s="19" t="n">
        <v>46058</v>
      </c>
      <c r="E58" s="3" t="inlineStr">
        <is>
          <t>CP</t>
        </is>
      </c>
      <c r="F58" s="3" t="n">
        <v>57</v>
      </c>
      <c r="G58" s="3" t="n">
        <v>48</v>
      </c>
      <c r="H58" s="3" t="inlineStr">
        <is>
          <t>FE SOCIEDAD INDIVISA VILLACIS 000000048</t>
        </is>
      </c>
      <c r="I58" s="3" t="n">
        <v>60</v>
      </c>
      <c r="J58" s="3" t="n">
        <v>0</v>
      </c>
      <c r="K58" s="17" t="n">
        <v>8603.209999999999</v>
      </c>
    </row>
    <row r="59">
      <c r="A59" s="3" t="inlineStr">
        <is>
          <t>02.01.06.01.0017</t>
        </is>
      </c>
      <c r="B59" s="3" t="inlineStr">
        <is>
          <t>15% IVA</t>
        </is>
      </c>
      <c r="C59" s="3" t="inlineStr">
        <is>
          <t>N</t>
        </is>
      </c>
      <c r="D59" s="19" t="n">
        <v>46058</v>
      </c>
      <c r="E59" s="3" t="inlineStr">
        <is>
          <t>CP</t>
        </is>
      </c>
      <c r="F59" s="3" t="n">
        <v>57</v>
      </c>
      <c r="G59" s="3" t="n">
        <v>3181</v>
      </c>
      <c r="H59" s="3" t="inlineStr">
        <is>
          <t>FE SZK DEL ECUADOR S.A. 000003181</t>
        </is>
      </c>
      <c r="I59" s="3" t="n">
        <v>3316.73</v>
      </c>
      <c r="J59" s="3" t="n">
        <v>0</v>
      </c>
      <c r="K59" s="17" t="n">
        <v>11919.94</v>
      </c>
    </row>
    <row r="60">
      <c r="A60" s="3" t="inlineStr">
        <is>
          <t>02.01.06.01.0017</t>
        </is>
      </c>
      <c r="B60" s="3" t="inlineStr">
        <is>
          <t>15% IVA</t>
        </is>
      </c>
      <c r="C60" s="3" t="inlineStr">
        <is>
          <t>N</t>
        </is>
      </c>
      <c r="D60" s="19" t="n">
        <v>46058</v>
      </c>
      <c r="E60" s="3" t="inlineStr">
        <is>
          <t>CP</t>
        </is>
      </c>
      <c r="F60" s="3" t="n">
        <v>57</v>
      </c>
      <c r="G60" s="3" t="n">
        <v>5286</v>
      </c>
      <c r="H60" s="3" t="inlineStr">
        <is>
          <t>FE TALENTOPSA S.A 000005286</t>
        </is>
      </c>
      <c r="I60" s="3" t="n">
        <v>13.46</v>
      </c>
      <c r="J60" s="3" t="n">
        <v>0</v>
      </c>
      <c r="K60" s="17" t="n">
        <v>11933.4</v>
      </c>
    </row>
    <row r="61">
      <c r="A61" s="3" t="inlineStr">
        <is>
          <t>02.01.06.01.0017</t>
        </is>
      </c>
      <c r="B61" s="3" t="inlineStr">
        <is>
          <t>15% IVA</t>
        </is>
      </c>
      <c r="C61" s="3" t="inlineStr">
        <is>
          <t>N</t>
        </is>
      </c>
      <c r="D61" s="19" t="n">
        <v>46058</v>
      </c>
      <c r="E61" s="3" t="inlineStr">
        <is>
          <t>CP</t>
        </is>
      </c>
      <c r="F61" s="3" t="n">
        <v>57</v>
      </c>
      <c r="G61" s="3" t="n">
        <v>52828</v>
      </c>
      <c r="H61" s="3" t="inlineStr">
        <is>
          <t>FE TOYOTASERVICIOS S.A. 000052828</t>
        </is>
      </c>
      <c r="I61" s="3" t="n">
        <v>7.29</v>
      </c>
      <c r="J61" s="3" t="n">
        <v>0</v>
      </c>
      <c r="K61" s="17" t="n">
        <v>11940.69</v>
      </c>
    </row>
    <row r="62">
      <c r="A62" s="3" t="inlineStr">
        <is>
          <t>02.01.06.01.0017</t>
        </is>
      </c>
      <c r="B62" s="3" t="inlineStr">
        <is>
          <t>15% IVA</t>
        </is>
      </c>
      <c r="C62" s="3" t="inlineStr">
        <is>
          <t>N</t>
        </is>
      </c>
      <c r="D62" s="19" t="n">
        <v>46059</v>
      </c>
      <c r="E62" s="3" t="inlineStr">
        <is>
          <t>CP</t>
        </is>
      </c>
      <c r="F62" s="3" t="n">
        <v>59</v>
      </c>
      <c r="G62" s="3" t="n">
        <v>6748</v>
      </c>
      <c r="H62" s="3" t="inlineStr">
        <is>
          <t>FE ASO. EMPRESAS AUTOMOTRICES 000006748</t>
        </is>
      </c>
      <c r="I62" s="3" t="n">
        <v>270</v>
      </c>
      <c r="J62" s="3" t="n">
        <v>0</v>
      </c>
      <c r="K62" s="17" t="n">
        <v>12210.69</v>
      </c>
    </row>
    <row r="63">
      <c r="A63" s="3" t="inlineStr">
        <is>
          <t>02.01.06.01.0017</t>
        </is>
      </c>
      <c r="B63" s="3" t="inlineStr">
        <is>
          <t>15% IVA</t>
        </is>
      </c>
      <c r="C63" s="3" t="inlineStr">
        <is>
          <t>N</t>
        </is>
      </c>
      <c r="D63" s="19" t="n">
        <v>46061</v>
      </c>
      <c r="E63" s="3" t="inlineStr">
        <is>
          <t>CP</t>
        </is>
      </c>
      <c r="F63" s="3" t="n">
        <v>70</v>
      </c>
      <c r="G63" s="3" t="n">
        <v>1176</v>
      </c>
      <c r="H63" s="3" t="inlineStr">
        <is>
          <t>FE CATAÑA DIAZ ANDREA BELEN 000001176</t>
        </is>
      </c>
      <c r="I63" s="3" t="n">
        <v>14.1</v>
      </c>
      <c r="J63" s="3" t="n">
        <v>0</v>
      </c>
      <c r="K63" s="17" t="n">
        <v>12224.79</v>
      </c>
    </row>
    <row r="64">
      <c r="A64" s="3" t="inlineStr">
        <is>
          <t>02.01.06.01.0017</t>
        </is>
      </c>
      <c r="B64" s="3" t="inlineStr">
        <is>
          <t>15% IVA</t>
        </is>
      </c>
      <c r="C64" s="3" t="inlineStr">
        <is>
          <t>N</t>
        </is>
      </c>
      <c r="D64" s="19" t="n">
        <v>46061</v>
      </c>
      <c r="E64" s="3" t="inlineStr">
        <is>
          <t>CP</t>
        </is>
      </c>
      <c r="F64" s="3" t="n">
        <v>70</v>
      </c>
      <c r="G64" s="3" t="n">
        <v>730023</v>
      </c>
      <c r="H64" s="3" t="inlineStr">
        <is>
          <t>FE COMERCIAL KYWI S.A. 000730023</t>
        </is>
      </c>
      <c r="I64" s="3" t="n">
        <v>11.07</v>
      </c>
      <c r="J64" s="3" t="n">
        <v>0</v>
      </c>
      <c r="K64" s="17" t="n">
        <v>12235.86</v>
      </c>
    </row>
    <row r="65">
      <c r="A65" s="3" t="inlineStr">
        <is>
          <t>02.01.06.01.0017</t>
        </is>
      </c>
      <c r="B65" s="3" t="inlineStr">
        <is>
          <t>15% IVA</t>
        </is>
      </c>
      <c r="C65" s="3" t="inlineStr">
        <is>
          <t>N</t>
        </is>
      </c>
      <c r="D65" s="19" t="n">
        <v>46061</v>
      </c>
      <c r="E65" s="3" t="inlineStr">
        <is>
          <t>CP</t>
        </is>
      </c>
      <c r="F65" s="3" t="n">
        <v>70</v>
      </c>
      <c r="G65" s="3" t="n">
        <v>125378</v>
      </c>
      <c r="H65" s="3" t="inlineStr">
        <is>
          <t>FE GONZALEZ VEGA EL MOTOR CIA 000125378</t>
        </is>
      </c>
      <c r="I65" s="3" t="n">
        <v>11.7</v>
      </c>
      <c r="J65" s="3" t="n">
        <v>0</v>
      </c>
      <c r="K65" s="17" t="n">
        <v>12247.56</v>
      </c>
    </row>
    <row r="66">
      <c r="A66" s="3" t="inlineStr">
        <is>
          <t>02.01.06.01.0017</t>
        </is>
      </c>
      <c r="B66" s="3" t="inlineStr">
        <is>
          <t>15% IVA</t>
        </is>
      </c>
      <c r="C66" s="3" t="inlineStr">
        <is>
          <t>N</t>
        </is>
      </c>
      <c r="D66" s="19" t="n">
        <v>46061</v>
      </c>
      <c r="E66" s="3" t="inlineStr">
        <is>
          <t>CP</t>
        </is>
      </c>
      <c r="F66" s="3" t="n">
        <v>70</v>
      </c>
      <c r="G66" s="3" t="n">
        <v>3607</v>
      </c>
      <c r="H66" s="3" t="inlineStr">
        <is>
          <t>FE PAEZ ORTIZ CHRISTIAN GONZAL 000003607</t>
        </is>
      </c>
      <c r="I66" s="3" t="n">
        <v>9</v>
      </c>
      <c r="J66" s="3" t="n">
        <v>0</v>
      </c>
      <c r="K66" s="17" t="n">
        <v>12256.56</v>
      </c>
    </row>
    <row r="67">
      <c r="A67" s="3" t="inlineStr">
        <is>
          <t>02.01.06.01.0017</t>
        </is>
      </c>
      <c r="B67" s="3" t="inlineStr">
        <is>
          <t>15% IVA</t>
        </is>
      </c>
      <c r="C67" s="3" t="inlineStr">
        <is>
          <t>N</t>
        </is>
      </c>
      <c r="D67" s="19" t="n">
        <v>46061</v>
      </c>
      <c r="E67" s="3" t="inlineStr">
        <is>
          <t>CP</t>
        </is>
      </c>
      <c r="F67" s="3" t="n">
        <v>70</v>
      </c>
      <c r="G67" s="3" t="n">
        <v>52</v>
      </c>
      <c r="H67" s="3" t="inlineStr">
        <is>
          <t>FE POVEDA ALMEIDA EFRAIN ALEJA 000000052</t>
        </is>
      </c>
      <c r="I67" s="3" t="n">
        <v>13.5</v>
      </c>
      <c r="J67" s="3" t="n">
        <v>0</v>
      </c>
      <c r="K67" s="17" t="n">
        <v>12270.06</v>
      </c>
    </row>
    <row r="68">
      <c r="A68" s="3" t="inlineStr">
        <is>
          <t>02.01.06.01.0017</t>
        </is>
      </c>
      <c r="B68" s="3" t="inlineStr">
        <is>
          <t>15% IVA</t>
        </is>
      </c>
      <c r="C68" s="3" t="inlineStr">
        <is>
          <t>N</t>
        </is>
      </c>
      <c r="D68" s="19" t="n">
        <v>46061</v>
      </c>
      <c r="E68" s="3" t="inlineStr">
        <is>
          <t>CP</t>
        </is>
      </c>
      <c r="F68" s="3" t="n">
        <v>70</v>
      </c>
      <c r="G68" s="3" t="n">
        <v>53</v>
      </c>
      <c r="H68" s="3" t="inlineStr">
        <is>
          <t>FE POVEDA ALMEIDA EFRAIN ALEJA 000000053</t>
        </is>
      </c>
      <c r="I68" s="3" t="n">
        <v>10.5</v>
      </c>
      <c r="J68" s="3" t="n">
        <v>0</v>
      </c>
      <c r="K68" s="17" t="n">
        <v>12280.56</v>
      </c>
    </row>
    <row r="69">
      <c r="A69" s="3" t="inlineStr">
        <is>
          <t>02.01.06.01.0017</t>
        </is>
      </c>
      <c r="B69" s="3" t="inlineStr">
        <is>
          <t>15% IVA</t>
        </is>
      </c>
      <c r="C69" s="3" t="inlineStr">
        <is>
          <t>N</t>
        </is>
      </c>
      <c r="D69" s="19" t="n">
        <v>46061</v>
      </c>
      <c r="E69" s="3" t="inlineStr">
        <is>
          <t>CP</t>
        </is>
      </c>
      <c r="F69" s="3" t="n">
        <v>70</v>
      </c>
      <c r="G69" s="3" t="n">
        <v>54</v>
      </c>
      <c r="H69" s="3" t="inlineStr">
        <is>
          <t>FE POVEDA ALMEIDA EFRAIN ALEJA 000000054</t>
        </is>
      </c>
      <c r="I69" s="3" t="n">
        <v>10.5</v>
      </c>
      <c r="J69" s="3" t="n">
        <v>0</v>
      </c>
      <c r="K69" s="17" t="n">
        <v>12291.06</v>
      </c>
    </row>
    <row r="70">
      <c r="A70" s="3" t="inlineStr">
        <is>
          <t>02.01.06.01.0017</t>
        </is>
      </c>
      <c r="B70" s="3" t="inlineStr">
        <is>
          <t>15% IVA</t>
        </is>
      </c>
      <c r="C70" s="3" t="inlineStr">
        <is>
          <t>N</t>
        </is>
      </c>
      <c r="D70" s="19" t="n">
        <v>46061</v>
      </c>
      <c r="E70" s="3" t="inlineStr">
        <is>
          <t>CP</t>
        </is>
      </c>
      <c r="F70" s="3" t="n">
        <v>70</v>
      </c>
      <c r="G70" s="3" t="n">
        <v>6831</v>
      </c>
      <c r="H70" s="3" t="inlineStr">
        <is>
          <t>FE TOYOTASERVICIOS S.A. 000006831</t>
        </is>
      </c>
      <c r="I70" s="3" t="n">
        <v>4.66</v>
      </c>
      <c r="J70" s="3" t="n">
        <v>0</v>
      </c>
      <c r="K70" s="17" t="n">
        <v>12295.72</v>
      </c>
    </row>
    <row r="71">
      <c r="A71" s="3" t="inlineStr">
        <is>
          <t>02.01.06.01.0017</t>
        </is>
      </c>
      <c r="B71" s="3" t="inlineStr">
        <is>
          <t>15% IVA</t>
        </is>
      </c>
      <c r="C71" s="3" t="inlineStr">
        <is>
          <t>N</t>
        </is>
      </c>
      <c r="D71" s="19" t="n">
        <v>46061</v>
      </c>
      <c r="E71" s="3" t="inlineStr">
        <is>
          <t>CP</t>
        </is>
      </c>
      <c r="F71" s="3" t="n">
        <v>70</v>
      </c>
      <c r="G71" s="3" t="n">
        <v>6832</v>
      </c>
      <c r="H71" s="3" t="inlineStr">
        <is>
          <t>FE TOYOTASERVICIOS S.A. 000006832</t>
        </is>
      </c>
      <c r="I71" s="3" t="n">
        <v>2.07</v>
      </c>
      <c r="J71" s="3" t="n">
        <v>0</v>
      </c>
      <c r="K71" s="17" t="n">
        <v>12297.79</v>
      </c>
    </row>
    <row r="72">
      <c r="A72" s="3" t="inlineStr">
        <is>
          <t>02.01.06.01.0017</t>
        </is>
      </c>
      <c r="B72" s="3" t="inlineStr">
        <is>
          <t>15% IVA</t>
        </is>
      </c>
      <c r="C72" s="3" t="inlineStr">
        <is>
          <t>N</t>
        </is>
      </c>
      <c r="D72" s="19" t="n">
        <v>46061</v>
      </c>
      <c r="E72" s="3" t="inlineStr">
        <is>
          <t>CP</t>
        </is>
      </c>
      <c r="F72" s="3" t="n">
        <v>70</v>
      </c>
      <c r="G72" s="3" t="n">
        <v>6833</v>
      </c>
      <c r="H72" s="3" t="inlineStr">
        <is>
          <t>FE TOYOTASERVICIOS S.A. 000006833</t>
        </is>
      </c>
      <c r="I72" s="3" t="n">
        <v>4.48</v>
      </c>
      <c r="J72" s="3" t="n">
        <v>0</v>
      </c>
      <c r="K72" s="17" t="n">
        <v>12302.27</v>
      </c>
    </row>
    <row r="73">
      <c r="A73" s="3" t="inlineStr">
        <is>
          <t>02.01.06.01.0017</t>
        </is>
      </c>
      <c r="B73" s="3" t="inlineStr">
        <is>
          <t>15% IVA</t>
        </is>
      </c>
      <c r="C73" s="3" t="inlineStr">
        <is>
          <t>N</t>
        </is>
      </c>
      <c r="D73" s="19" t="n">
        <v>46061</v>
      </c>
      <c r="E73" s="3" t="inlineStr">
        <is>
          <t>CP</t>
        </is>
      </c>
      <c r="F73" s="3" t="n">
        <v>70</v>
      </c>
      <c r="G73" s="3" t="n">
        <v>6834</v>
      </c>
      <c r="H73" s="3" t="inlineStr">
        <is>
          <t>FE TOYOTASERVICIOS S.A. 000006834</t>
        </is>
      </c>
      <c r="I73" s="3" t="n">
        <v>2.07</v>
      </c>
      <c r="J73" s="3" t="n">
        <v>0</v>
      </c>
      <c r="K73" s="17" t="n">
        <v>12304.34</v>
      </c>
    </row>
    <row r="74">
      <c r="A74" s="3" t="inlineStr">
        <is>
          <t>02.01.06.01.0017</t>
        </is>
      </c>
      <c r="B74" s="3" t="inlineStr">
        <is>
          <t>15% IVA</t>
        </is>
      </c>
      <c r="C74" s="3" t="inlineStr">
        <is>
          <t>N</t>
        </is>
      </c>
      <c r="D74" s="19" t="n">
        <v>46061</v>
      </c>
      <c r="E74" s="3" t="inlineStr">
        <is>
          <t>CP</t>
        </is>
      </c>
      <c r="F74" s="3" t="n">
        <v>70</v>
      </c>
      <c r="G74" s="3" t="n">
        <v>52829</v>
      </c>
      <c r="H74" s="3" t="inlineStr">
        <is>
          <t>FE TOYOTASERVICIOS S.A. 000052829</t>
        </is>
      </c>
      <c r="I74" s="3" t="n">
        <v>27</v>
      </c>
      <c r="J74" s="3" t="n">
        <v>0</v>
      </c>
      <c r="K74" s="17" t="n">
        <v>12331.34</v>
      </c>
    </row>
    <row r="75">
      <c r="A75" s="3" t="inlineStr">
        <is>
          <t>02.01.06.01.0017</t>
        </is>
      </c>
      <c r="B75" s="3" t="inlineStr">
        <is>
          <t>15% IVA</t>
        </is>
      </c>
      <c r="C75" s="3" t="inlineStr">
        <is>
          <t>N</t>
        </is>
      </c>
      <c r="D75" s="19" t="n">
        <v>46062</v>
      </c>
      <c r="E75" s="3" t="inlineStr">
        <is>
          <t>CP</t>
        </is>
      </c>
      <c r="F75" s="3" t="n">
        <v>84</v>
      </c>
      <c r="G75" s="3" t="n">
        <v>6770</v>
      </c>
      <c r="H75" s="3" t="inlineStr">
        <is>
          <t>FE ASO. EMPRESAS AUTOMOTRICES 000006770</t>
        </is>
      </c>
      <c r="I75" s="3" t="n">
        <v>91.5</v>
      </c>
      <c r="J75" s="3" t="n">
        <v>0</v>
      </c>
      <c r="K75" s="17" t="n">
        <v>12422.84</v>
      </c>
    </row>
    <row r="76">
      <c r="A76" s="3" t="inlineStr">
        <is>
          <t>02.01.06.01.0017</t>
        </is>
      </c>
      <c r="B76" s="3" t="inlineStr">
        <is>
          <t>15% IVA</t>
        </is>
      </c>
      <c r="C76" s="3" t="inlineStr">
        <is>
          <t>N</t>
        </is>
      </c>
      <c r="D76" s="19" t="n">
        <v>46062</v>
      </c>
      <c r="E76" s="3" t="inlineStr">
        <is>
          <t>CP</t>
        </is>
      </c>
      <c r="F76" s="3" t="n">
        <v>84</v>
      </c>
      <c r="G76" s="3" t="n">
        <v>932</v>
      </c>
      <c r="H76" s="3" t="inlineStr">
        <is>
          <t>FE CENTRO DE SERVICIOS COMPART 000000932</t>
        </is>
      </c>
      <c r="I76" s="3" t="n">
        <v>240.64</v>
      </c>
      <c r="J76" s="3" t="n">
        <v>0</v>
      </c>
      <c r="K76" s="17" t="n">
        <v>12663.48</v>
      </c>
    </row>
    <row r="77">
      <c r="A77" s="3" t="inlineStr">
        <is>
          <t>02.01.06.01.0017</t>
        </is>
      </c>
      <c r="B77" s="3" t="inlineStr">
        <is>
          <t>15% IVA</t>
        </is>
      </c>
      <c r="C77" s="3" t="inlineStr">
        <is>
          <t>N</t>
        </is>
      </c>
      <c r="D77" s="19" t="n">
        <v>46062</v>
      </c>
      <c r="E77" s="3" t="inlineStr">
        <is>
          <t>CP</t>
        </is>
      </c>
      <c r="F77" s="3" t="n">
        <v>84</v>
      </c>
      <c r="G77" s="3" t="n">
        <v>10912</v>
      </c>
      <c r="H77" s="3" t="inlineStr">
        <is>
          <t>FE MANTELCOA CIA. LTDA. 000010912</t>
        </is>
      </c>
      <c r="I77" s="3" t="n">
        <v>27</v>
      </c>
      <c r="J77" s="3" t="n">
        <v>0</v>
      </c>
      <c r="K77" s="17" t="n">
        <v>12690.48</v>
      </c>
    </row>
    <row r="78">
      <c r="A78" s="3" t="inlineStr">
        <is>
          <t>02.01.06.01.0017</t>
        </is>
      </c>
      <c r="B78" s="3" t="inlineStr">
        <is>
          <t>15% IVA</t>
        </is>
      </c>
      <c r="C78" s="3" t="inlineStr">
        <is>
          <t>N</t>
        </is>
      </c>
      <c r="D78" s="19" t="n">
        <v>46062</v>
      </c>
      <c r="E78" s="3" t="inlineStr">
        <is>
          <t>CP</t>
        </is>
      </c>
      <c r="F78" s="3" t="n">
        <v>84</v>
      </c>
      <c r="G78" s="3" t="n">
        <v>55</v>
      </c>
      <c r="H78" s="3" t="inlineStr">
        <is>
          <t>FE POVEDA ALMEIDA EFRAIN ALEJA 000000055</t>
        </is>
      </c>
      <c r="I78" s="3" t="n">
        <v>10.5</v>
      </c>
      <c r="J78" s="3" t="n">
        <v>0</v>
      </c>
      <c r="K78" s="17" t="n">
        <v>12700.98</v>
      </c>
    </row>
    <row r="79">
      <c r="A79" s="3" t="inlineStr">
        <is>
          <t>02.01.06.01.0017</t>
        </is>
      </c>
      <c r="B79" s="3" t="inlineStr">
        <is>
          <t>15% IVA</t>
        </is>
      </c>
      <c r="C79" s="3" t="inlineStr">
        <is>
          <t>N</t>
        </is>
      </c>
      <c r="D79" s="19" t="n">
        <v>46062</v>
      </c>
      <c r="E79" s="3" t="inlineStr">
        <is>
          <t>CP</t>
        </is>
      </c>
      <c r="F79" s="3" t="n">
        <v>84</v>
      </c>
      <c r="G79" s="3" t="n">
        <v>56</v>
      </c>
      <c r="H79" s="3" t="inlineStr">
        <is>
          <t>FE POVEDA ALMEIDA EFRAIN ALEJA 000000056</t>
        </is>
      </c>
      <c r="I79" s="3" t="n">
        <v>13.5</v>
      </c>
      <c r="J79" s="3" t="n">
        <v>0</v>
      </c>
      <c r="K79" s="17" t="n">
        <v>12714.48</v>
      </c>
    </row>
    <row r="80">
      <c r="A80" s="3" t="inlineStr">
        <is>
          <t>02.01.06.01.0017</t>
        </is>
      </c>
      <c r="B80" s="3" t="inlineStr">
        <is>
          <t>15% IVA</t>
        </is>
      </c>
      <c r="C80" s="3" t="inlineStr">
        <is>
          <t>N</t>
        </is>
      </c>
      <c r="D80" s="19" t="n">
        <v>46062</v>
      </c>
      <c r="E80" s="3" t="inlineStr">
        <is>
          <t>CP</t>
        </is>
      </c>
      <c r="F80" s="3" t="n">
        <v>84</v>
      </c>
      <c r="G80" s="3" t="n">
        <v>640</v>
      </c>
      <c r="H80" s="3" t="inlineStr">
        <is>
          <t>FE YANGTSE-AUTO DEL ECUADOR S. 000000640</t>
        </is>
      </c>
      <c r="I80" s="17" t="n">
        <v>2097.13</v>
      </c>
      <c r="J80" s="3" t="n">
        <v>0</v>
      </c>
      <c r="K80" s="17" t="n">
        <v>14811.61</v>
      </c>
    </row>
    <row r="81">
      <c r="A81" s="3" t="inlineStr">
        <is>
          <t>02.01.06.01.0017</t>
        </is>
      </c>
      <c r="B81" s="3" t="inlineStr">
        <is>
          <t>15% IVA</t>
        </is>
      </c>
      <c r="C81" s="3" t="inlineStr">
        <is>
          <t>N</t>
        </is>
      </c>
      <c r="D81" s="19" t="n">
        <v>46063</v>
      </c>
      <c r="E81" s="3" t="inlineStr">
        <is>
          <t>INVEN</t>
        </is>
      </c>
      <c r="F81" s="3" t="n">
        <v>103</v>
      </c>
      <c r="G81" s="3" t="n">
        <v>14881</v>
      </c>
      <c r="H81" s="3" t="inlineStr">
        <is>
          <t>IN TOYOTASERVICIOS S.A. 000014881</t>
        </is>
      </c>
      <c r="I81" s="17" t="n">
        <v>101.42</v>
      </c>
      <c r="J81" s="3" t="n">
        <v>0</v>
      </c>
      <c r="K81" s="17" t="n">
        <v>14913.03</v>
      </c>
    </row>
    <row r="82">
      <c r="A82" s="3" t="inlineStr">
        <is>
          <t>02.01.06.01.0017</t>
        </is>
      </c>
      <c r="B82" s="3" t="inlineStr">
        <is>
          <t>15% IVA</t>
        </is>
      </c>
      <c r="C82" s="3" t="inlineStr">
        <is>
          <t>N</t>
        </is>
      </c>
      <c r="D82" s="19" t="n">
        <v>46057</v>
      </c>
      <c r="E82" s="3" t="inlineStr">
        <is>
          <t>INVEN</t>
        </is>
      </c>
      <c r="F82" s="3" t="n">
        <v>51</v>
      </c>
      <c r="G82" s="3" t="n">
        <v>523</v>
      </c>
      <c r="H82" s="3" t="inlineStr">
        <is>
          <t>IN YANGTSE-AUTO DEL ECUADOR S.A. 000000523</t>
        </is>
      </c>
      <c r="I82" s="3" t="n">
        <v>52.17</v>
      </c>
      <c r="J82" s="3" t="n">
        <v>0</v>
      </c>
      <c r="K82" s="17" t="n">
        <v>14965.2</v>
      </c>
    </row>
    <row r="83">
      <c r="A83" s="3" t="inlineStr">
        <is>
          <t>02.01.06.01.0017</t>
        </is>
      </c>
      <c r="B83" s="3" t="inlineStr">
        <is>
          <t>15% IVA</t>
        </is>
      </c>
      <c r="C83" s="3" t="inlineStr">
        <is>
          <t>N</t>
        </is>
      </c>
      <c r="D83" s="19" t="n">
        <v>46057</v>
      </c>
      <c r="E83" s="3" t="inlineStr">
        <is>
          <t>INVEN</t>
        </is>
      </c>
      <c r="F83" s="3" t="n">
        <v>52</v>
      </c>
      <c r="G83" s="3" t="n">
        <v>17622</v>
      </c>
      <c r="H83" s="3" t="inlineStr">
        <is>
          <t>IN TITANIA TRACKING SOLUTIONS-EC S A S 000017622</t>
        </is>
      </c>
      <c r="I83" s="3" t="n">
        <v>306</v>
      </c>
      <c r="J83" s="3" t="n">
        <v>0</v>
      </c>
      <c r="K83" s="17" t="n">
        <v>15271.2</v>
      </c>
    </row>
    <row r="84">
      <c r="A84" s="3" t="inlineStr">
        <is>
          <t>02.01.06.01.0017</t>
        </is>
      </c>
      <c r="B84" s="3" t="inlineStr">
        <is>
          <t>15% IVA</t>
        </is>
      </c>
      <c r="C84" s="3" t="inlineStr">
        <is>
          <t>N</t>
        </is>
      </c>
      <c r="D84" s="19" t="n">
        <v>46058</v>
      </c>
      <c r="E84" s="3" t="inlineStr">
        <is>
          <t>INVEN</t>
        </is>
      </c>
      <c r="F84" s="3" t="n">
        <v>54</v>
      </c>
      <c r="G84" s="3" t="n">
        <v>17621</v>
      </c>
      <c r="H84" s="3" t="inlineStr">
        <is>
          <t>IN TITANIA TRACKING SOLUTIONS-EC S A S 000017621</t>
        </is>
      </c>
      <c r="I84" s="3" t="n">
        <v>306</v>
      </c>
      <c r="J84" s="3" t="n">
        <v>0</v>
      </c>
      <c r="K84" s="17" t="n">
        <v>15577.2</v>
      </c>
    </row>
    <row r="85">
      <c r="A85" s="3" t="inlineStr">
        <is>
          <t>02.01.06.01.0017</t>
        </is>
      </c>
      <c r="B85" s="3" t="inlineStr">
        <is>
          <t>15% IVA</t>
        </is>
      </c>
      <c r="C85" s="3" t="inlineStr">
        <is>
          <t>N</t>
        </is>
      </c>
      <c r="D85" s="19" t="n">
        <v>46058</v>
      </c>
      <c r="E85" s="3" t="inlineStr">
        <is>
          <t>INVEN</t>
        </is>
      </c>
      <c r="F85" s="3" t="n">
        <v>55</v>
      </c>
      <c r="G85" s="3" t="n">
        <v>14870</v>
      </c>
      <c r="H85" s="3" t="inlineStr">
        <is>
          <t>IN TOYOTASERVICIOS S.A. 000014870</t>
        </is>
      </c>
      <c r="I85" s="3" t="n">
        <v>102.09</v>
      </c>
      <c r="J85" s="3" t="n">
        <v>0</v>
      </c>
      <c r="K85" s="17" t="n">
        <v>15679.29</v>
      </c>
    </row>
    <row r="86">
      <c r="A86" s="3" t="inlineStr">
        <is>
          <t>02.01.06.01.0017</t>
        </is>
      </c>
      <c r="B86" s="3" t="inlineStr">
        <is>
          <t>15% IVA</t>
        </is>
      </c>
      <c r="C86" s="3" t="inlineStr">
        <is>
          <t>N</t>
        </is>
      </c>
      <c r="D86" s="19" t="n">
        <v>46058</v>
      </c>
      <c r="E86" s="3" t="inlineStr">
        <is>
          <t>INVEN</t>
        </is>
      </c>
      <c r="F86" s="3" t="n">
        <v>56</v>
      </c>
      <c r="G86" s="3" t="n">
        <v>1518</v>
      </c>
      <c r="H86" s="3" t="inlineStr">
        <is>
          <t>IN SZK DEL ECUADOR S.A. 000001518</t>
        </is>
      </c>
      <c r="I86" s="3" t="n">
        <v>65.22</v>
      </c>
      <c r="J86" s="3" t="n">
        <v>0</v>
      </c>
      <c r="K86" s="17" t="n">
        <v>15744.51</v>
      </c>
    </row>
    <row r="87">
      <c r="A87" s="3" t="inlineStr">
        <is>
          <t>02.01.06.01.0017</t>
        </is>
      </c>
      <c r="B87" s="3" t="inlineStr">
        <is>
          <t>15% IVA</t>
        </is>
      </c>
      <c r="C87" s="3" t="inlineStr">
        <is>
          <t>N</t>
        </is>
      </c>
      <c r="D87" s="19" t="n">
        <v>46059</v>
      </c>
      <c r="E87" s="3" t="inlineStr">
        <is>
          <t>INVEN</t>
        </is>
      </c>
      <c r="F87" s="3" t="n">
        <v>58</v>
      </c>
      <c r="G87" s="3" t="n">
        <v>14871</v>
      </c>
      <c r="H87" s="3" t="inlineStr">
        <is>
          <t>IN TOYOTASERVICIOS S.A. 000014871</t>
        </is>
      </c>
      <c r="I87" s="3" t="n">
        <v>30.69</v>
      </c>
      <c r="J87" s="3" t="n">
        <v>0</v>
      </c>
      <c r="K87" s="17" t="n">
        <v>15775.2</v>
      </c>
    </row>
    <row r="88">
      <c r="A88" s="3" t="n"/>
      <c r="B88" s="3" t="n"/>
      <c r="C88" s="3" t="n"/>
      <c r="D88" s="19" t="n"/>
      <c r="E88" s="3" t="n"/>
      <c r="F88" s="3" t="n"/>
      <c r="G88" s="3" t="n"/>
      <c r="H88" s="3" t="n"/>
      <c r="I88" s="3">
        <f>SUM(I2:I87)</f>
        <v/>
      </c>
      <c r="J88" s="3">
        <f>SUM(J2:J87)</f>
        <v/>
      </c>
      <c r="K88" s="17" t="n"/>
    </row>
    <row r="89">
      <c r="A89" s="3" t="n"/>
      <c r="B89" s="3" t="n"/>
      <c r="C89" s="3" t="n"/>
      <c r="D89" s="19" t="n"/>
      <c r="E89" s="3" t="n"/>
      <c r="F89" s="3" t="n"/>
      <c r="G89" s="3" t="n"/>
      <c r="H89" s="3" t="n"/>
      <c r="I89" s="17" t="n"/>
      <c r="J89" s="3" t="n"/>
      <c r="K89" s="17">
        <f>+I88-J88</f>
        <v/>
      </c>
    </row>
    <row r="90">
      <c r="A90" s="3" t="n"/>
      <c r="B90" s="3" t="n"/>
      <c r="C90" s="3" t="n"/>
      <c r="D90" s="19" t="n"/>
      <c r="E90" s="3" t="n"/>
      <c r="F90" s="3" t="n"/>
      <c r="G90" s="3" t="n"/>
      <c r="H90" s="3" t="n"/>
      <c r="I90" s="17" t="n"/>
      <c r="J90" s="3" t="n"/>
      <c r="K90" s="17" t="n"/>
    </row>
    <row r="91">
      <c r="A91" s="3" t="n"/>
      <c r="B91" s="3" t="n"/>
      <c r="C91" s="3" t="n"/>
      <c r="D91" s="19" t="n"/>
      <c r="E91" s="3" t="n"/>
      <c r="F91" s="3" t="n"/>
      <c r="G91" s="3" t="n"/>
      <c r="H91" s="3" t="n"/>
      <c r="I91" s="3" t="n"/>
      <c r="J91" s="3" t="n"/>
      <c r="K91" s="17" t="n"/>
    </row>
    <row r="92">
      <c r="A92" s="3" t="n"/>
      <c r="B92" s="3" t="n"/>
      <c r="C92" s="3" t="n"/>
      <c r="D92" s="19" t="n"/>
      <c r="E92" s="3" t="n"/>
      <c r="F92" s="3" t="n"/>
      <c r="G92" s="3" t="n"/>
      <c r="H92" s="3" t="n"/>
      <c r="I92" s="3" t="n"/>
      <c r="J92" s="3" t="n"/>
      <c r="K92" s="17" t="n"/>
    </row>
    <row r="93">
      <c r="A93" s="3" t="n"/>
      <c r="B93" s="3" t="n"/>
      <c r="C93" s="3" t="n"/>
      <c r="D93" s="19" t="n"/>
      <c r="E93" s="3" t="n"/>
      <c r="F93" s="3" t="n"/>
      <c r="G93" s="3" t="n"/>
      <c r="H93" s="3" t="n"/>
      <c r="I93" s="3" t="n"/>
      <c r="J93" s="3" t="n"/>
      <c r="K93" s="17" t="n"/>
    </row>
    <row r="94">
      <c r="A94" s="3" t="n"/>
      <c r="B94" s="3" t="n"/>
      <c r="C94" s="3" t="n"/>
      <c r="D94" s="19" t="n"/>
      <c r="E94" s="3" t="n"/>
      <c r="F94" s="3" t="n"/>
      <c r="G94" s="3" t="n"/>
      <c r="H94" s="3" t="n"/>
      <c r="I94" s="3" t="n"/>
      <c r="J94" s="3" t="n"/>
      <c r="K94" s="17" t="n"/>
    </row>
    <row r="95">
      <c r="A95" s="3" t="inlineStr">
        <is>
          <t>02.01.06.01.0017</t>
        </is>
      </c>
      <c r="B95" s="3" t="inlineStr">
        <is>
          <t>15% IVA</t>
        </is>
      </c>
      <c r="C95" s="3" t="inlineStr">
        <is>
          <t>N</t>
        </is>
      </c>
      <c r="D95" s="19" t="n">
        <v>46055</v>
      </c>
      <c r="E95" s="3" t="inlineStr">
        <is>
          <t>VARIO</t>
        </is>
      </c>
      <c r="F95" s="3" t="n">
        <v>263</v>
      </c>
      <c r="G95" s="3" t="n"/>
      <c r="H95" s="3" t="inlineStr">
        <is>
          <t>MOD. CONTABILIDAD CON01</t>
        </is>
      </c>
      <c r="I95" s="3" t="n">
        <v>0</v>
      </c>
      <c r="J95" s="3" t="n">
        <v>1446.59</v>
      </c>
      <c r="K95" s="17" t="n">
        <v>14328.61</v>
      </c>
    </row>
    <row r="96">
      <c r="A96" s="3" t="inlineStr">
        <is>
          <t>02.01.06.01.0017</t>
        </is>
      </c>
      <c r="B96" s="3" t="inlineStr">
        <is>
          <t>15% IVA</t>
        </is>
      </c>
      <c r="C96" s="3" t="inlineStr">
        <is>
          <t>N</t>
        </is>
      </c>
      <c r="D96" s="19" t="n">
        <v>46056</v>
      </c>
      <c r="E96" s="3" t="inlineStr">
        <is>
          <t>VARIO</t>
        </is>
      </c>
      <c r="F96" s="3" t="n">
        <v>264</v>
      </c>
      <c r="G96" s="3" t="n"/>
      <c r="H96" s="3" t="inlineStr">
        <is>
          <t>MOD. CONTABILIDAD CON01</t>
        </is>
      </c>
      <c r="I96" s="3" t="n">
        <v>0</v>
      </c>
      <c r="J96" s="3" t="n">
        <v>3075</v>
      </c>
      <c r="K96" s="17" t="n">
        <v>11253.61</v>
      </c>
    </row>
    <row r="97">
      <c r="A97" s="3" t="inlineStr">
        <is>
          <t>02.01.06.01.0017</t>
        </is>
      </c>
      <c r="B97" s="3" t="inlineStr">
        <is>
          <t>15% IVA</t>
        </is>
      </c>
      <c r="C97" s="3" t="inlineStr">
        <is>
          <t>N</t>
        </is>
      </c>
      <c r="D97" s="19" t="n">
        <v>46057</v>
      </c>
      <c r="E97" s="3" t="inlineStr">
        <is>
          <t>VARIO</t>
        </is>
      </c>
      <c r="F97" s="3" t="n">
        <v>265</v>
      </c>
      <c r="G97" s="3" t="n"/>
      <c r="H97" s="3" t="inlineStr">
        <is>
          <t>MOD. CONTABILIDAD CON01</t>
        </is>
      </c>
      <c r="I97" s="3" t="n">
        <v>54.03</v>
      </c>
      <c r="J97" s="3" t="n">
        <v>0</v>
      </c>
      <c r="K97" s="17" t="n">
        <v>11307.64</v>
      </c>
    </row>
    <row r="98">
      <c r="A98" s="3" t="inlineStr">
        <is>
          <t>02.01.06.01.0017</t>
        </is>
      </c>
      <c r="B98" s="3" t="inlineStr">
        <is>
          <t>15% IVA</t>
        </is>
      </c>
      <c r="C98" s="3" t="inlineStr">
        <is>
          <t>N</t>
        </is>
      </c>
      <c r="D98" s="19" t="n">
        <v>46059</v>
      </c>
      <c r="E98" s="3" t="inlineStr">
        <is>
          <t>VARIO</t>
        </is>
      </c>
      <c r="F98" s="3" t="n">
        <v>266</v>
      </c>
      <c r="G98" s="3" t="n"/>
      <c r="H98" s="3" t="inlineStr">
        <is>
          <t>MOD. CONTABILIDAD CON01</t>
        </is>
      </c>
      <c r="I98" s="3" t="n">
        <v>0</v>
      </c>
      <c r="J98" s="3" t="n">
        <v>42.95</v>
      </c>
      <c r="K98" s="17" t="n">
        <v>11264.69</v>
      </c>
    </row>
    <row r="99">
      <c r="A99" s="3" t="inlineStr">
        <is>
          <t>02.01.06.01.0017</t>
        </is>
      </c>
      <c r="B99" s="3" t="inlineStr">
        <is>
          <t>15% IVA</t>
        </is>
      </c>
      <c r="C99" s="3" t="inlineStr">
        <is>
          <t>N</t>
        </is>
      </c>
      <c r="D99" s="19" t="n">
        <v>46063</v>
      </c>
      <c r="E99" s="3" t="inlineStr">
        <is>
          <t>VARIO</t>
        </is>
      </c>
      <c r="F99" s="3" t="n">
        <v>267</v>
      </c>
      <c r="G99" s="3" t="n"/>
      <c r="H99" s="3" t="inlineStr">
        <is>
          <t>MOD. CONTABILIDAD CON01</t>
        </is>
      </c>
      <c r="I99" s="3" t="n">
        <v>225</v>
      </c>
      <c r="J99" s="3" t="n">
        <v>0</v>
      </c>
      <c r="K99" s="17" t="n">
        <v>11489.69</v>
      </c>
    </row>
    <row r="100">
      <c r="A100" s="3" t="inlineStr">
        <is>
          <t>02.01.06.01.0017</t>
        </is>
      </c>
      <c r="B100" s="3" t="inlineStr">
        <is>
          <t>15% IVA</t>
        </is>
      </c>
      <c r="C100" s="3" t="inlineStr">
        <is>
          <t>N</t>
        </is>
      </c>
      <c r="D100" s="19" t="n">
        <v>46063</v>
      </c>
      <c r="E100" s="3" t="inlineStr">
        <is>
          <t>VARIO</t>
        </is>
      </c>
      <c r="F100" s="3" t="n">
        <v>267</v>
      </c>
      <c r="G100" s="3" t="n"/>
      <c r="H100" s="3" t="inlineStr">
        <is>
          <t>MOD. CONTABILIDAD CON01</t>
        </is>
      </c>
      <c r="I100" s="3" t="n">
        <v>0</v>
      </c>
      <c r="J100" s="3" t="n">
        <v>225</v>
      </c>
      <c r="K100" s="17" t="n">
        <v>11264.69</v>
      </c>
    </row>
    <row r="101">
      <c r="A101" s="3" t="n"/>
      <c r="B101" s="3" t="n"/>
      <c r="C101" s="3" t="n"/>
      <c r="D101" s="19" t="n"/>
      <c r="E101" s="3" t="n"/>
      <c r="F101" s="3" t="n"/>
      <c r="G101" s="3" t="n"/>
      <c r="H101" s="3" t="n"/>
      <c r="I101" s="3" t="n"/>
      <c r="J101" s="3" t="n"/>
      <c r="K101" s="17" t="n"/>
    </row>
    <row r="102">
      <c r="A102" s="3" t="n"/>
      <c r="B102" s="3" t="n"/>
      <c r="C102" s="3" t="n"/>
      <c r="D102" s="19" t="n"/>
      <c r="E102" s="3" t="n"/>
      <c r="F102" s="3" t="n"/>
      <c r="G102" s="3" t="n"/>
      <c r="H102" s="3" t="n"/>
      <c r="I102" s="3" t="n"/>
      <c r="J102" s="3" t="n"/>
      <c r="K102" s="17" t="n"/>
    </row>
    <row r="103">
      <c r="A103" s="3" t="n"/>
      <c r="B103" s="3" t="n"/>
      <c r="C103" s="3" t="n"/>
      <c r="D103" s="19" t="n"/>
      <c r="E103" s="3" t="n"/>
      <c r="F103" s="3" t="n"/>
      <c r="G103" s="3" t="n"/>
      <c r="H103" s="3" t="n"/>
      <c r="I103" s="3" t="n"/>
      <c r="J103" s="3" t="n"/>
      <c r="K103" s="17" t="n"/>
    </row>
    <row r="104">
      <c r="A104" s="3" t="n"/>
      <c r="B104" s="3" t="n"/>
      <c r="C104" s="3" t="n"/>
      <c r="D104" s="19" t="n"/>
      <c r="E104" s="3" t="n"/>
      <c r="F104" s="3" t="n"/>
      <c r="G104" s="3" t="n"/>
      <c r="H104" s="3" t="n"/>
      <c r="I104" s="3" t="n"/>
      <c r="J104" s="3" t="n"/>
      <c r="K104" s="17" t="n"/>
    </row>
    <row r="105">
      <c r="A105" s="3" t="n"/>
      <c r="B105" s="3" t="n"/>
      <c r="C105" s="3" t="n"/>
      <c r="D105" s="19" t="n"/>
      <c r="E105" s="3" t="n"/>
      <c r="F105" s="3" t="n"/>
      <c r="G105" s="3" t="n"/>
      <c r="H105" s="3" t="n"/>
      <c r="I105" s="3" t="n"/>
      <c r="J105" s="3" t="n"/>
      <c r="K105" s="17" t="n"/>
    </row>
    <row r="106">
      <c r="A106" s="3" t="n"/>
      <c r="B106" s="3" t="n"/>
      <c r="C106" s="3" t="n"/>
      <c r="D106" s="19" t="n"/>
      <c r="E106" s="3" t="n"/>
      <c r="F106" s="3" t="n"/>
      <c r="G106" s="3" t="n"/>
      <c r="H106" s="3" t="n"/>
      <c r="I106" s="3" t="n"/>
      <c r="J106" s="3" t="n"/>
      <c r="K106" s="17" t="n"/>
    </row>
    <row r="107">
      <c r="A107" s="3" t="n"/>
      <c r="B107" s="3" t="n"/>
      <c r="C107" s="3" t="n"/>
      <c r="D107" s="19" t="n"/>
      <c r="E107" s="3" t="n"/>
      <c r="F107" s="3" t="n"/>
      <c r="G107" s="3" t="n"/>
      <c r="H107" s="3" t="n"/>
      <c r="I107" s="3" t="n"/>
      <c r="J107" s="3" t="n"/>
      <c r="K107" s="17" t="n"/>
    </row>
    <row r="108">
      <c r="A108" s="3" t="n"/>
      <c r="B108" s="3" t="n"/>
      <c r="C108" s="3" t="n"/>
      <c r="D108" s="19" t="n"/>
      <c r="E108" s="3" t="n"/>
      <c r="F108" s="3" t="n"/>
      <c r="G108" s="3" t="n"/>
      <c r="H108" s="3" t="n"/>
      <c r="I108" s="3" t="n"/>
      <c r="J108" s="3" t="n"/>
      <c r="K108" s="17" t="n"/>
    </row>
    <row r="109">
      <c r="A109" s="3" t="n"/>
      <c r="B109" s="3" t="n"/>
      <c r="C109" s="3" t="n"/>
      <c r="D109" s="19" t="n"/>
      <c r="E109" s="3" t="n"/>
      <c r="F109" s="3" t="n"/>
      <c r="G109" s="3" t="n"/>
      <c r="H109" s="3" t="n"/>
      <c r="I109" s="3" t="n"/>
      <c r="J109" s="3" t="n"/>
      <c r="K109" s="17" t="n"/>
    </row>
    <row r="110">
      <c r="A110" s="3" t="n"/>
      <c r="B110" s="3" t="n"/>
      <c r="C110" s="3" t="n"/>
      <c r="D110" s="19" t="n"/>
      <c r="E110" s="3" t="n"/>
      <c r="F110" s="3" t="n"/>
      <c r="G110" s="3" t="n"/>
      <c r="H110" s="3" t="n"/>
      <c r="I110" s="3" t="n"/>
      <c r="J110" s="3" t="n"/>
      <c r="K110" s="17" t="n"/>
    </row>
    <row r="111">
      <c r="A111" s="3" t="n"/>
      <c r="B111" s="3" t="n"/>
      <c r="C111" s="3" t="n"/>
      <c r="D111" s="19" t="n"/>
      <c r="E111" s="3" t="n"/>
      <c r="F111" s="3" t="n"/>
      <c r="G111" s="3" t="n"/>
      <c r="H111" s="3" t="n"/>
      <c r="I111" s="3" t="n"/>
      <c r="J111" s="3" t="n"/>
      <c r="K111" s="17" t="n"/>
    </row>
    <row r="112">
      <c r="A112" s="3" t="n"/>
      <c r="B112" s="3" t="n"/>
      <c r="C112" s="3" t="n"/>
      <c r="D112" s="19" t="n"/>
      <c r="E112" s="3" t="n"/>
      <c r="F112" s="3" t="n"/>
      <c r="G112" s="3" t="n"/>
      <c r="H112" s="3" t="n"/>
      <c r="I112" s="3" t="n"/>
      <c r="J112" s="3" t="n"/>
      <c r="K112" s="17" t="n"/>
    </row>
    <row r="113">
      <c r="A113" s="3" t="n"/>
      <c r="B113" s="3" t="n"/>
      <c r="C113" s="3" t="n"/>
      <c r="D113" s="19" t="n"/>
      <c r="E113" s="3" t="n"/>
      <c r="F113" s="3" t="n"/>
      <c r="G113" s="3" t="n"/>
      <c r="H113" s="3" t="n"/>
      <c r="I113" s="3" t="n"/>
      <c r="J113" s="3" t="n"/>
      <c r="K113" s="17" t="n"/>
    </row>
    <row r="114">
      <c r="A114" s="3" t="n"/>
      <c r="B114" s="3" t="n"/>
      <c r="C114" s="3" t="n"/>
      <c r="D114" s="19" t="n"/>
      <c r="E114" s="3" t="n"/>
      <c r="F114" s="3" t="n"/>
      <c r="G114" s="3" t="n"/>
      <c r="H114" s="3" t="n"/>
      <c r="I114" s="17" t="n"/>
      <c r="J114" s="3" t="n"/>
      <c r="K114" s="17" t="n"/>
    </row>
    <row r="115">
      <c r="A115" s="3" t="n"/>
      <c r="B115" s="3" t="n"/>
      <c r="C115" s="3" t="n"/>
      <c r="D115" s="19" t="n"/>
      <c r="E115" s="3" t="n"/>
      <c r="F115" s="3" t="n"/>
      <c r="G115" s="3" t="n"/>
      <c r="H115" s="3" t="n"/>
      <c r="I115" s="3" t="n"/>
      <c r="J115" s="3" t="n"/>
      <c r="K115" s="17" t="n"/>
    </row>
    <row r="116">
      <c r="A116" s="3" t="n"/>
      <c r="B116" s="3" t="n"/>
      <c r="C116" s="3" t="n"/>
      <c r="D116" s="19" t="n"/>
      <c r="E116" s="3" t="n"/>
      <c r="F116" s="3" t="n"/>
      <c r="G116" s="3" t="n"/>
      <c r="H116" s="3" t="n"/>
      <c r="I116" s="3" t="n"/>
      <c r="J116" s="3" t="n"/>
      <c r="K116" s="17" t="n"/>
    </row>
    <row r="117">
      <c r="A117" s="3" t="n"/>
      <c r="B117" s="3" t="n"/>
      <c r="C117" s="3" t="n"/>
      <c r="D117" s="19" t="n"/>
      <c r="E117" s="3" t="n"/>
      <c r="F117" s="3" t="n"/>
      <c r="G117" s="3" t="n"/>
      <c r="H117" s="3" t="n"/>
      <c r="I117" s="3" t="n"/>
      <c r="J117" s="3" t="n"/>
      <c r="K117" s="17" t="n"/>
    </row>
    <row r="118">
      <c r="A118" s="3" t="n"/>
      <c r="B118" s="3" t="n"/>
      <c r="C118" s="3" t="n"/>
      <c r="D118" s="19" t="n"/>
      <c r="E118" s="3" t="n"/>
      <c r="F118" s="3" t="n"/>
      <c r="G118" s="3" t="n"/>
      <c r="H118" s="3" t="n"/>
      <c r="I118" s="3" t="n"/>
      <c r="J118" s="3" t="n"/>
      <c r="K118" s="17" t="n"/>
    </row>
    <row r="119">
      <c r="A119" s="3" t="n"/>
      <c r="B119" s="3" t="n"/>
      <c r="C119" s="3" t="n"/>
      <c r="D119" s="19" t="n"/>
      <c r="E119" s="3" t="n"/>
      <c r="F119" s="3" t="n"/>
      <c r="G119" s="3" t="n"/>
      <c r="H119" s="3" t="n"/>
      <c r="I119" s="3" t="n"/>
      <c r="J119" s="3" t="n"/>
      <c r="K119" s="17" t="n"/>
    </row>
    <row r="120">
      <c r="A120" s="3" t="n"/>
      <c r="B120" s="3" t="n"/>
      <c r="C120" s="3" t="n"/>
      <c r="D120" s="19" t="n"/>
      <c r="E120" s="3" t="n"/>
      <c r="F120" s="3" t="n"/>
      <c r="G120" s="3" t="n"/>
      <c r="H120" s="3" t="n"/>
      <c r="I120" s="3" t="n"/>
      <c r="J120" s="3" t="n"/>
      <c r="K120" s="17" t="n"/>
    </row>
    <row r="121">
      <c r="A121" s="3" t="n"/>
      <c r="B121" s="3" t="n"/>
      <c r="C121" s="3" t="n"/>
      <c r="D121" s="19" t="n"/>
      <c r="E121" s="3" t="n"/>
      <c r="F121" s="3" t="n"/>
      <c r="G121" s="3" t="n"/>
      <c r="H121" s="3" t="n"/>
      <c r="I121" s="3" t="n"/>
      <c r="J121" s="3" t="n"/>
      <c r="K121" s="17" t="n"/>
    </row>
    <row r="122">
      <c r="A122" s="3" t="n"/>
      <c r="B122" s="3" t="n"/>
      <c r="C122" s="3" t="n"/>
      <c r="D122" s="19" t="n"/>
      <c r="E122" s="3" t="n"/>
      <c r="F122" s="3" t="n"/>
      <c r="G122" s="3" t="n"/>
      <c r="H122" s="3" t="n"/>
      <c r="I122" s="3" t="n"/>
      <c r="J122" s="3" t="n"/>
      <c r="K122" s="17" t="n"/>
    </row>
    <row r="123">
      <c r="A123" s="3" t="n"/>
      <c r="B123" s="3" t="n"/>
      <c r="C123" s="3" t="n"/>
      <c r="D123" s="19" t="n"/>
      <c r="E123" s="3" t="n"/>
      <c r="F123" s="3" t="n"/>
      <c r="G123" s="3" t="n"/>
      <c r="H123" s="3" t="n"/>
      <c r="I123" s="3" t="n"/>
      <c r="J123" s="3" t="n"/>
      <c r="K123" s="17" t="n"/>
    </row>
    <row r="124">
      <c r="A124" s="3" t="n"/>
      <c r="B124" s="3" t="n"/>
      <c r="C124" s="3" t="n"/>
      <c r="D124" s="19" t="n"/>
      <c r="E124" s="3" t="n"/>
      <c r="F124" s="3" t="n"/>
      <c r="G124" s="3" t="n"/>
      <c r="H124" s="3" t="n"/>
      <c r="I124" s="3" t="n"/>
      <c r="J124" s="3" t="n"/>
      <c r="K124" s="17" t="n"/>
    </row>
    <row r="125">
      <c r="A125" s="3" t="n"/>
      <c r="B125" s="3" t="n"/>
      <c r="C125" s="3" t="n"/>
      <c r="D125" s="19" t="n"/>
      <c r="E125" s="3" t="n"/>
      <c r="F125" s="3" t="n"/>
      <c r="G125" s="3" t="n"/>
      <c r="H125" s="3" t="n"/>
      <c r="I125" s="3" t="n"/>
      <c r="J125" s="3" t="n"/>
      <c r="K125" s="17" t="n"/>
    </row>
    <row r="126">
      <c r="A126" s="3" t="n"/>
      <c r="B126" s="3" t="n"/>
      <c r="C126" s="3" t="n"/>
      <c r="D126" s="19" t="n"/>
      <c r="E126" s="3" t="n"/>
      <c r="F126" s="3" t="n"/>
      <c r="G126" s="3" t="n"/>
      <c r="H126" s="3" t="n"/>
      <c r="I126" s="3" t="n"/>
      <c r="J126" s="3" t="n"/>
      <c r="K126" s="17" t="n"/>
    </row>
    <row r="127">
      <c r="A127" s="3" t="n"/>
      <c r="B127" s="3" t="n"/>
      <c r="C127" s="3" t="n"/>
      <c r="D127" s="19" t="n"/>
      <c r="E127" s="3" t="n"/>
      <c r="F127" s="3" t="n"/>
      <c r="G127" s="3" t="n"/>
      <c r="H127" s="3" t="n"/>
      <c r="I127" s="3" t="n"/>
      <c r="J127" s="3" t="n"/>
      <c r="K127" s="17" t="n"/>
    </row>
    <row r="128">
      <c r="A128" s="3" t="n"/>
      <c r="B128" s="3" t="n"/>
      <c r="C128" s="3" t="n"/>
      <c r="D128" s="19" t="n"/>
      <c r="E128" s="3" t="n"/>
      <c r="F128" s="3" t="n"/>
      <c r="G128" s="3" t="n"/>
      <c r="H128" s="3" t="n"/>
      <c r="I128" s="3" t="n"/>
      <c r="J128" s="3" t="n"/>
      <c r="K128" s="17" t="n"/>
    </row>
    <row r="129">
      <c r="A129" s="3" t="n"/>
      <c r="B129" s="3" t="n"/>
      <c r="C129" s="3" t="n"/>
      <c r="D129" s="19" t="n"/>
      <c r="E129" s="3" t="n"/>
      <c r="F129" s="3" t="n"/>
      <c r="G129" s="3" t="n"/>
      <c r="H129" s="3" t="n"/>
      <c r="I129" s="3" t="n"/>
      <c r="J129" s="3" t="n"/>
      <c r="K129" s="17" t="n"/>
    </row>
    <row r="130">
      <c r="A130" s="3" t="n"/>
      <c r="B130" s="3" t="n"/>
      <c r="C130" s="3" t="n"/>
      <c r="D130" s="19" t="n"/>
      <c r="E130" s="3" t="n"/>
      <c r="F130" s="3" t="n"/>
      <c r="G130" s="3" t="n"/>
      <c r="H130" s="3" t="n"/>
      <c r="I130" s="3" t="n"/>
      <c r="J130" s="3" t="n"/>
      <c r="K130" s="17" t="n"/>
    </row>
    <row r="131">
      <c r="A131" s="3" t="n"/>
      <c r="B131" s="3" t="n"/>
      <c r="C131" s="3" t="n"/>
      <c r="D131" s="19" t="n"/>
      <c r="E131" s="3" t="n"/>
      <c r="F131" s="3" t="n"/>
      <c r="G131" s="3" t="n"/>
      <c r="H131" s="3" t="n"/>
      <c r="I131" s="3" t="n"/>
      <c r="J131" s="3" t="n"/>
      <c r="K131" s="17" t="n"/>
    </row>
    <row r="132">
      <c r="A132" s="3" t="n"/>
      <c r="B132" s="3" t="n"/>
      <c r="C132" s="3" t="n"/>
      <c r="D132" s="19" t="n"/>
      <c r="E132" s="3" t="n"/>
      <c r="F132" s="3" t="n"/>
      <c r="G132" s="3" t="n"/>
      <c r="H132" s="3" t="n"/>
      <c r="I132" s="3" t="n"/>
      <c r="J132" s="3" t="n"/>
      <c r="K132" s="17" t="n"/>
    </row>
    <row r="133">
      <c r="A133" s="3" t="n"/>
      <c r="B133" s="3" t="n"/>
      <c r="C133" s="3" t="n"/>
      <c r="D133" s="19" t="n"/>
      <c r="E133" s="3" t="n"/>
      <c r="F133" s="3" t="n"/>
      <c r="G133" s="3" t="n"/>
      <c r="H133" s="3" t="n"/>
      <c r="I133" s="3" t="n"/>
      <c r="J133" s="3" t="n"/>
      <c r="K133" s="17" t="n"/>
    </row>
    <row r="134">
      <c r="A134" s="3" t="n"/>
      <c r="B134" s="3" t="n"/>
      <c r="C134" s="3" t="n"/>
      <c r="D134" s="19" t="n"/>
      <c r="E134" s="3" t="n"/>
      <c r="F134" s="3" t="n"/>
      <c r="G134" s="3" t="n"/>
      <c r="H134" s="3" t="n"/>
      <c r="I134" s="3" t="n"/>
      <c r="J134" s="3" t="n"/>
      <c r="K134" s="17" t="n"/>
    </row>
    <row r="135">
      <c r="A135" s="3" t="n"/>
      <c r="B135" s="3" t="n"/>
      <c r="C135" s="3" t="n"/>
      <c r="D135" s="19" t="n"/>
      <c r="E135" s="3" t="n"/>
      <c r="F135" s="3" t="n"/>
      <c r="G135" s="3" t="n"/>
      <c r="H135" s="3" t="n"/>
      <c r="I135" s="3" t="n"/>
      <c r="J135" s="3" t="n"/>
      <c r="K135" s="17" t="n"/>
    </row>
    <row r="136">
      <c r="A136" s="3" t="n"/>
      <c r="B136" s="3" t="n"/>
      <c r="C136" s="3" t="n"/>
      <c r="D136" s="19" t="n"/>
      <c r="E136" s="3" t="n"/>
      <c r="F136" s="3" t="n"/>
      <c r="G136" s="3" t="n"/>
      <c r="H136" s="3" t="n"/>
      <c r="I136" s="3" t="n"/>
      <c r="J136" s="3" t="n"/>
      <c r="K136" s="17" t="n"/>
    </row>
    <row r="137">
      <c r="A137" s="3" t="n"/>
      <c r="B137" s="3" t="n"/>
      <c r="C137" s="3" t="n"/>
      <c r="D137" s="19" t="n"/>
      <c r="E137" s="3" t="n"/>
      <c r="F137" s="3" t="n"/>
      <c r="G137" s="3" t="n"/>
      <c r="H137" s="3" t="n"/>
      <c r="I137" s="3" t="n"/>
      <c r="J137" s="3" t="n"/>
      <c r="K137" s="17" t="n"/>
    </row>
    <row r="138">
      <c r="A138" s="3" t="n"/>
      <c r="B138" s="3" t="n"/>
      <c r="C138" s="3" t="n"/>
      <c r="D138" s="19" t="n"/>
      <c r="E138" s="3" t="n"/>
      <c r="F138" s="3" t="n"/>
      <c r="G138" s="3" t="n"/>
      <c r="H138" s="3" t="n"/>
      <c r="I138" s="3" t="n"/>
      <c r="J138" s="3" t="n"/>
      <c r="K138" s="17" t="n"/>
    </row>
    <row r="139">
      <c r="A139" s="3" t="n"/>
      <c r="B139" s="3" t="n"/>
      <c r="C139" s="3" t="n"/>
      <c r="D139" s="19" t="n"/>
      <c r="E139" s="3" t="n"/>
      <c r="F139" s="3" t="n"/>
      <c r="G139" s="3" t="n"/>
      <c r="H139" s="3" t="n"/>
      <c r="I139" s="3" t="n"/>
      <c r="J139" s="3" t="n"/>
      <c r="K139" s="17" t="n"/>
    </row>
    <row r="140">
      <c r="A140" s="3" t="n"/>
      <c r="B140" s="3" t="n"/>
      <c r="C140" s="3" t="n"/>
      <c r="D140" s="19" t="n"/>
      <c r="E140" s="3" t="n"/>
      <c r="F140" s="3" t="n"/>
      <c r="G140" s="3" t="n"/>
      <c r="H140" s="3" t="n"/>
      <c r="I140" s="3" t="n"/>
      <c r="J140" s="3" t="n"/>
      <c r="K140" s="17" t="n"/>
    </row>
    <row r="141">
      <c r="A141" s="3" t="n"/>
      <c r="B141" s="3" t="n"/>
      <c r="C141" s="3" t="n"/>
      <c r="D141" s="19" t="n"/>
      <c r="E141" s="3" t="n"/>
      <c r="F141" s="3" t="n"/>
      <c r="G141" s="3" t="n"/>
      <c r="H141" s="3" t="n"/>
      <c r="I141" s="3" t="n"/>
      <c r="J141" s="3" t="n"/>
      <c r="K141" s="17" t="n"/>
    </row>
    <row r="142">
      <c r="A142" s="3" t="n"/>
      <c r="B142" s="3" t="n"/>
      <c r="C142" s="3" t="n"/>
      <c r="D142" s="19" t="n"/>
      <c r="E142" s="3" t="n"/>
      <c r="F142" s="3" t="n"/>
      <c r="G142" s="3" t="n"/>
      <c r="H142" s="3" t="n"/>
      <c r="I142" s="3" t="n"/>
      <c r="J142" s="3" t="n"/>
      <c r="K142" s="17" t="n"/>
    </row>
    <row r="143">
      <c r="A143" s="3" t="n"/>
      <c r="B143" s="3" t="n"/>
      <c r="C143" s="3" t="n"/>
      <c r="D143" s="19" t="n"/>
      <c r="E143" s="3" t="n"/>
      <c r="F143" s="3" t="n"/>
      <c r="G143" s="3" t="n"/>
      <c r="H143" s="3" t="n"/>
      <c r="I143" s="3" t="n"/>
      <c r="J143" s="3" t="n"/>
      <c r="K143" s="17" t="n"/>
    </row>
    <row r="144">
      <c r="A144" s="3" t="n"/>
      <c r="B144" s="3" t="n"/>
      <c r="C144" s="3" t="n"/>
      <c r="D144" s="19" t="n"/>
      <c r="E144" s="3" t="n"/>
      <c r="F144" s="3" t="n"/>
      <c r="G144" s="3" t="n"/>
      <c r="H144" s="3" t="n"/>
      <c r="I144" s="3" t="n"/>
      <c r="J144" s="3" t="n"/>
      <c r="K144" s="17" t="n"/>
    </row>
    <row r="145">
      <c r="A145" s="3" t="n"/>
      <c r="B145" s="3" t="n"/>
      <c r="C145" s="3" t="n"/>
      <c r="D145" s="19" t="n"/>
      <c r="E145" s="3" t="n"/>
      <c r="F145" s="3" t="n"/>
      <c r="G145" s="3" t="n"/>
      <c r="H145" s="3" t="n"/>
      <c r="I145" s="3" t="n"/>
      <c r="J145" s="3" t="n"/>
      <c r="K145" s="17" t="n"/>
    </row>
    <row r="146">
      <c r="A146" s="3" t="n"/>
      <c r="B146" s="3" t="n"/>
      <c r="C146" s="3" t="n"/>
      <c r="D146" s="19" t="n"/>
      <c r="E146" s="3" t="n"/>
      <c r="F146" s="3" t="n"/>
      <c r="G146" s="3" t="n"/>
      <c r="H146" s="3" t="n"/>
      <c r="I146" s="3" t="n"/>
      <c r="J146" s="3" t="n"/>
      <c r="K146" s="17" t="n"/>
    </row>
    <row r="147">
      <c r="A147" s="3" t="n"/>
      <c r="B147" s="3" t="n"/>
      <c r="C147" s="3" t="n"/>
      <c r="D147" s="19" t="n"/>
      <c r="E147" s="3" t="n"/>
      <c r="F147" s="3" t="n"/>
      <c r="G147" s="3" t="n"/>
      <c r="H147" s="3" t="n"/>
      <c r="I147" s="3" t="n"/>
      <c r="J147" s="3" t="n"/>
      <c r="K147" s="17" t="n"/>
    </row>
    <row r="148">
      <c r="A148" s="3" t="n"/>
      <c r="B148" s="3" t="n"/>
      <c r="C148" s="3" t="n"/>
      <c r="D148" s="19" t="n"/>
      <c r="E148" s="3" t="n"/>
      <c r="F148" s="3" t="n"/>
      <c r="G148" s="3" t="n"/>
      <c r="H148" s="3" t="n"/>
      <c r="I148" s="3" t="n"/>
      <c r="J148" s="3" t="n"/>
      <c r="K148" s="17" t="n"/>
    </row>
    <row r="149">
      <c r="A149" s="3" t="n"/>
      <c r="B149" s="3" t="n"/>
      <c r="C149" s="3" t="n"/>
      <c r="D149" s="19" t="n"/>
      <c r="E149" s="3" t="n"/>
      <c r="F149" s="3" t="n"/>
      <c r="G149" s="3" t="n"/>
      <c r="H149" s="3" t="n"/>
      <c r="I149" s="3" t="n"/>
      <c r="J149" s="3" t="n"/>
      <c r="K149" s="17" t="n"/>
    </row>
    <row r="150">
      <c r="A150" s="3" t="n"/>
      <c r="B150" s="3" t="n"/>
      <c r="C150" s="3" t="n"/>
      <c r="D150" s="19" t="n"/>
      <c r="E150" s="3" t="n"/>
      <c r="F150" s="3" t="n"/>
      <c r="G150" s="3" t="n"/>
      <c r="H150" s="3" t="n"/>
      <c r="I150" s="3" t="n"/>
      <c r="J150" s="3" t="n"/>
      <c r="K150" s="17" t="n"/>
    </row>
    <row r="151">
      <c r="A151" s="3" t="n"/>
      <c r="B151" s="3" t="n"/>
      <c r="C151" s="3" t="n"/>
      <c r="D151" s="19" t="n"/>
      <c r="E151" s="3" t="n"/>
      <c r="F151" s="3" t="n"/>
      <c r="G151" s="3" t="n"/>
      <c r="H151" s="3" t="n"/>
      <c r="I151" s="17" t="n"/>
      <c r="J151" s="3" t="n"/>
      <c r="K151" s="17" t="n"/>
    </row>
    <row r="152">
      <c r="A152" s="3" t="n"/>
      <c r="B152" s="3" t="n"/>
      <c r="C152" s="3" t="n"/>
      <c r="D152" s="19" t="n"/>
      <c r="E152" s="3" t="n"/>
      <c r="F152" s="3" t="n"/>
      <c r="G152" s="3" t="n"/>
      <c r="H152" s="3" t="n"/>
      <c r="I152" s="17" t="n"/>
      <c r="J152" s="3" t="n"/>
      <c r="K152" s="17" t="n"/>
    </row>
    <row r="153">
      <c r="A153" s="3" t="n"/>
      <c r="B153" s="3" t="n"/>
      <c r="C153" s="3" t="n"/>
      <c r="D153" s="19" t="n"/>
      <c r="E153" s="3" t="n"/>
      <c r="F153" s="3" t="n"/>
      <c r="G153" s="3" t="n"/>
      <c r="H153" s="3" t="n"/>
      <c r="I153" s="17" t="n"/>
      <c r="J153" s="3" t="n"/>
      <c r="K153" s="17" t="n"/>
    </row>
    <row r="154">
      <c r="A154" s="3" t="n"/>
      <c r="B154" s="3" t="n"/>
      <c r="C154" s="3" t="n"/>
      <c r="D154" s="19" t="n"/>
      <c r="E154" s="3" t="n"/>
      <c r="F154" s="3" t="n"/>
      <c r="G154" s="3" t="n"/>
      <c r="H154" s="3" t="n"/>
      <c r="I154" s="17" t="n"/>
      <c r="J154" s="3" t="n"/>
      <c r="K154" s="17" t="n"/>
    </row>
    <row r="155">
      <c r="A155" s="3" t="n"/>
      <c r="B155" s="3" t="n"/>
      <c r="C155" s="3" t="n"/>
      <c r="D155" s="19" t="n"/>
      <c r="E155" s="3" t="n"/>
      <c r="F155" s="3" t="n"/>
      <c r="G155" s="3" t="n"/>
      <c r="H155" s="3" t="n"/>
      <c r="I155" s="17" t="n"/>
      <c r="J155" s="3" t="n"/>
      <c r="K155" s="17" t="n"/>
    </row>
    <row r="156">
      <c r="A156" s="3" t="n"/>
      <c r="B156" s="3" t="n"/>
      <c r="C156" s="3" t="n"/>
      <c r="D156" s="19" t="n"/>
      <c r="E156" s="3" t="n"/>
      <c r="F156" s="3" t="n"/>
      <c r="G156" s="3" t="n"/>
      <c r="H156" s="3" t="n"/>
      <c r="I156" s="17" t="n"/>
      <c r="J156" s="3" t="n"/>
      <c r="K156" s="17" t="n"/>
    </row>
    <row r="157">
      <c r="A157" s="3" t="n"/>
      <c r="B157" s="3" t="n"/>
      <c r="C157" s="3" t="n"/>
      <c r="D157" s="19" t="n"/>
      <c r="E157" s="3" t="n"/>
      <c r="F157" s="3" t="n"/>
      <c r="G157" s="3" t="n"/>
      <c r="H157" s="3" t="n"/>
      <c r="I157" s="3" t="n"/>
      <c r="J157" s="3" t="n"/>
      <c r="K157" s="17" t="n"/>
    </row>
    <row r="158">
      <c r="A158" s="3" t="n"/>
      <c r="B158" s="3" t="n"/>
      <c r="C158" s="3" t="n"/>
      <c r="D158" s="19" t="n"/>
      <c r="E158" s="3" t="n"/>
      <c r="F158" s="3" t="n"/>
      <c r="G158" s="3" t="n"/>
      <c r="H158" s="3" t="n"/>
      <c r="I158" s="3" t="n"/>
      <c r="J158" s="3" t="n"/>
      <c r="K158" s="17" t="n"/>
    </row>
    <row r="159">
      <c r="A159" s="3" t="n"/>
      <c r="B159" s="3" t="n"/>
      <c r="C159" s="3" t="n"/>
      <c r="D159" s="19" t="n"/>
      <c r="E159" s="3" t="n"/>
      <c r="F159" s="3" t="n"/>
      <c r="G159" s="3" t="n"/>
      <c r="H159" s="3" t="n"/>
      <c r="I159" s="3" t="n"/>
      <c r="J159" s="3" t="n"/>
      <c r="K159" s="17" t="n"/>
    </row>
    <row r="160">
      <c r="A160" s="3" t="n"/>
      <c r="B160" s="3" t="n"/>
      <c r="C160" s="3" t="n"/>
      <c r="D160" s="19" t="n"/>
      <c r="E160" s="3" t="n"/>
      <c r="F160" s="3" t="n"/>
      <c r="G160" s="3" t="n"/>
      <c r="H160" s="3" t="n"/>
      <c r="I160" s="3" t="n"/>
      <c r="J160" s="3" t="n"/>
      <c r="K160" s="17" t="n"/>
    </row>
    <row r="161">
      <c r="A161" s="3" t="n"/>
      <c r="B161" s="3" t="n"/>
      <c r="C161" s="3" t="n"/>
      <c r="D161" s="19" t="n"/>
      <c r="E161" s="3" t="n"/>
      <c r="F161" s="3" t="n"/>
      <c r="G161" s="3" t="n"/>
      <c r="H161" s="3" t="n"/>
      <c r="I161" s="3" t="n"/>
      <c r="J161" s="3" t="n"/>
      <c r="K161" s="17" t="n"/>
    </row>
    <row r="162">
      <c r="A162" s="3" t="n"/>
      <c r="B162" s="3" t="n"/>
      <c r="C162" s="3" t="n"/>
      <c r="D162" s="19" t="n"/>
      <c r="E162" s="3" t="n"/>
      <c r="F162" s="3" t="n"/>
      <c r="G162" s="3" t="n"/>
      <c r="H162" s="3" t="n"/>
      <c r="I162" s="3" t="n"/>
      <c r="J162" s="3" t="n"/>
      <c r="K162" s="17" t="n"/>
    </row>
    <row r="163">
      <c r="A163" s="3" t="n"/>
      <c r="B163" s="3" t="n"/>
      <c r="C163" s="3" t="n"/>
      <c r="D163" s="19" t="n"/>
      <c r="E163" s="3" t="n"/>
      <c r="F163" s="3" t="n"/>
      <c r="G163" s="3" t="n"/>
      <c r="H163" s="3" t="n"/>
      <c r="I163" s="17" t="n"/>
      <c r="J163" s="3" t="n"/>
      <c r="K163" s="17" t="n"/>
    </row>
    <row r="164">
      <c r="A164" s="3" t="n"/>
      <c r="B164" s="3" t="n"/>
      <c r="C164" s="3" t="n"/>
      <c r="D164" s="19" t="n"/>
      <c r="E164" s="3" t="n"/>
      <c r="F164" s="3" t="n"/>
      <c r="G164" s="3" t="n"/>
      <c r="H164" s="3" t="n"/>
      <c r="I164" s="17" t="n"/>
      <c r="J164" s="3" t="n"/>
      <c r="K164" s="17" t="n"/>
    </row>
    <row r="165">
      <c r="A165" s="3" t="n"/>
      <c r="B165" s="3" t="n"/>
      <c r="C165" s="3" t="n"/>
      <c r="D165" s="19" t="n"/>
      <c r="E165" s="3" t="n"/>
      <c r="F165" s="3" t="n"/>
      <c r="G165" s="3" t="n"/>
      <c r="H165" s="3" t="n"/>
      <c r="I165" s="17" t="n"/>
      <c r="J165" s="3" t="n"/>
      <c r="K165" s="17" t="n"/>
    </row>
    <row r="166">
      <c r="A166" s="3" t="n"/>
      <c r="B166" s="3" t="n"/>
      <c r="C166" s="3" t="n"/>
      <c r="D166" s="19" t="n"/>
      <c r="E166" s="3" t="n"/>
      <c r="F166" s="3" t="n"/>
      <c r="G166" s="3" t="n"/>
      <c r="H166" s="3" t="n"/>
      <c r="I166" s="17" t="n"/>
      <c r="J166" s="3" t="n"/>
      <c r="K166" s="17" t="n"/>
    </row>
    <row r="167">
      <c r="A167" s="3" t="n"/>
      <c r="B167" s="3" t="n"/>
      <c r="C167" s="3" t="n"/>
      <c r="D167" s="19" t="n"/>
      <c r="E167" s="3" t="n"/>
      <c r="F167" s="3" t="n"/>
      <c r="G167" s="3" t="n"/>
      <c r="H167" s="3" t="n"/>
      <c r="I167" s="17" t="n"/>
      <c r="J167" s="3" t="n"/>
      <c r="K167" s="17" t="n"/>
    </row>
    <row r="168">
      <c r="A168" s="3" t="n"/>
      <c r="B168" s="3" t="n"/>
      <c r="C168" s="3" t="n"/>
      <c r="D168" s="19" t="n"/>
      <c r="E168" s="3" t="n"/>
      <c r="F168" s="3" t="n"/>
      <c r="G168" s="3" t="n"/>
      <c r="H168" s="3" t="n"/>
      <c r="I168" s="17" t="n"/>
      <c r="J168" s="3" t="n"/>
      <c r="K168" s="17" t="n"/>
    </row>
    <row r="169">
      <c r="A169" s="3" t="n"/>
      <c r="B169" s="3" t="n"/>
      <c r="C169" s="3" t="n"/>
      <c r="D169" s="19" t="n"/>
      <c r="E169" s="3" t="n"/>
      <c r="F169" s="3" t="n"/>
      <c r="G169" s="3" t="n"/>
      <c r="H169" s="3" t="n"/>
      <c r="I169" s="17" t="n"/>
      <c r="J169" s="3" t="n"/>
      <c r="K169" s="17" t="n"/>
    </row>
    <row r="170">
      <c r="A170" s="3" t="n"/>
      <c r="B170" s="3" t="n"/>
      <c r="C170" s="3" t="n"/>
      <c r="D170" s="19" t="n"/>
      <c r="E170" s="3" t="n"/>
      <c r="F170" s="3" t="n"/>
      <c r="G170" s="3" t="n"/>
      <c r="H170" s="3" t="n"/>
      <c r="I170" s="17" t="n"/>
      <c r="J170" s="3" t="n"/>
      <c r="K170" s="17" t="n"/>
    </row>
    <row r="171">
      <c r="A171" s="3" t="n"/>
      <c r="B171" s="3" t="n"/>
      <c r="C171" s="3" t="n"/>
      <c r="D171" s="19" t="n"/>
      <c r="E171" s="3" t="n"/>
      <c r="F171" s="3" t="n"/>
      <c r="G171" s="3" t="n"/>
      <c r="H171" s="3" t="n"/>
      <c r="I171" s="17" t="n"/>
      <c r="J171" s="3" t="n"/>
      <c r="K171" s="17" t="n"/>
    </row>
    <row r="172">
      <c r="A172" s="3" t="n"/>
      <c r="B172" s="3" t="n"/>
      <c r="C172" s="3" t="n"/>
      <c r="D172" s="19" t="n"/>
      <c r="E172" s="3" t="n"/>
      <c r="F172" s="3" t="n"/>
      <c r="G172" s="3" t="n"/>
      <c r="H172" s="3" t="n"/>
      <c r="I172" s="17" t="n"/>
      <c r="J172" s="3" t="n"/>
      <c r="K172" s="17" t="n"/>
    </row>
    <row r="173">
      <c r="A173" s="3" t="n"/>
      <c r="B173" s="3" t="n"/>
      <c r="C173" s="3" t="n"/>
      <c r="D173" s="19" t="n"/>
      <c r="E173" s="3" t="n"/>
      <c r="F173" s="3" t="n"/>
      <c r="G173" s="3" t="n"/>
      <c r="H173" s="3" t="n"/>
      <c r="I173" s="17" t="n"/>
      <c r="J173" s="3" t="n"/>
      <c r="K173" s="17" t="n"/>
    </row>
    <row r="174">
      <c r="A174" s="3" t="n"/>
      <c r="B174" s="3" t="n"/>
      <c r="C174" s="3" t="n"/>
      <c r="D174" s="19" t="n"/>
      <c r="E174" s="3" t="n"/>
      <c r="F174" s="3" t="n"/>
      <c r="G174" s="3" t="n"/>
      <c r="H174" s="3" t="n"/>
      <c r="I174" s="17" t="n"/>
      <c r="J174" s="3" t="n"/>
      <c r="K174" s="17" t="n"/>
    </row>
    <row r="175">
      <c r="A175" s="3" t="n"/>
      <c r="B175" s="3" t="n"/>
      <c r="C175" s="3" t="n"/>
      <c r="D175" s="19" t="n"/>
      <c r="E175" s="3" t="n"/>
      <c r="F175" s="3" t="n"/>
      <c r="G175" s="3" t="n"/>
      <c r="H175" s="3" t="n"/>
      <c r="I175" s="17" t="n"/>
      <c r="J175" s="3" t="n"/>
      <c r="K175" s="17" t="n"/>
    </row>
    <row r="176">
      <c r="A176" s="3" t="n"/>
      <c r="B176" s="3" t="n"/>
      <c r="C176" s="3" t="n"/>
      <c r="D176" s="19" t="n"/>
      <c r="E176" s="3" t="n"/>
      <c r="F176" s="3" t="n"/>
      <c r="G176" s="3" t="n"/>
      <c r="H176" s="3" t="n"/>
      <c r="I176" s="17" t="n"/>
      <c r="J176" s="3" t="n"/>
      <c r="K176" s="17" t="n"/>
    </row>
    <row r="177">
      <c r="A177" s="3" t="n"/>
      <c r="B177" s="3" t="n"/>
      <c r="C177" s="3" t="n"/>
      <c r="D177" s="19" t="n"/>
      <c r="E177" s="3" t="n"/>
      <c r="F177" s="3" t="n"/>
      <c r="G177" s="3" t="n"/>
      <c r="H177" s="3" t="n"/>
      <c r="I177" s="17" t="n"/>
      <c r="J177" s="3" t="n"/>
      <c r="K177" s="17" t="n"/>
    </row>
    <row r="178">
      <c r="A178" s="3" t="n"/>
      <c r="B178" s="3" t="n"/>
      <c r="C178" s="3" t="n"/>
      <c r="D178" s="19" t="n"/>
      <c r="E178" s="3" t="n"/>
      <c r="F178" s="3" t="n"/>
      <c r="G178" s="3" t="n"/>
      <c r="H178" s="3" t="n"/>
      <c r="I178" s="17" t="n"/>
      <c r="J178" s="3" t="n"/>
      <c r="K178" s="17" t="n"/>
    </row>
    <row r="179">
      <c r="A179" s="3" t="n"/>
      <c r="B179" s="3" t="n"/>
      <c r="C179" s="3" t="n"/>
      <c r="D179" s="19" t="n"/>
      <c r="E179" s="3" t="n"/>
      <c r="F179" s="3" t="n"/>
      <c r="G179" s="3" t="n"/>
      <c r="H179" s="3" t="n"/>
      <c r="I179" s="17" t="n"/>
      <c r="J179" s="3" t="n"/>
      <c r="K179" s="17" t="n"/>
    </row>
    <row r="180">
      <c r="A180" s="3" t="n"/>
      <c r="B180" s="3" t="n"/>
      <c r="C180" s="3" t="n"/>
      <c r="D180" s="19" t="n"/>
      <c r="E180" s="3" t="n"/>
      <c r="F180" s="3" t="n"/>
      <c r="G180" s="3" t="n"/>
      <c r="H180" s="3" t="n"/>
      <c r="I180" s="17" t="n"/>
      <c r="J180" s="3" t="n"/>
      <c r="K180" s="17" t="n"/>
    </row>
    <row r="181">
      <c r="A181" s="3" t="n"/>
      <c r="B181" s="3" t="n"/>
      <c r="C181" s="3" t="n"/>
      <c r="D181" s="19" t="n"/>
      <c r="E181" s="3" t="n"/>
      <c r="F181" s="3" t="n"/>
      <c r="G181" s="3" t="n"/>
      <c r="H181" s="3" t="n"/>
      <c r="I181" s="3" t="n"/>
      <c r="J181" s="3" t="n"/>
      <c r="K181" s="17" t="n"/>
    </row>
    <row r="182">
      <c r="A182" s="3" t="n"/>
      <c r="B182" s="3" t="n"/>
      <c r="C182" s="3" t="n"/>
      <c r="D182" s="19" t="n"/>
      <c r="E182" s="3" t="n"/>
      <c r="F182" s="3" t="n"/>
      <c r="G182" s="3" t="n"/>
      <c r="H182" s="3" t="n"/>
      <c r="I182" s="3" t="n"/>
      <c r="J182" s="3" t="n"/>
      <c r="K182" s="17" t="n"/>
    </row>
    <row r="183">
      <c r="A183" s="3" t="n"/>
      <c r="B183" s="3" t="n"/>
      <c r="C183" s="3" t="n"/>
      <c r="D183" s="19" t="n"/>
      <c r="E183" s="3" t="n"/>
      <c r="F183" s="3" t="n"/>
      <c r="G183" s="3" t="n"/>
      <c r="H183" s="3" t="n"/>
      <c r="I183" s="3" t="n"/>
      <c r="J183" s="3" t="n"/>
      <c r="K183" s="17" t="n"/>
    </row>
    <row r="184">
      <c r="A184" s="3" t="n"/>
      <c r="B184" s="3" t="n"/>
      <c r="C184" s="3" t="n"/>
      <c r="D184" s="19" t="n"/>
      <c r="E184" s="3" t="n"/>
      <c r="F184" s="3" t="n"/>
      <c r="G184" s="3" t="n"/>
      <c r="H184" s="3" t="n"/>
      <c r="I184" s="3" t="n"/>
      <c r="J184" s="3" t="n"/>
      <c r="K184" s="17" t="n"/>
    </row>
    <row r="185">
      <c r="A185" s="3" t="n"/>
      <c r="B185" s="3" t="n"/>
      <c r="C185" s="3" t="n"/>
      <c r="D185" s="19" t="n"/>
      <c r="E185" s="3" t="n"/>
      <c r="F185" s="3" t="n"/>
      <c r="G185" s="3" t="n"/>
      <c r="H185" s="3" t="n"/>
      <c r="I185" s="3" t="n"/>
      <c r="J185" s="3" t="n"/>
      <c r="K185" s="17" t="n"/>
    </row>
    <row r="186">
      <c r="A186" s="3" t="n"/>
      <c r="B186" s="3" t="n"/>
      <c r="C186" s="3" t="n"/>
      <c r="D186" s="19" t="n"/>
      <c r="E186" s="3" t="n"/>
      <c r="F186" s="3" t="n"/>
      <c r="G186" s="3" t="n"/>
      <c r="H186" s="3" t="n"/>
      <c r="I186" s="17" t="n"/>
      <c r="J186" s="3" t="n"/>
      <c r="K186" s="17" t="n"/>
    </row>
    <row r="187">
      <c r="A187" s="3" t="n"/>
      <c r="B187" s="3" t="n"/>
      <c r="C187" s="3" t="n"/>
      <c r="D187" s="19" t="n"/>
      <c r="E187" s="3" t="n"/>
      <c r="F187" s="3" t="n"/>
      <c r="G187" s="3" t="n"/>
      <c r="H187" s="3" t="n"/>
      <c r="I187" s="3" t="n"/>
      <c r="J187" s="3" t="n"/>
      <c r="K187" s="17" t="n"/>
    </row>
    <row r="188">
      <c r="A188" s="3" t="n"/>
      <c r="B188" s="3" t="n"/>
      <c r="C188" s="3" t="n"/>
      <c r="D188" s="19" t="n"/>
      <c r="E188" s="3" t="n"/>
      <c r="F188" s="3" t="n"/>
      <c r="G188" s="3" t="n"/>
      <c r="H188" s="3" t="n"/>
      <c r="I188" s="3" t="n"/>
      <c r="J188" s="3" t="n"/>
      <c r="K188" s="17" t="n"/>
    </row>
    <row r="189">
      <c r="A189" s="3" t="n"/>
      <c r="B189" s="3" t="n"/>
      <c r="C189" s="3" t="n"/>
      <c r="D189" s="19" t="n"/>
      <c r="E189" s="3" t="n"/>
      <c r="F189" s="3" t="n"/>
      <c r="G189" s="3" t="n"/>
      <c r="H189" s="3" t="n"/>
      <c r="I189" s="3" t="n"/>
      <c r="J189" s="3" t="n"/>
      <c r="K189" s="17" t="n"/>
    </row>
    <row r="190">
      <c r="A190" s="3" t="n"/>
      <c r="B190" s="3" t="n"/>
      <c r="C190" s="3" t="n"/>
      <c r="D190" s="19" t="n"/>
      <c r="E190" s="3" t="n"/>
      <c r="F190" s="3" t="n"/>
      <c r="G190" s="3" t="n"/>
      <c r="H190" s="3" t="n"/>
      <c r="I190" s="3" t="n"/>
      <c r="J190" s="3" t="n"/>
      <c r="K190" s="17" t="n"/>
    </row>
    <row r="191">
      <c r="A191" s="3" t="n"/>
      <c r="B191" s="3" t="n"/>
      <c r="C191" s="3" t="n"/>
      <c r="D191" s="19" t="n"/>
      <c r="E191" s="3" t="n"/>
      <c r="F191" s="3" t="n"/>
      <c r="G191" s="3" t="n"/>
      <c r="H191" s="3" t="n"/>
      <c r="I191" s="3" t="n"/>
      <c r="J191" s="3" t="n"/>
      <c r="K191" s="17" t="n"/>
    </row>
    <row r="192">
      <c r="A192" s="3" t="n"/>
      <c r="B192" s="3" t="n"/>
      <c r="C192" s="3" t="n"/>
      <c r="D192" s="19" t="n"/>
      <c r="E192" s="3" t="n"/>
      <c r="F192" s="3" t="n"/>
      <c r="G192" s="3" t="n"/>
      <c r="H192" s="3" t="n"/>
      <c r="I192" s="17" t="n"/>
      <c r="J192" s="3" t="n"/>
      <c r="K192" s="17" t="n"/>
    </row>
    <row r="193">
      <c r="A193" s="3" t="n"/>
      <c r="B193" s="3" t="n"/>
      <c r="C193" s="3" t="n"/>
      <c r="D193" s="19" t="n"/>
      <c r="E193" s="3" t="n"/>
      <c r="F193" s="3" t="n"/>
      <c r="G193" s="3" t="n"/>
      <c r="H193" s="3" t="n"/>
      <c r="I193" s="17" t="n"/>
      <c r="J193" s="3" t="n"/>
      <c r="K193" s="17" t="n"/>
    </row>
    <row r="194">
      <c r="A194" s="3" t="n"/>
      <c r="B194" s="3" t="n"/>
      <c r="C194" s="3" t="n"/>
      <c r="D194" s="19" t="n"/>
      <c r="E194" s="3" t="n"/>
      <c r="F194" s="3" t="n"/>
      <c r="G194" s="3" t="n"/>
      <c r="H194" s="3" t="n"/>
      <c r="I194" s="17" t="n"/>
      <c r="J194" s="3" t="n"/>
      <c r="K194" s="17" t="n"/>
    </row>
    <row r="195">
      <c r="A195" s="3" t="n"/>
      <c r="B195" s="3" t="n"/>
      <c r="C195" s="3" t="n"/>
      <c r="D195" s="19" t="n"/>
      <c r="E195" s="3" t="n"/>
      <c r="F195" s="3" t="n"/>
      <c r="G195" s="3" t="n"/>
      <c r="H195" s="3" t="n"/>
      <c r="I195" s="17" t="n"/>
      <c r="J195" s="3" t="n"/>
      <c r="K195" s="17" t="n"/>
    </row>
    <row r="196">
      <c r="A196" s="3" t="n"/>
      <c r="B196" s="3" t="n"/>
      <c r="C196" s="3" t="n"/>
      <c r="D196" s="19" t="n"/>
      <c r="E196" s="3" t="n"/>
      <c r="F196" s="3" t="n"/>
      <c r="G196" s="3" t="n"/>
      <c r="H196" s="3" t="n"/>
      <c r="I196" s="3" t="n"/>
      <c r="J196" s="3" t="n"/>
      <c r="K196" s="17" t="n"/>
    </row>
    <row r="197">
      <c r="A197" s="3" t="n"/>
      <c r="B197" s="3" t="n"/>
      <c r="C197" s="3" t="n"/>
      <c r="D197" s="19" t="n"/>
      <c r="E197" s="3" t="n"/>
      <c r="F197" s="3" t="n"/>
      <c r="G197" s="3" t="n"/>
      <c r="H197" s="3" t="n"/>
      <c r="I197" s="3" t="n"/>
      <c r="J197" s="3" t="n"/>
      <c r="K197" s="17" t="n"/>
    </row>
    <row r="198">
      <c r="A198" s="3" t="n"/>
      <c r="B198" s="3" t="n"/>
      <c r="C198" s="3" t="n"/>
      <c r="D198" s="19" t="n"/>
      <c r="E198" s="3" t="n"/>
      <c r="F198" s="3" t="n"/>
      <c r="G198" s="3" t="n"/>
      <c r="H198" s="3" t="n"/>
      <c r="I198" s="3" t="n"/>
      <c r="J198" s="3" t="n"/>
      <c r="K198" s="17" t="n"/>
    </row>
    <row r="199">
      <c r="A199" s="3" t="n"/>
      <c r="B199" s="3" t="n"/>
      <c r="C199" s="3" t="n"/>
      <c r="D199" s="19" t="n"/>
      <c r="E199" s="3" t="n"/>
      <c r="F199" s="3" t="n"/>
      <c r="G199" s="3" t="n"/>
      <c r="H199" s="3" t="n"/>
      <c r="I199" s="3" t="n"/>
      <c r="J199" s="3" t="n"/>
      <c r="K199" s="17" t="n"/>
    </row>
    <row r="200">
      <c r="A200" s="3" t="n"/>
      <c r="B200" s="3" t="n"/>
      <c r="C200" s="3" t="n"/>
      <c r="D200" s="19" t="n"/>
      <c r="E200" s="3" t="n"/>
      <c r="F200" s="3" t="n"/>
      <c r="G200" s="3" t="n"/>
      <c r="H200" s="3" t="n"/>
      <c r="I200" s="17" t="n"/>
      <c r="J200" s="3" t="n"/>
      <c r="K200" s="17" t="n"/>
    </row>
    <row r="201">
      <c r="A201" s="3" t="n"/>
      <c r="B201" s="3" t="n"/>
      <c r="C201" s="3" t="n"/>
      <c r="D201" s="19" t="n"/>
      <c r="E201" s="3" t="n"/>
      <c r="F201" s="3" t="n"/>
      <c r="G201" s="3" t="n"/>
      <c r="H201" s="3" t="n"/>
      <c r="I201" s="3" t="n"/>
      <c r="J201" s="3" t="n"/>
      <c r="K201" s="17" t="n"/>
    </row>
    <row r="202">
      <c r="A202" s="3" t="n"/>
      <c r="B202" s="3" t="n"/>
      <c r="C202" s="3" t="n"/>
      <c r="D202" s="19" t="n"/>
      <c r="E202" s="3" t="n"/>
      <c r="F202" s="3" t="n"/>
      <c r="G202" s="3" t="n"/>
      <c r="H202" s="3" t="n"/>
      <c r="I202" s="3" t="n"/>
      <c r="J202" s="3" t="n"/>
      <c r="K202" s="17" t="n"/>
    </row>
    <row r="203">
      <c r="A203" s="3" t="n"/>
      <c r="B203" s="3" t="n"/>
      <c r="C203" s="3" t="n"/>
      <c r="D203" s="19" t="n"/>
      <c r="E203" s="3" t="n"/>
      <c r="F203" s="3" t="n"/>
      <c r="G203" s="3" t="n"/>
      <c r="H203" s="3" t="n"/>
      <c r="I203" s="3" t="n"/>
      <c r="J203" s="3" t="n"/>
      <c r="K203" s="17" t="n"/>
    </row>
    <row r="204">
      <c r="A204" s="3" t="n"/>
      <c r="B204" s="3" t="n"/>
      <c r="C204" s="3" t="n"/>
      <c r="D204" s="19" t="n"/>
      <c r="E204" s="3" t="n"/>
      <c r="F204" s="3" t="n"/>
      <c r="G204" s="3" t="n"/>
      <c r="H204" s="3" t="n"/>
      <c r="I204" s="3" t="n"/>
      <c r="J204" s="3" t="n"/>
      <c r="K204" s="17" t="n"/>
    </row>
    <row r="205">
      <c r="A205" s="3" t="n"/>
      <c r="B205" s="3" t="n"/>
      <c r="C205" s="3" t="n"/>
      <c r="D205" s="19" t="n"/>
      <c r="E205" s="3" t="n"/>
      <c r="F205" s="3" t="n"/>
      <c r="G205" s="3" t="n"/>
      <c r="H205" s="3" t="n"/>
      <c r="I205" s="3" t="n"/>
      <c r="J205" s="3" t="n"/>
      <c r="K205" s="17" t="n"/>
    </row>
    <row r="206">
      <c r="A206" s="3" t="n"/>
      <c r="B206" s="3" t="n"/>
      <c r="C206" s="3" t="n"/>
      <c r="D206" s="19" t="n"/>
      <c r="E206" s="3" t="n"/>
      <c r="F206" s="3" t="n"/>
      <c r="G206" s="3" t="n"/>
      <c r="H206" s="3" t="n"/>
      <c r="I206" s="3" t="n"/>
      <c r="J206" s="3" t="n"/>
      <c r="K206" s="17" t="n"/>
    </row>
    <row r="207">
      <c r="A207" s="3" t="n"/>
      <c r="B207" s="3" t="n"/>
      <c r="C207" s="3" t="n"/>
      <c r="D207" s="19" t="n"/>
      <c r="E207" s="3" t="n"/>
      <c r="F207" s="3" t="n"/>
      <c r="G207" s="3" t="n"/>
      <c r="H207" s="3" t="n"/>
      <c r="I207" s="17" t="n"/>
      <c r="J207" s="3" t="n"/>
      <c r="K207" s="17" t="n"/>
    </row>
    <row r="208">
      <c r="A208" s="3" t="n"/>
      <c r="B208" s="3" t="n"/>
      <c r="C208" s="3" t="n"/>
      <c r="D208" s="19" t="n"/>
      <c r="E208" s="3" t="n"/>
      <c r="F208" s="3" t="n"/>
      <c r="G208" s="3" t="n"/>
      <c r="H208" s="3" t="n"/>
      <c r="I208" s="17" t="n"/>
      <c r="J208" s="3" t="n"/>
      <c r="K208" s="17" t="n"/>
    </row>
    <row r="209">
      <c r="A209" s="3" t="n"/>
      <c r="B209" s="3" t="n"/>
      <c r="C209" s="3" t="n"/>
      <c r="D209" s="19" t="n"/>
      <c r="E209" s="3" t="n"/>
      <c r="F209" s="3" t="n"/>
      <c r="G209" s="3" t="n"/>
      <c r="H209" s="3" t="n"/>
      <c r="I209" s="17" t="n"/>
      <c r="J209" s="3" t="n"/>
      <c r="K209" s="17" t="n"/>
    </row>
    <row r="210">
      <c r="A210" s="3" t="n"/>
      <c r="B210" s="3" t="n"/>
      <c r="C210" s="3" t="n"/>
      <c r="D210" s="19" t="n"/>
      <c r="E210" s="3" t="n"/>
      <c r="F210" s="3" t="n"/>
      <c r="G210" s="3" t="n"/>
      <c r="H210" s="3" t="n"/>
      <c r="I210" s="17" t="n"/>
      <c r="J210" s="3" t="n"/>
      <c r="K210" s="17" t="n"/>
    </row>
    <row r="211">
      <c r="A211" s="3" t="n"/>
      <c r="B211" s="3" t="n"/>
      <c r="C211" s="3" t="n"/>
      <c r="D211" s="19" t="n"/>
      <c r="E211" s="3" t="n"/>
      <c r="F211" s="3" t="n"/>
      <c r="G211" s="3" t="n"/>
      <c r="H211" s="3" t="n"/>
      <c r="I211" s="17" t="n"/>
      <c r="J211" s="3" t="n"/>
      <c r="K211" s="17" t="n"/>
    </row>
    <row r="212">
      <c r="A212" s="3" t="n"/>
      <c r="B212" s="3" t="n"/>
      <c r="C212" s="3" t="n"/>
      <c r="D212" s="19" t="n"/>
      <c r="E212" s="3" t="n"/>
      <c r="F212" s="3" t="n"/>
      <c r="G212" s="3" t="n"/>
      <c r="H212" s="3" t="n"/>
      <c r="I212" s="17" t="n"/>
      <c r="J212" s="3" t="n"/>
      <c r="K212" s="17" t="n"/>
    </row>
    <row r="213">
      <c r="A213" s="3" t="n"/>
      <c r="B213" s="3" t="n"/>
      <c r="C213" s="3" t="n"/>
      <c r="D213" s="19" t="n"/>
      <c r="E213" s="3" t="n"/>
      <c r="F213" s="3" t="n"/>
      <c r="G213" s="3" t="n"/>
      <c r="H213" s="3" t="n"/>
      <c r="I213" s="17" t="n"/>
      <c r="J213" s="3" t="n"/>
      <c r="K213" s="17" t="n"/>
    </row>
    <row r="214">
      <c r="A214" s="3" t="n"/>
      <c r="B214" s="3" t="n"/>
      <c r="C214" s="3" t="n"/>
      <c r="D214" s="19" t="n"/>
      <c r="E214" s="3" t="n"/>
      <c r="F214" s="3" t="n"/>
      <c r="G214" s="3" t="n"/>
      <c r="H214" s="3" t="n"/>
      <c r="I214" s="3" t="n"/>
      <c r="J214" s="3" t="n"/>
      <c r="K214" s="17" t="n"/>
    </row>
    <row r="215">
      <c r="A215" s="3" t="n"/>
      <c r="B215" s="3" t="n"/>
      <c r="C215" s="3" t="n"/>
      <c r="D215" s="19" t="n"/>
      <c r="E215" s="3" t="n"/>
      <c r="F215" s="3" t="n"/>
      <c r="G215" s="3" t="n"/>
      <c r="H215" s="3" t="n"/>
      <c r="I215" s="17" t="n"/>
      <c r="J215" s="3" t="n"/>
      <c r="K215" s="17" t="n"/>
    </row>
    <row r="216">
      <c r="A216" s="3" t="n"/>
      <c r="B216" s="3" t="n"/>
      <c r="C216" s="3" t="n"/>
      <c r="D216" s="19" t="n"/>
      <c r="E216" s="3" t="n"/>
      <c r="F216" s="3" t="n"/>
      <c r="G216" s="3" t="n"/>
      <c r="H216" s="3" t="n"/>
      <c r="I216" s="3" t="n"/>
      <c r="J216" s="3" t="n"/>
      <c r="K216" s="17" t="n"/>
    </row>
    <row r="217">
      <c r="A217" s="3" t="n"/>
      <c r="B217" s="3" t="n"/>
      <c r="C217" s="3" t="n"/>
      <c r="D217" s="19" t="n"/>
      <c r="E217" s="3" t="n"/>
      <c r="F217" s="3" t="n"/>
      <c r="G217" s="3" t="n"/>
      <c r="H217" s="3" t="n"/>
      <c r="I217" s="3" t="n"/>
      <c r="J217" s="3" t="n"/>
      <c r="K217" s="17" t="n"/>
    </row>
    <row r="218">
      <c r="A218" s="3" t="n"/>
      <c r="B218" s="3" t="n"/>
      <c r="C218" s="3" t="n"/>
      <c r="D218" s="19" t="n"/>
      <c r="E218" s="3" t="n"/>
      <c r="F218" s="3" t="n"/>
      <c r="G218" s="3" t="n"/>
      <c r="H218" s="3" t="n"/>
      <c r="I218" s="3" t="n"/>
      <c r="J218" s="3" t="n"/>
      <c r="K218" s="17" t="n"/>
    </row>
    <row r="219">
      <c r="A219" s="3" t="n"/>
      <c r="B219" s="3" t="n"/>
      <c r="C219" s="3" t="n"/>
      <c r="D219" s="19" t="n"/>
      <c r="E219" s="3" t="n"/>
      <c r="F219" s="3" t="n"/>
      <c r="G219" s="3" t="n"/>
      <c r="H219" s="3" t="n"/>
      <c r="I219" s="3" t="n"/>
      <c r="J219" s="3" t="n"/>
      <c r="K219" s="17" t="n"/>
    </row>
    <row r="220">
      <c r="A220" s="3" t="n"/>
      <c r="B220" s="3" t="n"/>
      <c r="C220" s="3" t="n"/>
      <c r="D220" s="19" t="n"/>
      <c r="E220" s="3" t="n"/>
      <c r="F220" s="3" t="n"/>
      <c r="G220" s="3" t="n"/>
      <c r="H220" s="3" t="n"/>
      <c r="I220" s="3" t="n"/>
      <c r="J220" s="3" t="n"/>
      <c r="K220" s="17" t="n"/>
    </row>
    <row r="221">
      <c r="A221" s="3" t="n"/>
      <c r="B221" s="3" t="n"/>
      <c r="C221" s="3" t="n"/>
      <c r="D221" s="19" t="n"/>
      <c r="E221" s="3" t="n"/>
      <c r="F221" s="3" t="n"/>
      <c r="G221" s="3" t="n"/>
      <c r="H221" s="3" t="n"/>
      <c r="I221" s="3" t="n"/>
      <c r="J221" s="3" t="n"/>
      <c r="K221" s="17" t="n"/>
    </row>
    <row r="222">
      <c r="A222" s="3" t="n"/>
      <c r="B222" s="3" t="n"/>
      <c r="C222" s="3" t="n"/>
      <c r="D222" s="19" t="n"/>
      <c r="E222" s="3" t="n"/>
      <c r="F222" s="3" t="n"/>
      <c r="G222" s="3" t="n"/>
      <c r="H222" s="3" t="n"/>
      <c r="I222" s="3" t="n"/>
      <c r="J222" s="3" t="n"/>
      <c r="K222" s="17" t="n"/>
    </row>
    <row r="223">
      <c r="A223" s="3" t="n"/>
      <c r="B223" s="3" t="n"/>
      <c r="C223" s="3" t="n"/>
      <c r="D223" s="19" t="n"/>
      <c r="E223" s="3" t="n"/>
      <c r="F223" s="3" t="n"/>
      <c r="G223" s="3" t="n"/>
      <c r="H223" s="3" t="n"/>
      <c r="I223" s="3" t="n"/>
      <c r="J223" s="3" t="n"/>
      <c r="K223" s="17" t="n"/>
    </row>
    <row r="224">
      <c r="A224" s="3" t="n"/>
      <c r="B224" s="3" t="n"/>
      <c r="C224" s="3" t="n"/>
      <c r="D224" s="19" t="n"/>
      <c r="E224" s="3" t="n"/>
      <c r="F224" s="3" t="n"/>
      <c r="G224" s="3" t="n"/>
      <c r="H224" s="3" t="n"/>
      <c r="I224" s="3" t="n"/>
      <c r="J224" s="3" t="n"/>
      <c r="K224" s="17" t="n"/>
    </row>
    <row r="225">
      <c r="A225" s="3" t="n"/>
      <c r="B225" s="3" t="n"/>
      <c r="C225" s="3" t="n"/>
      <c r="D225" s="19" t="n"/>
      <c r="E225" s="3" t="n"/>
      <c r="F225" s="3" t="n"/>
      <c r="G225" s="3" t="n"/>
      <c r="H225" s="3" t="n"/>
      <c r="I225" s="3" t="n"/>
      <c r="J225" s="3" t="n"/>
      <c r="K225" s="17" t="n"/>
    </row>
    <row r="226">
      <c r="A226" s="3" t="n"/>
      <c r="B226" s="3" t="n"/>
      <c r="C226" s="3" t="n"/>
      <c r="D226" s="19" t="n"/>
      <c r="E226" s="3" t="n"/>
      <c r="F226" s="3" t="n"/>
      <c r="G226" s="3" t="n"/>
      <c r="H226" s="3" t="n"/>
      <c r="I226" s="3" t="n"/>
      <c r="J226" s="3" t="n"/>
      <c r="K226" s="17" t="n"/>
    </row>
    <row r="227">
      <c r="A227" s="3" t="n"/>
      <c r="B227" s="3" t="n"/>
      <c r="C227" s="3" t="n"/>
      <c r="D227" s="19" t="n"/>
      <c r="E227" s="3" t="n"/>
      <c r="F227" s="3" t="n"/>
      <c r="G227" s="3" t="n"/>
      <c r="H227" s="3" t="n"/>
      <c r="I227" s="3" t="n"/>
      <c r="J227" s="3" t="n"/>
      <c r="K227" s="17" t="n"/>
    </row>
    <row r="228">
      <c r="A228" s="3" t="n"/>
      <c r="B228" s="3" t="n"/>
      <c r="C228" s="3" t="n"/>
      <c r="D228" s="19" t="n"/>
      <c r="E228" s="3" t="n"/>
      <c r="F228" s="3" t="n"/>
      <c r="G228" s="3" t="n"/>
      <c r="H228" s="3" t="n"/>
      <c r="I228" s="17" t="n"/>
      <c r="J228" s="3" t="n"/>
      <c r="K228" s="17" t="n"/>
    </row>
    <row r="229">
      <c r="A229" s="3" t="n"/>
      <c r="B229" s="3" t="n"/>
      <c r="C229" s="3" t="n"/>
      <c r="D229" s="19" t="n"/>
      <c r="E229" s="3" t="n"/>
      <c r="F229" s="3" t="n"/>
      <c r="G229" s="3" t="n"/>
      <c r="H229" s="3" t="n"/>
      <c r="I229" s="17" t="n"/>
      <c r="J229" s="3" t="n"/>
      <c r="K229" s="17" t="n"/>
    </row>
    <row r="230">
      <c r="A230" s="3" t="n"/>
      <c r="B230" s="3" t="n"/>
      <c r="C230" s="3" t="n"/>
      <c r="D230" s="19" t="n"/>
      <c r="E230" s="3" t="n"/>
      <c r="F230" s="3" t="n"/>
      <c r="G230" s="3" t="n"/>
      <c r="H230" s="3" t="n"/>
      <c r="I230" s="17" t="n"/>
      <c r="J230" s="3" t="n"/>
      <c r="K230" s="17" t="n"/>
    </row>
    <row r="231">
      <c r="A231" s="3" t="n"/>
      <c r="B231" s="3" t="n"/>
      <c r="C231" s="3" t="n"/>
      <c r="D231" s="19" t="n"/>
      <c r="E231" s="3" t="n"/>
      <c r="F231" s="3" t="n"/>
      <c r="G231" s="3" t="n"/>
      <c r="H231" s="3" t="n"/>
      <c r="I231" s="17" t="n"/>
      <c r="J231" s="3" t="n"/>
      <c r="K231" s="17" t="n"/>
    </row>
    <row r="232">
      <c r="A232" s="3" t="n"/>
      <c r="B232" s="3" t="n"/>
      <c r="C232" s="3" t="n"/>
      <c r="D232" s="19" t="n"/>
      <c r="E232" s="3" t="n"/>
      <c r="F232" s="3" t="n"/>
      <c r="G232" s="3" t="n"/>
      <c r="H232" s="3" t="n"/>
      <c r="I232" s="17" t="n"/>
      <c r="J232" s="3" t="n"/>
      <c r="K232" s="17" t="n"/>
    </row>
    <row r="233">
      <c r="A233" s="3" t="n"/>
      <c r="B233" s="3" t="n"/>
      <c r="C233" s="3" t="n"/>
      <c r="D233" s="19" t="n"/>
      <c r="E233" s="3" t="n"/>
      <c r="F233" s="3" t="n"/>
      <c r="G233" s="3" t="n"/>
      <c r="H233" s="3" t="n"/>
      <c r="I233" s="17" t="n"/>
      <c r="J233" s="3" t="n"/>
      <c r="K233" s="17" t="n"/>
    </row>
    <row r="234">
      <c r="A234" s="3" t="n"/>
      <c r="B234" s="3" t="n"/>
      <c r="C234" s="3" t="n"/>
      <c r="D234" s="19" t="n"/>
      <c r="E234" s="3" t="n"/>
      <c r="F234" s="3" t="n"/>
      <c r="G234" s="3" t="n"/>
      <c r="H234" s="3" t="n"/>
      <c r="I234" s="17" t="n"/>
      <c r="J234" s="3" t="n"/>
      <c r="K234" s="17" t="n"/>
    </row>
    <row r="235">
      <c r="A235" s="3" t="n"/>
      <c r="B235" s="3" t="n"/>
      <c r="C235" s="3" t="n"/>
      <c r="D235" s="19" t="n"/>
      <c r="E235" s="3" t="n"/>
      <c r="F235" s="3" t="n"/>
      <c r="G235" s="3" t="n"/>
      <c r="H235" s="3" t="n"/>
      <c r="I235" s="17" t="n"/>
      <c r="J235" s="3" t="n"/>
      <c r="K235" s="17" t="n"/>
    </row>
    <row r="236">
      <c r="A236" s="3" t="n"/>
      <c r="B236" s="3" t="n"/>
      <c r="C236" s="3" t="n"/>
      <c r="D236" s="19" t="n"/>
      <c r="E236" s="3" t="n"/>
      <c r="F236" s="3" t="n"/>
      <c r="G236" s="3" t="n"/>
      <c r="H236" s="3" t="n"/>
      <c r="I236" s="17" t="n"/>
      <c r="J236" s="3" t="n"/>
      <c r="K236" s="17" t="n"/>
    </row>
    <row r="237">
      <c r="A237" s="3" t="n"/>
      <c r="B237" s="3" t="n"/>
      <c r="C237" s="3" t="n"/>
      <c r="D237" s="19" t="n"/>
      <c r="E237" s="3" t="n"/>
      <c r="F237" s="3" t="n"/>
      <c r="G237" s="3" t="n"/>
      <c r="H237" s="3" t="n"/>
      <c r="I237" s="17" t="n"/>
      <c r="J237" s="3" t="n"/>
      <c r="K237" s="17" t="n"/>
    </row>
    <row r="238">
      <c r="A238" s="3" t="n"/>
      <c r="B238" s="3" t="n"/>
      <c r="C238" s="3" t="n"/>
      <c r="D238" s="19" t="n"/>
      <c r="E238" s="3" t="n"/>
      <c r="F238" s="3" t="n"/>
      <c r="G238" s="3" t="n"/>
      <c r="H238" s="3" t="n"/>
      <c r="I238" s="17" t="n"/>
      <c r="J238" s="3" t="n"/>
      <c r="K238" s="17" t="n"/>
    </row>
    <row r="239">
      <c r="A239" s="3" t="n"/>
      <c r="B239" s="3" t="n"/>
      <c r="C239" s="3" t="n"/>
      <c r="D239" s="19" t="n"/>
      <c r="E239" s="3" t="n"/>
      <c r="F239" s="3" t="n"/>
      <c r="G239" s="3" t="n"/>
      <c r="H239" s="3" t="n"/>
      <c r="I239" s="3" t="n"/>
      <c r="J239" s="3" t="n"/>
      <c r="K239" s="17" t="n"/>
    </row>
    <row r="240">
      <c r="A240" s="3" t="n"/>
      <c r="B240" s="3" t="n"/>
      <c r="C240" s="3" t="n"/>
      <c r="D240" s="19" t="n"/>
      <c r="E240" s="3" t="n"/>
      <c r="F240" s="3" t="n"/>
      <c r="G240" s="3" t="n"/>
      <c r="H240" s="3" t="n"/>
      <c r="I240" s="3" t="n"/>
      <c r="J240" s="3" t="n"/>
      <c r="K240" s="17" t="n"/>
    </row>
    <row r="241">
      <c r="A241" s="3" t="n"/>
      <c r="B241" s="3" t="n"/>
      <c r="C241" s="3" t="n"/>
      <c r="D241" s="19" t="n"/>
      <c r="E241" s="3" t="n"/>
      <c r="F241" s="3" t="n"/>
      <c r="G241" s="3" t="n"/>
      <c r="H241" s="3" t="n"/>
      <c r="I241" s="3" t="n"/>
      <c r="J241" s="3" t="n"/>
      <c r="K241" s="17" t="n"/>
    </row>
    <row r="242">
      <c r="A242" s="3" t="n"/>
      <c r="B242" s="3" t="n"/>
      <c r="C242" s="3" t="n"/>
      <c r="D242" s="19" t="n"/>
      <c r="E242" s="3" t="n"/>
      <c r="F242" s="3" t="n"/>
      <c r="G242" s="3" t="n"/>
      <c r="H242" s="3" t="n"/>
      <c r="I242" s="3" t="n"/>
      <c r="J242" s="3" t="n"/>
      <c r="K242" s="17" t="n"/>
    </row>
    <row r="243">
      <c r="A243" s="3" t="n"/>
      <c r="B243" s="3" t="n"/>
      <c r="C243" s="3" t="n"/>
      <c r="D243" s="19" t="n"/>
      <c r="E243" s="3" t="n"/>
      <c r="F243" s="3" t="n"/>
      <c r="G243" s="3" t="n"/>
      <c r="H243" s="3" t="n"/>
      <c r="I243" s="3" t="n"/>
      <c r="J243" s="3" t="n"/>
      <c r="K243" s="17" t="n"/>
    </row>
    <row r="244">
      <c r="A244" s="3" t="n"/>
      <c r="B244" s="3" t="n"/>
      <c r="C244" s="3" t="n"/>
      <c r="D244" s="19" t="n"/>
      <c r="E244" s="3" t="n"/>
      <c r="F244" s="3" t="n"/>
      <c r="G244" s="3" t="n"/>
      <c r="H244" s="3" t="n"/>
      <c r="I244" s="3" t="n"/>
      <c r="J244" s="3" t="n"/>
      <c r="K244" s="17" t="n"/>
    </row>
    <row r="245">
      <c r="A245" s="3" t="n"/>
      <c r="B245" s="3" t="n"/>
      <c r="C245" s="3" t="n"/>
      <c r="D245" s="19" t="n"/>
      <c r="E245" s="3" t="n"/>
      <c r="F245" s="3" t="n"/>
      <c r="G245" s="3" t="n"/>
      <c r="H245" s="3" t="n"/>
      <c r="I245" s="3" t="n"/>
      <c r="J245" s="3" t="n"/>
      <c r="K245" s="17" t="n"/>
    </row>
    <row r="246">
      <c r="A246" s="3" t="n"/>
      <c r="B246" s="3" t="n"/>
      <c r="C246" s="3" t="n"/>
      <c r="D246" s="19" t="n"/>
      <c r="E246" s="3" t="n"/>
      <c r="F246" s="3" t="n"/>
      <c r="G246" s="3" t="n"/>
      <c r="H246" s="3" t="n"/>
      <c r="I246" s="3" t="n"/>
      <c r="J246" s="3" t="n"/>
      <c r="K246" s="17" t="n"/>
    </row>
    <row r="247">
      <c r="A247" s="3" t="n"/>
      <c r="B247" s="3" t="n"/>
      <c r="C247" s="3" t="n"/>
      <c r="D247" s="19" t="n"/>
      <c r="E247" s="3" t="n"/>
      <c r="F247" s="3" t="n"/>
      <c r="G247" s="3" t="n"/>
      <c r="H247" s="3" t="n"/>
      <c r="I247" s="3" t="n"/>
      <c r="J247" s="3" t="n"/>
      <c r="K247" s="17" t="n"/>
    </row>
    <row r="248">
      <c r="A248" s="3" t="n"/>
      <c r="B248" s="3" t="n"/>
      <c r="C248" s="3" t="n"/>
      <c r="D248" s="19" t="n"/>
      <c r="E248" s="3" t="n"/>
      <c r="F248" s="3" t="n"/>
      <c r="G248" s="3" t="n"/>
      <c r="H248" s="3" t="n"/>
      <c r="I248" s="3" t="n"/>
      <c r="J248" s="3" t="n"/>
      <c r="K248" s="17" t="n"/>
    </row>
    <row r="249">
      <c r="A249" s="3" t="n"/>
      <c r="B249" s="3" t="n"/>
      <c r="C249" s="3" t="n"/>
      <c r="D249" s="19" t="n"/>
      <c r="E249" s="3" t="n"/>
      <c r="F249" s="3" t="n"/>
      <c r="G249" s="3" t="n"/>
      <c r="H249" s="3" t="n"/>
      <c r="I249" s="3" t="n"/>
      <c r="J249" s="3" t="n"/>
      <c r="K249" s="17" t="n"/>
    </row>
    <row r="250">
      <c r="A250" s="3" t="n"/>
      <c r="B250" s="3" t="n"/>
      <c r="C250" s="3" t="n"/>
      <c r="D250" s="19" t="n"/>
      <c r="E250" s="3" t="n"/>
      <c r="F250" s="3" t="n"/>
      <c r="G250" s="3" t="n"/>
      <c r="H250" s="3" t="n"/>
      <c r="I250" s="3" t="n"/>
      <c r="J250" s="3" t="n"/>
      <c r="K250" s="17" t="n"/>
    </row>
    <row r="251">
      <c r="A251" s="3" t="n"/>
      <c r="B251" s="3" t="n"/>
      <c r="C251" s="3" t="n"/>
      <c r="D251" s="19" t="n"/>
      <c r="E251" s="3" t="n"/>
      <c r="F251" s="3" t="n"/>
      <c r="G251" s="3" t="n"/>
      <c r="H251" s="3" t="n"/>
      <c r="I251" s="3" t="n"/>
      <c r="J251" s="3" t="n"/>
      <c r="K251" s="17" t="n"/>
    </row>
    <row r="252">
      <c r="A252" s="3" t="n"/>
      <c r="B252" s="3" t="n"/>
      <c r="C252" s="3" t="n"/>
      <c r="D252" s="19" t="n"/>
      <c r="E252" s="3" t="n"/>
      <c r="F252" s="3" t="n"/>
      <c r="G252" s="3" t="n"/>
      <c r="H252" s="3" t="n"/>
      <c r="I252" s="17" t="n"/>
      <c r="J252" s="3" t="n"/>
      <c r="K252" s="17" t="n"/>
    </row>
    <row r="253">
      <c r="A253" s="3" t="n"/>
      <c r="B253" s="3" t="n"/>
      <c r="C253" s="3" t="n"/>
      <c r="D253" s="19" t="n"/>
      <c r="E253" s="3" t="n"/>
      <c r="F253" s="3" t="n"/>
      <c r="G253" s="3" t="n"/>
      <c r="H253" s="3" t="n"/>
      <c r="I253" s="3" t="n"/>
      <c r="J253" s="3" t="n"/>
      <c r="K253" s="17" t="n"/>
    </row>
    <row r="254">
      <c r="A254" s="3" t="n"/>
      <c r="B254" s="3" t="n"/>
      <c r="C254" s="3" t="n"/>
      <c r="D254" s="19" t="n"/>
      <c r="E254" s="3" t="n"/>
      <c r="F254" s="3" t="n"/>
      <c r="G254" s="3" t="n"/>
      <c r="H254" s="3" t="n"/>
      <c r="I254" s="17" t="n"/>
      <c r="J254" s="3" t="n"/>
      <c r="K254" s="17" t="n"/>
    </row>
    <row r="255">
      <c r="A255" s="3" t="n"/>
      <c r="B255" s="3" t="n"/>
      <c r="C255" s="3" t="n"/>
      <c r="D255" s="19" t="n"/>
      <c r="E255" s="3" t="n"/>
      <c r="F255" s="3" t="n"/>
      <c r="G255" s="3" t="n"/>
      <c r="H255" s="3" t="n"/>
      <c r="I255" s="3" t="n"/>
      <c r="J255" s="3" t="n"/>
      <c r="K255" s="17" t="n"/>
    </row>
    <row r="256">
      <c r="A256" s="3" t="n"/>
      <c r="B256" s="3" t="n"/>
      <c r="C256" s="3" t="n"/>
      <c r="D256" s="19" t="n"/>
      <c r="E256" s="3" t="n"/>
      <c r="F256" s="3" t="n"/>
      <c r="G256" s="3" t="n"/>
      <c r="H256" s="3" t="n"/>
      <c r="I256" s="17" t="n"/>
      <c r="J256" s="3" t="n"/>
      <c r="K256" s="17" t="n"/>
    </row>
    <row r="257">
      <c r="A257" s="3" t="n"/>
      <c r="B257" s="3" t="n"/>
      <c r="C257" s="3" t="n"/>
      <c r="D257" s="19" t="n"/>
      <c r="E257" s="3" t="n"/>
      <c r="F257" s="3" t="n"/>
      <c r="G257" s="3" t="n"/>
      <c r="H257" s="3" t="n"/>
      <c r="I257" s="3" t="n"/>
      <c r="J257" s="3" t="n"/>
      <c r="K257" s="17" t="n"/>
    </row>
    <row r="258">
      <c r="A258" s="3" t="n"/>
      <c r="B258" s="3" t="n"/>
      <c r="C258" s="3" t="n"/>
      <c r="D258" s="19" t="n"/>
      <c r="E258" s="3" t="n"/>
      <c r="F258" s="3" t="n"/>
      <c r="G258" s="3" t="n"/>
      <c r="H258" s="3" t="n"/>
      <c r="I258" s="17" t="n"/>
      <c r="J258" s="3" t="n"/>
      <c r="K258" s="17" t="n"/>
    </row>
    <row r="259">
      <c r="A259" s="3" t="n"/>
      <c r="B259" s="3" t="n"/>
      <c r="C259" s="3" t="n"/>
      <c r="D259" s="19" t="n"/>
      <c r="E259" s="3" t="n"/>
      <c r="F259" s="3" t="n"/>
      <c r="G259" s="3" t="n"/>
      <c r="H259" s="3" t="n"/>
      <c r="I259" s="3" t="n"/>
      <c r="J259" s="3" t="n"/>
      <c r="K259" s="17" t="n"/>
    </row>
    <row r="260">
      <c r="A260" s="3" t="n"/>
      <c r="B260" s="3" t="n"/>
      <c r="C260" s="3" t="n"/>
      <c r="D260" s="19" t="n"/>
      <c r="E260" s="3" t="n"/>
      <c r="F260" s="3" t="n"/>
      <c r="G260" s="3" t="n"/>
      <c r="H260" s="3" t="n"/>
      <c r="I260" s="17" t="n"/>
      <c r="J260" s="3" t="n"/>
      <c r="K260" s="17" t="n"/>
    </row>
    <row r="261">
      <c r="A261" s="3" t="n"/>
      <c r="B261" s="3" t="n"/>
      <c r="C261" s="3" t="n"/>
      <c r="D261" s="19" t="n"/>
      <c r="E261" s="3" t="n"/>
      <c r="F261" s="3" t="n"/>
      <c r="G261" s="3" t="n"/>
      <c r="H261" s="3" t="n"/>
      <c r="I261" s="3" t="n"/>
      <c r="J261" s="3" t="n"/>
      <c r="K261" s="17" t="n"/>
    </row>
    <row r="262">
      <c r="A262" s="3" t="n"/>
      <c r="B262" s="3" t="n"/>
      <c r="C262" s="3" t="n"/>
      <c r="D262" s="19" t="n"/>
      <c r="E262" s="3" t="n"/>
      <c r="F262" s="3" t="n"/>
      <c r="G262" s="3" t="n"/>
      <c r="H262" s="3" t="n"/>
      <c r="I262" s="17" t="n"/>
      <c r="J262" s="3" t="n"/>
      <c r="K262" s="17" t="n"/>
    </row>
    <row r="263">
      <c r="A263" s="3" t="n"/>
      <c r="B263" s="3" t="n"/>
      <c r="C263" s="3" t="n"/>
      <c r="D263" s="19" t="n"/>
      <c r="E263" s="3" t="n"/>
      <c r="F263" s="3" t="n"/>
      <c r="G263" s="3" t="n"/>
      <c r="H263" s="3" t="n"/>
      <c r="I263" s="3" t="n"/>
      <c r="J263" s="3" t="n"/>
      <c r="K263" s="17" t="n"/>
    </row>
    <row r="264">
      <c r="A264" s="3" t="n"/>
      <c r="B264" s="3" t="n"/>
      <c r="C264" s="3" t="n"/>
      <c r="D264" s="19" t="n"/>
      <c r="E264" s="3" t="n"/>
      <c r="F264" s="3" t="n"/>
      <c r="G264" s="3" t="n"/>
      <c r="H264" s="3" t="n"/>
      <c r="I264" s="3" t="n"/>
      <c r="J264" s="3" t="n"/>
      <c r="K264" s="17" t="n"/>
    </row>
    <row r="265">
      <c r="A265" s="3" t="n"/>
      <c r="B265" s="3" t="n"/>
      <c r="C265" s="3" t="n"/>
      <c r="D265" s="19" t="n"/>
      <c r="E265" s="3" t="n"/>
      <c r="F265" s="3" t="n"/>
      <c r="G265" s="3" t="n"/>
      <c r="H265" s="3" t="n"/>
      <c r="I265" s="3" t="n"/>
      <c r="J265" s="3" t="n"/>
      <c r="K265" s="17" t="n"/>
    </row>
    <row r="266">
      <c r="A266" s="3" t="n"/>
      <c r="B266" s="3" t="n"/>
      <c r="C266" s="3" t="n"/>
      <c r="D266" s="19" t="n"/>
      <c r="E266" s="3" t="n"/>
      <c r="F266" s="3" t="n"/>
      <c r="G266" s="3" t="n"/>
      <c r="H266" s="3" t="n"/>
      <c r="I266" s="3" t="n"/>
      <c r="J266" s="3" t="n"/>
      <c r="K266" s="17" t="n"/>
    </row>
    <row r="267">
      <c r="A267" s="3" t="n"/>
      <c r="B267" s="3" t="n"/>
      <c r="C267" s="3" t="n"/>
      <c r="D267" s="19" t="n"/>
      <c r="E267" s="3" t="n"/>
      <c r="F267" s="3" t="n"/>
      <c r="G267" s="3" t="n"/>
      <c r="H267" s="3" t="n"/>
      <c r="I267" s="3" t="n"/>
      <c r="J267" s="3" t="n"/>
      <c r="K267" s="17" t="n"/>
    </row>
    <row r="268">
      <c r="A268" s="3" t="n"/>
      <c r="B268" s="3" t="n"/>
      <c r="C268" s="3" t="n"/>
      <c r="D268" s="19" t="n"/>
      <c r="E268" s="3" t="n"/>
      <c r="F268" s="3" t="n"/>
      <c r="G268" s="3" t="n"/>
      <c r="H268" s="3" t="n"/>
      <c r="I268" s="3" t="n"/>
      <c r="J268" s="3" t="n"/>
      <c r="K268" s="17" t="n"/>
    </row>
    <row r="269">
      <c r="A269" s="3" t="n"/>
      <c r="B269" s="3" t="n"/>
      <c r="C269" s="3" t="n"/>
      <c r="D269" s="19" t="n"/>
      <c r="E269" s="3" t="n"/>
      <c r="F269" s="3" t="n"/>
      <c r="G269" s="3" t="n"/>
      <c r="H269" s="3" t="n"/>
      <c r="I269" s="3" t="n"/>
      <c r="J269" s="3" t="n"/>
      <c r="K269" s="17" t="n"/>
    </row>
    <row r="270">
      <c r="A270" s="3" t="n"/>
      <c r="B270" s="3" t="n"/>
      <c r="C270" s="3" t="n"/>
      <c r="D270" s="19" t="n"/>
      <c r="E270" s="3" t="n"/>
      <c r="F270" s="3" t="n"/>
      <c r="G270" s="3" t="n"/>
      <c r="H270" s="3" t="n"/>
      <c r="I270" s="3" t="n"/>
      <c r="J270" s="3" t="n"/>
      <c r="K270" s="17" t="n"/>
    </row>
    <row r="271">
      <c r="A271" s="3" t="n"/>
      <c r="B271" s="3" t="n"/>
      <c r="C271" s="3" t="n"/>
      <c r="D271" s="19" t="n"/>
      <c r="E271" s="3" t="n"/>
      <c r="F271" s="3" t="n"/>
      <c r="G271" s="3" t="n"/>
      <c r="H271" s="3" t="n"/>
      <c r="I271" s="3" t="n"/>
      <c r="J271" s="3" t="n"/>
      <c r="K271" s="17" t="n"/>
    </row>
    <row r="272">
      <c r="A272" s="3" t="n"/>
      <c r="B272" s="3" t="n"/>
      <c r="C272" s="3" t="n"/>
      <c r="D272" s="19" t="n"/>
      <c r="E272" s="3" t="n"/>
      <c r="F272" s="3" t="n"/>
      <c r="G272" s="3" t="n"/>
      <c r="H272" s="3" t="n"/>
      <c r="I272" s="3" t="n"/>
      <c r="J272" s="3" t="n"/>
      <c r="K272" s="17" t="n"/>
    </row>
    <row r="273">
      <c r="A273" s="3" t="n"/>
      <c r="B273" s="3" t="n"/>
      <c r="C273" s="3" t="n"/>
      <c r="D273" s="19" t="n"/>
      <c r="E273" s="3" t="n"/>
      <c r="F273" s="3" t="n"/>
      <c r="G273" s="3" t="n"/>
      <c r="H273" s="3" t="n"/>
      <c r="I273" s="3" t="n"/>
      <c r="J273" s="3" t="n"/>
      <c r="K273" s="17" t="n"/>
    </row>
    <row r="274">
      <c r="A274" s="3" t="n"/>
      <c r="B274" s="3" t="n"/>
      <c r="C274" s="3" t="n"/>
      <c r="D274" s="19" t="n"/>
      <c r="E274" s="3" t="n"/>
      <c r="F274" s="3" t="n"/>
      <c r="G274" s="3" t="n"/>
      <c r="H274" s="3" t="n"/>
      <c r="I274" s="3" t="n"/>
      <c r="J274" s="3" t="n"/>
      <c r="K274" s="17" t="n"/>
    </row>
    <row r="275">
      <c r="A275" s="3" t="n"/>
      <c r="B275" s="3" t="n"/>
      <c r="C275" s="3" t="n"/>
      <c r="D275" s="19" t="n"/>
      <c r="E275" s="3" t="n"/>
      <c r="F275" s="3" t="n"/>
      <c r="G275" s="3" t="n"/>
      <c r="H275" s="3" t="n"/>
      <c r="I275" s="3" t="n"/>
      <c r="J275" s="3" t="n"/>
      <c r="K275" s="17" t="n"/>
    </row>
    <row r="276">
      <c r="A276" s="3" t="n"/>
      <c r="B276" s="3" t="n"/>
      <c r="C276" s="3" t="n"/>
      <c r="D276" s="19" t="n"/>
      <c r="E276" s="3" t="n"/>
      <c r="F276" s="3" t="n"/>
      <c r="G276" s="3" t="n"/>
      <c r="H276" s="3" t="n"/>
      <c r="I276" s="17" t="n"/>
      <c r="J276" s="3" t="n"/>
      <c r="K276" s="17" t="n"/>
    </row>
    <row r="277">
      <c r="A277" s="3" t="n"/>
      <c r="B277" s="3" t="n"/>
      <c r="C277" s="3" t="n"/>
      <c r="D277" s="19" t="n"/>
      <c r="E277" s="3" t="n"/>
      <c r="F277" s="3" t="n"/>
      <c r="G277" s="3" t="n"/>
      <c r="H277" s="3" t="n"/>
      <c r="I277" s="3" t="n"/>
      <c r="J277" s="3" t="n"/>
      <c r="K277" s="17" t="n"/>
    </row>
    <row r="278">
      <c r="A278" s="3" t="n"/>
      <c r="B278" s="3" t="n"/>
      <c r="C278" s="3" t="n"/>
      <c r="D278" s="19" t="n"/>
      <c r="E278" s="3" t="n"/>
      <c r="F278" s="3" t="n"/>
      <c r="G278" s="3" t="n"/>
      <c r="H278" s="3" t="n"/>
      <c r="I278" s="17" t="n"/>
      <c r="J278" s="3" t="n"/>
      <c r="K278" s="17" t="n"/>
    </row>
    <row r="279">
      <c r="A279" s="3" t="n"/>
      <c r="B279" s="3" t="n"/>
      <c r="C279" s="3" t="n"/>
      <c r="D279" s="19" t="n"/>
      <c r="E279" s="3" t="n"/>
      <c r="F279" s="3" t="n"/>
      <c r="G279" s="3" t="n"/>
      <c r="H279" s="3" t="n"/>
      <c r="I279" s="3" t="n"/>
      <c r="J279" s="3" t="n"/>
      <c r="K279" s="17" t="n"/>
    </row>
    <row r="280">
      <c r="A280" s="3" t="n"/>
      <c r="B280" s="3" t="n"/>
      <c r="C280" s="3" t="n"/>
      <c r="D280" s="19" t="n"/>
      <c r="E280" s="3" t="n"/>
      <c r="F280" s="3" t="n"/>
      <c r="G280" s="3" t="n"/>
      <c r="H280" s="3" t="n"/>
      <c r="I280" s="17" t="n"/>
      <c r="J280" s="3" t="n"/>
      <c r="K280" s="17" t="n"/>
    </row>
    <row r="281">
      <c r="A281" s="3" t="n"/>
      <c r="B281" s="3" t="n"/>
      <c r="C281" s="3" t="n"/>
      <c r="D281" s="19" t="n"/>
      <c r="E281" s="3" t="n"/>
      <c r="F281" s="3" t="n"/>
      <c r="G281" s="3" t="n"/>
      <c r="H281" s="3" t="n"/>
      <c r="I281" s="3" t="n"/>
      <c r="J281" s="3" t="n"/>
      <c r="K281" s="17" t="n"/>
    </row>
    <row r="282">
      <c r="A282" s="3" t="n"/>
      <c r="B282" s="3" t="n"/>
      <c r="C282" s="3" t="n"/>
      <c r="D282" s="19" t="n"/>
      <c r="E282" s="3" t="n"/>
      <c r="F282" s="3" t="n"/>
      <c r="G282" s="3" t="n"/>
      <c r="H282" s="3" t="n"/>
      <c r="I282" s="17" t="n"/>
      <c r="J282" s="3" t="n"/>
      <c r="K282" s="17" t="n"/>
    </row>
    <row r="283">
      <c r="A283" s="3" t="n"/>
      <c r="B283" s="3" t="n"/>
      <c r="C283" s="3" t="n"/>
      <c r="D283" s="19" t="n"/>
      <c r="E283" s="3" t="n"/>
      <c r="F283" s="3" t="n"/>
      <c r="G283" s="3" t="n"/>
      <c r="H283" s="3" t="n"/>
      <c r="I283" s="3" t="n"/>
      <c r="J283" s="3" t="n"/>
      <c r="K283" s="17" t="n"/>
    </row>
    <row r="284">
      <c r="A284" s="3" t="n"/>
      <c r="B284" s="3" t="n"/>
      <c r="C284" s="3" t="n"/>
      <c r="D284" s="19" t="n"/>
      <c r="E284" s="3" t="n"/>
      <c r="F284" s="3" t="n"/>
      <c r="G284" s="3" t="n"/>
      <c r="H284" s="3" t="n"/>
      <c r="I284" s="17" t="n"/>
      <c r="J284" s="3" t="n"/>
      <c r="K284" s="17" t="n"/>
    </row>
    <row r="285">
      <c r="A285" s="3" t="n"/>
      <c r="B285" s="3" t="n"/>
      <c r="C285" s="3" t="n"/>
      <c r="D285" s="19" t="n"/>
      <c r="E285" s="3" t="n"/>
      <c r="F285" s="3" t="n"/>
      <c r="G285" s="3" t="n"/>
      <c r="H285" s="3" t="n"/>
      <c r="I285" s="3" t="n"/>
      <c r="J285" s="3" t="n"/>
      <c r="K285" s="17" t="n"/>
    </row>
    <row r="286">
      <c r="A286" s="3" t="n"/>
      <c r="B286" s="3" t="n"/>
      <c r="C286" s="3" t="n"/>
      <c r="D286" s="19" t="n"/>
      <c r="E286" s="3" t="n"/>
      <c r="F286" s="3" t="n"/>
      <c r="G286" s="3" t="n"/>
      <c r="H286" s="3" t="n"/>
      <c r="I286" s="3" t="n"/>
      <c r="J286" s="3" t="n"/>
      <c r="K286" s="17" t="n"/>
    </row>
    <row r="287">
      <c r="A287" s="3" t="n"/>
      <c r="B287" s="3" t="n"/>
      <c r="C287" s="3" t="n"/>
      <c r="D287" s="19" t="n"/>
      <c r="E287" s="3" t="n"/>
      <c r="F287" s="3" t="n"/>
      <c r="G287" s="3" t="n"/>
      <c r="H287" s="3" t="n"/>
      <c r="I287" s="3" t="n"/>
      <c r="J287" s="3" t="n"/>
      <c r="K287" s="17" t="n"/>
    </row>
    <row r="288">
      <c r="A288" s="3" t="n"/>
      <c r="B288" s="3" t="n"/>
      <c r="C288" s="3" t="n"/>
      <c r="D288" s="19" t="n"/>
      <c r="E288" s="3" t="n"/>
      <c r="F288" s="3" t="n"/>
      <c r="G288" s="3" t="n"/>
      <c r="H288" s="3" t="n"/>
      <c r="I288" s="3" t="n"/>
      <c r="J288" s="3" t="n"/>
      <c r="K288" s="17" t="n"/>
    </row>
    <row r="289">
      <c r="A289" s="3" t="n"/>
      <c r="B289" s="3" t="n"/>
      <c r="C289" s="3" t="n"/>
      <c r="D289" s="19" t="n"/>
      <c r="E289" s="3" t="n"/>
      <c r="F289" s="3" t="n"/>
      <c r="G289" s="3" t="n"/>
      <c r="H289" s="3" t="n"/>
      <c r="I289" s="3" t="n"/>
      <c r="J289" s="3" t="n"/>
      <c r="K289" s="17" t="n"/>
    </row>
    <row r="290">
      <c r="A290" s="3" t="n"/>
      <c r="B290" s="3" t="n"/>
      <c r="C290" s="3" t="n"/>
      <c r="D290" s="19" t="n"/>
      <c r="E290" s="3" t="n"/>
      <c r="F290" s="3" t="n"/>
      <c r="G290" s="3" t="n"/>
      <c r="H290" s="3" t="n"/>
      <c r="I290" s="3" t="n"/>
      <c r="J290" s="3" t="n"/>
      <c r="K290" s="17" t="n"/>
    </row>
    <row r="291">
      <c r="A291" s="3" t="n"/>
      <c r="B291" s="3" t="n"/>
      <c r="C291" s="3" t="n"/>
      <c r="D291" s="19" t="n"/>
      <c r="E291" s="3" t="n"/>
      <c r="F291" s="3" t="n"/>
      <c r="G291" s="3" t="n"/>
      <c r="H291" s="3" t="n"/>
      <c r="I291" s="3" t="n"/>
      <c r="J291" s="3" t="n"/>
      <c r="K291" s="17" t="n"/>
    </row>
    <row r="292">
      <c r="A292" s="3" t="n"/>
      <c r="B292" s="3" t="n"/>
      <c r="C292" s="3" t="n"/>
      <c r="D292" s="19" t="n"/>
      <c r="E292" s="3" t="n"/>
      <c r="F292" s="3" t="n"/>
      <c r="G292" s="3" t="n"/>
      <c r="H292" s="3" t="n"/>
      <c r="I292" s="3" t="n"/>
      <c r="J292" s="3" t="n"/>
      <c r="K292" s="17" t="n"/>
    </row>
    <row r="293">
      <c r="A293" s="3" t="n"/>
      <c r="B293" s="3" t="n"/>
      <c r="C293" s="3" t="n"/>
      <c r="D293" s="19" t="n"/>
      <c r="E293" s="3" t="n"/>
      <c r="F293" s="3" t="n"/>
      <c r="G293" s="3" t="n"/>
      <c r="H293" s="3" t="n"/>
      <c r="I293" s="3" t="n"/>
      <c r="J293" s="3" t="n"/>
      <c r="K293" s="17" t="n"/>
    </row>
    <row r="294">
      <c r="A294" s="3" t="n"/>
      <c r="B294" s="3" t="n"/>
      <c r="C294" s="3" t="n"/>
      <c r="D294" s="19" t="n"/>
      <c r="E294" s="3" t="n"/>
      <c r="F294" s="3" t="n"/>
      <c r="G294" s="3" t="n"/>
      <c r="H294" s="3" t="n"/>
      <c r="I294" s="3" t="n"/>
      <c r="J294" s="3" t="n"/>
      <c r="K294" s="17" t="n"/>
    </row>
    <row r="295">
      <c r="A295" s="3" t="n"/>
      <c r="B295" s="3" t="n"/>
      <c r="C295" s="3" t="n"/>
      <c r="D295" s="19" t="n"/>
      <c r="E295" s="3" t="n"/>
      <c r="F295" s="3" t="n"/>
      <c r="G295" s="3" t="n"/>
      <c r="H295" s="3" t="n"/>
      <c r="I295" s="3" t="n"/>
      <c r="J295" s="3" t="n"/>
      <c r="K295" s="17" t="n"/>
    </row>
    <row r="296">
      <c r="A296" s="3" t="n"/>
      <c r="B296" s="3" t="n"/>
      <c r="C296" s="3" t="n"/>
      <c r="D296" s="19" t="n"/>
      <c r="E296" s="3" t="n"/>
      <c r="F296" s="3" t="n"/>
      <c r="G296" s="3" t="n"/>
      <c r="H296" s="3" t="n"/>
      <c r="I296" s="3" t="n"/>
      <c r="J296" s="3" t="n"/>
      <c r="K296" s="17" t="n"/>
    </row>
    <row r="297">
      <c r="A297" s="3" t="n"/>
      <c r="B297" s="3" t="n"/>
      <c r="C297" s="3" t="n"/>
      <c r="D297" s="19" t="n"/>
      <c r="E297" s="3" t="n"/>
      <c r="F297" s="3" t="n"/>
      <c r="G297" s="3" t="n"/>
      <c r="H297" s="3" t="n"/>
      <c r="I297" s="3" t="n"/>
      <c r="J297" s="3" t="n"/>
      <c r="K297" s="17" t="n"/>
    </row>
    <row r="298">
      <c r="A298" s="3" t="n"/>
      <c r="B298" s="3" t="n"/>
      <c r="C298" s="3" t="n"/>
      <c r="D298" s="19" t="n"/>
      <c r="E298" s="3" t="n"/>
      <c r="F298" s="3" t="n"/>
      <c r="G298" s="3" t="n"/>
      <c r="H298" s="3" t="n"/>
      <c r="I298" s="3" t="n"/>
      <c r="J298" s="3" t="n"/>
      <c r="K298" s="17" t="n"/>
    </row>
    <row r="299">
      <c r="A299" s="3" t="n"/>
      <c r="B299" s="3" t="n"/>
      <c r="C299" s="3" t="n"/>
      <c r="D299" s="19" t="n"/>
      <c r="E299" s="3" t="n"/>
      <c r="F299" s="3" t="n"/>
      <c r="G299" s="3" t="n"/>
      <c r="H299" s="3" t="n"/>
      <c r="I299" s="3" t="n"/>
      <c r="J299" s="3" t="n"/>
      <c r="K299" s="17" t="n"/>
    </row>
    <row r="300">
      <c r="A300" s="3" t="n"/>
      <c r="B300" s="3" t="n"/>
      <c r="C300" s="3" t="n"/>
      <c r="D300" s="19" t="n"/>
      <c r="E300" s="3" t="n"/>
      <c r="F300" s="3" t="n"/>
      <c r="G300" s="3" t="n"/>
      <c r="H300" s="3" t="n"/>
      <c r="I300" s="3" t="n"/>
      <c r="J300" s="3" t="n"/>
      <c r="K300" s="17" t="n"/>
    </row>
    <row r="301">
      <c r="A301" s="3" t="n"/>
      <c r="B301" s="3" t="n"/>
      <c r="C301" s="3" t="n"/>
      <c r="D301" s="19" t="n"/>
      <c r="E301" s="3" t="n"/>
      <c r="F301" s="3" t="n"/>
      <c r="G301" s="3" t="n"/>
      <c r="H301" s="3" t="n"/>
      <c r="I301" s="3" t="n"/>
      <c r="J301" s="3" t="n"/>
      <c r="K301" s="17" t="n"/>
    </row>
    <row r="302">
      <c r="A302" s="3" t="n"/>
      <c r="B302" s="3" t="n"/>
      <c r="C302" s="3" t="n"/>
      <c r="D302" s="19" t="n"/>
      <c r="E302" s="3" t="n"/>
      <c r="F302" s="3" t="n"/>
      <c r="G302" s="3" t="n"/>
      <c r="H302" s="3" t="n"/>
      <c r="I302" s="3" t="n"/>
      <c r="J302" s="3" t="n"/>
      <c r="K302" s="17" t="n"/>
    </row>
    <row r="303">
      <c r="A303" s="3" t="n"/>
      <c r="B303" s="3" t="n"/>
      <c r="C303" s="3" t="n"/>
      <c r="D303" s="19" t="n"/>
      <c r="E303" s="3" t="n"/>
      <c r="F303" s="3" t="n"/>
      <c r="G303" s="3" t="n"/>
      <c r="H303" s="3" t="n"/>
      <c r="I303" s="3" t="n"/>
      <c r="J303" s="3" t="n"/>
      <c r="K303" s="17" t="n"/>
    </row>
    <row r="304">
      <c r="A304" s="3" t="n"/>
      <c r="B304" s="3" t="n"/>
      <c r="C304" s="3" t="n"/>
      <c r="D304" s="19" t="n"/>
      <c r="E304" s="3" t="n"/>
      <c r="F304" s="3" t="n"/>
      <c r="G304" s="3" t="n"/>
      <c r="H304" s="3" t="n"/>
      <c r="I304" s="3" t="n"/>
      <c r="J304" s="3" t="n"/>
      <c r="K304" s="17" t="n"/>
    </row>
    <row r="305">
      <c r="A305" s="3" t="n"/>
      <c r="B305" s="3" t="n"/>
      <c r="C305" s="3" t="n"/>
      <c r="D305" s="19" t="n"/>
      <c r="E305" s="3" t="n"/>
      <c r="F305" s="3" t="n"/>
      <c r="G305" s="3" t="n"/>
      <c r="H305" s="3" t="n"/>
      <c r="I305" s="3" t="n"/>
      <c r="J305" s="3" t="n"/>
      <c r="K305" s="17" t="n"/>
    </row>
    <row r="306">
      <c r="A306" s="3" t="n"/>
      <c r="B306" s="3" t="n"/>
      <c r="C306" s="3" t="n"/>
      <c r="D306" s="19" t="n"/>
      <c r="E306" s="3" t="n"/>
      <c r="F306" s="3" t="n"/>
      <c r="G306" s="3" t="n"/>
      <c r="H306" s="3" t="n"/>
      <c r="I306" s="17" t="n"/>
      <c r="J306" s="3" t="n"/>
      <c r="K306" s="17" t="n"/>
    </row>
    <row r="307">
      <c r="A307" s="3" t="n"/>
      <c r="B307" s="3" t="n"/>
      <c r="C307" s="3" t="n"/>
      <c r="D307" s="19" t="n"/>
      <c r="E307" s="3" t="n"/>
      <c r="F307" s="3" t="n"/>
      <c r="G307" s="3" t="n"/>
      <c r="H307" s="3" t="n"/>
      <c r="I307" s="17" t="n"/>
      <c r="J307" s="3" t="n"/>
      <c r="K307" s="17" t="n"/>
    </row>
    <row r="308">
      <c r="A308" s="3" t="n"/>
      <c r="B308" s="3" t="n"/>
      <c r="C308" s="3" t="n"/>
      <c r="D308" s="19" t="n"/>
      <c r="E308" s="3" t="n"/>
      <c r="F308" s="3" t="n"/>
      <c r="G308" s="3" t="n"/>
      <c r="H308" s="3" t="n"/>
      <c r="I308" s="3" t="n"/>
      <c r="J308" s="3" t="n"/>
      <c r="K308" s="17" t="n"/>
    </row>
    <row r="309">
      <c r="A309" s="3" t="n"/>
      <c r="B309" s="3" t="n"/>
      <c r="C309" s="3" t="n"/>
      <c r="D309" s="19" t="n"/>
      <c r="E309" s="3" t="n"/>
      <c r="F309" s="3" t="n"/>
      <c r="G309" s="3" t="n"/>
      <c r="H309" s="3" t="n"/>
      <c r="I309" s="3" t="n"/>
      <c r="J309" s="3" t="n"/>
      <c r="K309" s="17" t="n"/>
    </row>
    <row r="310">
      <c r="A310" s="3" t="n"/>
      <c r="B310" s="3" t="n"/>
      <c r="C310" s="3" t="n"/>
      <c r="D310" s="19" t="n"/>
      <c r="E310" s="3" t="n"/>
      <c r="F310" s="3" t="n"/>
      <c r="G310" s="3" t="n"/>
      <c r="H310" s="3" t="n"/>
      <c r="I310" s="3" t="n"/>
      <c r="J310" s="3" t="n"/>
      <c r="K310" s="17" t="n"/>
    </row>
    <row r="311">
      <c r="A311" s="3" t="n"/>
      <c r="B311" s="3" t="n"/>
      <c r="C311" s="3" t="n"/>
      <c r="D311" s="19" t="n"/>
      <c r="E311" s="3" t="n"/>
      <c r="F311" s="3" t="n"/>
      <c r="G311" s="3" t="n"/>
      <c r="H311" s="3" t="n"/>
      <c r="I311" s="3" t="n"/>
      <c r="J311" s="3" t="n"/>
      <c r="K311" s="17" t="n"/>
    </row>
    <row r="312">
      <c r="A312" s="3" t="n"/>
      <c r="B312" s="3" t="n"/>
      <c r="C312" s="3" t="n"/>
      <c r="D312" s="19" t="n"/>
      <c r="E312" s="3" t="n"/>
      <c r="F312" s="3" t="n"/>
      <c r="G312" s="3" t="n"/>
      <c r="H312" s="3" t="n"/>
      <c r="I312" s="3" t="n"/>
      <c r="J312" s="3" t="n"/>
      <c r="K312" s="17" t="n"/>
    </row>
    <row r="313">
      <c r="A313" s="3" t="n"/>
      <c r="B313" s="3" t="n"/>
      <c r="C313" s="3" t="n"/>
      <c r="D313" s="19" t="n"/>
      <c r="E313" s="3" t="n"/>
      <c r="F313" s="3" t="n"/>
      <c r="G313" s="3" t="n"/>
      <c r="H313" s="3" t="n"/>
      <c r="I313" s="3" t="n"/>
      <c r="J313" s="3" t="n"/>
      <c r="K313" s="17" t="n"/>
    </row>
    <row r="314">
      <c r="A314" s="3" t="n"/>
      <c r="B314" s="3" t="n"/>
      <c r="C314" s="3" t="n"/>
      <c r="D314" s="19" t="n"/>
      <c r="E314" s="3" t="n"/>
      <c r="F314" s="3" t="n"/>
      <c r="G314" s="3" t="n"/>
      <c r="H314" s="3" t="n"/>
      <c r="I314" s="3" t="n"/>
      <c r="J314" s="3" t="n"/>
      <c r="K314" s="17" t="n"/>
    </row>
    <row r="315">
      <c r="A315" s="3" t="n"/>
      <c r="B315" s="3" t="n"/>
      <c r="C315" s="3" t="n"/>
      <c r="D315" s="19" t="n"/>
      <c r="E315" s="3" t="n"/>
      <c r="F315" s="3" t="n"/>
      <c r="G315" s="3" t="n"/>
      <c r="H315" s="3" t="n"/>
      <c r="I315" s="3" t="n"/>
      <c r="J315" s="3" t="n"/>
      <c r="K315" s="17" t="n"/>
    </row>
    <row r="316">
      <c r="A316" s="3" t="n"/>
      <c r="B316" s="3" t="n"/>
      <c r="C316" s="3" t="n"/>
      <c r="D316" s="19" t="n"/>
      <c r="E316" s="3" t="n"/>
      <c r="F316" s="3" t="n"/>
      <c r="G316" s="3" t="n"/>
      <c r="H316" s="3" t="n"/>
      <c r="I316" s="3" t="n"/>
      <c r="J316" s="3" t="n"/>
      <c r="K316" s="17" t="n"/>
    </row>
    <row r="317">
      <c r="A317" s="3" t="n"/>
      <c r="B317" s="3" t="n"/>
      <c r="C317" s="3" t="n"/>
      <c r="D317" s="19" t="n"/>
      <c r="E317" s="3" t="n"/>
      <c r="F317" s="3" t="n"/>
      <c r="G317" s="3" t="n"/>
      <c r="H317" s="3" t="n"/>
      <c r="I317" s="3" t="n"/>
      <c r="J317" s="3" t="n"/>
      <c r="K317" s="17" t="n"/>
    </row>
    <row r="318">
      <c r="A318" s="3" t="n"/>
      <c r="B318" s="3" t="n"/>
      <c r="C318" s="3" t="n"/>
      <c r="D318" s="19" t="n"/>
      <c r="E318" s="3" t="n"/>
      <c r="F318" s="3" t="n"/>
      <c r="G318" s="3" t="n"/>
      <c r="H318" s="3" t="n"/>
      <c r="I318" s="3" t="n"/>
      <c r="J318" s="3" t="n"/>
      <c r="K318" s="17" t="n"/>
    </row>
    <row r="319">
      <c r="A319" s="3" t="n"/>
      <c r="B319" s="3" t="n"/>
      <c r="C319" s="3" t="n"/>
      <c r="D319" s="19" t="n"/>
      <c r="E319" s="3" t="n"/>
      <c r="F319" s="3" t="n"/>
      <c r="G319" s="3" t="n"/>
      <c r="H319" s="3" t="n"/>
      <c r="I319" s="3" t="n"/>
      <c r="J319" s="3" t="n"/>
      <c r="K319" s="17" t="n"/>
    </row>
    <row r="320">
      <c r="A320" s="3" t="n"/>
      <c r="B320" s="3" t="n"/>
      <c r="C320" s="3" t="n"/>
      <c r="D320" s="19" t="n"/>
      <c r="E320" s="3" t="n"/>
      <c r="F320" s="3" t="n"/>
      <c r="G320" s="3" t="n"/>
      <c r="H320" s="3" t="n"/>
      <c r="I320" s="17" t="n"/>
      <c r="J320" s="3" t="n"/>
      <c r="K320" s="17" t="n"/>
    </row>
    <row r="321">
      <c r="A321" s="3" t="n"/>
      <c r="B321" s="3" t="n"/>
      <c r="C321" s="3" t="n"/>
      <c r="D321" s="19" t="n"/>
      <c r="E321" s="3" t="n"/>
      <c r="F321" s="3" t="n"/>
      <c r="G321" s="3" t="n"/>
      <c r="H321" s="3" t="n"/>
      <c r="I321" s="3" t="n"/>
      <c r="J321" s="3" t="n"/>
      <c r="K321" s="17" t="n"/>
    </row>
    <row r="322">
      <c r="A322" s="3" t="n"/>
      <c r="B322" s="3" t="n"/>
      <c r="C322" s="3" t="n"/>
      <c r="D322" s="19" t="n"/>
      <c r="E322" s="3" t="n"/>
      <c r="F322" s="3" t="n"/>
      <c r="G322" s="3" t="n"/>
      <c r="H322" s="3" t="n"/>
      <c r="I322" s="3" t="n"/>
      <c r="J322" s="3" t="n"/>
      <c r="K322" s="17" t="n"/>
    </row>
    <row r="323">
      <c r="A323" s="3" t="n"/>
      <c r="B323" s="3" t="n"/>
      <c r="C323" s="3" t="n"/>
      <c r="D323" s="19" t="n"/>
      <c r="E323" s="3" t="n"/>
      <c r="F323" s="3" t="n"/>
      <c r="G323" s="3" t="n"/>
      <c r="H323" s="3" t="n"/>
      <c r="I323" s="3" t="n"/>
      <c r="J323" s="3" t="n"/>
      <c r="K323" s="17" t="n"/>
    </row>
    <row r="324">
      <c r="A324" s="3" t="n"/>
      <c r="B324" s="3" t="n"/>
      <c r="C324" s="3" t="n"/>
      <c r="D324" s="19" t="n"/>
      <c r="E324" s="3" t="n"/>
      <c r="F324" s="3" t="n"/>
      <c r="G324" s="3" t="n"/>
      <c r="H324" s="3" t="n"/>
      <c r="I324" s="3" t="n"/>
      <c r="J324" s="3" t="n"/>
      <c r="K324" s="17" t="n"/>
    </row>
    <row r="325">
      <c r="A325" s="3" t="n"/>
      <c r="B325" s="3" t="n"/>
      <c r="C325" s="3" t="n"/>
      <c r="D325" s="19" t="n"/>
      <c r="E325" s="3" t="n"/>
      <c r="F325" s="3" t="n"/>
      <c r="G325" s="3" t="n"/>
      <c r="H325" s="3" t="n"/>
      <c r="I325" s="3" t="n"/>
      <c r="J325" s="3" t="n"/>
      <c r="K325" s="17" t="n"/>
    </row>
    <row r="326">
      <c r="A326" s="3" t="n"/>
      <c r="B326" s="3" t="n"/>
      <c r="C326" s="3" t="n"/>
      <c r="D326" s="19" t="n"/>
      <c r="E326" s="3" t="n"/>
      <c r="F326" s="3" t="n"/>
      <c r="G326" s="3" t="n"/>
      <c r="H326" s="3" t="n"/>
      <c r="I326" s="3" t="n"/>
      <c r="J326" s="3" t="n"/>
      <c r="K326" s="17" t="n"/>
    </row>
    <row r="327">
      <c r="A327" s="3" t="n"/>
      <c r="B327" s="3" t="n"/>
      <c r="C327" s="3" t="n"/>
      <c r="D327" s="19" t="n"/>
      <c r="E327" s="3" t="n"/>
      <c r="F327" s="3" t="n"/>
      <c r="G327" s="3" t="n"/>
      <c r="H327" s="3" t="n"/>
      <c r="I327" s="3" t="n"/>
      <c r="J327" s="3" t="n"/>
      <c r="K327" s="17" t="n"/>
    </row>
    <row r="328">
      <c r="A328" s="3" t="n"/>
      <c r="B328" s="3" t="n"/>
      <c r="C328" s="3" t="n"/>
      <c r="D328" s="19" t="n"/>
      <c r="E328" s="3" t="n"/>
      <c r="F328" s="3" t="n"/>
      <c r="G328" s="3" t="n"/>
      <c r="H328" s="3" t="n"/>
      <c r="I328" s="3" t="n"/>
      <c r="J328" s="3" t="n"/>
      <c r="K328" s="17" t="n"/>
    </row>
    <row r="329">
      <c r="A329" s="3" t="n"/>
      <c r="B329" s="3" t="n"/>
      <c r="C329" s="3" t="n"/>
      <c r="D329" s="19" t="n"/>
      <c r="E329" s="3" t="n"/>
      <c r="F329" s="3" t="n"/>
      <c r="G329" s="3" t="n"/>
      <c r="H329" s="3" t="n"/>
      <c r="I329" s="3" t="n"/>
      <c r="J329" s="3" t="n"/>
      <c r="K329" s="17" t="n"/>
    </row>
    <row r="330">
      <c r="A330" s="3" t="n"/>
      <c r="B330" s="3" t="n"/>
      <c r="C330" s="3" t="n"/>
      <c r="D330" s="19" t="n"/>
      <c r="E330" s="3" t="n"/>
      <c r="F330" s="3" t="n"/>
      <c r="G330" s="3" t="n"/>
      <c r="H330" s="3" t="n"/>
      <c r="I330" s="3" t="n"/>
      <c r="J330" s="3" t="n"/>
      <c r="K330" s="17" t="n"/>
    </row>
    <row r="331">
      <c r="A331" s="3" t="n"/>
      <c r="B331" s="3" t="n"/>
      <c r="C331" s="3" t="n"/>
      <c r="D331" s="19" t="n"/>
      <c r="E331" s="3" t="n"/>
      <c r="F331" s="3" t="n"/>
      <c r="G331" s="3" t="n"/>
      <c r="H331" s="3" t="n"/>
      <c r="I331" s="3" t="n"/>
      <c r="J331" s="3" t="n"/>
      <c r="K331" s="17" t="n"/>
    </row>
    <row r="332">
      <c r="A332" s="3" t="n"/>
      <c r="B332" s="3" t="n"/>
      <c r="C332" s="3" t="n"/>
      <c r="D332" s="19" t="n"/>
      <c r="E332" s="3" t="n"/>
      <c r="F332" s="3" t="n"/>
      <c r="G332" s="3" t="n"/>
      <c r="H332" s="3" t="n"/>
      <c r="I332" s="3" t="n"/>
      <c r="J332" s="3" t="n"/>
      <c r="K332" s="17" t="n"/>
    </row>
    <row r="333">
      <c r="A333" s="3" t="n"/>
      <c r="B333" s="3" t="n"/>
      <c r="C333" s="3" t="n"/>
      <c r="D333" s="19" t="n"/>
      <c r="E333" s="3" t="n"/>
      <c r="F333" s="3" t="n"/>
      <c r="G333" s="3" t="n"/>
      <c r="H333" s="3" t="n"/>
      <c r="I333" s="3" t="n"/>
      <c r="J333" s="3" t="n"/>
      <c r="K333" s="17" t="n"/>
    </row>
    <row r="334">
      <c r="A334" s="3" t="n"/>
      <c r="B334" s="3" t="n"/>
      <c r="C334" s="3" t="n"/>
      <c r="D334" s="19" t="n"/>
      <c r="E334" s="3" t="n"/>
      <c r="F334" s="3" t="n"/>
      <c r="G334" s="3" t="n"/>
      <c r="H334" s="3" t="n"/>
      <c r="I334" s="3" t="n"/>
      <c r="J334" s="3" t="n"/>
      <c r="K334" s="17" t="n"/>
    </row>
    <row r="335">
      <c r="A335" s="3" t="n"/>
      <c r="B335" s="3" t="n"/>
      <c r="C335" s="3" t="n"/>
      <c r="D335" s="19" t="n"/>
      <c r="E335" s="3" t="n"/>
      <c r="F335" s="3" t="n"/>
      <c r="G335" s="3" t="n"/>
      <c r="H335" s="3" t="n"/>
      <c r="I335" s="3" t="n"/>
      <c r="J335" s="3" t="n"/>
      <c r="K335" s="17" t="n"/>
    </row>
    <row r="336">
      <c r="A336" s="3" t="n"/>
      <c r="B336" s="3" t="n"/>
      <c r="C336" s="3" t="n"/>
      <c r="D336" s="19" t="n"/>
      <c r="E336" s="3" t="n"/>
      <c r="F336" s="3" t="n"/>
      <c r="G336" s="3" t="n"/>
      <c r="H336" s="3" t="n"/>
      <c r="I336" s="3" t="n"/>
      <c r="J336" s="3" t="n"/>
      <c r="K336" s="17" t="n"/>
    </row>
    <row r="337">
      <c r="A337" s="3" t="n"/>
      <c r="B337" s="3" t="n"/>
      <c r="C337" s="3" t="n"/>
      <c r="D337" s="19" t="n"/>
      <c r="E337" s="3" t="n"/>
      <c r="F337" s="3" t="n"/>
      <c r="G337" s="3" t="n"/>
      <c r="H337" s="3" t="n"/>
      <c r="I337" s="3" t="n"/>
      <c r="J337" s="3" t="n"/>
      <c r="K337" s="17" t="n"/>
    </row>
    <row r="338">
      <c r="A338" s="3" t="n"/>
      <c r="B338" s="3" t="n"/>
      <c r="C338" s="3" t="n"/>
      <c r="D338" s="19" t="n"/>
      <c r="E338" s="3" t="n"/>
      <c r="F338" s="3" t="n"/>
      <c r="G338" s="3" t="n"/>
      <c r="H338" s="3" t="n"/>
      <c r="I338" s="3" t="n"/>
      <c r="J338" s="3" t="n"/>
      <c r="K338" s="17" t="n"/>
    </row>
    <row r="339">
      <c r="A339" s="3" t="n"/>
      <c r="B339" s="3" t="n"/>
      <c r="C339" s="3" t="n"/>
      <c r="D339" s="19" t="n"/>
      <c r="E339" s="3" t="n"/>
      <c r="F339" s="3" t="n"/>
      <c r="G339" s="3" t="n"/>
      <c r="H339" s="3" t="n"/>
      <c r="I339" s="3" t="n"/>
      <c r="J339" s="3" t="n"/>
      <c r="K339" s="17" t="n"/>
    </row>
    <row r="340">
      <c r="A340" s="3" t="n"/>
      <c r="B340" s="3" t="n"/>
      <c r="C340" s="3" t="n"/>
      <c r="D340" s="19" t="n"/>
      <c r="E340" s="3" t="n"/>
      <c r="F340" s="3" t="n"/>
      <c r="G340" s="3" t="n"/>
      <c r="H340" s="3" t="n"/>
      <c r="I340" s="3" t="n"/>
      <c r="J340" s="3" t="n"/>
      <c r="K340" s="17" t="n"/>
    </row>
    <row r="341">
      <c r="A341" s="3" t="n"/>
      <c r="B341" s="3" t="n"/>
      <c r="C341" s="3" t="n"/>
      <c r="D341" s="19" t="n"/>
      <c r="E341" s="3" t="n"/>
      <c r="F341" s="3" t="n"/>
      <c r="G341" s="3" t="n"/>
      <c r="H341" s="3" t="n"/>
      <c r="I341" s="3" t="n"/>
      <c r="J341" s="3" t="n"/>
      <c r="K341" s="17" t="n"/>
    </row>
    <row r="342">
      <c r="A342" s="3" t="n"/>
      <c r="B342" s="3" t="n"/>
      <c r="C342" s="3" t="n"/>
      <c r="D342" s="19" t="n"/>
      <c r="E342" s="3" t="n"/>
      <c r="F342" s="3" t="n"/>
      <c r="G342" s="3" t="n"/>
      <c r="H342" s="3" t="n"/>
      <c r="I342" s="3" t="n"/>
      <c r="J342" s="3" t="n"/>
      <c r="K342" s="17" t="n"/>
    </row>
    <row r="343">
      <c r="A343" s="3" t="n"/>
      <c r="B343" s="3" t="n"/>
      <c r="C343" s="3" t="n"/>
      <c r="D343" s="19" t="n"/>
      <c r="E343" s="3" t="n"/>
      <c r="F343" s="3" t="n"/>
      <c r="G343" s="3" t="n"/>
      <c r="H343" s="3" t="n"/>
      <c r="I343" s="17" t="n"/>
      <c r="J343" s="3" t="n"/>
      <c r="K343" s="17" t="n"/>
    </row>
    <row r="344">
      <c r="A344" s="3" t="n"/>
      <c r="B344" s="3" t="n"/>
      <c r="C344" s="3" t="n"/>
      <c r="D344" s="19" t="n"/>
      <c r="E344" s="3" t="n"/>
      <c r="F344" s="3" t="n"/>
      <c r="G344" s="3" t="n"/>
      <c r="H344" s="3" t="n"/>
      <c r="I344" s="3" t="n"/>
      <c r="J344" s="3" t="n"/>
      <c r="K344" s="17" t="n"/>
    </row>
    <row r="345">
      <c r="A345" s="3" t="n"/>
      <c r="B345" s="3" t="n"/>
      <c r="C345" s="3" t="n"/>
      <c r="D345" s="19" t="n"/>
      <c r="E345" s="3" t="n"/>
      <c r="F345" s="3" t="n"/>
      <c r="G345" s="3" t="n"/>
      <c r="H345" s="3" t="n"/>
      <c r="I345" s="3" t="n"/>
      <c r="J345" s="3" t="n"/>
      <c r="K345" s="17" t="n"/>
    </row>
    <row r="346">
      <c r="A346" s="3" t="n"/>
      <c r="B346" s="3" t="n"/>
      <c r="C346" s="3" t="n"/>
      <c r="D346" s="19" t="n"/>
      <c r="E346" s="3" t="n"/>
      <c r="F346" s="3" t="n"/>
      <c r="G346" s="3" t="n"/>
      <c r="H346" s="3" t="n"/>
      <c r="I346" s="3" t="n"/>
      <c r="J346" s="3" t="n"/>
      <c r="K346" s="17" t="n"/>
    </row>
    <row r="347">
      <c r="A347" s="3" t="n"/>
      <c r="B347" s="3" t="n"/>
      <c r="C347" s="3" t="n"/>
      <c r="D347" s="19" t="n"/>
      <c r="E347" s="3" t="n"/>
      <c r="F347" s="3" t="n"/>
      <c r="G347" s="3" t="n"/>
      <c r="H347" s="3" t="n"/>
      <c r="I347" s="3" t="n"/>
      <c r="J347" s="3" t="n"/>
      <c r="K347" s="17" t="n"/>
    </row>
    <row r="348">
      <c r="A348" s="3" t="n"/>
      <c r="B348" s="3" t="n"/>
      <c r="C348" s="3" t="n"/>
      <c r="D348" s="19" t="n"/>
      <c r="E348" s="3" t="n"/>
      <c r="F348" s="3" t="n"/>
      <c r="G348" s="3" t="n"/>
      <c r="H348" s="3" t="n"/>
      <c r="I348" s="3" t="n"/>
      <c r="J348" s="3" t="n"/>
      <c r="K348" s="17" t="n"/>
    </row>
    <row r="349">
      <c r="A349" s="3" t="n"/>
      <c r="B349" s="3" t="n"/>
      <c r="C349" s="3" t="n"/>
      <c r="D349" s="19" t="n"/>
      <c r="E349" s="3" t="n"/>
      <c r="F349" s="3" t="n"/>
      <c r="G349" s="3" t="n"/>
      <c r="H349" s="3" t="n"/>
      <c r="I349" s="3" t="n"/>
      <c r="J349" s="3" t="n"/>
      <c r="K349" s="17" t="n"/>
    </row>
    <row r="350">
      <c r="A350" s="3" t="n"/>
      <c r="B350" s="3" t="n"/>
      <c r="C350" s="3" t="n"/>
      <c r="D350" s="19" t="n"/>
      <c r="E350" s="3" t="n"/>
      <c r="F350" s="3" t="n"/>
      <c r="G350" s="3" t="n"/>
      <c r="H350" s="3" t="n"/>
      <c r="I350" s="3" t="n"/>
      <c r="J350" s="3" t="n"/>
      <c r="K350" s="17" t="n"/>
    </row>
    <row r="351">
      <c r="A351" s="3" t="n"/>
      <c r="B351" s="3" t="n"/>
      <c r="C351" s="3" t="n"/>
      <c r="D351" s="19" t="n"/>
      <c r="E351" s="3" t="n"/>
      <c r="F351" s="3" t="n"/>
      <c r="G351" s="3" t="n"/>
      <c r="H351" s="3" t="n"/>
      <c r="I351" s="3" t="n"/>
      <c r="J351" s="3" t="n"/>
      <c r="K351" s="17" t="n"/>
    </row>
    <row r="352">
      <c r="A352" s="3" t="n"/>
      <c r="B352" s="3" t="n"/>
      <c r="C352" s="3" t="n"/>
      <c r="D352" s="19" t="n"/>
      <c r="E352" s="3" t="n"/>
      <c r="F352" s="3" t="n"/>
      <c r="G352" s="3" t="n"/>
      <c r="H352" s="3" t="n"/>
      <c r="I352" s="3" t="n"/>
      <c r="J352" s="3" t="n"/>
      <c r="K352" s="17" t="n"/>
    </row>
    <row r="353">
      <c r="A353" s="3" t="n"/>
      <c r="B353" s="3" t="n"/>
      <c r="C353" s="3" t="n"/>
      <c r="D353" s="19" t="n"/>
      <c r="E353" s="3" t="n"/>
      <c r="F353" s="3" t="n"/>
      <c r="G353" s="3" t="n"/>
      <c r="H353" s="3" t="n"/>
      <c r="I353" s="3" t="n"/>
      <c r="J353" s="3" t="n"/>
      <c r="K353" s="17" t="n"/>
    </row>
    <row r="354">
      <c r="A354" s="3" t="n"/>
      <c r="B354" s="3" t="n"/>
      <c r="C354" s="3" t="n"/>
      <c r="D354" s="19" t="n"/>
      <c r="E354" s="3" t="n"/>
      <c r="F354" s="3" t="n"/>
      <c r="G354" s="3" t="n"/>
      <c r="H354" s="3" t="n"/>
      <c r="I354" s="3" t="n"/>
      <c r="J354" s="3" t="n"/>
      <c r="K354" s="17" t="n"/>
    </row>
    <row r="355">
      <c r="A355" s="3" t="n"/>
      <c r="B355" s="3" t="n"/>
      <c r="C355" s="3" t="n"/>
      <c r="D355" s="19" t="n"/>
      <c r="E355" s="3" t="n"/>
      <c r="F355" s="3" t="n"/>
      <c r="G355" s="3" t="n"/>
      <c r="H355" s="3" t="n"/>
      <c r="I355" s="3" t="n"/>
      <c r="J355" s="3" t="n"/>
      <c r="K355" s="17" t="n"/>
    </row>
    <row r="356">
      <c r="A356" s="3" t="n"/>
      <c r="B356" s="3" t="n"/>
      <c r="C356" s="3" t="n"/>
      <c r="D356" s="19" t="n"/>
      <c r="E356" s="3" t="n"/>
      <c r="F356" s="3" t="n"/>
      <c r="G356" s="3" t="n"/>
      <c r="H356" s="3" t="n"/>
      <c r="I356" s="3" t="n"/>
      <c r="J356" s="3" t="n"/>
      <c r="K356" s="17" t="n"/>
    </row>
    <row r="357">
      <c r="A357" s="3" t="n"/>
      <c r="B357" s="3" t="n"/>
      <c r="C357" s="3" t="n"/>
      <c r="D357" s="19" t="n"/>
      <c r="E357" s="3" t="n"/>
      <c r="F357" s="3" t="n"/>
      <c r="G357" s="3" t="n"/>
      <c r="H357" s="3" t="n"/>
      <c r="I357" s="3" t="n"/>
      <c r="J357" s="3" t="n"/>
      <c r="K357" s="17" t="n"/>
    </row>
    <row r="358">
      <c r="A358" s="3" t="n"/>
      <c r="B358" s="3" t="n"/>
      <c r="C358" s="3" t="n"/>
      <c r="D358" s="19" t="n"/>
      <c r="E358" s="3" t="n"/>
      <c r="F358" s="3" t="n"/>
      <c r="G358" s="3" t="n"/>
      <c r="H358" s="3" t="n"/>
      <c r="I358" s="3" t="n"/>
      <c r="J358" s="3" t="n"/>
      <c r="K358" s="17" t="n"/>
    </row>
    <row r="359">
      <c r="A359" s="3" t="n"/>
      <c r="B359" s="3" t="n"/>
      <c r="C359" s="3" t="n"/>
      <c r="D359" s="19" t="n"/>
      <c r="E359" s="3" t="n"/>
      <c r="F359" s="3" t="n"/>
      <c r="G359" s="3" t="n"/>
      <c r="H359" s="3" t="n"/>
      <c r="I359" s="3" t="n"/>
      <c r="J359" s="3" t="n"/>
      <c r="K359" s="17" t="n"/>
    </row>
    <row r="360">
      <c r="A360" s="3" t="n"/>
      <c r="B360" s="3" t="n"/>
      <c r="C360" s="3" t="n"/>
      <c r="D360" s="19" t="n"/>
      <c r="E360" s="3" t="n"/>
      <c r="F360" s="3" t="n"/>
      <c r="G360" s="3" t="n"/>
      <c r="H360" s="3" t="n"/>
      <c r="I360" s="3" t="n"/>
      <c r="J360" s="3" t="n"/>
      <c r="K360" s="17" t="n"/>
    </row>
    <row r="361">
      <c r="A361" s="3" t="n"/>
      <c r="B361" s="3" t="n"/>
      <c r="C361" s="3" t="n"/>
      <c r="D361" s="19" t="n"/>
      <c r="E361" s="3" t="n"/>
      <c r="F361" s="3" t="n"/>
      <c r="G361" s="3" t="n"/>
      <c r="H361" s="3" t="n"/>
      <c r="I361" s="3" t="n"/>
      <c r="J361" s="3" t="n"/>
      <c r="K361" s="17" t="n"/>
    </row>
    <row r="362">
      <c r="A362" s="3" t="n"/>
      <c r="B362" s="3" t="n"/>
      <c r="C362" s="3" t="n"/>
      <c r="D362" s="19" t="n"/>
      <c r="E362" s="3" t="n"/>
      <c r="F362" s="3" t="n"/>
      <c r="G362" s="3" t="n"/>
      <c r="H362" s="3" t="n"/>
      <c r="I362" s="3" t="n"/>
      <c r="J362" s="3" t="n"/>
      <c r="K362" s="17" t="n"/>
    </row>
    <row r="363">
      <c r="A363" s="3" t="n"/>
      <c r="B363" s="3" t="n"/>
      <c r="C363" s="3" t="n"/>
      <c r="D363" s="19" t="n"/>
      <c r="E363" s="3" t="n"/>
      <c r="F363" s="3" t="n"/>
      <c r="G363" s="3" t="n"/>
      <c r="H363" s="3" t="n"/>
      <c r="I363" s="3" t="n"/>
      <c r="J363" s="3" t="n"/>
      <c r="K363" s="17" t="n"/>
    </row>
    <row r="364">
      <c r="A364" s="3" t="n"/>
      <c r="B364" s="3" t="n"/>
      <c r="C364" s="3" t="n"/>
      <c r="D364" s="19" t="n"/>
      <c r="E364" s="3" t="n"/>
      <c r="F364" s="3" t="n"/>
      <c r="G364" s="3" t="n"/>
      <c r="H364" s="3" t="n"/>
      <c r="I364" s="17" t="n"/>
      <c r="J364" s="3" t="n"/>
      <c r="K364" s="17" t="n"/>
    </row>
    <row r="365">
      <c r="A365" s="3" t="n"/>
      <c r="B365" s="3" t="n"/>
      <c r="C365" s="3" t="n"/>
      <c r="D365" s="19" t="n"/>
      <c r="E365" s="3" t="n"/>
      <c r="F365" s="3" t="n"/>
      <c r="G365" s="3" t="n"/>
      <c r="H365" s="3" t="n"/>
      <c r="I365" s="3" t="n"/>
      <c r="J365" s="3" t="n"/>
      <c r="K365" s="17" t="n"/>
    </row>
    <row r="366">
      <c r="A366" s="3" t="n"/>
      <c r="B366" s="3" t="n"/>
      <c r="C366" s="3" t="n"/>
      <c r="D366" s="19" t="n"/>
      <c r="E366" s="3" t="n"/>
      <c r="F366" s="3" t="n"/>
      <c r="G366" s="3" t="n"/>
      <c r="H366" s="3" t="n"/>
      <c r="I366" s="3" t="n"/>
      <c r="J366" s="3" t="n"/>
      <c r="K366" s="17" t="n"/>
    </row>
    <row r="367">
      <c r="A367" s="3" t="n"/>
      <c r="B367" s="3" t="n"/>
      <c r="C367" s="3" t="n"/>
      <c r="D367" s="19" t="n"/>
      <c r="E367" s="3" t="n"/>
      <c r="F367" s="3" t="n"/>
      <c r="G367" s="3" t="n"/>
      <c r="H367" s="3" t="n"/>
      <c r="I367" s="3" t="n"/>
      <c r="J367" s="3" t="n"/>
      <c r="K367" s="17" t="n"/>
    </row>
    <row r="368">
      <c r="A368" s="3" t="n"/>
      <c r="B368" s="3" t="n"/>
      <c r="C368" s="3" t="n"/>
      <c r="D368" s="19" t="n"/>
      <c r="E368" s="3" t="n"/>
      <c r="F368" s="3" t="n"/>
      <c r="G368" s="3" t="n"/>
      <c r="H368" s="3" t="n"/>
      <c r="I368" s="3" t="n"/>
      <c r="J368" s="3" t="n"/>
      <c r="K368" s="17" t="n"/>
    </row>
    <row r="369">
      <c r="A369" s="3" t="n"/>
      <c r="B369" s="3" t="n"/>
      <c r="C369" s="3" t="n"/>
      <c r="D369" s="19" t="n"/>
      <c r="E369" s="3" t="n"/>
      <c r="F369" s="3" t="n"/>
      <c r="G369" s="3" t="n"/>
      <c r="H369" s="3" t="n"/>
      <c r="I369" s="3" t="n"/>
      <c r="J369" s="3" t="n"/>
      <c r="K369" s="17" t="n"/>
    </row>
    <row r="370">
      <c r="A370" s="3" t="n"/>
      <c r="B370" s="3" t="n"/>
      <c r="C370" s="3" t="n"/>
      <c r="D370" s="19" t="n"/>
      <c r="E370" s="3" t="n"/>
      <c r="F370" s="3" t="n"/>
      <c r="G370" s="3" t="n"/>
      <c r="H370" s="3" t="n"/>
      <c r="I370" s="3" t="n"/>
      <c r="J370" s="3" t="n"/>
      <c r="K370" s="17" t="n"/>
    </row>
    <row r="371">
      <c r="A371" s="3" t="n"/>
      <c r="B371" s="3" t="n"/>
      <c r="C371" s="3" t="n"/>
      <c r="D371" s="19" t="n"/>
      <c r="E371" s="3" t="n"/>
      <c r="F371" s="3" t="n"/>
      <c r="G371" s="3" t="n"/>
      <c r="H371" s="3" t="n"/>
      <c r="I371" s="3" t="n"/>
      <c r="J371" s="3" t="n"/>
      <c r="K371" s="17" t="n"/>
    </row>
    <row r="372">
      <c r="A372" s="3" t="n"/>
      <c r="B372" s="3" t="n"/>
      <c r="C372" s="3" t="n"/>
      <c r="D372" s="19" t="n"/>
      <c r="E372" s="3" t="n"/>
      <c r="F372" s="3" t="n"/>
      <c r="G372" s="3" t="n"/>
      <c r="H372" s="3" t="n"/>
      <c r="I372" s="3" t="n"/>
      <c r="J372" s="3" t="n"/>
      <c r="K372" s="17" t="n"/>
    </row>
    <row r="373">
      <c r="A373" s="3" t="n"/>
      <c r="B373" s="3" t="n"/>
      <c r="C373" s="3" t="n"/>
      <c r="D373" s="19" t="n"/>
      <c r="E373" s="3" t="n"/>
      <c r="F373" s="3" t="n"/>
      <c r="G373" s="3" t="n"/>
      <c r="H373" s="3" t="n"/>
      <c r="I373" s="3" t="n"/>
      <c r="J373" s="3" t="n"/>
      <c r="K373" s="17" t="n"/>
    </row>
    <row r="374">
      <c r="A374" s="3" t="n"/>
      <c r="B374" s="3" t="n"/>
      <c r="C374" s="3" t="n"/>
      <c r="D374" s="19" t="n"/>
      <c r="E374" s="3" t="n"/>
      <c r="F374" s="3" t="n"/>
      <c r="G374" s="3" t="n"/>
      <c r="H374" s="3" t="n"/>
      <c r="I374" s="3" t="n"/>
      <c r="J374" s="3" t="n"/>
      <c r="K374" s="17" t="n"/>
    </row>
    <row r="375">
      <c r="A375" s="3" t="n"/>
      <c r="B375" s="3" t="n"/>
      <c r="C375" s="3" t="n"/>
      <c r="D375" s="19" t="n"/>
      <c r="E375" s="3" t="n"/>
      <c r="F375" s="3" t="n"/>
      <c r="G375" s="3" t="n"/>
      <c r="H375" s="3" t="n"/>
      <c r="I375" s="3" t="n"/>
      <c r="J375" s="3" t="n"/>
      <c r="K375" s="17" t="n"/>
    </row>
    <row r="376">
      <c r="A376" s="3" t="n"/>
      <c r="B376" s="3" t="n"/>
      <c r="C376" s="3" t="n"/>
      <c r="D376" s="19" t="n"/>
      <c r="E376" s="3" t="n"/>
      <c r="F376" s="3" t="n"/>
      <c r="G376" s="3" t="n"/>
      <c r="H376" s="3" t="n"/>
      <c r="I376" s="3" t="n"/>
      <c r="J376" s="3" t="n"/>
      <c r="K376" s="17" t="n"/>
    </row>
    <row r="377">
      <c r="A377" s="3" t="n"/>
      <c r="B377" s="3" t="n"/>
      <c r="C377" s="3" t="n"/>
      <c r="D377" s="19" t="n"/>
      <c r="E377" s="3" t="n"/>
      <c r="F377" s="3" t="n"/>
      <c r="G377" s="3" t="n"/>
      <c r="H377" s="3" t="n"/>
      <c r="I377" s="3" t="n"/>
      <c r="J377" s="3" t="n"/>
      <c r="K377" s="17" t="n"/>
    </row>
    <row r="378">
      <c r="A378" s="3" t="n"/>
      <c r="B378" s="3" t="n"/>
      <c r="C378" s="3" t="n"/>
      <c r="D378" s="19" t="n"/>
      <c r="E378" s="3" t="n"/>
      <c r="F378" s="3" t="n"/>
      <c r="G378" s="3" t="n"/>
      <c r="H378" s="3" t="n"/>
      <c r="I378" s="3" t="n"/>
      <c r="J378" s="3" t="n"/>
      <c r="K378" s="17" t="n"/>
    </row>
    <row r="379">
      <c r="A379" s="3" t="n"/>
      <c r="B379" s="3" t="n"/>
      <c r="C379" s="3" t="n"/>
      <c r="D379" s="19" t="n"/>
      <c r="E379" s="3" t="n"/>
      <c r="F379" s="3" t="n"/>
      <c r="G379" s="3" t="n"/>
      <c r="H379" s="3" t="n"/>
      <c r="I379" s="3" t="n"/>
      <c r="J379" s="3" t="n"/>
      <c r="K379" s="17" t="n"/>
    </row>
    <row r="380">
      <c r="A380" s="3" t="n"/>
      <c r="B380" s="3" t="n"/>
      <c r="C380" s="3" t="n"/>
      <c r="D380" s="19" t="n"/>
      <c r="E380" s="3" t="n"/>
      <c r="F380" s="3" t="n"/>
      <c r="G380" s="3" t="n"/>
      <c r="H380" s="3" t="n"/>
      <c r="I380" s="3" t="n"/>
      <c r="J380" s="3" t="n"/>
      <c r="K380" s="17" t="n"/>
    </row>
    <row r="381">
      <c r="A381" s="3" t="n"/>
      <c r="B381" s="3" t="n"/>
      <c r="C381" s="3" t="n"/>
      <c r="D381" s="19" t="n"/>
      <c r="E381" s="3" t="n"/>
      <c r="F381" s="3" t="n"/>
      <c r="G381" s="3" t="n"/>
      <c r="H381" s="3" t="n"/>
      <c r="I381" s="3" t="n"/>
      <c r="J381" s="3" t="n"/>
      <c r="K381" s="17" t="n"/>
    </row>
    <row r="382">
      <c r="A382" s="3" t="n"/>
      <c r="B382" s="3" t="n"/>
      <c r="C382" s="3" t="n"/>
      <c r="D382" s="19" t="n"/>
      <c r="E382" s="3" t="n"/>
      <c r="F382" s="3" t="n"/>
      <c r="G382" s="3" t="n"/>
      <c r="H382" s="3" t="n"/>
      <c r="I382" s="3" t="n"/>
      <c r="J382" s="3" t="n"/>
      <c r="K382" s="17" t="n"/>
    </row>
    <row r="383">
      <c r="A383" s="3" t="n"/>
      <c r="B383" s="3" t="n"/>
      <c r="C383" s="3" t="n"/>
      <c r="D383" s="19" t="n"/>
      <c r="E383" s="3" t="n"/>
      <c r="F383" s="3" t="n"/>
      <c r="G383" s="3" t="n"/>
      <c r="H383" s="3" t="n"/>
      <c r="I383" s="3" t="n"/>
      <c r="J383" s="3" t="n"/>
      <c r="K383" s="17" t="n"/>
    </row>
    <row r="384">
      <c r="A384" s="3" t="n"/>
      <c r="B384" s="3" t="n"/>
      <c r="C384" s="3" t="n"/>
      <c r="D384" s="19" t="n"/>
      <c r="E384" s="3" t="n"/>
      <c r="F384" s="3" t="n"/>
      <c r="G384" s="3" t="n"/>
      <c r="H384" s="3" t="n"/>
      <c r="I384" s="3" t="n"/>
      <c r="J384" s="3" t="n"/>
      <c r="K384" s="17" t="n"/>
    </row>
    <row r="385">
      <c r="A385" s="3" t="n"/>
      <c r="B385" s="3" t="n"/>
      <c r="C385" s="3" t="n"/>
      <c r="D385" s="19" t="n"/>
      <c r="E385" s="3" t="n"/>
      <c r="F385" s="3" t="n"/>
      <c r="G385" s="3" t="n"/>
      <c r="H385" s="3" t="n"/>
      <c r="I385" s="3" t="n"/>
      <c r="J385" s="3" t="n"/>
      <c r="K385" s="17" t="n"/>
    </row>
    <row r="386">
      <c r="A386" s="3" t="n"/>
      <c r="B386" s="3" t="n"/>
      <c r="C386" s="3" t="n"/>
      <c r="D386" s="19" t="n"/>
      <c r="E386" s="3" t="n"/>
      <c r="F386" s="3" t="n"/>
      <c r="G386" s="3" t="n"/>
      <c r="H386" s="3" t="n"/>
      <c r="I386" s="3" t="n"/>
      <c r="J386" s="3" t="n"/>
      <c r="K386" s="17" t="n"/>
    </row>
    <row r="387">
      <c r="A387" s="3" t="n"/>
      <c r="B387" s="3" t="n"/>
      <c r="C387" s="3" t="n"/>
      <c r="D387" s="19" t="n"/>
      <c r="E387" s="3" t="n"/>
      <c r="F387" s="3" t="n"/>
      <c r="G387" s="3" t="n"/>
      <c r="H387" s="3" t="n"/>
      <c r="I387" s="3" t="n"/>
      <c r="J387" s="3" t="n"/>
      <c r="K387" s="17" t="n"/>
    </row>
    <row r="388">
      <c r="A388" s="3" t="n"/>
      <c r="B388" s="3" t="n"/>
      <c r="C388" s="3" t="n"/>
      <c r="D388" s="19" t="n"/>
      <c r="E388" s="3" t="n"/>
      <c r="F388" s="3" t="n"/>
      <c r="G388" s="3" t="n"/>
      <c r="H388" s="3" t="n"/>
      <c r="I388" s="3" t="n"/>
      <c r="J388" s="3" t="n"/>
      <c r="K388" s="17" t="n"/>
    </row>
    <row r="389">
      <c r="A389" s="3" t="n"/>
      <c r="B389" s="3" t="n"/>
      <c r="C389" s="3" t="n"/>
      <c r="D389" s="19" t="n"/>
      <c r="E389" s="3" t="n"/>
      <c r="F389" s="3" t="n"/>
      <c r="G389" s="3" t="n"/>
      <c r="H389" s="3" t="n"/>
      <c r="I389" s="3" t="n"/>
      <c r="J389" s="3" t="n"/>
      <c r="K389" s="17" t="n"/>
    </row>
    <row r="390">
      <c r="A390" s="3" t="n"/>
      <c r="B390" s="3" t="n"/>
      <c r="C390" s="3" t="n"/>
      <c r="D390" s="19" t="n"/>
      <c r="E390" s="3" t="n"/>
      <c r="F390" s="3" t="n"/>
      <c r="G390" s="3" t="n"/>
      <c r="H390" s="3" t="n"/>
      <c r="I390" s="3" t="n"/>
      <c r="J390" s="3" t="n"/>
      <c r="K390" s="17" t="n"/>
    </row>
    <row r="391">
      <c r="A391" s="3" t="n"/>
      <c r="B391" s="3" t="n"/>
      <c r="C391" s="3" t="n"/>
      <c r="D391" s="19" t="n"/>
      <c r="E391" s="3" t="n"/>
      <c r="F391" s="3" t="n"/>
      <c r="G391" s="3" t="n"/>
      <c r="H391" s="3" t="n"/>
      <c r="I391" s="3" t="n"/>
      <c r="J391" s="3" t="n"/>
      <c r="K391" s="17" t="n"/>
    </row>
    <row r="392">
      <c r="A392" s="3" t="n"/>
      <c r="B392" s="3" t="n"/>
      <c r="C392" s="3" t="n"/>
      <c r="D392" s="19" t="n"/>
      <c r="E392" s="3" t="n"/>
      <c r="F392" s="3" t="n"/>
      <c r="G392" s="3" t="n"/>
      <c r="H392" s="3" t="n"/>
      <c r="I392" s="3" t="n"/>
      <c r="J392" s="3" t="n"/>
      <c r="K392" s="17" t="n"/>
    </row>
    <row r="393">
      <c r="A393" s="3" t="n"/>
      <c r="B393" s="3" t="n"/>
      <c r="C393" s="3" t="n"/>
      <c r="D393" s="19" t="n"/>
      <c r="E393" s="3" t="n"/>
      <c r="F393" s="3" t="n"/>
      <c r="G393" s="3" t="n"/>
      <c r="H393" s="3" t="n"/>
      <c r="I393" s="3" t="n"/>
      <c r="J393" s="3" t="n"/>
      <c r="K393" s="17" t="n"/>
    </row>
    <row r="394">
      <c r="A394" s="3" t="n"/>
      <c r="B394" s="3" t="n"/>
      <c r="C394" s="3" t="n"/>
      <c r="D394" s="19" t="n"/>
      <c r="E394" s="3" t="n"/>
      <c r="F394" s="3" t="n"/>
      <c r="G394" s="3" t="n"/>
      <c r="H394" s="3" t="n"/>
      <c r="I394" s="3" t="n"/>
      <c r="J394" s="3" t="n"/>
      <c r="K394" s="17" t="n"/>
    </row>
    <row r="395">
      <c r="A395" s="3" t="n"/>
      <c r="B395" s="3" t="n"/>
      <c r="C395" s="3" t="n"/>
      <c r="D395" s="19" t="n"/>
      <c r="E395" s="3" t="n"/>
      <c r="F395" s="3" t="n"/>
      <c r="G395" s="3" t="n"/>
      <c r="H395" s="3" t="n"/>
      <c r="I395" s="3" t="n"/>
      <c r="J395" s="3" t="n"/>
      <c r="K395" s="17" t="n"/>
    </row>
    <row r="396">
      <c r="A396" s="3" t="n"/>
      <c r="B396" s="3" t="n"/>
      <c r="C396" s="3" t="n"/>
      <c r="D396" s="19" t="n"/>
      <c r="E396" s="3" t="n"/>
      <c r="F396" s="3" t="n"/>
      <c r="G396" s="3" t="n"/>
      <c r="H396" s="3" t="n"/>
      <c r="I396" s="3" t="n"/>
      <c r="J396" s="3" t="n"/>
      <c r="K396" s="17" t="n"/>
    </row>
    <row r="397">
      <c r="A397" s="3" t="n"/>
      <c r="B397" s="3" t="n"/>
      <c r="C397" s="3" t="n"/>
      <c r="D397" s="19" t="n"/>
      <c r="E397" s="3" t="n"/>
      <c r="F397" s="3" t="n"/>
      <c r="G397" s="3" t="n"/>
      <c r="H397" s="3" t="n"/>
      <c r="I397" s="3" t="n"/>
      <c r="J397" s="3" t="n"/>
      <c r="K397" s="17" t="n"/>
    </row>
    <row r="398">
      <c r="A398" s="3" t="n"/>
      <c r="B398" s="3" t="n"/>
      <c r="C398" s="3" t="n"/>
      <c r="D398" s="19" t="n"/>
      <c r="E398" s="3" t="n"/>
      <c r="F398" s="3" t="n"/>
      <c r="G398" s="3" t="n"/>
      <c r="H398" s="3" t="n"/>
      <c r="I398" s="3" t="n"/>
      <c r="J398" s="3" t="n"/>
      <c r="K398" s="17" t="n"/>
    </row>
    <row r="399">
      <c r="A399" s="3" t="n"/>
      <c r="B399" s="3" t="n"/>
      <c r="C399" s="3" t="n"/>
      <c r="D399" s="19" t="n"/>
      <c r="E399" s="3" t="n"/>
      <c r="F399" s="3" t="n"/>
      <c r="G399" s="3" t="n"/>
      <c r="H399" s="3" t="n"/>
      <c r="I399" s="3" t="n"/>
      <c r="J399" s="3" t="n"/>
      <c r="K399" s="17" t="n"/>
    </row>
    <row r="400">
      <c r="A400" s="3" t="n"/>
      <c r="B400" s="3" t="n"/>
      <c r="C400" s="3" t="n"/>
      <c r="D400" s="19" t="n"/>
      <c r="E400" s="3" t="n"/>
      <c r="F400" s="3" t="n"/>
      <c r="G400" s="3" t="n"/>
      <c r="H400" s="3" t="n"/>
      <c r="I400" s="3" t="n"/>
      <c r="J400" s="3" t="n"/>
      <c r="K400" s="17" t="n"/>
    </row>
    <row r="401">
      <c r="A401" s="3" t="n"/>
      <c r="B401" s="3" t="n"/>
      <c r="C401" s="3" t="n"/>
      <c r="D401" s="19" t="n"/>
      <c r="E401" s="3" t="n"/>
      <c r="F401" s="3" t="n"/>
      <c r="G401" s="3" t="n"/>
      <c r="H401" s="3" t="n"/>
      <c r="I401" s="3" t="n"/>
      <c r="J401" s="3" t="n"/>
      <c r="K401" s="17" t="n"/>
    </row>
    <row r="402">
      <c r="A402" s="3" t="n"/>
      <c r="B402" s="3" t="n"/>
      <c r="C402" s="3" t="n"/>
      <c r="D402" s="19" t="n"/>
      <c r="E402" s="3" t="n"/>
      <c r="F402" s="3" t="n"/>
      <c r="G402" s="3" t="n"/>
      <c r="H402" s="3" t="n"/>
      <c r="I402" s="3" t="n"/>
      <c r="J402" s="3" t="n"/>
      <c r="K402" s="17" t="n"/>
    </row>
    <row r="403">
      <c r="A403" s="3" t="n"/>
      <c r="B403" s="3" t="n"/>
      <c r="C403" s="3" t="n"/>
      <c r="D403" s="19" t="n"/>
      <c r="E403" s="3" t="n"/>
      <c r="F403" s="3" t="n"/>
      <c r="G403" s="3" t="n"/>
      <c r="H403" s="3" t="n"/>
      <c r="I403" s="3" t="n"/>
      <c r="J403" s="3" t="n"/>
      <c r="K403" s="17" t="n"/>
    </row>
    <row r="404">
      <c r="A404" s="3" t="n"/>
      <c r="B404" s="3" t="n"/>
      <c r="C404" s="3" t="n"/>
      <c r="D404" s="19" t="n"/>
      <c r="E404" s="3" t="n"/>
      <c r="F404" s="3" t="n"/>
      <c r="G404" s="3" t="n"/>
      <c r="H404" s="3" t="n"/>
      <c r="I404" s="3" t="n"/>
      <c r="J404" s="3" t="n"/>
      <c r="K404" s="17" t="n"/>
    </row>
    <row r="405">
      <c r="A405" s="3" t="n"/>
      <c r="B405" s="3" t="n"/>
      <c r="C405" s="3" t="n"/>
      <c r="D405" s="19" t="n"/>
      <c r="E405" s="3" t="n"/>
      <c r="F405" s="3" t="n"/>
      <c r="G405" s="3" t="n"/>
      <c r="H405" s="3" t="n"/>
      <c r="I405" s="3" t="n"/>
      <c r="J405" s="3" t="n"/>
      <c r="K405" s="17" t="n"/>
    </row>
    <row r="406">
      <c r="A406" s="3" t="n"/>
      <c r="B406" s="3" t="n"/>
      <c r="C406" s="3" t="n"/>
      <c r="D406" s="19" t="n"/>
      <c r="E406" s="3" t="n"/>
      <c r="F406" s="3" t="n"/>
      <c r="G406" s="3" t="n"/>
      <c r="H406" s="3" t="n"/>
      <c r="I406" s="3" t="n"/>
      <c r="J406" s="3" t="n"/>
      <c r="K406" s="17" t="n"/>
    </row>
    <row r="407">
      <c r="A407" s="3" t="n"/>
      <c r="B407" s="3" t="n"/>
      <c r="C407" s="3" t="n"/>
      <c r="D407" s="19" t="n"/>
      <c r="E407" s="3" t="n"/>
      <c r="F407" s="3" t="n"/>
      <c r="G407" s="3" t="n"/>
      <c r="H407" s="3" t="n"/>
      <c r="I407" s="3" t="n"/>
      <c r="J407" s="3" t="n"/>
      <c r="K407" s="17" t="n"/>
    </row>
    <row r="408">
      <c r="A408" s="3" t="n"/>
      <c r="B408" s="3" t="n"/>
      <c r="C408" s="3" t="n"/>
      <c r="D408" s="19" t="n"/>
      <c r="E408" s="3" t="n"/>
      <c r="F408" s="3" t="n"/>
      <c r="G408" s="3" t="n"/>
      <c r="H408" s="3" t="n"/>
      <c r="I408" s="3" t="n"/>
      <c r="J408" s="3" t="n"/>
      <c r="K408" s="17" t="n"/>
    </row>
    <row r="409">
      <c r="A409" s="3" t="n"/>
      <c r="B409" s="3" t="n"/>
      <c r="C409" s="3" t="n"/>
      <c r="D409" s="19" t="n"/>
      <c r="E409" s="3" t="n"/>
      <c r="F409" s="3" t="n"/>
      <c r="G409" s="3" t="n"/>
      <c r="H409" s="3" t="n"/>
      <c r="I409" s="3" t="n"/>
      <c r="J409" s="3" t="n"/>
      <c r="K409" s="17" t="n"/>
    </row>
    <row r="410">
      <c r="A410" s="3" t="n"/>
      <c r="B410" s="3" t="n"/>
      <c r="C410" s="3" t="n"/>
      <c r="D410" s="19" t="n"/>
      <c r="E410" s="3" t="n"/>
      <c r="F410" s="3" t="n"/>
      <c r="G410" s="3" t="n"/>
      <c r="H410" s="3" t="n"/>
      <c r="I410" s="3" t="n"/>
      <c r="J410" s="3" t="n"/>
      <c r="K410" s="17" t="n"/>
    </row>
    <row r="411">
      <c r="A411" s="3" t="n"/>
      <c r="B411" s="3" t="n"/>
      <c r="C411" s="3" t="n"/>
      <c r="D411" s="19" t="n"/>
      <c r="E411" s="3" t="n"/>
      <c r="F411" s="3" t="n"/>
      <c r="G411" s="3" t="n"/>
      <c r="H411" s="3" t="n"/>
      <c r="I411" s="3" t="n"/>
      <c r="J411" s="3" t="n"/>
      <c r="K411" s="17" t="n"/>
    </row>
    <row r="412">
      <c r="A412" s="3" t="n"/>
      <c r="B412" s="3" t="n"/>
      <c r="C412" s="3" t="n"/>
      <c r="D412" s="19" t="n"/>
      <c r="E412" s="3" t="n"/>
      <c r="F412" s="3" t="n"/>
      <c r="G412" s="3" t="n"/>
      <c r="H412" s="3" t="n"/>
      <c r="I412" s="3" t="n"/>
      <c r="J412" s="3" t="n"/>
      <c r="K412" s="17" t="n"/>
    </row>
    <row r="413">
      <c r="A413" s="3" t="n"/>
      <c r="B413" s="3" t="n"/>
      <c r="C413" s="3" t="n"/>
      <c r="D413" s="19" t="n"/>
      <c r="E413" s="3" t="n"/>
      <c r="F413" s="3" t="n"/>
      <c r="G413" s="3" t="n"/>
      <c r="H413" s="3" t="n"/>
      <c r="I413" s="3" t="n"/>
      <c r="J413" s="3" t="n"/>
      <c r="K413" s="17" t="n"/>
    </row>
    <row r="414">
      <c r="A414" s="3" t="n"/>
      <c r="B414" s="3" t="n"/>
      <c r="C414" s="3" t="n"/>
      <c r="D414" s="19" t="n"/>
      <c r="E414" s="3" t="n"/>
      <c r="F414" s="3" t="n"/>
      <c r="G414" s="3" t="n"/>
      <c r="H414" s="3" t="n"/>
      <c r="I414" s="3" t="n"/>
      <c r="J414" s="3" t="n"/>
      <c r="K414" s="17" t="n"/>
    </row>
    <row r="415">
      <c r="A415" s="2" t="n"/>
      <c r="B415" s="2" t="n"/>
      <c r="C415" s="2" t="n"/>
      <c r="D415" s="20" t="n"/>
      <c r="E415" s="2" t="n"/>
      <c r="F415" s="2" t="n"/>
      <c r="G415" s="2" t="n"/>
      <c r="H415" s="2" t="n"/>
      <c r="I415" s="6" t="n"/>
      <c r="J415" s="6" t="n"/>
      <c r="K415" s="2" t="n"/>
    </row>
    <row r="416">
      <c r="A416" s="2" t="n"/>
      <c r="B416" s="2" t="n"/>
      <c r="C416" s="2" t="n"/>
      <c r="D416" s="20" t="n"/>
      <c r="E416" s="2" t="n"/>
      <c r="F416" s="2" t="n"/>
      <c r="G416" s="2" t="n"/>
      <c r="H416" s="2" t="n"/>
      <c r="I416" s="2" t="n"/>
      <c r="J416" s="2" t="n"/>
      <c r="K416" s="21" t="n"/>
    </row>
    <row r="417">
      <c r="A417" s="2" t="n"/>
      <c r="B417" s="2" t="n"/>
      <c r="C417" s="2" t="n"/>
      <c r="D417" s="20" t="n"/>
      <c r="E417" s="2" t="n"/>
      <c r="F417" s="2" t="n"/>
      <c r="G417" s="2" t="n"/>
      <c r="H417" s="2" t="n"/>
      <c r="I417" s="2" t="n"/>
      <c r="J417" s="2" t="n"/>
      <c r="K417" s="22" t="n"/>
    </row>
    <row r="418">
      <c r="A418" s="2" t="n"/>
      <c r="B418" s="2" t="n"/>
      <c r="C418" s="2" t="n"/>
      <c r="D418" s="20" t="n"/>
      <c r="E418" s="2" t="n"/>
      <c r="F418" s="2" t="n"/>
      <c r="G418" s="2" t="n"/>
      <c r="H418" s="2" t="n"/>
      <c r="I418" s="2" t="n"/>
      <c r="J418" s="2" t="n"/>
      <c r="K418" s="22" t="n"/>
    </row>
    <row r="419">
      <c r="A419" s="2" t="n"/>
      <c r="B419" s="2" t="n"/>
      <c r="C419" s="2" t="n"/>
      <c r="D419" s="20" t="n"/>
      <c r="E419" s="2" t="n"/>
      <c r="F419" s="2" t="n"/>
      <c r="G419" s="2" t="n"/>
      <c r="H419" s="2" t="n"/>
      <c r="I419" s="2" t="n"/>
      <c r="J419" s="2" t="n"/>
      <c r="K419" s="22" t="n"/>
    </row>
    <row r="420">
      <c r="A420" s="2" t="n"/>
      <c r="B420" s="2" t="n"/>
      <c r="C420" s="2" t="n"/>
      <c r="D420" s="20" t="n"/>
      <c r="E420" s="2" t="n"/>
      <c r="F420" s="2" t="n"/>
      <c r="G420" s="2" t="n"/>
      <c r="H420" s="2" t="n"/>
      <c r="I420" s="2" t="n"/>
      <c r="J420" s="2" t="n"/>
      <c r="K420" s="22" t="n"/>
    </row>
    <row r="421">
      <c r="A421" s="2" t="n"/>
      <c r="B421" s="2" t="n"/>
      <c r="C421" s="2" t="n"/>
      <c r="D421" s="20" t="n"/>
      <c r="E421" s="2" t="n"/>
      <c r="F421" s="2" t="n"/>
      <c r="G421" s="2" t="n"/>
      <c r="H421" s="2" t="n"/>
      <c r="I421" s="2" t="n"/>
      <c r="J421" s="2" t="n"/>
      <c r="K421" s="22" t="n"/>
    </row>
    <row r="422">
      <c r="A422" s="2" t="n"/>
      <c r="B422" s="2" t="n"/>
      <c r="C422" s="2" t="n"/>
      <c r="D422" s="20" t="n"/>
      <c r="E422" s="2" t="n"/>
      <c r="F422" s="2" t="n"/>
      <c r="G422" s="2" t="n"/>
      <c r="H422" s="2" t="n"/>
      <c r="I422" s="2" t="n"/>
      <c r="J422" s="22" t="n"/>
      <c r="K422" s="22" t="n"/>
    </row>
    <row r="423">
      <c r="A423" s="2" t="n"/>
      <c r="B423" s="2" t="n"/>
      <c r="C423" s="2" t="n"/>
      <c r="D423" s="20" t="n"/>
      <c r="E423" s="2" t="n"/>
      <c r="F423" s="2" t="n"/>
      <c r="G423" s="2" t="n"/>
      <c r="H423" s="2" t="n"/>
      <c r="I423" s="2" t="n"/>
      <c r="J423" s="22" t="n"/>
      <c r="K423" s="22" t="n"/>
    </row>
    <row r="424">
      <c r="A424" s="2" t="n"/>
      <c r="B424" s="2" t="n"/>
      <c r="C424" s="2" t="n"/>
      <c r="D424" s="20" t="n"/>
      <c r="E424" s="2" t="n"/>
      <c r="F424" s="2" t="n"/>
      <c r="G424" s="2" t="n"/>
      <c r="H424" s="2" t="n"/>
      <c r="I424" s="2" t="n"/>
      <c r="J424" s="22" t="n"/>
      <c r="K424" s="22" t="n"/>
    </row>
    <row r="425">
      <c r="A425" s="2" t="n"/>
      <c r="B425" s="2" t="n"/>
      <c r="C425" s="2" t="n"/>
      <c r="D425" s="20" t="n"/>
      <c r="E425" s="2" t="n"/>
      <c r="F425" s="2" t="n"/>
      <c r="G425" s="2" t="n"/>
      <c r="H425" s="2" t="n"/>
      <c r="I425" s="2" t="n"/>
      <c r="J425" s="22" t="n"/>
      <c r="K425" s="22" t="n"/>
    </row>
    <row r="426">
      <c r="A426" s="2" t="n"/>
      <c r="B426" s="2" t="n"/>
      <c r="C426" s="2" t="n"/>
      <c r="D426" s="20" t="n"/>
      <c r="E426" s="2" t="n"/>
      <c r="F426" s="2" t="n"/>
      <c r="G426" s="2" t="n"/>
      <c r="H426" s="2" t="n"/>
      <c r="I426" s="2" t="n"/>
      <c r="J426" s="2" t="n"/>
      <c r="K426" s="22" t="n"/>
    </row>
    <row r="427">
      <c r="A427" s="2" t="n"/>
      <c r="B427" s="2" t="n"/>
      <c r="C427" s="2" t="n"/>
      <c r="D427" s="20" t="n"/>
      <c r="E427" s="2" t="n"/>
      <c r="F427" s="2" t="n"/>
      <c r="G427" s="2" t="n"/>
      <c r="H427" s="2" t="n"/>
      <c r="I427" s="2" t="n"/>
      <c r="J427" s="2" t="n"/>
      <c r="K427" s="22" t="n"/>
    </row>
    <row r="428">
      <c r="A428" s="2" t="n"/>
      <c r="B428" s="2" t="n"/>
      <c r="C428" s="2" t="n"/>
      <c r="D428" s="20" t="n"/>
      <c r="E428" s="2" t="n"/>
      <c r="F428" s="2" t="n"/>
      <c r="G428" s="2" t="n"/>
      <c r="H428" s="2" t="n"/>
      <c r="I428" s="2" t="n"/>
      <c r="J428" s="2" t="n"/>
      <c r="K428" s="22" t="n"/>
    </row>
    <row r="429">
      <c r="A429" s="2" t="n"/>
      <c r="B429" s="2" t="n"/>
      <c r="C429" s="2" t="n"/>
      <c r="D429" s="20" t="n"/>
      <c r="E429" s="2" t="n"/>
      <c r="F429" s="2" t="n"/>
      <c r="G429" s="2" t="n"/>
      <c r="H429" s="2" t="n"/>
      <c r="I429" s="2" t="n"/>
      <c r="J429" s="2" t="n"/>
      <c r="K429" s="22" t="n"/>
    </row>
    <row r="430">
      <c r="A430" s="2" t="n"/>
      <c r="B430" s="2" t="n"/>
      <c r="C430" s="2" t="n"/>
      <c r="D430" s="20" t="n"/>
      <c r="E430" s="2" t="n"/>
      <c r="F430" s="2" t="n"/>
      <c r="G430" s="2" t="n"/>
      <c r="H430" s="2" t="n"/>
      <c r="I430" s="2" t="n"/>
      <c r="J430" s="2" t="n"/>
      <c r="K430" s="22" t="n"/>
    </row>
    <row r="431">
      <c r="A431" s="2" t="n"/>
      <c r="B431" s="2" t="n"/>
      <c r="C431" s="2" t="n"/>
      <c r="D431" s="20" t="n"/>
      <c r="E431" s="2" t="n"/>
      <c r="F431" s="2" t="n"/>
      <c r="G431" s="2" t="n"/>
      <c r="H431" s="2" t="n"/>
      <c r="I431" s="2" t="n"/>
      <c r="J431" s="2" t="n"/>
      <c r="K431" s="22" t="n"/>
    </row>
    <row r="432">
      <c r="A432" s="2" t="n"/>
      <c r="B432" s="2" t="n"/>
      <c r="C432" s="2" t="n"/>
      <c r="D432" s="20" t="n"/>
      <c r="E432" s="2" t="n"/>
      <c r="F432" s="2" t="n"/>
      <c r="G432" s="2" t="n"/>
      <c r="H432" s="2" t="n"/>
      <c r="I432" s="2" t="n"/>
      <c r="J432" s="2" t="n"/>
      <c r="K432" s="22" t="n"/>
    </row>
    <row r="433">
      <c r="A433" s="2" t="n"/>
      <c r="B433" s="2" t="n"/>
      <c r="C433" s="2" t="n"/>
      <c r="D433" s="20" t="n"/>
      <c r="E433" s="2" t="n"/>
      <c r="F433" s="2" t="n"/>
      <c r="G433" s="2" t="n"/>
      <c r="H433" s="2" t="n"/>
      <c r="I433" s="2" t="n"/>
      <c r="J433" s="22" t="n"/>
      <c r="K433" s="22" t="n"/>
    </row>
    <row r="434">
      <c r="A434" s="2" t="n"/>
      <c r="B434" s="2" t="n"/>
      <c r="C434" s="2" t="n"/>
      <c r="D434" s="20" t="n"/>
      <c r="E434" s="2" t="n"/>
      <c r="F434" s="2" t="n"/>
      <c r="G434" s="2" t="n"/>
      <c r="H434" s="2" t="n"/>
      <c r="I434" s="2" t="n"/>
      <c r="J434" s="2" t="n"/>
      <c r="K434" s="22" t="n"/>
    </row>
    <row r="435">
      <c r="A435" s="2" t="n"/>
      <c r="B435" s="2" t="n"/>
      <c r="C435" s="2" t="n"/>
      <c r="D435" s="20" t="n"/>
      <c r="E435" s="2" t="n"/>
      <c r="F435" s="2" t="n"/>
      <c r="G435" s="2" t="n"/>
      <c r="H435" s="2" t="n"/>
      <c r="I435" s="2" t="n"/>
      <c r="J435" s="2" t="n"/>
      <c r="K435" s="22" t="n"/>
    </row>
    <row r="436">
      <c r="A436" s="2" t="n"/>
      <c r="B436" s="2" t="n"/>
      <c r="C436" s="2" t="n"/>
      <c r="D436" s="20" t="n"/>
      <c r="E436" s="2" t="n"/>
      <c r="F436" s="2" t="n"/>
      <c r="G436" s="2" t="n"/>
      <c r="H436" s="2" t="n"/>
      <c r="I436" s="2" t="n"/>
      <c r="J436" s="2" t="n"/>
      <c r="K436" s="22" t="n"/>
    </row>
    <row r="437">
      <c r="A437" s="2" t="n"/>
      <c r="B437" s="2" t="n"/>
      <c r="C437" s="2" t="n"/>
      <c r="D437" s="20" t="n"/>
      <c r="E437" s="2" t="n"/>
      <c r="F437" s="2" t="n"/>
      <c r="G437" s="2" t="n"/>
      <c r="H437" s="2" t="n"/>
      <c r="I437" s="2" t="n"/>
      <c r="J437" s="22" t="n"/>
      <c r="K437" s="22" t="n"/>
    </row>
    <row r="438">
      <c r="A438" s="2" t="n"/>
      <c r="B438" s="2" t="n"/>
      <c r="C438" s="2" t="n"/>
      <c r="D438" s="20" t="n"/>
      <c r="E438" s="2" t="n"/>
      <c r="F438" s="2" t="n"/>
      <c r="G438" s="2" t="n"/>
      <c r="H438" s="2" t="n"/>
      <c r="I438" s="2" t="n"/>
      <c r="J438" s="2" t="n"/>
      <c r="K438" s="22" t="n"/>
    </row>
    <row r="439">
      <c r="A439" s="2" t="n"/>
      <c r="B439" s="2" t="n"/>
      <c r="C439" s="2" t="n"/>
      <c r="D439" s="20" t="n"/>
      <c r="E439" s="2" t="n"/>
      <c r="F439" s="2" t="n"/>
      <c r="G439" s="2" t="n"/>
      <c r="H439" s="2" t="n"/>
      <c r="I439" s="2" t="n"/>
      <c r="J439" s="2" t="n"/>
      <c r="K439" s="22" t="n"/>
    </row>
    <row r="440">
      <c r="A440" s="2" t="n"/>
      <c r="B440" s="2" t="n"/>
      <c r="C440" s="2" t="n"/>
      <c r="D440" s="20" t="n"/>
      <c r="E440" s="2" t="n"/>
      <c r="F440" s="2" t="n"/>
      <c r="G440" s="2" t="n"/>
      <c r="H440" s="2" t="n"/>
      <c r="I440" s="2" t="n"/>
      <c r="J440" s="2" t="n"/>
      <c r="K440" s="22" t="n"/>
    </row>
    <row r="441">
      <c r="A441" s="2" t="n"/>
      <c r="B441" s="2" t="n"/>
      <c r="C441" s="2" t="n"/>
      <c r="D441" s="20" t="n"/>
      <c r="E441" s="2" t="n"/>
      <c r="F441" s="2" t="n"/>
      <c r="G441" s="2" t="n"/>
      <c r="H441" s="2" t="n"/>
      <c r="I441" s="2" t="n"/>
      <c r="J441" s="22" t="n"/>
      <c r="K441" s="22" t="n"/>
    </row>
    <row r="442">
      <c r="A442" s="2" t="n"/>
      <c r="B442" s="2" t="n"/>
      <c r="C442" s="2" t="n"/>
      <c r="D442" s="20" t="n"/>
      <c r="E442" s="2" t="n"/>
      <c r="F442" s="2" t="n"/>
      <c r="G442" s="2" t="n"/>
      <c r="H442" s="2" t="n"/>
      <c r="I442" s="2" t="n"/>
      <c r="J442" s="2" t="n"/>
      <c r="K442" s="22" t="n"/>
    </row>
    <row r="443">
      <c r="A443" s="2" t="n"/>
      <c r="B443" s="2" t="n"/>
      <c r="C443" s="2" t="n"/>
      <c r="D443" s="20" t="n"/>
      <c r="E443" s="2" t="n"/>
      <c r="F443" s="2" t="n"/>
      <c r="G443" s="2" t="n"/>
      <c r="H443" s="2" t="n"/>
      <c r="I443" s="2" t="n"/>
      <c r="J443" s="22" t="n"/>
      <c r="K443" s="22" t="n"/>
    </row>
    <row r="444">
      <c r="A444" s="2" t="n"/>
      <c r="B444" s="2" t="n"/>
      <c r="C444" s="2" t="n"/>
      <c r="D444" s="20" t="n"/>
      <c r="E444" s="2" t="n"/>
      <c r="F444" s="2" t="n"/>
      <c r="G444" s="2" t="n"/>
      <c r="H444" s="2" t="n"/>
      <c r="I444" s="2" t="n"/>
      <c r="J444" s="2" t="n"/>
      <c r="K444" s="22" t="n"/>
    </row>
    <row r="445">
      <c r="A445" s="2" t="n"/>
      <c r="B445" s="2" t="n"/>
      <c r="C445" s="2" t="n"/>
      <c r="D445" s="20" t="n"/>
      <c r="E445" s="2" t="n"/>
      <c r="F445" s="2" t="n"/>
      <c r="G445" s="2" t="n"/>
      <c r="H445" s="2" t="n"/>
      <c r="I445" s="2" t="n"/>
      <c r="J445" s="2" t="n"/>
      <c r="K445" s="22" t="n"/>
    </row>
    <row r="446">
      <c r="A446" s="2" t="n"/>
      <c r="B446" s="2" t="n"/>
      <c r="C446" s="2" t="n"/>
      <c r="D446" s="20" t="n"/>
      <c r="E446" s="2" t="n"/>
      <c r="F446" s="2" t="n"/>
      <c r="G446" s="2" t="n"/>
      <c r="H446" s="2" t="n"/>
      <c r="I446" s="2" t="n"/>
      <c r="J446" s="2" t="n"/>
      <c r="K446" s="22" t="n"/>
    </row>
    <row r="447">
      <c r="A447" s="2" t="n"/>
      <c r="B447" s="2" t="n"/>
      <c r="C447" s="2" t="n"/>
      <c r="D447" s="20" t="n"/>
      <c r="E447" s="2" t="n"/>
      <c r="F447" s="2" t="n"/>
      <c r="G447" s="2" t="n"/>
      <c r="H447" s="2" t="n"/>
      <c r="I447" s="2" t="n"/>
      <c r="J447" s="2" t="n"/>
      <c r="K447" s="22" t="n"/>
    </row>
    <row r="448">
      <c r="A448" s="2" t="n"/>
      <c r="B448" s="2" t="n"/>
      <c r="C448" s="2" t="n"/>
      <c r="D448" s="20" t="n"/>
      <c r="E448" s="2" t="n"/>
      <c r="F448" s="2" t="n"/>
      <c r="G448" s="2" t="n"/>
      <c r="H448" s="2" t="n"/>
      <c r="I448" s="2" t="n"/>
      <c r="J448" s="22" t="n"/>
      <c r="K448" s="22" t="n"/>
    </row>
    <row r="449">
      <c r="A449" s="2" t="n"/>
      <c r="B449" s="2" t="n"/>
      <c r="C449" s="2" t="n"/>
      <c r="D449" s="20" t="n"/>
      <c r="E449" s="2" t="n"/>
      <c r="F449" s="2" t="n"/>
      <c r="G449" s="2" t="n"/>
      <c r="H449" s="2" t="n"/>
      <c r="I449" s="2" t="n"/>
      <c r="J449" s="22" t="n"/>
      <c r="K449" s="22" t="n"/>
    </row>
    <row r="450">
      <c r="A450" s="2" t="n"/>
      <c r="B450" s="2" t="n"/>
      <c r="C450" s="2" t="n"/>
      <c r="D450" s="20" t="n"/>
      <c r="E450" s="2" t="n"/>
      <c r="F450" s="2" t="n"/>
      <c r="G450" s="2" t="n"/>
      <c r="H450" s="2" t="n"/>
      <c r="I450" s="2" t="n"/>
      <c r="J450" s="22" t="n"/>
      <c r="K450" s="22" t="n"/>
    </row>
    <row r="451">
      <c r="A451" s="2" t="n"/>
      <c r="B451" s="2" t="n"/>
      <c r="C451" s="2" t="n"/>
      <c r="D451" s="20" t="n"/>
      <c r="E451" s="2" t="n"/>
      <c r="F451" s="2" t="n"/>
      <c r="G451" s="2" t="n"/>
      <c r="H451" s="2" t="n"/>
      <c r="I451" s="2" t="n"/>
      <c r="J451" s="22" t="n"/>
      <c r="K451" s="22" t="n"/>
    </row>
    <row r="452">
      <c r="A452" s="2" t="n"/>
      <c r="B452" s="2" t="n"/>
      <c r="C452" s="2" t="n"/>
      <c r="D452" s="20" t="n"/>
      <c r="E452" s="2" t="n"/>
      <c r="F452" s="2" t="n"/>
      <c r="G452" s="2" t="n"/>
      <c r="H452" s="2" t="n"/>
      <c r="I452" s="22" t="n"/>
      <c r="J452" s="2" t="n"/>
      <c r="K452" s="22" t="n"/>
    </row>
    <row r="453">
      <c r="A453" s="2" t="n"/>
      <c r="B453" s="2" t="n"/>
      <c r="C453" s="2" t="n"/>
      <c r="D453" s="20" t="n"/>
      <c r="E453" s="2" t="n"/>
      <c r="F453" s="2" t="n"/>
      <c r="G453" s="2" t="n"/>
      <c r="H453" s="2" t="n"/>
      <c r="I453" s="2" t="n"/>
      <c r="J453" s="22" t="n"/>
      <c r="K453" s="22" t="n"/>
    </row>
    <row r="454">
      <c r="A454" s="2" t="n"/>
      <c r="B454" s="2" t="n"/>
      <c r="C454" s="2" t="n"/>
      <c r="D454" s="20" t="n"/>
      <c r="E454" s="2" t="n"/>
      <c r="F454" s="2" t="n"/>
      <c r="G454" s="2" t="n"/>
      <c r="H454" s="2" t="n"/>
      <c r="I454" s="2" t="n"/>
      <c r="J454" s="22" t="n"/>
      <c r="K454" s="22" t="n"/>
    </row>
    <row r="455">
      <c r="A455" s="2" t="n"/>
      <c r="B455" s="2" t="n"/>
      <c r="C455" s="2" t="n"/>
      <c r="D455" s="20" t="n"/>
      <c r="E455" s="2" t="n"/>
      <c r="F455" s="2" t="n"/>
      <c r="G455" s="2" t="n"/>
      <c r="H455" s="2" t="n"/>
      <c r="I455" s="22" t="n"/>
      <c r="J455" s="2" t="n"/>
      <c r="K455" s="22" t="n"/>
    </row>
    <row r="456">
      <c r="A456" s="2" t="n"/>
      <c r="B456" s="2" t="n"/>
      <c r="C456" s="2" t="n"/>
      <c r="D456" s="20" t="n"/>
      <c r="E456" s="2" t="n"/>
      <c r="F456" s="2" t="n"/>
      <c r="G456" s="2" t="n"/>
      <c r="H456" s="2" t="n"/>
      <c r="I456" s="2" t="n"/>
      <c r="J456" s="22" t="n"/>
      <c r="K456" s="22" t="n"/>
    </row>
    <row r="457">
      <c r="A457" s="2" t="n"/>
      <c r="B457" s="2" t="n"/>
      <c r="C457" s="2" t="n"/>
      <c r="D457" s="20" t="n"/>
      <c r="E457" s="2" t="n"/>
      <c r="F457" s="2" t="n"/>
      <c r="G457" s="2" t="n"/>
      <c r="H457" s="2" t="n"/>
      <c r="I457" s="2" t="n"/>
      <c r="J457" s="2" t="n"/>
      <c r="K457" s="2" t="n"/>
    </row>
    <row r="458">
      <c r="A458" s="2" t="n"/>
      <c r="B458" s="2" t="n"/>
      <c r="C458" s="2" t="n"/>
      <c r="D458" s="20" t="n"/>
      <c r="E458" s="2" t="n"/>
      <c r="F458" s="2" t="n"/>
      <c r="G458" s="2" t="n"/>
      <c r="H458" s="2" t="n"/>
      <c r="I458" s="2" t="n"/>
      <c r="J458" s="22" t="n"/>
      <c r="K458" s="22" t="n"/>
    </row>
    <row r="459">
      <c r="A459" s="2" t="n"/>
      <c r="B459" s="2" t="n"/>
      <c r="C459" s="2" t="n"/>
      <c r="D459" s="20" t="n"/>
      <c r="E459" s="2" t="n"/>
      <c r="F459" s="2" t="n"/>
      <c r="G459" s="2" t="n"/>
      <c r="H459" s="2" t="n"/>
      <c r="I459" s="2" t="n"/>
      <c r="J459" s="2" t="n"/>
      <c r="K459" s="22" t="n"/>
    </row>
  </sheetData>
  <autoFilter ref="A1:K10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terms:created xsi:type="dcterms:W3CDTF">2026-03-24T17:07:52Z</dcterms:created>
  <dcterms:modified xsi:type="dcterms:W3CDTF">2026-03-24T17:08:11Z</dcterms:modified>
</cp:coreProperties>
</file>