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inlineStr">
        <is>
          <t>1</t>
        </is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n"/>
      <c r="N2" s="45" t="inlineStr">
        <is>
          <t>Fecha:</t>
        </is>
      </c>
      <c r="P2" s="105" t="inlineStr">
        <is>
          <t>12/03/2026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KMOYOLEMA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18XXXXXXX5001</t>
        </is>
      </c>
      <c r="J11" s="56" t="inlineStr">
        <is>
          <t>112549</t>
        </is>
      </c>
      <c r="K11" s="54" t="inlineStr">
        <is>
          <t>ytDI^56S"|LQf=&gt;[*%TYnEFc2-\av</t>
        </is>
      </c>
      <c r="M11" s="56" t="inlineStr">
        <is>
          <t>NO</t>
        </is>
      </c>
      <c r="P11" s="58" t="inlineStr">
        <is>
          <t>1</t>
        </is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18XXXXXXX7</t>
        </is>
      </c>
      <c r="J12" s="56" t="inlineStr">
        <is>
          <t>102770</t>
        </is>
      </c>
      <c r="K12" s="54" t="inlineStr">
        <is>
          <t>%QNl3KOx-YVt;SW!5a^|C[_)=i</t>
        </is>
      </c>
      <c r="M12" s="56" t="inlineStr">
        <is>
          <t>NO</t>
        </is>
      </c>
      <c r="P12" s="58" t="inlineStr">
        <is>
          <t>1</t>
        </is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18XXXXXXX5001</t>
        </is>
      </c>
      <c r="J13" s="56" t="inlineStr">
        <is>
          <t>151828</t>
        </is>
      </c>
      <c r="K13" s="54" t="inlineStr">
        <is>
          <t>Ird!&gt;}n[Qzl)F&amp;vcY#t1N.~ka</t>
        </is>
      </c>
      <c r="M13" s="56" t="inlineStr">
        <is>
          <t>NO</t>
        </is>
      </c>
      <c r="P13" s="58" t="inlineStr">
        <is>
          <t>1</t>
        </is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18XXXXXXX5</t>
        </is>
      </c>
      <c r="J14" s="56" t="inlineStr">
        <is>
          <t>151790</t>
        </is>
      </c>
      <c r="K14" s="54" t="inlineStr">
        <is>
          <t>#bD8`Z^w+jL@hbf 3rTHpj</t>
        </is>
      </c>
      <c r="M14" s="56" t="inlineStr">
        <is>
          <t>NO</t>
        </is>
      </c>
      <c r="P14" s="58" t="inlineStr">
        <is>
          <t>1</t>
        </is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18XXXXXXX2</t>
        </is>
      </c>
      <c r="J15" s="56" t="inlineStr">
        <is>
          <t>101712</t>
        </is>
      </c>
      <c r="K15" s="54" t="inlineStr">
        <is>
          <t>X+8!NF.H`3@)VN6Ph;H1^V&gt;XpCP</t>
        </is>
      </c>
      <c r="M15" s="56" t="inlineStr">
        <is>
          <t>NO</t>
        </is>
      </c>
      <c r="P15" s="58" t="inlineStr">
        <is>
          <t>2</t>
        </is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18XXXXXXX4</t>
        </is>
      </c>
      <c r="J16" s="56" t="inlineStr">
        <is>
          <t>134569</t>
        </is>
      </c>
      <c r="K16" s="54" t="inlineStr">
        <is>
          <t>6fV+0f-7&gt;n^38n5?Fvf;@v=GN~</t>
        </is>
      </c>
      <c r="M16" s="56" t="inlineStr">
        <is>
          <t>NO</t>
        </is>
      </c>
      <c r="P16" s="58" t="inlineStr">
        <is>
          <t>3</t>
        </is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02XXXXXXX3</t>
        </is>
      </c>
      <c r="J17" s="56" t="inlineStr">
        <is>
          <t>151867</t>
        </is>
      </c>
      <c r="K17" s="54" t="inlineStr">
        <is>
          <t>Ug*j|VMd]o2r%^Ulew:z-f]</t>
        </is>
      </c>
      <c r="M17" s="56" t="inlineStr">
        <is>
          <t>NO</t>
        </is>
      </c>
      <c r="P17" s="58" t="inlineStr">
        <is>
          <t>2</t>
        </is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18XXXXXXX1</t>
        </is>
      </c>
      <c r="J18" s="56" t="inlineStr">
        <is>
          <t>151888</t>
        </is>
      </c>
      <c r="K18" s="54" t="inlineStr">
        <is>
          <t>[5emfl"Ic=munt*QkEu}v|2YsM}&amp;~%</t>
        </is>
      </c>
      <c r="M18" s="56" t="inlineStr">
        <is>
          <t>NO</t>
        </is>
      </c>
      <c r="P18" s="58" t="inlineStr">
        <is>
          <t>1</t>
        </is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18XXXXXXX0001</t>
        </is>
      </c>
      <c r="J19" s="56" t="inlineStr">
        <is>
          <t>151311</t>
        </is>
      </c>
      <c r="K19" s="54" t="inlineStr">
        <is>
          <t>=)&amp;VKr^fE1.^SzfnM96f[#nvU</t>
        </is>
      </c>
      <c r="M19" s="56" t="inlineStr">
        <is>
          <t>NO</t>
        </is>
      </c>
      <c r="P19" s="58" t="inlineStr">
        <is>
          <t>1</t>
        </is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18XXXXXXX0</t>
        </is>
      </c>
      <c r="J20" s="56" t="inlineStr">
        <is>
          <t>1561</t>
        </is>
      </c>
      <c r="K20" s="54" t="inlineStr">
        <is>
          <t>^uDR?&amp;nXf}LZG.v`n&amp;TbO6~hv.\j</t>
        </is>
      </c>
      <c r="M20" s="56" t="inlineStr">
        <is>
          <t>NO</t>
        </is>
      </c>
      <c r="P20" s="58" t="inlineStr">
        <is>
          <t>2</t>
        </is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16XXXXXXX9</t>
        </is>
      </c>
      <c r="J21" s="56" t="inlineStr">
        <is>
          <t>151896</t>
        </is>
      </c>
      <c r="K21" s="54" t="inlineStr">
        <is>
          <t>*&lt;"Tm[[L2D*\uccT:L2d}kk\B</t>
        </is>
      </c>
      <c r="M21" s="56" t="inlineStr">
        <is>
          <t>NO</t>
        </is>
      </c>
      <c r="P21" s="58" t="inlineStr">
        <is>
          <t>2</t>
        </is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05XXXXXXX3001</t>
        </is>
      </c>
      <c r="J22" s="56" t="inlineStr">
        <is>
          <t>151894</t>
        </is>
      </c>
      <c r="K22" s="54" t="inlineStr">
        <is>
          <t>\-jE:xW\d5rMB!_dl=zUJ)gltE#]R</t>
        </is>
      </c>
      <c r="M22" s="56" t="inlineStr">
        <is>
          <t>NO</t>
        </is>
      </c>
      <c r="P22" s="58" t="inlineStr">
        <is>
          <t>1</t>
        </is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18XXXXXXX0001</t>
        </is>
      </c>
      <c r="J23" s="56" t="inlineStr">
        <is>
          <t>56636</t>
        </is>
      </c>
      <c r="K23" s="54" t="inlineStr">
        <is>
          <t>-L:C=';*5TBKE/C2=\JSM7K:EdR[U</t>
        </is>
      </c>
      <c r="M23" s="56" t="inlineStr">
        <is>
          <t>NO</t>
        </is>
      </c>
      <c r="P23" s="58" t="inlineStr">
        <is>
          <t>1</t>
        </is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18XXXXXXX6001</t>
        </is>
      </c>
      <c r="J24" s="56" t="inlineStr">
        <is>
          <t>118909</t>
        </is>
      </c>
      <c r="K24" s="54" t="inlineStr">
        <is>
          <t>(e6o[i|v0m&gt;wcq%~8uF ky-'@}N(s</t>
        </is>
      </c>
      <c r="M24" s="56" t="inlineStr">
        <is>
          <t>NO</t>
        </is>
      </c>
      <c r="P24" s="58" t="inlineStr">
        <is>
          <t>1</t>
        </is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18XXXXXXX8001</t>
        </is>
      </c>
      <c r="J25" s="56" t="inlineStr">
        <is>
          <t>151876</t>
        </is>
      </c>
      <c r="K25" s="54" t="inlineStr">
        <is>
          <t>2hP^+2CQ:pXf3:KYBx`n;BSaJ</t>
        </is>
      </c>
      <c r="M25" s="56" t="inlineStr">
        <is>
          <t>NO</t>
        </is>
      </c>
      <c r="P25" s="58" t="inlineStr">
        <is>
          <t>2</t>
        </is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05XXXXXXX6</t>
        </is>
      </c>
      <c r="J26" s="56" t="inlineStr">
        <is>
          <t>151914</t>
        </is>
      </c>
      <c r="K26" s="54" t="inlineStr">
        <is>
          <t>fu&gt;_v?Zdn}Fg~Gblv&amp;No'Ojt~</t>
        </is>
      </c>
      <c r="M26" s="56" t="inlineStr">
        <is>
          <t>NO</t>
        </is>
      </c>
      <c r="P26" s="58" t="inlineStr">
        <is>
          <t>2</t>
        </is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18XXXXXXX4001</t>
        </is>
      </c>
      <c r="J27" s="56" t="inlineStr">
        <is>
          <t>121324</t>
        </is>
      </c>
      <c r="K27" s="54" t="inlineStr">
        <is>
          <t>7~'|qxYi?'/%y!aqG/7-")i</t>
        </is>
      </c>
      <c r="M27" s="56" t="inlineStr">
        <is>
          <t>NO</t>
        </is>
      </c>
      <c r="P27" s="58" t="inlineStr">
        <is>
          <t>1</t>
        </is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18XXXXXXX5001</t>
        </is>
      </c>
      <c r="J28" s="56" t="inlineStr">
        <is>
          <t>888</t>
        </is>
      </c>
      <c r="K28" s="54" t="inlineStr">
        <is>
          <t>?zMZKb]}G#UbSje&amp;O+]j[rm.W3ercz</t>
        </is>
      </c>
      <c r="M28" s="56" t="inlineStr">
        <is>
          <t>NO</t>
        </is>
      </c>
      <c r="P28" s="58" t="inlineStr">
        <is>
          <t>1</t>
        </is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02XXXXXXX5</t>
        </is>
      </c>
      <c r="J29" s="56" t="inlineStr">
        <is>
          <t>54374</t>
        </is>
      </c>
      <c r="K29" s="54" t="inlineStr">
        <is>
          <t>iEC&lt;Y.wfqMKDa6 nyUSLi&gt;(v"][Tq</t>
        </is>
      </c>
      <c r="M29" s="56" t="inlineStr">
        <is>
          <t>NO</t>
        </is>
      </c>
      <c r="P29" s="58" t="inlineStr">
        <is>
          <t>2</t>
        </is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18XXXXXXX2</t>
        </is>
      </c>
      <c r="J30" s="56" t="inlineStr">
        <is>
          <t>103446</t>
        </is>
      </c>
      <c r="K30" s="54" t="inlineStr">
        <is>
          <t>/H5=2_C87P=E:gK@?XEMBoSHG`M</t>
        </is>
      </c>
      <c r="M30" s="56" t="inlineStr">
        <is>
          <t>NO</t>
        </is>
      </c>
      <c r="P30" s="58" t="inlineStr">
        <is>
          <t>1</t>
        </is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18XXXXXXX0001</t>
        </is>
      </c>
      <c r="J31" s="56" t="inlineStr">
        <is>
          <t>138986</t>
        </is>
      </c>
      <c r="K31" s="54" t="inlineStr">
        <is>
          <t>)Q0*Lz`B1Y82T#hJ9a@:\+pRAiH</t>
        </is>
      </c>
      <c r="M31" s="56" t="inlineStr">
        <is>
          <t>NO</t>
        </is>
      </c>
      <c r="P31" s="58" t="inlineStr">
        <is>
          <t>3</t>
        </is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18XXXXXXX1</t>
        </is>
      </c>
      <c r="J32" s="56" t="inlineStr">
        <is>
          <t>105998</t>
        </is>
      </c>
      <c r="K32" s="54" t="inlineStr">
        <is>
          <t>o%CLQ{RKw-KTY$ZS 5S\a,b[(=[di4</t>
        </is>
      </c>
      <c r="M32" s="56" t="inlineStr">
        <is>
          <t>NO</t>
        </is>
      </c>
      <c r="P32" s="58" t="inlineStr">
        <is>
          <t>1</t>
        </is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18XXXXXXX0</t>
        </is>
      </c>
      <c r="J33" s="56" t="inlineStr">
        <is>
          <t>151991</t>
        </is>
      </c>
      <c r="K33" s="54" t="inlineStr">
        <is>
          <t>I;Of]j)CQCWner1KYK_vmz9SaSg~u#</t>
        </is>
      </c>
      <c r="M33" s="56" t="inlineStr">
        <is>
          <t>NO</t>
        </is>
      </c>
      <c r="P33" s="58" t="inlineStr">
        <is>
          <t>1</t>
        </is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18XXXXXXX5</t>
        </is>
      </c>
      <c r="J34" s="56" t="inlineStr">
        <is>
          <t>59939</t>
        </is>
      </c>
      <c r="K34" s="54" t="inlineStr">
        <is>
          <t>B9ZF`BXgJAbNhJ`oRIjVpRhwZQr^x</t>
        </is>
      </c>
      <c r="M34" s="56" t="inlineStr">
        <is>
          <t>NO</t>
        </is>
      </c>
      <c r="P34" s="58" t="inlineStr">
        <is>
          <t>1</t>
        </is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18XXXXXXX9</t>
        </is>
      </c>
      <c r="J35" s="56" t="inlineStr">
        <is>
          <t>152004</t>
        </is>
      </c>
      <c r="K35" s="54" t="inlineStr">
        <is>
          <t>6FPUvv+y&gt;NX]~~3"FV`e'';*N^hm/</t>
        </is>
      </c>
      <c r="M35" s="56" t="inlineStr">
        <is>
          <t>NO</t>
        </is>
      </c>
      <c r="P35" s="58" t="inlineStr">
        <is>
          <t>4</t>
        </is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05XXXXXXX2</t>
        </is>
      </c>
      <c r="J36" s="56" t="inlineStr">
        <is>
          <t>46151</t>
        </is>
      </c>
      <c r="K36" s="54" t="inlineStr">
        <is>
          <t>u~~LIO!r}''TQW)z&amp;//\Y_1#.77dag</t>
        </is>
      </c>
      <c r="M36" s="56" t="inlineStr">
        <is>
          <t>NO</t>
        </is>
      </c>
      <c r="P36" s="58" t="inlineStr">
        <is>
          <t>1</t>
        </is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06XXXXXXX7001</t>
        </is>
      </c>
      <c r="J37" s="56" t="inlineStr">
        <is>
          <t>151776</t>
        </is>
      </c>
      <c r="K37" s="54" t="inlineStr">
        <is>
          <t>ghznww]!op#v  e)wx+~((m1</t>
        </is>
      </c>
      <c r="M37" s="56" t="inlineStr">
        <is>
          <t>NO</t>
        </is>
      </c>
      <c r="P37" s="58" t="inlineStr">
        <is>
          <t>2</t>
        </is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05XXXXXXX8</t>
        </is>
      </c>
      <c r="J38" s="56" t="inlineStr">
        <is>
          <t>151998</t>
        </is>
      </c>
      <c r="K38" s="54" t="inlineStr">
        <is>
          <t>7O|FIR\(?W%NQZd0G_-VYbl8</t>
        </is>
      </c>
      <c r="M38" s="56" t="inlineStr">
        <is>
          <t>NO</t>
        </is>
      </c>
      <c r="P38" s="58" t="inlineStr">
        <is>
          <t>1</t>
        </is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18XXXXXXX4</t>
        </is>
      </c>
      <c r="J39" s="56" t="inlineStr">
        <is>
          <t>55529</t>
        </is>
      </c>
      <c r="K39" s="54" t="inlineStr">
        <is>
          <t>1D*JI.NQ9L2RQ6VYAT:ZY&gt;^aI\Bba</t>
        </is>
      </c>
      <c r="M39" s="56" t="inlineStr">
        <is>
          <t>NO</t>
        </is>
      </c>
      <c r="P39" s="58" t="inlineStr">
        <is>
          <t>1</t>
        </is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18XXXXXXX3</t>
        </is>
      </c>
      <c r="J40" s="56" t="inlineStr">
        <is>
          <t>116500</t>
        </is>
      </c>
      <c r="K40" s="54" t="inlineStr">
        <is>
          <t>@%4YeU8qH-&lt;am]@yP5DiueH"X=Lq}m</t>
        </is>
      </c>
      <c r="M40" s="56" t="inlineStr">
        <is>
          <t>NO</t>
        </is>
      </c>
      <c r="P40" s="58" t="inlineStr">
        <is>
          <t>4</t>
        </is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18XXXXXXX5</t>
        </is>
      </c>
      <c r="J41" s="56" t="inlineStr">
        <is>
          <t>152072</t>
        </is>
      </c>
      <c r="K41" s="54" t="inlineStr">
        <is>
          <t>4hV\Kx$L&lt;p^dS!,TDxfl[)4\L!ntc1</t>
        </is>
      </c>
      <c r="M41" s="56" t="inlineStr">
        <is>
          <t>NO</t>
        </is>
      </c>
      <c r="P41" s="58" t="inlineStr">
        <is>
          <t>1</t>
        </is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18XXXXXXX9001</t>
        </is>
      </c>
      <c r="J42" s="56" t="inlineStr">
        <is>
          <t>152005</t>
        </is>
      </c>
      <c r="K42" s="54" t="inlineStr">
        <is>
          <t>@^4i(=HIHf&lt;q0EPQPnDy8MXYXvL"@</t>
        </is>
      </c>
      <c r="M42" s="56" t="inlineStr">
        <is>
          <t>NO</t>
        </is>
      </c>
      <c r="P42" s="58" t="inlineStr">
        <is>
          <t>1</t>
        </is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18XXXXXXX5</t>
        </is>
      </c>
      <c r="J43" s="56" t="inlineStr">
        <is>
          <t>47493</t>
        </is>
      </c>
      <c r="K43" s="54" t="inlineStr">
        <is>
          <t>!sZ&gt;]Q"(){bFeY*01$jNma289</t>
        </is>
      </c>
      <c r="M43" s="56" t="inlineStr">
        <is>
          <t>NO</t>
        </is>
      </c>
      <c r="P43" s="58" t="inlineStr">
        <is>
          <t>1</t>
        </is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18XXXXXXX8001</t>
        </is>
      </c>
      <c r="J44" s="56" t="inlineStr">
        <is>
          <t>6065</t>
        </is>
      </c>
      <c r="K44" s="54" t="inlineStr">
        <is>
          <t>;$:5&lt;&amp;lQC,B=D.tYK4JEL6|aS&lt;</t>
        </is>
      </c>
      <c r="M44" s="56" t="inlineStr">
        <is>
          <t>NO</t>
        </is>
      </c>
      <c r="P44" s="58" t="inlineStr">
        <is>
          <t>1</t>
        </is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05XXXXXXX3</t>
        </is>
      </c>
      <c r="J45" s="56" t="inlineStr">
        <is>
          <t>39593</t>
        </is>
      </c>
      <c r="K45" s="54" t="inlineStr">
        <is>
          <t>XwsANk;8` {IVsC@h($Q^{KHp0,Yf$</t>
        </is>
      </c>
      <c r="M45" s="56" t="inlineStr">
        <is>
          <t>NO</t>
        </is>
      </c>
      <c r="P45" s="58" t="inlineStr">
        <is>
          <t>1</t>
        </is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09XXXXXXX9</t>
        </is>
      </c>
      <c r="J46" s="56" t="inlineStr">
        <is>
          <t>137427</t>
        </is>
      </c>
      <c r="K46" s="54" t="inlineStr">
        <is>
          <t>Cda3SidPKli;[qlXStqCcyt`[|yK</t>
        </is>
      </c>
      <c r="M46" s="56" t="inlineStr">
        <is>
          <t>NO</t>
        </is>
      </c>
      <c r="P46" s="58" t="inlineStr">
        <is>
          <t>1</t>
        </is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18XXXXXXX5</t>
        </is>
      </c>
      <c r="J47" s="56" t="inlineStr">
        <is>
          <t>48789</t>
        </is>
      </c>
      <c r="K47" s="54" t="inlineStr">
        <is>
          <t>;!PQD\|!C)XYLd%)K1`aTl-1S9hi</t>
        </is>
      </c>
      <c r="M47" s="56" t="inlineStr">
        <is>
          <t>NO</t>
        </is>
      </c>
      <c r="P47" s="58" t="inlineStr">
        <is>
          <t>2</t>
        </is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17XXXXXXX4001</t>
        </is>
      </c>
      <c r="J48" s="56" t="inlineStr">
        <is>
          <t>37438</t>
        </is>
      </c>
      <c r="K48" s="54" t="inlineStr">
        <is>
          <t>IMKvP;;+QUS~XCC3Y]['`KK;aec/hS</t>
        </is>
      </c>
      <c r="M48" s="56" t="inlineStr">
        <is>
          <t>NO</t>
        </is>
      </c>
      <c r="P48" s="58" t="inlineStr">
        <is>
          <t>2</t>
        </is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18XXXXXXX5001</t>
        </is>
      </c>
      <c r="J51" s="56" t="inlineStr">
        <is>
          <t>152048</t>
        </is>
      </c>
      <c r="K51" s="54" t="inlineStr">
        <is>
          <t>;DCG|J^OCLKO%RfWKTSW-Zn_S\[_5b</t>
        </is>
      </c>
      <c r="M51" s="56" t="inlineStr">
        <is>
          <t>NO</t>
        </is>
      </c>
      <c r="P51" s="58" t="inlineStr">
        <is>
          <t>1</t>
        </is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18XXXXXXX5</t>
        </is>
      </c>
      <c r="J52" s="56" t="inlineStr">
        <is>
          <t>152185</t>
        </is>
      </c>
      <c r="K52" s="54" t="inlineStr">
        <is>
          <t>=AN&amp;D*/GEIV.L27OMQ^6T:?WUYf&gt;</t>
        </is>
      </c>
      <c r="M52" s="56" t="inlineStr">
        <is>
          <t>NO</t>
        </is>
      </c>
      <c r="P52" s="58" t="inlineStr">
        <is>
          <t>2</t>
        </is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18XXXXXXX1001</t>
        </is>
      </c>
      <c r="J53" s="56" t="inlineStr">
        <is>
          <t>144071</t>
        </is>
      </c>
      <c r="K53" s="54" t="inlineStr">
        <is>
          <t>n)'v]7CYv1/~e?Ka~97'mGSi'A?/u</t>
        </is>
      </c>
      <c r="M53" s="56" t="inlineStr">
        <is>
          <t>NO</t>
        </is>
      </c>
      <c r="P53" s="58" t="inlineStr">
        <is>
          <t>2</t>
        </is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18XXXXXXX6001</t>
        </is>
      </c>
      <c r="J54" s="56" t="inlineStr">
        <is>
          <t>50358</t>
        </is>
      </c>
      <c r="K54" s="54" t="inlineStr">
        <is>
          <t>_t1OTovTg|9W\w~\o%A_d 'dw-I</t>
        </is>
      </c>
      <c r="M54" s="56" t="inlineStr">
        <is>
          <t>NO</t>
        </is>
      </c>
      <c r="P54" s="58" t="inlineStr">
        <is>
          <t>3</t>
        </is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18XXXXXXX7</t>
        </is>
      </c>
      <c r="J55" s="56" t="inlineStr">
        <is>
          <t>43329</t>
        </is>
      </c>
      <c r="K55" s="54" t="inlineStr">
        <is>
          <t>gbH0+^#RojP83f+ZwrX@;n3b z`HCv</t>
        </is>
      </c>
      <c r="M55" s="56" t="inlineStr">
        <is>
          <t>NO</t>
        </is>
      </c>
      <c r="P55" s="58" t="inlineStr">
        <is>
          <t>1</t>
        </is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18XXXXXXX8</t>
        </is>
      </c>
      <c r="J56" s="56" t="inlineStr">
        <is>
          <t>152169</t>
        </is>
      </c>
      <c r="K56" s="54" t="inlineStr">
        <is>
          <t>(_:'X*&gt;V0gB/`2F^8oJ7h:Nf@wR?pB</t>
        </is>
      </c>
      <c r="M56" s="56" t="inlineStr">
        <is>
          <t>NO</t>
        </is>
      </c>
      <c r="P56" s="58" t="inlineStr">
        <is>
          <t>3</t>
        </is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18XXXXXXX2</t>
        </is>
      </c>
      <c r="J57" s="56" t="inlineStr">
        <is>
          <t>5738</t>
        </is>
      </c>
      <c r="K57" s="54" t="inlineStr">
        <is>
          <t>ug+(LaSc}o30Ti[k&amp;w</t>
        </is>
      </c>
      <c r="M57" s="56" t="inlineStr">
        <is>
          <t>NO</t>
        </is>
      </c>
      <c r="P57" s="58" t="inlineStr">
        <is>
          <t>1</t>
        </is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02XXXXXXX7</t>
        </is>
      </c>
      <c r="J58" s="56" t="inlineStr">
        <is>
          <t>124727</t>
        </is>
      </c>
      <c r="K58" s="54" t="inlineStr">
        <is>
          <t>JpXT*X\`Rx`\2`dhZ!hd:hl</t>
        </is>
      </c>
      <c r="M58" s="56" t="inlineStr">
        <is>
          <t>NO</t>
        </is>
      </c>
      <c r="P58" s="58" t="inlineStr">
        <is>
          <t>1</t>
        </is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18XXXXXXX5</t>
        </is>
      </c>
      <c r="J59" s="56" t="inlineStr">
        <is>
          <t>48789</t>
        </is>
      </c>
      <c r="K59" s="54" t="inlineStr">
        <is>
          <t>@xhC3S0"H!pK;[8*P)xSCc@2X1![</t>
        </is>
      </c>
      <c r="M59" s="56" t="inlineStr">
        <is>
          <t>NO</t>
        </is>
      </c>
      <c r="P59" s="58" t="inlineStr">
        <is>
          <t>1</t>
        </is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05XXXXXXX3</t>
        </is>
      </c>
      <c r="J60" s="56" t="inlineStr">
        <is>
          <t>39593</t>
        </is>
      </c>
      <c r="K60" s="54" t="inlineStr">
        <is>
          <t>!jAKL3YB)rIST;aJ1zQ[\CiR9#YcdK</t>
        </is>
      </c>
      <c r="M60" s="56" t="inlineStr">
        <is>
          <t>NO</t>
        </is>
      </c>
      <c r="P60" s="58" t="inlineStr">
        <is>
          <t>1</t>
        </is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17XXXXXXX9001</t>
        </is>
      </c>
      <c r="J61" s="56" t="inlineStr">
        <is>
          <t>152218</t>
        </is>
      </c>
      <c r="K61" s="54" t="inlineStr">
        <is>
          <t>kK#HG^]?sS+POfeG</t>
        </is>
      </c>
      <c r="M61" s="56" t="inlineStr">
        <is>
          <t>NO</t>
        </is>
      </c>
      <c r="P61" s="58" t="inlineStr">
        <is>
          <t>1</t>
        </is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18XXXXXXX1001</t>
        </is>
      </c>
      <c r="J62" s="56" t="inlineStr">
        <is>
          <t>148183</t>
        </is>
      </c>
      <c r="K62" s="54" t="inlineStr">
        <is>
          <t>SU%)P-XC[]-1X5`Kce59`=hSkm=</t>
        </is>
      </c>
      <c r="M62" s="56" t="inlineStr">
        <is>
          <t>NO</t>
        </is>
      </c>
      <c r="P62" s="58" t="inlineStr">
        <is>
          <t>1</t>
        </is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18XXXXXXX9</t>
        </is>
      </c>
      <c r="J63" s="56" t="inlineStr">
        <is>
          <t>151396</t>
        </is>
      </c>
      <c r="K63" s="54" t="inlineStr">
        <is>
          <t>z|*@yTsY#%2H"\{a+-:P*d$i3</t>
        </is>
      </c>
      <c r="M63" s="56" t="inlineStr">
        <is>
          <t>NO</t>
        </is>
      </c>
      <c r="P63" s="58" t="inlineStr">
        <is>
          <t>1</t>
        </is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18XXXXXXX3</t>
        </is>
      </c>
      <c r="J64" s="56" t="inlineStr">
        <is>
          <t>116500</t>
        </is>
      </c>
      <c r="K64" s="54" t="inlineStr">
        <is>
          <t>9}QBHu"cA&amp;YJP}*kI.aRX&amp;2sQ6iZ`.</t>
        </is>
      </c>
      <c r="M64" s="56" t="inlineStr">
        <is>
          <t>NO</t>
        </is>
      </c>
      <c r="P64" s="58" t="inlineStr">
        <is>
          <t>2</t>
        </is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18XXXXXXX8001</t>
        </is>
      </c>
      <c r="J65" s="56" t="inlineStr">
        <is>
          <t>906</t>
        </is>
      </c>
      <c r="K65" s="54" t="inlineStr">
        <is>
          <t>?b+*EoB&lt;Gj32MwJDOr;:U RLWzCB](</t>
        </is>
      </c>
      <c r="M65" s="56" t="inlineStr">
        <is>
          <t>NO</t>
        </is>
      </c>
      <c r="P65" s="58" t="inlineStr">
        <is>
          <t>4</t>
        </is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18XXXXXXX8001</t>
        </is>
      </c>
      <c r="J66" s="56" t="inlineStr">
        <is>
          <t>906</t>
        </is>
      </c>
      <c r="K66" s="54" t="inlineStr">
        <is>
          <t>d9o^.736lAwf6?;&gt;tI n&gt;GCF|Q(vFO</t>
        </is>
      </c>
      <c r="M66" s="56" t="inlineStr">
        <is>
          <t>NO</t>
        </is>
      </c>
      <c r="P66" s="58" t="inlineStr">
        <is>
          <t>3</t>
        </is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18XXXXXXX8001</t>
        </is>
      </c>
      <c r="J67" s="56" t="inlineStr">
        <is>
          <t>906</t>
        </is>
      </c>
      <c r="K67" s="54" t="inlineStr">
        <is>
          <t>B&lt;j0|F@JJDr8%NHRRLz@-VPZZT#H5^</t>
        </is>
      </c>
      <c r="M67" s="56" t="inlineStr">
        <is>
          <t>NO</t>
        </is>
      </c>
      <c r="P67" s="58" t="inlineStr">
        <is>
          <t>4</t>
        </is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18XXXXXXX8001</t>
        </is>
      </c>
      <c r="J68" s="56" t="inlineStr">
        <is>
          <t>906</t>
        </is>
      </c>
      <c r="K68" s="54" t="inlineStr">
        <is>
          <t>m B59L:hu(J=ATBp}0REI\Jx&amp;8ZMQd</t>
        </is>
      </c>
      <c r="M68" s="56" t="inlineStr">
        <is>
          <t>NO</t>
        </is>
      </c>
      <c r="P68" s="58" t="inlineStr">
        <is>
          <t>1</t>
        </is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18XXXXXXX9001</t>
        </is>
      </c>
      <c r="J69" s="56" t="inlineStr">
        <is>
          <t>152005</t>
        </is>
      </c>
      <c r="K69" s="54" t="inlineStr">
        <is>
          <t>HL+@\xP!PT3Hd!X)X\;Pl)`1`dCXt</t>
        </is>
      </c>
      <c r="M69" s="56" t="inlineStr">
        <is>
          <t>NO</t>
        </is>
      </c>
      <c r="P69" s="58" t="inlineStr">
        <is>
          <t>4</t>
        </is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18XXXXXXX8001</t>
        </is>
      </c>
      <c r="J70" s="56" t="inlineStr">
        <is>
          <t>906</t>
        </is>
      </c>
      <c r="K70" s="54" t="inlineStr">
        <is>
          <t>_!qK#d,ug)yS+l4}o1"[3t&lt;&amp;w9*c;|</t>
        </is>
      </c>
      <c r="M70" s="56" t="inlineStr">
        <is>
          <t>NO</t>
        </is>
      </c>
      <c r="P70" s="58" t="inlineStr">
        <is>
          <t>4</t>
        </is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18XXXXXXX8001</t>
        </is>
      </c>
      <c r="J71" s="56" t="inlineStr">
        <is>
          <t>906</t>
        </is>
      </c>
      <c r="K71" s="54" t="inlineStr">
        <is>
          <t>_%_aZ4Wzg-gib&lt;_#o5oqjDg+w=wyrL</t>
        </is>
      </c>
      <c r="M71" s="56" t="inlineStr">
        <is>
          <t>NO</t>
        </is>
      </c>
      <c r="P71" s="58" t="inlineStr">
        <is>
          <t>1</t>
        </is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18XXXXXXX8001</t>
        </is>
      </c>
      <c r="J72" s="56" t="inlineStr">
        <is>
          <t>906</t>
        </is>
      </c>
      <c r="K72" s="54" t="inlineStr">
        <is>
          <t>4Y9US$2n&lt;aA][,:vDiIec4B~LqQmk&lt;</t>
        </is>
      </c>
      <c r="M72" s="56" t="inlineStr">
        <is>
          <t>NO</t>
        </is>
      </c>
      <c r="P72" s="58" t="inlineStr">
        <is>
          <t>1</t>
        </is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18XXXXXXX8001</t>
        </is>
      </c>
      <c r="J73" s="56" t="inlineStr">
        <is>
          <t>906</t>
        </is>
      </c>
      <c r="K73" s="54" t="inlineStr">
        <is>
          <t>a2Ia;Pk?i:QiCXsGqBYqK`{OyJaySh</t>
        </is>
      </c>
      <c r="M73" s="56" t="inlineStr">
        <is>
          <t>NO</t>
        </is>
      </c>
      <c r="P73" s="58" t="inlineStr">
        <is>
          <t>2</t>
        </is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18XXXXXXX8001</t>
        </is>
      </c>
      <c r="J74" s="56" t="inlineStr">
        <is>
          <t>906</t>
        </is>
      </c>
      <c r="K74" s="54" t="inlineStr">
        <is>
          <t>X2IMV6p7`:QU^&gt;x?hBY]fF!GpJaenN</t>
        </is>
      </c>
      <c r="M74" s="56" t="inlineStr">
        <is>
          <t>NO</t>
        </is>
      </c>
      <c r="P74" s="58" t="inlineStr">
        <is>
          <t>2</t>
        </is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18XXXXXXX1001</t>
        </is>
      </c>
      <c r="J75" s="56" t="inlineStr">
        <is>
          <t>46677</t>
        </is>
      </c>
      <c r="K75" s="54" t="inlineStr">
        <is>
          <t>C+&gt;f_1V(K3Fng9^</t>
        </is>
      </c>
      <c r="M75" s="56" t="inlineStr">
        <is>
          <t>NO</t>
        </is>
      </c>
      <c r="P75" s="58" t="inlineStr">
        <is>
          <t>1</t>
        </is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18XXXXXXX7001</t>
        </is>
      </c>
      <c r="J76" s="56" t="inlineStr">
        <is>
          <t>6678</t>
        </is>
      </c>
      <c r="K76" s="54" t="inlineStr">
        <is>
          <t>EeU@dQ/ZMm]HlY7bUuePta?j]}mX|i</t>
        </is>
      </c>
      <c r="M76" s="56" t="inlineStr">
        <is>
          <t>NO</t>
        </is>
      </c>
      <c r="P76" s="58" t="inlineStr">
        <is>
          <t>2</t>
        </is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18XXXXXXX8001</t>
        </is>
      </c>
      <c r="J77" s="56" t="inlineStr">
        <is>
          <t>906</t>
        </is>
      </c>
      <c r="K77" s="54" t="inlineStr">
        <is>
          <t>L+%_tM8cT3-g|U@k\;5o%]HsdC=w-e</t>
        </is>
      </c>
      <c r="M77" s="56" t="inlineStr">
        <is>
          <t>NO</t>
        </is>
      </c>
      <c r="P77" s="58" t="inlineStr">
        <is>
          <t>4</t>
        </is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18XXXXXXX8001</t>
        </is>
      </c>
      <c r="J78" s="56" t="inlineStr">
        <is>
          <t>906</t>
        </is>
      </c>
      <c r="K78" s="54" t="inlineStr">
        <is>
          <t>9N&gt;&gt;M?_:AVFFUGgBI^NN]OoJQfVVeW</t>
        </is>
      </c>
      <c r="M78" s="56" t="inlineStr">
        <is>
          <t>NO</t>
        </is>
      </c>
      <c r="P78" s="58" t="inlineStr">
        <is>
          <t>3</t>
        </is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18XXXXXXX8001</t>
        </is>
      </c>
      <c r="J79" s="56" t="inlineStr">
        <is>
          <t>906</t>
        </is>
      </c>
      <c r="K79" s="54" t="inlineStr">
        <is>
          <t>_]'a\!PVge/id)X^om7ql1`fwu?yt9</t>
        </is>
      </c>
      <c r="M79" s="56" t="inlineStr">
        <is>
          <t>NO</t>
        </is>
      </c>
      <c r="P79" s="58" t="inlineStr">
        <is>
          <t>2</t>
        </is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18XXXXXXX8001</t>
        </is>
      </c>
      <c r="J80" s="56" t="inlineStr">
        <is>
          <t>906</t>
        </is>
      </c>
      <c r="K80" s="54" t="inlineStr">
        <is>
          <t>uF6B/}aY}N&gt;J7&amp;ia&amp;VFR?.qi.^NZG6</t>
        </is>
      </c>
      <c r="M80" s="56" t="inlineStr">
        <is>
          <t>NO</t>
        </is>
      </c>
      <c r="P80" s="58" t="inlineStr">
        <is>
          <t>2</t>
        </is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18XXXXXXX8001</t>
        </is>
      </c>
      <c r="J81" s="56" t="inlineStr">
        <is>
          <t>906</t>
        </is>
      </c>
      <c r="K81" s="54" t="inlineStr">
        <is>
          <t>s)QuPBw^{1Y}XJ f$9a&amp;`R(n,Ai.hZ</t>
        </is>
      </c>
      <c r="M81" s="56" t="inlineStr">
        <is>
          <t>NO</t>
        </is>
      </c>
      <c r="P81" s="58" t="inlineStr">
        <is>
          <t>2</t>
        </is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18XXXXXXX8001</t>
        </is>
      </c>
      <c r="J82" s="56" t="inlineStr">
        <is>
          <t>906</t>
        </is>
      </c>
      <c r="K82" s="54" t="inlineStr">
        <is>
          <t>G\PTGO_*OdX\OWg2Wl`dW_o:_thl_g</t>
        </is>
      </c>
      <c r="M82" s="56" t="inlineStr">
        <is>
          <t>NO</t>
        </is>
      </c>
      <c r="P82" s="58" t="inlineStr">
        <is>
          <t>2</t>
        </is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18XXXXXXX8001</t>
        </is>
      </c>
      <c r="J83" s="56" t="inlineStr">
        <is>
          <t>906</t>
        </is>
      </c>
      <c r="K83" s="54" t="inlineStr">
        <is>
          <t>+$b]N0I[3,jeV8Qc;4rm^@YkC&lt;zufH</t>
        </is>
      </c>
      <c r="M83" s="56" t="inlineStr">
        <is>
          <t>NO</t>
        </is>
      </c>
      <c r="P83" s="58" t="inlineStr">
        <is>
          <t>2</t>
        </is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18XXXXXXX8001</t>
        </is>
      </c>
      <c r="J84" s="56" t="inlineStr">
        <is>
          <t>906</t>
        </is>
      </c>
      <c r="K84" s="54" t="inlineStr">
        <is>
          <t>?=:e'(5EGEBm/0=MOMJu78EUWUR}?@</t>
        </is>
      </c>
      <c r="M84" s="56" t="inlineStr">
        <is>
          <t>NO</t>
        </is>
      </c>
      <c r="P84" s="58" t="inlineStr">
        <is>
          <t>2</t>
        </is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18XXXXXXX8001</t>
        </is>
      </c>
      <c r="J85" s="56" t="inlineStr">
        <is>
          <t>906</t>
        </is>
      </c>
      <c r="K85" s="54" t="inlineStr">
        <is>
          <t>&amp;/P"ZU[*.7X*b]c26?`2jek:&gt;Gh:rm</t>
        </is>
      </c>
      <c r="M85" s="56" t="inlineStr">
        <is>
          <t>NO</t>
        </is>
      </c>
      <c r="P85" s="58" t="inlineStr">
        <is>
          <t>2</t>
        </is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inlineStr">
        <is>
          <t>17626.15</t>
        </is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>
        <f>+'MY REP TYT'!I38</f>
        <v/>
      </c>
      <c r="R88">
        <f>+'MY REP TYT'!H53</f>
        <v/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46085.7304050926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1804372769</t>
        </is>
      </c>
      <c r="R8" s="76" t="n">
        <v>152004</v>
      </c>
      <c r="T8" s="76" t="inlineStr">
        <is>
          <t>PILATASIG SANGUIL ALEX JAVIER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inlineStr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inlineStr"/>
      <c r="AG9" s="68" t="n">
        <v>0</v>
      </c>
      <c r="AH9" s="70" t="n">
        <v>0</v>
      </c>
      <c r="AJ9" s="68" t="n">
        <v>967.79</v>
      </c>
      <c r="AK9" s="68" t="n">
        <v>0</v>
      </c>
      <c r="AL9" s="13" t="inlineStr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TYT'!H57</f>
        <v/>
      </c>
      <c r="X10" s="10">
        <f>+'MY REP TYT'!I53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361</v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362</v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363</v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n">
        <v>364</v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365</v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366</v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367</v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368</v>
      </c>
      <c r="G9" t="inlineStr">
        <is>
          <t>MOD. REPUESTOS REP01</t>
        </is>
      </c>
      <c r="H9" t="n">
        <v>0</v>
      </c>
      <c r="I9" t="n">
        <v>13.21</v>
      </c>
      <c r="J9" s="25" t="n">
        <v>-11441.04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368</v>
      </c>
      <c r="G10" t="inlineStr">
        <is>
          <t>MOD. REPUESTOS REP01</t>
        </is>
      </c>
      <c r="H10" t="n">
        <v>0</v>
      </c>
      <c r="I10" t="n">
        <v>583.1799999999999</v>
      </c>
      <c r="J10" s="25" t="n">
        <v>-12024.22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369</v>
      </c>
      <c r="G11" t="inlineStr">
        <is>
          <t>MOD. REPUESTOS REP01</t>
        </is>
      </c>
      <c r="H11" t="n">
        <v>0</v>
      </c>
      <c r="I11" t="n">
        <v>871.15</v>
      </c>
      <c r="J11" s="25" t="n">
        <v>-12895.37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370</v>
      </c>
      <c r="G12" t="inlineStr">
        <is>
          <t>MOD. REPUESTOS REP01</t>
        </is>
      </c>
      <c r="H12" t="n">
        <v>0</v>
      </c>
      <c r="I12" t="n">
        <v>49.54</v>
      </c>
      <c r="J12" s="25" t="n">
        <v>-12944.91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46066</v>
      </c>
      <c r="E13" t="inlineStr">
        <is>
          <t>REPTO</t>
        </is>
      </c>
      <c r="F13" t="n">
        <v>371</v>
      </c>
      <c r="G13" t="inlineStr">
        <is>
          <t>MOD. REPUESTOS REP01</t>
        </is>
      </c>
      <c r="H13" t="n">
        <v>0</v>
      </c>
      <c r="I13" t="n">
        <v>74.34</v>
      </c>
      <c r="J13" s="25" t="n">
        <v>-13019.25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46066</v>
      </c>
      <c r="E14" t="inlineStr">
        <is>
          <t>REPTO</t>
        </is>
      </c>
      <c r="F14" t="n">
        <v>371</v>
      </c>
      <c r="G14" t="inlineStr">
        <is>
          <t>MOD. REPUESTOS REP01</t>
        </is>
      </c>
      <c r="H14" t="n">
        <v>0</v>
      </c>
      <c r="I14" t="n">
        <v>999.09</v>
      </c>
      <c r="J14" s="25" t="n">
        <v>-14018.34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372</v>
      </c>
      <c r="G15" t="inlineStr">
        <is>
          <t>MOD. REPUESTOS REP01</t>
        </is>
      </c>
      <c r="H15" t="n">
        <v>0</v>
      </c>
      <c r="I15" t="n">
        <v>208.44</v>
      </c>
      <c r="J15" s="25" t="n">
        <v>-14226.78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46072</v>
      </c>
      <c r="E16" t="inlineStr">
        <is>
          <t>REPTO</t>
        </is>
      </c>
      <c r="F16" t="n">
        <v>373</v>
      </c>
      <c r="G16" t="inlineStr">
        <is>
          <t>MOD. REPUESTOS REP01</t>
        </is>
      </c>
      <c r="H16" t="n">
        <v>0</v>
      </c>
      <c r="I16" t="n">
        <v>170.62</v>
      </c>
      <c r="J16" s="25" t="n">
        <v>-14397.4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46073</v>
      </c>
      <c r="E17" t="inlineStr">
        <is>
          <t>REPTO</t>
        </is>
      </c>
      <c r="F17" t="n">
        <v>374</v>
      </c>
      <c r="G17" t="inlineStr">
        <is>
          <t>MOD. REPUESTOS REP01</t>
        </is>
      </c>
      <c r="H17" t="n">
        <v>0</v>
      </c>
      <c r="I17" t="n">
        <v>3.48</v>
      </c>
      <c r="J17" s="25" t="n">
        <v>-14400.88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46073</v>
      </c>
      <c r="E18" t="inlineStr">
        <is>
          <t>REPTO</t>
        </is>
      </c>
      <c r="F18" t="n">
        <v>374</v>
      </c>
      <c r="G18" t="inlineStr">
        <is>
          <t>MOD. REPUESTOS REP01</t>
        </is>
      </c>
      <c r="H18" t="n">
        <v>0</v>
      </c>
      <c r="I18" t="n">
        <v>308.63</v>
      </c>
      <c r="J18" s="25" t="n">
        <v>-14709.51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46074</v>
      </c>
      <c r="E19" t="inlineStr">
        <is>
          <t>REPTO</t>
        </is>
      </c>
      <c r="F19" t="n">
        <v>375</v>
      </c>
      <c r="G19" t="inlineStr">
        <is>
          <t>MOD. REPUESTOS REP01</t>
        </is>
      </c>
      <c r="H19" t="n">
        <v>0</v>
      </c>
      <c r="I19" t="n">
        <v>53.76</v>
      </c>
      <c r="J19" s="25" t="n">
        <v>-14763.27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46076</v>
      </c>
      <c r="E20" t="inlineStr">
        <is>
          <t>REPTO</t>
        </is>
      </c>
      <c r="F20" t="n">
        <v>376</v>
      </c>
      <c r="G20" t="inlineStr">
        <is>
          <t>MOD. REPUESTOS REP01</t>
        </is>
      </c>
      <c r="H20" t="n">
        <v>0</v>
      </c>
      <c r="I20" t="n">
        <v>136.34</v>
      </c>
      <c r="J20" s="25" t="n">
        <v>-14899.61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46077</v>
      </c>
      <c r="E21" t="inlineStr">
        <is>
          <t>REPTO</t>
        </is>
      </c>
      <c r="F21" t="n">
        <v>377</v>
      </c>
      <c r="G21" t="inlineStr">
        <is>
          <t>MOD. REPUESTOS REP01</t>
        </is>
      </c>
      <c r="H21" t="n">
        <v>0</v>
      </c>
      <c r="I21" t="n">
        <v>130.43</v>
      </c>
      <c r="J21" s="25" t="n">
        <v>-15030.04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46077</v>
      </c>
      <c r="E22" t="inlineStr">
        <is>
          <t>REPTO</t>
        </is>
      </c>
      <c r="F22" t="n">
        <v>377</v>
      </c>
      <c r="G22" t="inlineStr">
        <is>
          <t>MOD. REPUESTOS REP01</t>
        </is>
      </c>
      <c r="H22" t="n">
        <v>0</v>
      </c>
      <c r="I22" t="n">
        <v>634.17</v>
      </c>
      <c r="J22" s="25" t="n">
        <v>-15664.21</v>
      </c>
    </row>
    <row r="23">
      <c r="A23" t="inlineStr">
        <is>
          <t>04.01.01.01.0001</t>
        </is>
      </c>
      <c r="B23" t="inlineStr">
        <is>
          <t>VTAS RPTOS TOYOTA - CONTADO CON IVA</t>
        </is>
      </c>
      <c r="C23" t="inlineStr">
        <is>
          <t>N</t>
        </is>
      </c>
      <c r="D23" s="24" t="n">
        <v>46078</v>
      </c>
      <c r="E23" t="inlineStr">
        <is>
          <t>REPTO</t>
        </is>
      </c>
      <c r="F23" t="n">
        <v>378</v>
      </c>
      <c r="G23" t="inlineStr">
        <is>
          <t>MOD. REPUESTOS REP01</t>
        </is>
      </c>
      <c r="H23" t="n">
        <v>0</v>
      </c>
      <c r="I23" t="n">
        <v>314.36</v>
      </c>
      <c r="J23" s="25" t="n">
        <v>-15978.57</v>
      </c>
    </row>
    <row r="24">
      <c r="A24" t="inlineStr">
        <is>
          <t>04.01.01.01.0001</t>
        </is>
      </c>
      <c r="B24" t="inlineStr">
        <is>
          <t>VTAS RPTOS TOYOTA - CONTADO CON IVA</t>
        </is>
      </c>
      <c r="C24" t="inlineStr">
        <is>
          <t>N</t>
        </is>
      </c>
      <c r="D24" s="24" t="n">
        <v>46079</v>
      </c>
      <c r="E24" t="inlineStr">
        <is>
          <t>REPTO</t>
        </is>
      </c>
      <c r="F24" t="n">
        <v>379</v>
      </c>
      <c r="G24" t="inlineStr">
        <is>
          <t>MOD. REPUESTOS REP01</t>
        </is>
      </c>
      <c r="H24" t="n">
        <v>0</v>
      </c>
      <c r="I24" t="n">
        <v>15</v>
      </c>
      <c r="J24" s="25" t="n">
        <v>-15993.57</v>
      </c>
    </row>
    <row r="25">
      <c r="A25" t="inlineStr">
        <is>
          <t>04.01.01.01.0001</t>
        </is>
      </c>
      <c r="B25" t="inlineStr">
        <is>
          <t>VTAS RPTOS TOYOTA - CONTADO CON IVA</t>
        </is>
      </c>
      <c r="C25" t="inlineStr">
        <is>
          <t>N</t>
        </is>
      </c>
      <c r="D25" s="24" t="n">
        <v>46079</v>
      </c>
      <c r="E25" t="inlineStr">
        <is>
          <t>REPTO</t>
        </is>
      </c>
      <c r="F25" t="n">
        <v>379</v>
      </c>
      <c r="G25" t="inlineStr">
        <is>
          <t>MOD. REPUESTOS REP01</t>
        </is>
      </c>
      <c r="H25" t="n">
        <v>0</v>
      </c>
      <c r="I25" t="n">
        <v>277.14</v>
      </c>
      <c r="J25" s="25" t="n">
        <v>-16270.71</v>
      </c>
    </row>
    <row r="26">
      <c r="A26" t="inlineStr">
        <is>
          <t>04.01.01.01.0001</t>
        </is>
      </c>
      <c r="B26" t="inlineStr">
        <is>
          <t>VTAS RPTOS TOYOTA - CONTADO CON IVA</t>
        </is>
      </c>
      <c r="C26" t="inlineStr">
        <is>
          <t>N</t>
        </is>
      </c>
      <c r="D26" s="24" t="n">
        <v>46080</v>
      </c>
      <c r="E26" t="inlineStr">
        <is>
          <t>REPTO</t>
        </is>
      </c>
      <c r="F26" t="n">
        <v>380</v>
      </c>
      <c r="G26" t="inlineStr">
        <is>
          <t>MOD. REPUESTOS REP01</t>
        </is>
      </c>
      <c r="H26" t="n">
        <v>0</v>
      </c>
      <c r="I26" t="n">
        <v>157.45</v>
      </c>
      <c r="J26" s="25" t="n">
        <v>-16428.16</v>
      </c>
    </row>
    <row r="27">
      <c r="A27" t="inlineStr">
        <is>
          <t>04.01.01.01.0001</t>
        </is>
      </c>
      <c r="B27" t="inlineStr">
        <is>
          <t>VTAS RPTOS TOYOTA - CONTADO CON IVA</t>
        </is>
      </c>
      <c r="C27" t="inlineStr">
        <is>
          <t>N</t>
        </is>
      </c>
      <c r="D27" s="24" t="n">
        <v>46081</v>
      </c>
      <c r="E27" t="inlineStr">
        <is>
          <t>REPTO</t>
        </is>
      </c>
      <c r="F27" t="n">
        <v>381</v>
      </c>
      <c r="G27" t="inlineStr">
        <is>
          <t>MOD. REPUESTOS REP01</t>
        </is>
      </c>
      <c r="H27" t="n">
        <v>0</v>
      </c>
      <c r="I27" t="n">
        <v>62.37</v>
      </c>
      <c r="J27" s="25" t="n">
        <v>-16490.53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46058</v>
      </c>
      <c r="E28" t="inlineStr">
        <is>
          <t>REPTO</t>
        </is>
      </c>
      <c r="F28" t="n">
        <v>364</v>
      </c>
      <c r="G28" t="inlineStr">
        <is>
          <t>MOD. REPUESTOS REP01</t>
        </is>
      </c>
      <c r="H28" t="n">
        <v>0</v>
      </c>
      <c r="I28" t="n">
        <v>680.6</v>
      </c>
      <c r="J28" s="25" t="n">
        <v>-10804.18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46059</v>
      </c>
      <c r="E29" t="inlineStr">
        <is>
          <t>REPTO</t>
        </is>
      </c>
      <c r="F29" t="n">
        <v>365</v>
      </c>
      <c r="G29" t="inlineStr">
        <is>
          <t>MOD. REPUESTOS REP01</t>
        </is>
      </c>
      <c r="H29" t="n">
        <v>0</v>
      </c>
      <c r="I29" t="n">
        <v>204.63</v>
      </c>
      <c r="J29" s="25" t="n">
        <v>-11008.81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46063</v>
      </c>
      <c r="E30" t="inlineStr">
        <is>
          <t>REPTO</t>
        </is>
      </c>
      <c r="F30" t="n">
        <v>368</v>
      </c>
      <c r="G30" t="inlineStr">
        <is>
          <t>MOD. REPUESTOS REP01</t>
        </is>
      </c>
      <c r="H30" t="n">
        <v>0</v>
      </c>
      <c r="I30" t="n">
        <v>806.11</v>
      </c>
      <c r="J30" s="25" t="n">
        <v>-11814.92</v>
      </c>
    </row>
    <row r="31">
      <c r="A31" t="inlineStr">
        <is>
          <t>04.01.01.01.0003</t>
        </is>
      </c>
      <c r="B31" t="inlineStr">
        <is>
          <t>VTAS RPTOS TOYOTA - CREDITO CON IVA</t>
        </is>
      </c>
      <c r="C31" t="inlineStr">
        <is>
          <t>N</t>
        </is>
      </c>
      <c r="D31" s="24" t="n">
        <v>46071</v>
      </c>
      <c r="E31" t="inlineStr">
        <is>
          <t>REPTO</t>
        </is>
      </c>
      <c r="F31" t="n">
        <v>372</v>
      </c>
      <c r="G31" t="inlineStr">
        <is>
          <t>MOD. REPUESTOS REP01</t>
        </is>
      </c>
      <c r="H31" t="n">
        <v>0</v>
      </c>
      <c r="I31" t="n">
        <v>902.3</v>
      </c>
      <c r="J31" s="25" t="n">
        <v>-12717.22</v>
      </c>
    </row>
    <row r="32">
      <c r="A32" t="inlineStr">
        <is>
          <t>04.01.01.01.0003</t>
        </is>
      </c>
      <c r="B32" t="inlineStr">
        <is>
          <t>VTAS RPTOS TOYOTA - CREDITO CON IVA</t>
        </is>
      </c>
      <c r="C32" t="inlineStr">
        <is>
          <t>N</t>
        </is>
      </c>
      <c r="D32" s="24" t="n">
        <v>46071</v>
      </c>
      <c r="E32" t="inlineStr">
        <is>
          <t>REPTO</t>
        </is>
      </c>
      <c r="F32" t="n">
        <v>372</v>
      </c>
      <c r="G32" t="inlineStr">
        <is>
          <t>MOD. REPUESTOS REP01</t>
        </is>
      </c>
      <c r="H32" t="n">
        <v>0</v>
      </c>
      <c r="I32" t="n">
        <v>885.86</v>
      </c>
      <c r="J32" s="25" t="n">
        <v>-13603.08</v>
      </c>
    </row>
    <row r="33">
      <c r="A33" t="inlineStr">
        <is>
          <t>04.01.01.01.0003</t>
        </is>
      </c>
      <c r="B33" t="inlineStr">
        <is>
          <t>VTAS RPTOS TOYOTA - CREDITO CON IVA</t>
        </is>
      </c>
      <c r="C33" t="inlineStr">
        <is>
          <t>N</t>
        </is>
      </c>
      <c r="D33" s="24" t="n">
        <v>46076</v>
      </c>
      <c r="E33" t="inlineStr">
        <is>
          <t>REPTO</t>
        </is>
      </c>
      <c r="F33" t="n">
        <v>376</v>
      </c>
      <c r="G33" t="inlineStr">
        <is>
          <t>MOD. REPUESTOS REP01</t>
        </is>
      </c>
      <c r="H33" t="n">
        <v>0</v>
      </c>
      <c r="I33" t="n">
        <v>220</v>
      </c>
      <c r="J33" s="25" t="n">
        <v>-13823.08</v>
      </c>
    </row>
    <row r="34">
      <c r="A34" t="inlineStr">
        <is>
          <t>04.01.01.01.0003</t>
        </is>
      </c>
      <c r="B34" t="inlineStr">
        <is>
          <t>VTAS RPTOS TOYOTA - CREDITO CON IVA</t>
        </is>
      </c>
      <c r="C34" t="inlineStr">
        <is>
          <t>N</t>
        </is>
      </c>
      <c r="D34" s="24" t="n">
        <v>46077</v>
      </c>
      <c r="E34" t="inlineStr">
        <is>
          <t>REPTO</t>
        </is>
      </c>
      <c r="F34" t="n">
        <v>377</v>
      </c>
      <c r="G34" t="inlineStr">
        <is>
          <t>MOD. REPUESTOS REP01</t>
        </is>
      </c>
      <c r="H34" t="n">
        <v>0</v>
      </c>
      <c r="I34" t="n">
        <v>106.8</v>
      </c>
      <c r="J34" s="25" t="n">
        <v>-13929.88</v>
      </c>
    </row>
    <row r="35">
      <c r="A35" t="inlineStr">
        <is>
          <t>04.01.01.01.0003</t>
        </is>
      </c>
      <c r="B35" t="inlineStr">
        <is>
          <t>VTAS RPTOS TOYOTA - CREDITO CON IVA</t>
        </is>
      </c>
      <c r="C35" t="inlineStr">
        <is>
          <t>N</t>
        </is>
      </c>
      <c r="D35" s="24" t="n">
        <v>46078</v>
      </c>
      <c r="E35" t="inlineStr">
        <is>
          <t>REPTO</t>
        </is>
      </c>
      <c r="F35" t="n">
        <v>378</v>
      </c>
      <c r="G35" t="inlineStr">
        <is>
          <t>MOD. REPUESTOS REP01</t>
        </is>
      </c>
      <c r="H35" t="n">
        <v>0</v>
      </c>
      <c r="I35" s="25" t="n">
        <v>1556.62</v>
      </c>
      <c r="J35" s="25" t="n">
        <v>-15486.5</v>
      </c>
    </row>
    <row r="36">
      <c r="A36" t="inlineStr">
        <is>
          <t>04.01.01.01.0003</t>
        </is>
      </c>
      <c r="B36" t="inlineStr">
        <is>
          <t>VTAS RPTOS TOYOTA - CREDITO CON IVA</t>
        </is>
      </c>
      <c r="C36" t="inlineStr">
        <is>
          <t>N</t>
        </is>
      </c>
      <c r="D36" s="24" t="n">
        <v>46078</v>
      </c>
      <c r="E36" t="inlineStr">
        <is>
          <t>REPTO</t>
        </is>
      </c>
      <c r="F36" t="n">
        <v>378</v>
      </c>
      <c r="G36" t="inlineStr">
        <is>
          <t>MOD. REPUESTOS REP01</t>
        </is>
      </c>
      <c r="H36" t="n">
        <v>0</v>
      </c>
      <c r="I36" t="n">
        <v>446.67</v>
      </c>
      <c r="J36" s="25" t="n">
        <v>-15933.17</v>
      </c>
    </row>
    <row r="37">
      <c r="A37" t="inlineStr">
        <is>
          <t>04.01.01.01.0003</t>
        </is>
      </c>
      <c r="B37" t="inlineStr">
        <is>
          <t>VTAS RPTOS TOYOTA - CREDITO CON IVA</t>
        </is>
      </c>
      <c r="C37" t="inlineStr">
        <is>
          <t>N</t>
        </is>
      </c>
      <c r="D37" s="24" t="n">
        <v>46080</v>
      </c>
      <c r="E37" t="inlineStr">
        <is>
          <t>REPTO</t>
        </is>
      </c>
      <c r="F37" t="n">
        <v>380</v>
      </c>
      <c r="G37" t="inlineStr">
        <is>
          <t>MOD. REPUESTOS REP01</t>
        </is>
      </c>
      <c r="H37" t="n">
        <v>0</v>
      </c>
      <c r="I37" s="25" t="n">
        <v>4347.77</v>
      </c>
      <c r="J37" s="25" t="n">
        <v>-20280.94</v>
      </c>
    </row>
    <row r="38">
      <c r="D38" s="24" t="n"/>
      <c r="H38">
        <f>SUM(H2:H37)</f>
        <v/>
      </c>
      <c r="I38" s="31">
        <f>SUM(I2:I37)</f>
        <v/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n">
        <v>363</v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n">
        <v>371</v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n">
        <v>372</v>
      </c>
      <c r="G44" t="inlineStr">
        <is>
          <t>MOD. REPUESTOS REP01</t>
        </is>
      </c>
      <c r="H44" t="n">
        <v>30.16</v>
      </c>
      <c r="I44" t="n">
        <v>0</v>
      </c>
      <c r="J44" t="n">
        <v>212.24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n">
        <v>372</v>
      </c>
      <c r="G45" t="inlineStr">
        <is>
          <t>MOD. REPUESTOS REP01</t>
        </is>
      </c>
      <c r="H45" t="n">
        <v>0</v>
      </c>
      <c r="I45" t="n">
        <v>44.3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n">
        <v>373</v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n">
        <v>376</v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n">
        <v>377</v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n">
        <v>379</v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n">
        <v>381</v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n">
        <v>372</v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n">
        <v>378</v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>
        <f>SUM(H42:H52)</f>
        <v/>
      </c>
      <c r="I53" s="31">
        <f>SUM(I42:I52)</f>
        <v/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n">
        <v>372</v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18XXXXXXX9</t>
        </is>
      </c>
      <c r="J11" s="92" t="inlineStr">
        <is>
          <t>137782</t>
        </is>
      </c>
      <c r="K11" s="76" t="inlineStr">
        <is>
          <t>4$Yl9,=(&lt;,atA4E0D4i|I&lt;M8L&lt;</t>
        </is>
      </c>
      <c r="M11" s="92" t="inlineStr">
        <is>
          <t>NO</t>
        </is>
      </c>
      <c r="P11" s="94" t="inlineStr">
        <is>
          <t>1</t>
        </is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18XXXXXXX6</t>
        </is>
      </c>
      <c r="J12" s="92" t="inlineStr">
        <is>
          <t>151990</t>
        </is>
      </c>
      <c r="K12" s="76" t="inlineStr">
        <is>
          <t>14mPoKe=9&lt;uXwSmEAD}` [uMIL&amp;h(c</t>
        </is>
      </c>
      <c r="M12" s="92" t="inlineStr">
        <is>
          <t>NO</t>
        </is>
      </c>
      <c r="P12" s="94" t="inlineStr">
        <is>
          <t>1</t>
        </is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08XXXXXXX7001</t>
        </is>
      </c>
      <c r="J13" s="92" t="inlineStr">
        <is>
          <t>152015</t>
        </is>
      </c>
      <c r="K13" s="76" t="inlineStr">
        <is>
          <t>H^U5`,?@Pf]=h4GHXneEp&lt;OP`vm</t>
        </is>
      </c>
      <c r="M13" s="92" t="inlineStr">
        <is>
          <t>NO</t>
        </is>
      </c>
      <c r="P13" s="94" t="inlineStr">
        <is>
          <t>1</t>
        </is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11XXXXXXX2</t>
        </is>
      </c>
      <c r="J14" s="92" t="inlineStr">
        <is>
          <t>152022</t>
        </is>
      </c>
      <c r="K14" s="76" t="inlineStr">
        <is>
          <t>(;[h%lTY0Ccp-t\a8Kkx5|di@Ss!=</t>
        </is>
      </c>
      <c r="M14" s="92" t="inlineStr">
        <is>
          <t>NO</t>
        </is>
      </c>
      <c r="P14" s="94" t="inlineStr">
        <is>
          <t>1</t>
        </is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18XXXXXXX0</t>
        </is>
      </c>
      <c r="J15" s="92" t="inlineStr">
        <is>
          <t>152044</t>
        </is>
      </c>
      <c r="K15" s="76" t="inlineStr">
        <is>
          <t>3~, ]`av;'4(ehi~C/&lt;0mpq'K7D8ux</t>
        </is>
      </c>
      <c r="M15" s="92" t="inlineStr">
        <is>
          <t>NO</t>
        </is>
      </c>
      <c r="P15" s="94" t="inlineStr">
        <is>
          <t>2</t>
        </is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18XXXXXXX7</t>
        </is>
      </c>
      <c r="J16" s="92" t="inlineStr">
        <is>
          <t>141696</t>
        </is>
      </c>
      <c r="K16" s="76" t="inlineStr">
        <is>
          <t>.DUAaOC]6L]IiWKe&gt;TeQq_SmF\mYyg</t>
        </is>
      </c>
      <c r="M16" s="92" t="inlineStr">
        <is>
          <t>NO</t>
        </is>
      </c>
      <c r="P16" s="94" t="inlineStr">
        <is>
          <t>1</t>
        </is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18XXXXXXX8001</t>
        </is>
      </c>
      <c r="J17" s="92" t="inlineStr">
        <is>
          <t>6284</t>
        </is>
      </c>
      <c r="K17" s="76" t="inlineStr">
        <is>
          <t>K1q#&lt;*8%S9y+D2@-[A"3L:H5cI*;TB</t>
        </is>
      </c>
      <c r="M17" s="92" t="inlineStr">
        <is>
          <t>NO</t>
        </is>
      </c>
      <c r="P17" s="94" t="inlineStr">
        <is>
          <t>1</t>
        </is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16XXXXXXX6</t>
        </is>
      </c>
      <c r="J18" s="92" t="inlineStr">
        <is>
          <t>128410</t>
        </is>
      </c>
      <c r="K18" s="76" t="inlineStr">
        <is>
          <t>*NyNXU8(2V"V`]@0:^*^heH8Bf</t>
        </is>
      </c>
      <c r="M18" s="92" t="inlineStr">
        <is>
          <t>NO</t>
        </is>
      </c>
      <c r="P18" s="94" t="inlineStr">
        <is>
          <t>1</t>
        </is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18XXXXXXX9</t>
        </is>
      </c>
      <c r="J19" s="92" t="inlineStr">
        <is>
          <t>129316</t>
        </is>
      </c>
      <c r="K19" s="76" t="inlineStr">
        <is>
          <t>']jU,'aN/er]4/iV7mze&lt;7q^?u#mD?</t>
        </is>
      </c>
      <c r="M19" s="92" t="inlineStr">
        <is>
          <t>NO</t>
        </is>
      </c>
      <c r="P19" s="94" t="inlineStr">
        <is>
          <t>2</t>
        </is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03XXXXXXX5001</t>
        </is>
      </c>
      <c r="J20" s="92" t="inlineStr">
        <is>
          <t>136649</t>
        </is>
      </c>
      <c r="K20" s="76" t="inlineStr">
        <is>
          <t>o:!s.#@6wB){6+H&gt; J1$&gt;3PF(R</t>
        </is>
      </c>
      <c r="M20" s="92" t="inlineStr">
        <is>
          <t>NO</t>
        </is>
      </c>
      <c r="P20" s="94" t="inlineStr">
        <is>
          <t>1</t>
        </is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18XXXXXXX4001</t>
        </is>
      </c>
      <c r="J21" s="92" t="inlineStr">
        <is>
          <t>53088</t>
        </is>
      </c>
      <c r="K21" s="76" t="inlineStr">
        <is>
          <t>qVP{,xm.y^X$4!u6"f`,&lt;)}&gt;*n</t>
        </is>
      </c>
      <c r="M21" s="92" t="inlineStr">
        <is>
          <t>NO</t>
        </is>
      </c>
      <c r="P21" s="94" t="inlineStr">
        <is>
          <t>3</t>
        </is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01XXXXXXX6001</t>
        </is>
      </c>
      <c r="J22" s="92" t="inlineStr">
        <is>
          <t>130044</t>
        </is>
      </c>
      <c r="K22" s="76" t="inlineStr">
        <is>
          <t>&amp;(#d#$^f.0+l+,fn683t34nv&gt;@;|;&lt;</t>
        </is>
      </c>
      <c r="M22" s="92" t="inlineStr">
        <is>
          <t>NO</t>
        </is>
      </c>
      <c r="P22" s="94" t="inlineStr">
        <is>
          <t>2</t>
        </is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03XXXXXXX5001</t>
        </is>
      </c>
      <c r="J23" s="92" t="inlineStr">
        <is>
          <t>136649</t>
        </is>
      </c>
      <c r="K23" s="76" t="inlineStr">
        <is>
          <t>2[=RT%R4:cEZ\-Z&lt;BkMbd5bDJs</t>
        </is>
      </c>
      <c r="M23" s="92" t="inlineStr">
        <is>
          <t>NO</t>
        </is>
      </c>
      <c r="P23" s="94" t="inlineStr">
        <is>
          <t>4</t>
        </is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18XXXXXXX5001</t>
        </is>
      </c>
      <c r="J24" s="92" t="inlineStr">
        <is>
          <t>56418</t>
        </is>
      </c>
      <c r="K24" s="76" t="inlineStr">
        <is>
          <t>wPu7FEH9 X}?NMPA(`&amp;GVUXI0h.O^]</t>
        </is>
      </c>
      <c r="M24" s="92" t="inlineStr">
        <is>
          <t>NO</t>
        </is>
      </c>
      <c r="P24" s="94" t="inlineStr">
        <is>
          <t>1</t>
        </is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17XXXXXXX7001</t>
        </is>
      </c>
      <c r="J25" s="92" t="inlineStr">
        <is>
          <t>125687</t>
        </is>
      </c>
      <c r="K25" s="76" t="inlineStr">
        <is>
          <t>W'1-o.32_/95w6;:g7A= &gt;CBo?IE(F</t>
        </is>
      </c>
      <c r="M25" s="92" t="inlineStr">
        <is>
          <t>NO</t>
        </is>
      </c>
      <c r="P25" s="94" t="inlineStr">
        <is>
          <t>1</t>
        </is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03XXXXXXX5001</t>
        </is>
      </c>
      <c r="J26" s="92" t="inlineStr">
        <is>
          <t>136649</t>
        </is>
      </c>
      <c r="K26" s="76" t="inlineStr">
        <is>
          <t>&amp;!$VP,@D.),^X4HL614f`&lt;PT&gt;9</t>
        </is>
      </c>
      <c r="M26" s="92" t="inlineStr">
        <is>
          <t>NO</t>
        </is>
      </c>
      <c r="P26" s="94" t="inlineStr">
        <is>
          <t>2</t>
        </is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18XXXXXXX8001</t>
        </is>
      </c>
      <c r="J27" s="92" t="inlineStr">
        <is>
          <t>906</t>
        </is>
      </c>
      <c r="K27" s="76" t="inlineStr">
        <is>
          <t>,t`dkm4C4|hlsu&lt;K&lt;%pt{}DSD-x|$&amp;</t>
        </is>
      </c>
      <c r="M27" s="92" t="inlineStr">
        <is>
          <t>NO</t>
        </is>
      </c>
      <c r="P27" s="94" t="inlineStr">
        <is>
          <t>8</t>
        </is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18XXXXXXX8001</t>
        </is>
      </c>
      <c r="J28" s="92" t="inlineStr">
        <is>
          <t>906</t>
        </is>
      </c>
      <c r="K28" s="76" t="inlineStr">
        <is>
          <t>wC&gt;x51o$ KF!=9w,(SN)EA 40[V1MI</t>
        </is>
      </c>
      <c r="M28" s="92" t="inlineStr">
        <is>
          <t>NO</t>
        </is>
      </c>
      <c r="P28" s="94" t="inlineStr">
        <is>
          <t>3</t>
        </is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inlineStr">
        <is>
          <t>15666.44</t>
        </is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>
        <f>+'MY REP PEUG'!I19</f>
        <v/>
      </c>
      <c r="R31" s="10">
        <f>+'MY REP PEUG'!H25</f>
        <v/>
      </c>
      <c r="Y31" s="37">
        <f t="array" ref="Y31:Z31">+X30-'NC REP PEUG'!AD9:AE9</f>
        <v/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46085.74649305556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1801079169</t>
        </is>
      </c>
      <c r="R8" s="76" t="n">
        <v>137782</v>
      </c>
      <c r="T8" s="76" t="inlineStr">
        <is>
          <t>PAREDES ARCOS MARCO ANTONIO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inlineStr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inlineStr"/>
      <c r="AG9" s="68" t="n">
        <v>0</v>
      </c>
      <c r="AH9" s="70" t="n">
        <v>0</v>
      </c>
      <c r="AJ9" s="68" t="n">
        <v>23</v>
      </c>
      <c r="AK9" s="68" t="n">
        <v>0</v>
      </c>
      <c r="AL9" s="13" t="inlineStr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PEUG'!H28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n">
        <v>403</v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n">
        <v>405</v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n">
        <v>407</v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n">
        <v>409</v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n">
        <v>411</v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n">
        <v>413</v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n">
        <v>414</v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404</v>
      </c>
      <c r="G9" t="inlineStr">
        <is>
          <t>MOD. REPUESTOS REP06</t>
        </is>
      </c>
      <c r="H9" t="n">
        <v>0</v>
      </c>
      <c r="I9" s="25" t="n">
        <v>1486.1</v>
      </c>
      <c r="J9" s="25" t="n">
        <v>-1576.62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404</v>
      </c>
      <c r="G10" t="inlineStr">
        <is>
          <t>MOD. REPUESTOS REP06</t>
        </is>
      </c>
      <c r="H10" t="n">
        <v>0</v>
      </c>
      <c r="I10" s="25" t="n">
        <v>1878.32</v>
      </c>
      <c r="J10" s="25" t="n">
        <v>-3454.94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n">
        <v>406</v>
      </c>
      <c r="G11" t="inlineStr">
        <is>
          <t>MOD. REPUESTOS REP06</t>
        </is>
      </c>
      <c r="H11" t="n">
        <v>0</v>
      </c>
      <c r="I11" t="n">
        <v>286.96</v>
      </c>
      <c r="J11" s="25" t="n">
        <v>-3741.9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406</v>
      </c>
      <c r="G12" t="inlineStr">
        <is>
          <t>MOD. REPUESTOS REP06</t>
        </is>
      </c>
      <c r="H12" t="n">
        <v>0</v>
      </c>
      <c r="I12" t="n">
        <v>253.5</v>
      </c>
      <c r="J12" s="25" t="n">
        <v>-3995.4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n">
        <v>408</v>
      </c>
      <c r="G13" t="inlineStr">
        <is>
          <t>MOD. REPUESTOS REP06</t>
        </is>
      </c>
      <c r="H13" t="n">
        <v>0</v>
      </c>
      <c r="I13" t="n">
        <v>242.37</v>
      </c>
      <c r="J13" s="25" t="n">
        <v>-4237.77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408</v>
      </c>
      <c r="G14" t="inlineStr">
        <is>
          <t>MOD. REPUESTOS REP06</t>
        </is>
      </c>
      <c r="H14" t="n">
        <v>0</v>
      </c>
      <c r="I14" s="25" t="n">
        <v>1408.74</v>
      </c>
      <c r="J14" s="25" t="n">
        <v>-5646.51</v>
      </c>
    </row>
    <row r="15">
      <c r="A15" t="inlineStr">
        <is>
          <t>04.01.01.03.0003</t>
        </is>
      </c>
      <c r="B15" t="inlineStr">
        <is>
          <t>VTAS RPTOS PEUGEOT - CREDITO CON IVA</t>
        </is>
      </c>
      <c r="C15" t="inlineStr">
        <is>
          <t>N</t>
        </is>
      </c>
      <c r="D15" s="24" t="n">
        <v>46076</v>
      </c>
      <c r="E15" t="inlineStr">
        <is>
          <t>REPTO</t>
        </is>
      </c>
      <c r="F15" t="n">
        <v>410</v>
      </c>
      <c r="G15" t="inlineStr">
        <is>
          <t>MOD. REPUESTOS REP06</t>
        </is>
      </c>
      <c r="H15" t="n">
        <v>0</v>
      </c>
      <c r="I15" t="n">
        <v>47</v>
      </c>
      <c r="J15" s="25" t="n">
        <v>-5693.51</v>
      </c>
    </row>
    <row r="16">
      <c r="A16" t="inlineStr">
        <is>
          <t>04.01.01.03.0003</t>
        </is>
      </c>
      <c r="B16" t="inlineStr">
        <is>
          <t>VTAS RPTOS PEUGEOT - CREDITO CON IVA</t>
        </is>
      </c>
      <c r="C16" t="inlineStr">
        <is>
          <t>N</t>
        </is>
      </c>
      <c r="D16" s="24" t="n">
        <v>46078</v>
      </c>
      <c r="E16" t="inlineStr">
        <is>
          <t>REPTO</t>
        </is>
      </c>
      <c r="F16" t="n">
        <v>412</v>
      </c>
      <c r="G16" t="inlineStr">
        <is>
          <t>MOD. REPUESTOS REP06</t>
        </is>
      </c>
      <c r="H16" t="n">
        <v>0</v>
      </c>
      <c r="I16" s="25" t="n">
        <v>1408.74</v>
      </c>
      <c r="J16" s="25" t="n">
        <v>-7102.25</v>
      </c>
    </row>
    <row r="17">
      <c r="A17" t="inlineStr">
        <is>
          <t>04.01.01.03.0003</t>
        </is>
      </c>
      <c r="B17" t="inlineStr">
        <is>
          <t>VTAS RPTOS PEUGEOT - CREDITO CON IVA</t>
        </is>
      </c>
      <c r="C17" t="inlineStr">
        <is>
          <t>N</t>
        </is>
      </c>
      <c r="D17" s="24" t="n">
        <v>46080</v>
      </c>
      <c r="E17" t="inlineStr">
        <is>
          <t>REPTO</t>
        </is>
      </c>
      <c r="F17" t="n">
        <v>414</v>
      </c>
      <c r="G17" t="inlineStr">
        <is>
          <t>MOD. REPUESTOS REP06</t>
        </is>
      </c>
      <c r="H17" t="n">
        <v>0</v>
      </c>
      <c r="I17" s="25" t="n">
        <v>6056.45</v>
      </c>
      <c r="J17" s="25" t="n">
        <v>-13158.7</v>
      </c>
    </row>
    <row r="18">
      <c r="A18" t="inlineStr">
        <is>
          <t>04.01.01.03.0003</t>
        </is>
      </c>
      <c r="B18" t="inlineStr">
        <is>
          <t>VTAS RPTOS PEUGEOT - CREDITO CON IVA</t>
        </is>
      </c>
      <c r="C18" t="inlineStr">
        <is>
          <t>N</t>
        </is>
      </c>
      <c r="D18" s="24" t="n">
        <v>46080</v>
      </c>
      <c r="E18" t="inlineStr">
        <is>
          <t>REPTO</t>
        </is>
      </c>
      <c r="F18" t="n">
        <v>414</v>
      </c>
      <c r="G18" t="inlineStr">
        <is>
          <t>MOD. REPUESTOS REP06</t>
        </is>
      </c>
      <c r="H18" t="n">
        <v>0</v>
      </c>
      <c r="I18" t="n">
        <v>93.26000000000001</v>
      </c>
      <c r="J18" s="25" t="n">
        <v>-13251.96</v>
      </c>
    </row>
    <row r="19">
      <c r="D19" s="24" t="n"/>
      <c r="H19">
        <f>SUM(H2:H18)</f>
        <v/>
      </c>
      <c r="I19" s="31">
        <f>SUM(I2:I18)</f>
        <v/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n">
        <v>405</v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n">
        <v>413</v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n">
        <v>404</v>
      </c>
      <c r="G23" t="inlineStr">
        <is>
          <t>MOD. REPUESTOS REP06</t>
        </is>
      </c>
      <c r="H23" t="n">
        <v>93.92</v>
      </c>
      <c r="I23" t="n">
        <v>0</v>
      </c>
      <c r="J23" t="n">
        <v>93.92</v>
      </c>
    </row>
    <row r="24">
      <c r="A24" t="inlineStr">
        <is>
          <t>04.01.01.03.0007</t>
        </is>
      </c>
      <c r="B24" t="inlineStr">
        <is>
          <t>DESC VTAS RPTOS PEUGEOT CREDITO CON IVA</t>
        </is>
      </c>
      <c r="C24" t="inlineStr">
        <is>
          <t>N</t>
        </is>
      </c>
      <c r="D24" s="24" t="n">
        <v>46063</v>
      </c>
      <c r="E24" t="inlineStr">
        <is>
          <t>REPTO</t>
        </is>
      </c>
      <c r="F24" t="n">
        <v>404</v>
      </c>
      <c r="G24" t="inlineStr">
        <is>
          <t>MOD. REPUESTOS REP06</t>
        </is>
      </c>
      <c r="H24" t="n">
        <v>115.5</v>
      </c>
      <c r="I24" t="n">
        <v>0</v>
      </c>
      <c r="J24" t="n">
        <v>209.42</v>
      </c>
    </row>
    <row r="25">
      <c r="D25" s="24" t="n"/>
      <c r="H25" s="31">
        <f>SUM(H21:H24)</f>
        <v/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n">
        <v>402</v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02XXXXXXX5</t>
        </is>
      </c>
      <c r="J11" s="92" t="inlineStr">
        <is>
          <t>110121</t>
        </is>
      </c>
      <c r="K11" s="76" t="inlineStr">
        <is>
          <t>HkW];+64Ps_eC3&gt;&lt;X{gmK;FD`$ouSC</t>
        </is>
      </c>
      <c r="M11" s="92" t="inlineStr">
        <is>
          <t>NO</t>
        </is>
      </c>
      <c r="P11" s="94" t="inlineStr">
        <is>
          <t>1</t>
        </is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16XXXXXXX2</t>
        </is>
      </c>
      <c r="J12" s="92" t="inlineStr">
        <is>
          <t>151382</t>
        </is>
      </c>
      <c r="K12" s="76" t="inlineStr">
        <is>
          <t>qI6zBBeByQ&gt;#JJmJ"YF+RRuR*</t>
        </is>
      </c>
      <c r="M12" s="92" t="inlineStr">
        <is>
          <t>NO</t>
        </is>
      </c>
      <c r="P12" s="94" t="inlineStr">
        <is>
          <t>1</t>
        </is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05XXXXXXX6001</t>
        </is>
      </c>
      <c r="J13" s="92" t="inlineStr">
        <is>
          <t>151304</t>
        </is>
      </c>
      <c r="K13" s="76" t="inlineStr">
        <is>
          <t>B*[yk=ccJ2c"sEkkR:k*{MssZBs2$U</t>
        </is>
      </c>
      <c r="M13" s="92" t="inlineStr">
        <is>
          <t>NO</t>
        </is>
      </c>
      <c r="P13" s="94" t="inlineStr">
        <is>
          <t>1</t>
        </is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05XXXXXXX2</t>
        </is>
      </c>
      <c r="J14" s="92" t="inlineStr">
        <is>
          <t>118812</t>
        </is>
      </c>
      <c r="K14" s="76" t="inlineStr">
        <is>
          <t>/L,OTNIO7T4W\VQW?\&lt;_d^Y_GdDg</t>
        </is>
      </c>
      <c r="M14" s="92" t="inlineStr">
        <is>
          <t>NO</t>
        </is>
      </c>
      <c r="P14" s="94" t="inlineStr">
        <is>
          <t>1</t>
        </is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14XXXXXXX3001</t>
        </is>
      </c>
      <c r="J15" s="92" t="inlineStr">
        <is>
          <t>132886</t>
        </is>
      </c>
      <c r="K15" s="76" t="inlineStr">
        <is>
          <t>,;Ff`l7E4CNnht?M&lt;KVvp|GUDS^</t>
        </is>
      </c>
      <c r="M15" s="92" t="inlineStr">
        <is>
          <t>NO</t>
        </is>
      </c>
      <c r="P15" s="94" t="inlineStr">
        <is>
          <t>4</t>
        </is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17XXXXXXX0</t>
        </is>
      </c>
      <c r="J16" s="92" t="inlineStr">
        <is>
          <t>119817</t>
        </is>
      </c>
      <c r="K16" s="76" t="inlineStr">
        <is>
          <t>7$J1]?eX?,R9eGm`G4ZAmOuhO&lt;bI</t>
        </is>
      </c>
      <c r="M16" s="92" t="inlineStr">
        <is>
          <t>NO</t>
        </is>
      </c>
      <c r="P16" s="94" t="inlineStr">
        <is>
          <t>2</t>
        </is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05XXXXXXX7</t>
        </is>
      </c>
      <c r="J17" s="92" t="inlineStr">
        <is>
          <t>137438</t>
        </is>
      </c>
      <c r="K17" s="76" t="inlineStr">
        <is>
          <t>[5L(V[dFc=T0^clNkE\8fktVsMd@ns</t>
        </is>
      </c>
      <c r="M17" s="92" t="inlineStr">
        <is>
          <t>NO</t>
        </is>
      </c>
      <c r="P17" s="94" t="inlineStr">
        <is>
          <t>1</t>
        </is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17XXXXXXX3001</t>
        </is>
      </c>
      <c r="J18" s="92" t="inlineStr">
        <is>
          <t>142594</t>
        </is>
      </c>
      <c r="K18" s="76" t="inlineStr">
        <is>
          <t>68~]&gt;/BW&gt;@'eF7J_FH/mN?RgNP7uVG</t>
        </is>
      </c>
      <c r="M18" s="92" t="inlineStr">
        <is>
          <t>NO</t>
        </is>
      </c>
      <c r="P18" s="94" t="inlineStr">
        <is>
          <t>2</t>
        </is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18XXXXXXX1001</t>
        </is>
      </c>
      <c r="J19" s="92" t="inlineStr">
        <is>
          <t>152057</t>
        </is>
      </c>
      <c r="K19" s="76" t="inlineStr">
        <is>
          <t>Pd1F%oNgXl9N-wVo`tAV5 ^wh|I^=(</t>
        </is>
      </c>
      <c r="M19" s="92" t="inlineStr">
        <is>
          <t>NO</t>
        </is>
      </c>
      <c r="P19" s="94" t="inlineStr">
        <is>
          <t>1</t>
        </is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10XXXXXXX3001</t>
        </is>
      </c>
      <c r="J20" s="92" t="inlineStr">
        <is>
          <t>60115</t>
        </is>
      </c>
      <c r="K20" s="76" t="inlineStr">
        <is>
          <t>LrC#QGTsTzK+YO\{\#S3aWd$d+[;i_</t>
        </is>
      </c>
      <c r="M20" s="92" t="inlineStr">
        <is>
          <t>NO</t>
        </is>
      </c>
      <c r="P20" s="94" t="inlineStr">
        <is>
          <t>1</t>
        </is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inlineStr">
        <is>
          <t>1785.46</t>
        </is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>
        <f>+'MY REP CHGN'!J8</f>
        <v/>
      </c>
      <c r="S23" s="10">
        <f>+'MY REP CHGN'!I15</f>
        <v/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n">
        <v>415</v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n">
        <v>416</v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n">
        <v>417</v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n">
        <v>418</v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n">
        <v>419</v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n">
        <v>418</v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J8" s="34">
        <f>SUM(J2:J7)</f>
        <v/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n">
        <v>415</v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n">
        <v>416</v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n">
        <v>417</v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>
        <f>SUM(I12:I14)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17XXXXXXX1</t>
        </is>
      </c>
      <c r="J11" s="92" t="inlineStr">
        <is>
          <t>151799</t>
        </is>
      </c>
      <c r="K11" s="76" t="inlineStr">
        <is>
          <t>$TI_?g`c,\QgGohk4dYoOwps&lt;lawW</t>
        </is>
      </c>
      <c r="M11" s="92" t="inlineStr">
        <is>
          <t>NO</t>
        </is>
      </c>
      <c r="P11" s="94" t="inlineStr">
        <is>
          <t>2</t>
        </is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18XXXXXXX7</t>
        </is>
      </c>
      <c r="J12" s="92" t="inlineStr">
        <is>
          <t>151797</t>
        </is>
      </c>
      <c r="K12" s="76" t="inlineStr">
        <is>
          <t>s,5dIc['{4=lQkc/$&lt;EtYsk7,DM</t>
        </is>
      </c>
      <c r="M12" s="92" t="inlineStr">
        <is>
          <t>NO</t>
        </is>
      </c>
      <c r="P12" s="94" t="inlineStr">
        <is>
          <t>1</t>
        </is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17XXXXXXX2</t>
        </is>
      </c>
      <c r="J13" s="92" t="inlineStr">
        <is>
          <t>151449</t>
        </is>
      </c>
      <c r="K13" s="76" t="inlineStr">
        <is>
          <t>v0a'f&amp;/:~8i/n.7B'@q7v6?J</t>
        </is>
      </c>
      <c r="M13" s="92" t="inlineStr">
        <is>
          <t>NO</t>
        </is>
      </c>
      <c r="P13" s="94" t="inlineStr">
        <is>
          <t>1</t>
        </is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05XXXXXXX0001</t>
        </is>
      </c>
      <c r="J14" s="92" t="inlineStr">
        <is>
          <t>134734</t>
        </is>
      </c>
      <c r="K14" s="76" t="inlineStr">
        <is>
          <t>G%D;eZZ9O-LCmbbAW5TKujjI_=\S}r</t>
        </is>
      </c>
      <c r="M14" s="92" t="inlineStr">
        <is>
          <t>NO</t>
        </is>
      </c>
      <c r="P14" s="94" t="inlineStr">
        <is>
          <t>1</t>
        </is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10XXXXXXX3001</t>
        </is>
      </c>
      <c r="J15" s="92" t="inlineStr">
        <is>
          <t>148977</t>
        </is>
      </c>
      <c r="K15" s="76" t="inlineStr">
        <is>
          <t>IC }eb*wQK(&amp;mj2 YS0.ur:(a[8</t>
        </is>
      </c>
      <c r="M15" s="92" t="inlineStr">
        <is>
          <t>NO</t>
        </is>
      </c>
      <c r="P15" s="94" t="inlineStr">
        <is>
          <t>2</t>
        </is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17XXXXXXX3</t>
        </is>
      </c>
      <c r="J16" s="92" t="inlineStr">
        <is>
          <t>151667</t>
        </is>
      </c>
      <c r="K16" s="76" t="inlineStr">
        <is>
          <t>!(&amp;.6. @)0.6&gt;6(H186&gt;F&gt;0P9@&gt;FNF</t>
        </is>
      </c>
      <c r="M16" s="92" t="inlineStr">
        <is>
          <t>NO</t>
        </is>
      </c>
      <c r="P16" s="94" t="inlineStr">
        <is>
          <t>1</t>
        </is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18XXXXXXX5</t>
        </is>
      </c>
      <c r="J17" s="92" t="inlineStr">
        <is>
          <t>127159</t>
        </is>
      </c>
      <c r="K17" s="76" t="inlineStr">
        <is>
          <t>jhCcN6&amp;UrpKkV&gt;.]zxSs^F6e#![{</t>
        </is>
      </c>
      <c r="M17" s="92" t="inlineStr">
        <is>
          <t>NO</t>
        </is>
      </c>
      <c r="P17" s="94" t="inlineStr">
        <is>
          <t>1</t>
        </is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06XXXXXXX0</t>
        </is>
      </c>
      <c r="J18" s="92" t="inlineStr">
        <is>
          <t>151829</t>
        </is>
      </c>
      <c r="K18" s="76" t="inlineStr">
        <is>
          <t>WBsS|H;s_J{[%PC{gR$c-XK$oZ,</t>
        </is>
      </c>
      <c r="M18" s="92" t="inlineStr">
        <is>
          <t>NO</t>
        </is>
      </c>
      <c r="P18" s="94" t="inlineStr">
        <is>
          <t>1</t>
        </is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06XXXXXXX3001</t>
        </is>
      </c>
      <c r="J19" s="92" t="inlineStr">
        <is>
          <t>151865</t>
        </is>
      </c>
      <c r="K19" s="76" t="inlineStr">
        <is>
          <t>&amp;;?@TF/D.CGH\N7L6KOPdV?T&gt;SWXl^</t>
        </is>
      </c>
      <c r="M19" s="92" t="inlineStr">
        <is>
          <t>NO</t>
        </is>
      </c>
      <c r="P19" s="94" t="inlineStr">
        <is>
          <t>1</t>
        </is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16XXXXXXX0</t>
        </is>
      </c>
      <c r="J20" s="92" t="inlineStr">
        <is>
          <t>151732</t>
        </is>
      </c>
      <c r="K20" s="76" t="inlineStr">
        <is>
          <t>b!y|((__j)"%00ggr1*-88ooz92</t>
        </is>
      </c>
      <c r="M20" s="92" t="inlineStr">
        <is>
          <t>NO</t>
        </is>
      </c>
      <c r="P20" s="94" t="inlineStr">
        <is>
          <t>1</t>
        </is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05XXXXXXX7</t>
        </is>
      </c>
      <c r="J21" s="92" t="inlineStr">
        <is>
          <t>138108</t>
        </is>
      </c>
      <c r="K21" s="76" t="inlineStr">
        <is>
          <t>I}h15YHpQ&amp;p9=aPxY.xAEiX!a6!I</t>
        </is>
      </c>
      <c r="M21" s="92" t="inlineStr">
        <is>
          <t>NO</t>
        </is>
      </c>
      <c r="P21" s="94" t="inlineStr">
        <is>
          <t>21</t>
        </is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22XXXXXXX4001</t>
        </is>
      </c>
      <c r="J22" s="92" t="inlineStr">
        <is>
          <t>147121</t>
        </is>
      </c>
      <c r="K22" s="76" t="inlineStr">
        <is>
          <t>h|Z&gt;*Cqxp%bF2Ky!x-jN:S")!5rVB</t>
        </is>
      </c>
      <c r="M22" s="92" t="inlineStr">
        <is>
          <t>NO</t>
        </is>
      </c>
      <c r="P22" s="94" t="inlineStr">
        <is>
          <t>1</t>
        </is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17XXXXXXX2</t>
        </is>
      </c>
      <c r="J23" s="92" t="inlineStr">
        <is>
          <t>151875</t>
        </is>
      </c>
      <c r="K23" s="76" t="inlineStr">
        <is>
          <t>+2|`|[sT3:%h%c{\;B-p-k$dC</t>
        </is>
      </c>
      <c r="M23" s="92" t="inlineStr">
        <is>
          <t>NO</t>
        </is>
      </c>
      <c r="P23" s="94" t="inlineStr">
        <is>
          <t>2</t>
        </is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18XXXXXXX3</t>
        </is>
      </c>
      <c r="J24" s="92" t="inlineStr">
        <is>
          <t>151882</t>
        </is>
      </c>
      <c r="K24" s="76" t="inlineStr">
        <is>
          <t>0OS9,D:F8W[A4LBN@_cI&lt;TJVHgkQD\</t>
        </is>
      </c>
      <c r="M24" s="92" t="inlineStr">
        <is>
          <t>NO</t>
        </is>
      </c>
      <c r="P24" s="94" t="inlineStr">
        <is>
          <t>1</t>
        </is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16XXXXXXX7001</t>
        </is>
      </c>
      <c r="J25" s="92" t="inlineStr">
        <is>
          <t>134445</t>
        </is>
      </c>
      <c r="K25" s="76" t="inlineStr">
        <is>
          <t>S]&lt;hB9RU[eDpJAZ]cmLxRIbe</t>
        </is>
      </c>
      <c r="M25" s="92" t="inlineStr">
        <is>
          <t>NO</t>
        </is>
      </c>
      <c r="P25" s="94" t="inlineStr">
        <is>
          <t>1</t>
        </is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05XXXXXXX0001</t>
        </is>
      </c>
      <c r="J26" s="92" t="inlineStr">
        <is>
          <t>151895</t>
        </is>
      </c>
      <c r="K26" s="76" t="inlineStr">
        <is>
          <t>Tay$\bYN\i",djaVdq*4lri^ly2&lt;t</t>
        </is>
      </c>
      <c r="M26" s="92" t="inlineStr">
        <is>
          <t>NO</t>
        </is>
      </c>
      <c r="P26" s="94" t="inlineStr">
        <is>
          <t>3</t>
        </is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02XXXXXXX8</t>
        </is>
      </c>
      <c r="J27" s="92" t="inlineStr">
        <is>
          <t>137400</t>
        </is>
      </c>
      <c r="K27" s="76" t="inlineStr">
        <is>
          <t>zAf+SpEO#In3[xMW+Qv;c!U_3</t>
        </is>
      </c>
      <c r="M27" s="92" t="inlineStr">
        <is>
          <t>NO</t>
        </is>
      </c>
      <c r="P27" s="94" t="inlineStr">
        <is>
          <t>1</t>
        </is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18XXXXXXX8</t>
        </is>
      </c>
      <c r="J28" s="92" t="inlineStr">
        <is>
          <t>142673</t>
        </is>
      </c>
      <c r="K28" s="76" t="inlineStr">
        <is>
          <t>1j$vrbx:9r,~zj!BAz4'#r)JI#&lt;/+z</t>
        </is>
      </c>
      <c r="M28" s="92" t="inlineStr">
        <is>
          <t>NO</t>
        </is>
      </c>
      <c r="P28" s="94" t="inlineStr">
        <is>
          <t>1</t>
        </is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05XXXXXXX3001</t>
        </is>
      </c>
      <c r="J29" s="92" t="inlineStr">
        <is>
          <t>127431</t>
        </is>
      </c>
      <c r="K29" s="76" t="inlineStr">
        <is>
          <t>FAbYi~arNIjaq'izVQriy/q#^Yz</t>
        </is>
      </c>
      <c r="M29" s="92" t="inlineStr">
        <is>
          <t>NO</t>
        </is>
      </c>
      <c r="P29" s="94" t="inlineStr">
        <is>
          <t>1</t>
        </is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06XXXXXXX0</t>
        </is>
      </c>
      <c r="J30" s="92" t="inlineStr">
        <is>
          <t>151951</t>
        </is>
      </c>
      <c r="K30" s="76" t="inlineStr">
        <is>
          <t>jd_CSy8YrlgK["@aztoSc*Hi#|w[</t>
        </is>
      </c>
      <c r="M30" s="92" t="inlineStr">
        <is>
          <t>NO</t>
        </is>
      </c>
      <c r="P30" s="94" t="inlineStr">
        <is>
          <t>1</t>
        </is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18XXXXXXX6001</t>
        </is>
      </c>
      <c r="J31" s="92" t="inlineStr">
        <is>
          <t>135939</t>
        </is>
      </c>
      <c r="K31" s="76" t="inlineStr">
        <is>
          <t>/eFc!H`%7mNk)Ph-?uVs1Xp5G}</t>
        </is>
      </c>
      <c r="M31" s="92" t="inlineStr">
        <is>
          <t>NO</t>
        </is>
      </c>
      <c r="P31" s="94" t="inlineStr">
        <is>
          <t>2</t>
        </is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18XXXXXXX4001</t>
        </is>
      </c>
      <c r="J32" s="92" t="inlineStr">
        <is>
          <t>151964</t>
        </is>
      </c>
      <c r="K32" s="76" t="inlineStr">
        <is>
          <t>,E`%G7h]4Mh-O?pe&lt;Up5WGxmD]x=_</t>
        </is>
      </c>
      <c r="M32" s="92" t="inlineStr">
        <is>
          <t>NO</t>
        </is>
      </c>
      <c r="P32" s="94" t="inlineStr">
        <is>
          <t>1</t>
        </is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05XXXXXXX0001</t>
        </is>
      </c>
      <c r="J33" s="92" t="inlineStr">
        <is>
          <t>151985</t>
        </is>
      </c>
      <c r="K33" s="76" t="inlineStr">
        <is>
          <t>.GC'%FEB6OK/-NMJ&gt;WS75VURF</t>
        </is>
      </c>
      <c r="M33" s="92" t="inlineStr">
        <is>
          <t>NO</t>
        </is>
      </c>
      <c r="P33" s="94" t="inlineStr">
        <is>
          <t>1</t>
        </is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18XXXXXXX4</t>
        </is>
      </c>
      <c r="J34" s="92" t="inlineStr">
        <is>
          <t>126993</t>
        </is>
      </c>
      <c r="K34" s="76" t="inlineStr">
        <is>
          <t>oYtB7\0pwa|J?d8x i%RGl@!(q-Z</t>
        </is>
      </c>
      <c r="M34" s="92" t="inlineStr">
        <is>
          <t>NO</t>
        </is>
      </c>
      <c r="P34" s="94" t="inlineStr">
        <is>
          <t>1</t>
        </is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06XXXXXXX8</t>
        </is>
      </c>
      <c r="J35" s="92" t="inlineStr">
        <is>
          <t>151996</t>
        </is>
      </c>
      <c r="K35" s="76" t="inlineStr">
        <is>
          <t>FCyBHPZhNK"JPXbpVS*RX`jx^[2Z`h</t>
        </is>
      </c>
      <c r="M35" s="92" t="inlineStr">
        <is>
          <t>NO</t>
        </is>
      </c>
      <c r="P35" s="94" t="inlineStr">
        <is>
          <t>1</t>
        </is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18XXXXXXX1</t>
        </is>
      </c>
      <c r="J36" s="92" t="inlineStr">
        <is>
          <t>136004</t>
        </is>
      </c>
      <c r="K36" s="76" t="inlineStr">
        <is>
          <t>\?w$ZE\ldG ,bMdtlO(4jUl|tW0&lt;</t>
        </is>
      </c>
      <c r="M36" s="92" t="inlineStr">
        <is>
          <t>NO</t>
        </is>
      </c>
      <c r="P36" s="94" t="inlineStr">
        <is>
          <t>3</t>
        </is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18XXXXXXX9</t>
        </is>
      </c>
      <c r="J37" s="92" t="inlineStr">
        <is>
          <t>151137</t>
        </is>
      </c>
      <c r="K37" s="76" t="inlineStr">
        <is>
          <t>&amp;cB?(Aww.kJG0I  6sRO8Q((&gt;{</t>
        </is>
      </c>
      <c r="M37" s="92" t="inlineStr">
        <is>
          <t>NO</t>
        </is>
      </c>
      <c r="P37" s="94" t="inlineStr">
        <is>
          <t>1</t>
        </is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06XXXXXXX2</t>
        </is>
      </c>
      <c r="J38" s="92" t="inlineStr">
        <is>
          <t>151903</t>
        </is>
      </c>
      <c r="K38" s="76" t="inlineStr">
        <is>
          <t>3l$n=\gD;t,vEdoLC|4~MlwTK</t>
        </is>
      </c>
      <c r="M38" s="92" t="inlineStr">
        <is>
          <t>NO</t>
        </is>
      </c>
      <c r="P38" s="94" t="inlineStr">
        <is>
          <t>7</t>
        </is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06XXXXXXX4</t>
        </is>
      </c>
      <c r="J39" s="92" t="inlineStr">
        <is>
          <t>151904</t>
        </is>
      </c>
      <c r="K39" s="76" t="inlineStr">
        <is>
          <t>7ITep\oX?Q\mxdw`GYdu!l hOa</t>
        </is>
      </c>
      <c r="M39" s="92" t="inlineStr">
        <is>
          <t>NO</t>
        </is>
      </c>
      <c r="P39" s="94" t="inlineStr">
        <is>
          <t>12</t>
        </is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02XXXXXXX6</t>
        </is>
      </c>
      <c r="J40" s="92" t="inlineStr">
        <is>
          <t>140903</t>
        </is>
      </c>
      <c r="K40" s="76" t="inlineStr">
        <is>
          <t>f5Vq3+??n=^y;3GGvEf"C;OO~Mn*</t>
        </is>
      </c>
      <c r="M40" s="92" t="inlineStr">
        <is>
          <t>NO</t>
        </is>
      </c>
      <c r="P40" s="94" t="inlineStr">
        <is>
          <t>5</t>
        </is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18XXXXXXX2</t>
        </is>
      </c>
      <c r="J41" s="92" t="inlineStr">
        <is>
          <t>143912</t>
        </is>
      </c>
      <c r="K41" s="76" t="inlineStr">
        <is>
          <t>l\R-7%|*tdZ5?-%2|lb=G5-:%tjEO=</t>
        </is>
      </c>
      <c r="M41" s="92" t="inlineStr">
        <is>
          <t>NO</t>
        </is>
      </c>
      <c r="P41" s="94" t="inlineStr">
        <is>
          <t>1</t>
        </is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05XXXXXXX3001</t>
        </is>
      </c>
      <c r="J42" s="92" t="inlineStr">
        <is>
          <t>127431</t>
        </is>
      </c>
      <c r="K42" s="76" t="inlineStr">
        <is>
          <t>`07p*+\rh8?x23dzp@G!:;l#xHO</t>
        </is>
      </c>
      <c r="M42" s="92" t="inlineStr">
        <is>
          <t>NO</t>
        </is>
      </c>
      <c r="P42" s="94" t="inlineStr">
        <is>
          <t>1</t>
        </is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02XXXXXXX1</t>
        </is>
      </c>
      <c r="J43" s="92" t="inlineStr">
        <is>
          <t>152121</t>
        </is>
      </c>
      <c r="K43" s="76" t="inlineStr">
        <is>
          <t>HJnqOT2vPRvyW\:~XZ~"_dB'`b'*gl</t>
        </is>
      </c>
      <c r="M43" s="92" t="inlineStr">
        <is>
          <t>NO</t>
        </is>
      </c>
      <c r="P43" s="94" t="inlineStr">
        <is>
          <t>1</t>
        </is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06XXXXXXX8</t>
        </is>
      </c>
      <c r="J44" s="92" t="inlineStr">
        <is>
          <t>151996</t>
        </is>
      </c>
      <c r="K44" s="76" t="inlineStr">
        <is>
          <t>fU&lt;u7\2in]D}?d:qveL&amp;GlBy~mT.Ot</t>
        </is>
      </c>
      <c r="M44" s="92" t="inlineStr">
        <is>
          <t>NO</t>
        </is>
      </c>
      <c r="P44" s="94" t="inlineStr">
        <is>
          <t>2</t>
        </is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16XXXXXXX2</t>
        </is>
      </c>
      <c r="J45" s="92" t="inlineStr">
        <is>
          <t>152144</t>
        </is>
      </c>
      <c r="K45" s="76" t="inlineStr">
        <is>
          <t>Dwt;$LcUL |C,Tk]T(%K4\se\0-S&lt;d</t>
        </is>
      </c>
      <c r="M45" s="92" t="inlineStr">
        <is>
          <t>NO</t>
        </is>
      </c>
      <c r="P45" s="94" t="inlineStr">
        <is>
          <t>1</t>
        </is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18XXXXXXX0</t>
        </is>
      </c>
      <c r="J46" s="92" t="inlineStr">
        <is>
          <t>140993</t>
        </is>
      </c>
      <c r="K46" s="76" t="inlineStr">
        <is>
          <t>D%g]Sdz+L-oe[l#3T5wmct+;\= uk|</t>
        </is>
      </c>
      <c r="M46" s="92" t="inlineStr">
        <is>
          <t>NO</t>
        </is>
      </c>
      <c r="P46" s="94" t="inlineStr">
        <is>
          <t>1</t>
        </is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02XXXXXXX6</t>
        </is>
      </c>
      <c r="J47" s="92" t="inlineStr">
        <is>
          <t>140903</t>
        </is>
      </c>
      <c r="K47" s="76" t="inlineStr">
        <is>
          <t>VPx&lt;zrWs^X!D#z_{f`)L+#g$nh1T</t>
        </is>
      </c>
      <c r="M47" s="92" t="inlineStr">
        <is>
          <t>NO</t>
        </is>
      </c>
      <c r="P47" s="94" t="inlineStr">
        <is>
          <t>1</t>
        </is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05XXXXXXX6</t>
        </is>
      </c>
      <c r="J48" s="92" t="inlineStr">
        <is>
          <t>146068</t>
        </is>
      </c>
      <c r="K48" s="76" t="inlineStr">
        <is>
          <t>a#&gt;Y?*?di+FaG2Glq3N</t>
        </is>
      </c>
      <c r="M48" s="92" t="inlineStr">
        <is>
          <t>NO</t>
        </is>
      </c>
      <c r="P48" s="94" t="inlineStr">
        <is>
          <t>2</t>
        </is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18XXXXXXX4</t>
        </is>
      </c>
      <c r="J51" s="92" t="inlineStr">
        <is>
          <t>135925</t>
        </is>
      </c>
      <c r="K51" s="76" t="inlineStr">
        <is>
          <t>9p`J@34DAxhRH;&lt;LI!pZPCDTQ)xbX</t>
        </is>
      </c>
      <c r="M51" s="92" t="inlineStr">
        <is>
          <t>NO</t>
        </is>
      </c>
      <c r="P51" s="94" t="inlineStr">
        <is>
          <t>3</t>
        </is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18XXXXXXX2001</t>
        </is>
      </c>
      <c r="J52" s="92" t="inlineStr">
        <is>
          <t>38567</t>
        </is>
      </c>
      <c r="K52" s="76" t="inlineStr">
        <is>
          <t>)!|lTLW_1)%t\T_g91-|d\goA95%l</t>
        </is>
      </c>
      <c r="M52" s="92" t="inlineStr">
        <is>
          <t>NO</t>
        </is>
      </c>
      <c r="P52" s="94" t="inlineStr">
        <is>
          <t>2</t>
        </is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17XXXXXXX3001</t>
        </is>
      </c>
      <c r="J53" s="92" t="inlineStr">
        <is>
          <t>28101</t>
        </is>
      </c>
      <c r="K53" s="76" t="inlineStr">
        <is>
          <t>!Cc6{W(=)Kk&gt;$_0E1SsF,g</t>
        </is>
      </c>
      <c r="M53" s="92" t="inlineStr">
        <is>
          <t>NO</t>
        </is>
      </c>
      <c r="P53" s="94" t="inlineStr">
        <is>
          <t>2</t>
        </is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18XXXXXXX0001</t>
        </is>
      </c>
      <c r="J54" s="92" t="inlineStr">
        <is>
          <t>35519</t>
        </is>
      </c>
      <c r="K54" s="76" t="inlineStr">
        <is>
          <t>87SP7C,T@?[X?K4\HGc`GS&lt;dPOkhO[</t>
        </is>
      </c>
      <c r="M54" s="92" t="inlineStr">
        <is>
          <t>NO</t>
        </is>
      </c>
      <c r="P54" s="94" t="inlineStr">
        <is>
          <t>1</t>
        </is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18XXXXXXX0001</t>
        </is>
      </c>
      <c r="J55" s="92" t="inlineStr">
        <is>
          <t>35519</t>
        </is>
      </c>
      <c r="K55" s="76" t="inlineStr">
        <is>
          <t>f@T*fj/ZnH\2nr7bvPd:vz?j~XlB~#</t>
        </is>
      </c>
      <c r="M55" s="92" t="inlineStr">
        <is>
          <t>NO</t>
        </is>
      </c>
      <c r="P55" s="94" t="inlineStr">
        <is>
          <t>1</t>
        </is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17XXXXXXX3001</t>
        </is>
      </c>
      <c r="J56" s="92" t="inlineStr">
        <is>
          <t>28101</t>
        </is>
      </c>
      <c r="K56" s="76" t="inlineStr">
        <is>
          <t>5~R-tPGI='Z5|XOQE/b=%`</t>
        </is>
      </c>
      <c r="M56" s="92" t="inlineStr">
        <is>
          <t>NO</t>
        </is>
      </c>
      <c r="P56" s="94" t="inlineStr">
        <is>
          <t>2</t>
        </is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18XXXXXXX6001</t>
        </is>
      </c>
      <c r="J57" s="92" t="inlineStr">
        <is>
          <t>131041</t>
        </is>
      </c>
      <c r="K57" s="76" t="inlineStr">
        <is>
          <t>\p`7GRH]dxh?OZPel!pGWbXmt)xO_j</t>
        </is>
      </c>
      <c r="M57" s="92" t="inlineStr">
        <is>
          <t>NO</t>
        </is>
      </c>
      <c r="P57" s="94" t="inlineStr">
        <is>
          <t>13</t>
        </is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18XXXXXXX0001</t>
        </is>
      </c>
      <c r="J58" s="92" t="inlineStr">
        <is>
          <t>35519</t>
        </is>
      </c>
      <c r="K58" s="76" t="inlineStr">
        <is>
          <t>0"|wr3T"8*% z;\*@2-(#Cd2H:50+K</t>
        </is>
      </c>
      <c r="M58" s="92" t="inlineStr">
        <is>
          <t>NO</t>
        </is>
      </c>
      <c r="P58" s="94" t="inlineStr">
        <is>
          <t>1</t>
        </is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18XXXXXXX6001</t>
        </is>
      </c>
      <c r="J59" s="92" t="inlineStr">
        <is>
          <t>131041</t>
        </is>
      </c>
      <c r="K59" s="76" t="inlineStr">
        <is>
          <t>&amp;3*c_F'].;2kgN/e6C:soV7m&gt;KB{w^</t>
        </is>
      </c>
      <c r="M59" s="92" t="inlineStr">
        <is>
          <t>NO</t>
        </is>
      </c>
      <c r="P59" s="94" t="inlineStr">
        <is>
          <t>1</t>
        </is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18XXXXXXX0001</t>
        </is>
      </c>
      <c r="J60" s="92" t="inlineStr">
        <is>
          <t>35519</t>
        </is>
      </c>
      <c r="K60" s="76" t="inlineStr">
        <is>
          <t>(:jOg'`a0BrWo/hi8Jz_w7pq@R#g ?</t>
        </is>
      </c>
      <c r="M60" s="92" t="inlineStr">
        <is>
          <t>NO</t>
        </is>
      </c>
      <c r="P60" s="94" t="inlineStr">
        <is>
          <t>2</t>
        </is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18XXXXXXX0001</t>
        </is>
      </c>
      <c r="J61" s="92" t="inlineStr">
        <is>
          <t>35519</t>
        </is>
      </c>
      <c r="K61" s="76" t="inlineStr">
        <is>
          <t>2`2*ZZ"&gt;:h:2bb*FBpB:jj2NJxJBrr</t>
        </is>
      </c>
      <c r="M61" s="92" t="inlineStr">
        <is>
          <t>NO</t>
        </is>
      </c>
      <c r="P61" s="94" t="inlineStr">
        <is>
          <t>1</t>
        </is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inlineStr">
        <is>
          <t>12374.95</t>
        </is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>
        <f>+'MY REP SZK'!I31</f>
        <v/>
      </c>
      <c r="R64" s="10">
        <f>+'MY REP SZK'!H50</f>
        <v/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46085.75403935185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1792107423001</t>
        </is>
      </c>
      <c r="R8" s="76" t="n">
        <v>28101</v>
      </c>
      <c r="T8" s="76" t="inlineStr">
        <is>
          <t>SWEADEN CIA DE SEGUROS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inlineStr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0502481583001</t>
        </is>
      </c>
      <c r="R9" s="76" t="n">
        <v>127431</v>
      </c>
      <c r="T9" s="76" t="inlineStr">
        <is>
          <t>QUIMBITA PANCHI LUIS ANIBAL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inlineStr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inlineStr"/>
      <c r="AG10" s="68" t="n">
        <v>0</v>
      </c>
      <c r="AH10" s="70" t="n">
        <v>0</v>
      </c>
      <c r="AJ10" s="68" t="n">
        <v>1143.14</v>
      </c>
      <c r="AK10" s="68" t="n">
        <v>0</v>
      </c>
      <c r="AL10" s="13" t="inlineStr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>
        <f>+'MY REP SZK'!H55</f>
        <v/>
      </c>
      <c r="X11" s="10">
        <f>+'MY REP SZK'!I50</f>
        <v/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382</v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383</v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384</v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n">
        <v>384</v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385</v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386</v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387</v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n">
        <v>387</v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388</v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389</v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390</v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n">
        <v>392</v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393</v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393</v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n">
        <v>395</v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n">
        <v>396</v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n">
        <v>397</v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n">
        <v>398</v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n">
        <v>399</v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n">
        <v>401</v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n">
        <v>382</v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n">
        <v>383</v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n">
        <v>384</v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n">
        <v>389</v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n">
        <v>394</v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n">
        <v>397</v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n">
        <v>397</v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n">
        <v>399</v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n">
        <v>400</v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I31" s="31">
        <f>SUM(I2:I30)</f>
        <v/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n">
        <v>383</v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n">
        <v>384</v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n">
        <v>387</v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n">
        <v>388</v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n">
        <v>390</v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n">
        <v>391</v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n">
        <v>392</v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n">
        <v>393</v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n">
        <v>393</v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n">
        <v>395</v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n">
        <v>397</v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n">
        <v>382</v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n">
        <v>389</v>
      </c>
      <c r="G46" t="inlineStr">
        <is>
          <t>MOD. REPUESTOS REP08</t>
        </is>
      </c>
      <c r="H46" t="n">
        <v>129.58</v>
      </c>
      <c r="I46" t="n">
        <v>0</v>
      </c>
      <c r="J46" t="n">
        <v>314.49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n">
        <v>389</v>
      </c>
      <c r="G47" t="inlineStr">
        <is>
          <t>MOD. REPUESTOS REP08</t>
        </is>
      </c>
      <c r="H47" t="n">
        <v>0</v>
      </c>
      <c r="I47" t="n">
        <v>129.58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n">
        <v>394</v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n">
        <v>397</v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>
        <f>SUM(H34:H49)</f>
        <v/>
      </c>
      <c r="I50" s="31">
        <f>SUM(I34:I49)</f>
        <v/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n">
        <v>391</v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n">
        <v>389</v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>
        <f>SUM(H53:H54)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n">
        <v>361</v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n">
        <v>362</v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n">
        <v>363</v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n">
        <v>364</v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n">
        <v>365</v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n">
        <v>366</v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n">
        <v>367</v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n">
        <v>368</v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n">
        <v>369</v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n">
        <v>370</v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n">
        <v>371</v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n">
        <v>372</v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n">
        <v>372</v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n">
        <v>373</v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n">
        <v>374</v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n">
        <v>375</v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n">
        <v>376</v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n">
        <v>377</v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n">
        <v>378</v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n">
        <v>379</v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n">
        <v>380</v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n">
        <v>381</v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n">
        <v>382</v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n">
        <v>382</v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n">
        <v>383</v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n">
        <v>383</v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n">
        <v>384</v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n">
        <v>384</v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n">
        <v>385</v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n">
        <v>386</v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n">
        <v>387</v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n">
        <v>387</v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n">
        <v>388</v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n">
        <v>389</v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n">
        <v>389</v>
      </c>
      <c r="G333" s="10" t="inlineStr">
        <is>
          <t>MOD. REPUESTOS REP08</t>
        </is>
      </c>
      <c r="H333" s="10" t="n">
        <v>111.61</v>
      </c>
      <c r="I333" s="10" t="n">
        <v>0</v>
      </c>
      <c r="J333" s="33" t="n">
        <v>19924.93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n">
        <v>389</v>
      </c>
      <c r="G334" s="10" t="inlineStr">
        <is>
          <t>MOD. REPUESTOS REP08</t>
        </is>
      </c>
      <c r="H334" s="10" t="n">
        <v>0</v>
      </c>
      <c r="I334" s="10" t="n">
        <v>111.61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n">
        <v>390</v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n">
        <v>391</v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n">
        <v>392</v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n">
        <v>393</v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n">
        <v>393</v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n">
        <v>394</v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n">
        <v>395</v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n">
        <v>396</v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n">
        <v>397</v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n">
        <v>397</v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n">
        <v>398</v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n">
        <v>399</v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n">
        <v>400</v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n">
        <v>401</v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n">
        <v>402</v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n">
        <v>403</v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n">
        <v>404</v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n">
        <v>405</v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n">
        <v>406</v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n">
        <v>407</v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n">
        <v>408</v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n">
        <v>409</v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n">
        <v>410</v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n">
        <v>411</v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n">
        <v>412</v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n">
        <v>413</v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n">
        <v>414</v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n">
        <v>415</v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n">
        <v>416</v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n">
        <v>417</v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n">
        <v>418</v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n">
        <v>419</v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>
        <f>SUBTOTAL(9,H2:H366)</f>
        <v/>
      </c>
      <c r="I367" s="10">
        <f>SUBTOTAL(9,I2:I366)</f>
        <v/>
      </c>
    </row>
    <row r="368" hidden="1">
      <c r="I368" s="10">
        <f>+I367-H367</f>
        <v/>
      </c>
    </row>
    <row r="369">
      <c r="H369" s="114">
        <f>SUBTOTAL(9,H283:H366)</f>
        <v/>
      </c>
      <c r="I369" s="114">
        <f>SUBTOTAL(9,I283:I366)</f>
        <v/>
      </c>
    </row>
    <row r="370">
      <c r="I370" s="114">
        <f>+I369-H369</f>
        <v/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2026-03-04T22:31:27Z</dcterms:created>
  <dcterms:modified xsi:type="dcterms:W3CDTF">2026-03-24T17:58:29Z</dcterms:modified>
</cp:coreProperties>
</file>