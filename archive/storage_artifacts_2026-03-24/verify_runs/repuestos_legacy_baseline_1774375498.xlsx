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1" name="REP TYT" state="visible" r:id="rId4"/>
    <sheet sheetId="2" name="NC REP TYT" state="visible" r:id="rId5"/>
    <sheet sheetId="3" name="MY REP TYT" state="visible" r:id="rId6"/>
    <sheet sheetId="4" name="REP PEUGT" state="visible" r:id="rId7"/>
    <sheet sheetId="5" name="NC REP PEUG" state="visible" r:id="rId8"/>
    <sheet sheetId="6" name="MY REP PEUG" state="visible" r:id="rId9"/>
    <sheet sheetId="7" name="REP CHGN" state="visible" r:id="rId10"/>
    <sheet sheetId="8" name="MY REP CHGN" state="visible" r:id="rId11"/>
    <sheet sheetId="9" name="REP SZK" state="visible" r:id="rId12"/>
    <sheet sheetId="10" name="NC REP SZK" state="visible" r:id="rId13"/>
    <sheet sheetId="11" name="MY REP SZK" state="visible" r:id="rId14"/>
    <sheet sheetId="12" name="MAYOR IVA" state="visible" r:id="rId15"/>
  </sheets>
  <definedNames>
    <definedName name="_xlnm._FilterDatabase" localSheetId="11" hidden="1">'MAYOR IVA'!$A$1:$J$368</definedName>
  </definedNames>
  <calcPr calcId="171027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<sst xmlns="http://schemas.openxmlformats.org/spreadsheetml/2006/main" count="5971" uniqueCount="1128">
  <si>
    <t>TOYOTASERVICIOS S.A.</t>
  </si>
  <si>
    <t>Página:</t>
  </si>
  <si>
    <t>1</t>
  </si>
  <si>
    <t>de</t>
  </si>
  <si>
    <t/>
  </si>
  <si>
    <t>REPUESTOS</t>
  </si>
  <si>
    <t>Fecha:</t>
  </si>
  <si>
    <t>Thu Mar 12 2026 17:46:49 GMT-0500 (hora de Ecuador)</t>
  </si>
  <si>
    <t>KMOYOLEMA</t>
  </si>
  <si>
    <t>TIPO DOCUMENTO: F%  TODOS LOS TIPOS DE FACTURA</t>
  </si>
  <si>
    <t>CLIENTE: % TODOS LOS CLIENTES</t>
  </si>
  <si>
    <t>MARGEN</t>
  </si>
  <si>
    <t>FECHA FINAL: 28/02/2026</t>
  </si>
  <si>
    <t>FECHA INICIAL: 01/02/2026</t>
  </si>
  <si>
    <t>AN</t>
  </si>
  <si>
    <t>BODEGA</t>
  </si>
  <si>
    <t>FECHA</t>
  </si>
  <si>
    <t># DOC</t>
  </si>
  <si>
    <t>SERIE</t>
  </si>
  <si>
    <t>DESCRIPCION</t>
  </si>
  <si>
    <t>AUTORIZACION</t>
  </si>
  <si>
    <t>RUC</t>
  </si>
  <si>
    <t>N° Cliente</t>
  </si>
  <si>
    <t>CLIENTE</t>
  </si>
  <si>
    <t>CLIENTE PUBLICO</t>
  </si>
  <si>
    <t>ITEM</t>
  </si>
  <si>
    <t>SUBTOT</t>
  </si>
  <si>
    <t>DESC</t>
  </si>
  <si>
    <t>NETO</t>
  </si>
  <si>
    <t>SIN IVA</t>
  </si>
  <si>
    <t>CON IVA</t>
  </si>
  <si>
    <t>ECOVALOR</t>
  </si>
  <si>
    <t>VAL. IVA</t>
  </si>
  <si>
    <t>OTR.CAR</t>
  </si>
  <si>
    <t>TRANSP</t>
  </si>
  <si>
    <t>INTERES</t>
  </si>
  <si>
    <t>TOT FAC</t>
  </si>
  <si>
    <t>ANTICIPO</t>
  </si>
  <si>
    <t>SALDO</t>
  </si>
  <si>
    <t>COSTO</t>
  </si>
  <si>
    <t>UTILIDAD</t>
  </si>
  <si>
    <t>VENTA</t>
  </si>
  <si>
    <t>SERIE FISICO</t>
  </si>
  <si>
    <t>ASIENTO</t>
  </si>
  <si>
    <t>AGENCIA</t>
  </si>
  <si>
    <t>FORMA PAGO</t>
  </si>
  <si>
    <t>NO</t>
  </si>
  <si>
    <t>MATR</t>
  </si>
  <si>
    <t>02/02/2026</t>
  </si>
  <si>
    <t>000014861</t>
  </si>
  <si>
    <t>001-505</t>
  </si>
  <si>
    <t>FACTURA CONTADO</t>
  </si>
  <si>
    <t>0202202601189171221500120015050000148615658032318</t>
  </si>
  <si>
    <t>18XXXXXXX5001</t>
  </si>
  <si>
    <t>112549</t>
  </si>
  <si>
    <t>ytDI^56S"|LQf=&gt;[*%TYnEFc2-\av</t>
  </si>
  <si>
    <t>361</t>
  </si>
  <si>
    <t>01</t>
  </si>
  <si>
    <t>CONTADO</t>
  </si>
  <si>
    <t>000014862</t>
  </si>
  <si>
    <t>0202202601189171221500120015050000148625658032313</t>
  </si>
  <si>
    <t>18XXXXXXX7</t>
  </si>
  <si>
    <t>102770</t>
  </si>
  <si>
    <t>%QNl3KOx-YVt;SW!5a^|C[_)=i</t>
  </si>
  <si>
    <t>03/02/2026</t>
  </si>
  <si>
    <t>000014863</t>
  </si>
  <si>
    <t>0302202601189171221500120015050000148635658032313</t>
  </si>
  <si>
    <t>151828</t>
  </si>
  <si>
    <t>Ird!&gt;}n[Qzl)F&amp;vcY#t1N.~ka</t>
  </si>
  <si>
    <t>362</t>
  </si>
  <si>
    <t>000014864</t>
  </si>
  <si>
    <t>0302202601189171221500120015050000148645658032319</t>
  </si>
  <si>
    <t>18XXXXXXX5</t>
  </si>
  <si>
    <t>151790</t>
  </si>
  <si>
    <t>#bD8`Z^w+jL@hbf 3rTHpj</t>
  </si>
  <si>
    <t>04/02/2026</t>
  </si>
  <si>
    <t>000014865</t>
  </si>
  <si>
    <t>0402202601189171221500120015050000148655658032319</t>
  </si>
  <si>
    <t>18XXXXXXX2</t>
  </si>
  <si>
    <t>101712</t>
  </si>
  <si>
    <t>X+8!NF.H`3@)VN6Ph;H1^V&gt;XpCP</t>
  </si>
  <si>
    <t>2</t>
  </si>
  <si>
    <t>363</t>
  </si>
  <si>
    <t>000014866</t>
  </si>
  <si>
    <t>0402202601189171221500120015050000148665658032314</t>
  </si>
  <si>
    <t>18XXXXXXX4</t>
  </si>
  <si>
    <t>134569</t>
  </si>
  <si>
    <t>6fV+0f-7&gt;n^38n5?Fvf;@v=GN~</t>
  </si>
  <si>
    <t>3</t>
  </si>
  <si>
    <t>000014867</t>
  </si>
  <si>
    <t>0402202601189171221500120015050000148675658032311</t>
  </si>
  <si>
    <t>02XXXXXXX3</t>
  </si>
  <si>
    <t>151867</t>
  </si>
  <si>
    <t>Ug*j|VMd]o2r%^Ulew:z-f]</t>
  </si>
  <si>
    <t>05/02/2026</t>
  </si>
  <si>
    <t>000014868</t>
  </si>
  <si>
    <t>0502202601189171221500120015050000148685658032311</t>
  </si>
  <si>
    <t>18XXXXXXX1</t>
  </si>
  <si>
    <t>151888</t>
  </si>
  <si>
    <t>[5emfl"Ic=munt*QkEu}v|2YsM}&amp;~%</t>
  </si>
  <si>
    <t>364</t>
  </si>
  <si>
    <t>000014869</t>
  </si>
  <si>
    <t>0502202601189171221500120015050000148695658032315</t>
  </si>
  <si>
    <t>18XXXXXXX0001</t>
  </si>
  <si>
    <t>151311</t>
  </si>
  <si>
    <t>=)&amp;VKr^fE1.^SzfnM96f[#nvU</t>
  </si>
  <si>
    <t>06/02/2026</t>
  </si>
  <si>
    <t>000014872</t>
  </si>
  <si>
    <t>0602202601189171221500120015050000148725658032316</t>
  </si>
  <si>
    <t>18XXXXXXX0</t>
  </si>
  <si>
    <t>1561</t>
  </si>
  <si>
    <t>^uDR?&amp;nXf}LZG.v`n&amp;TbO6~hv.\j</t>
  </si>
  <si>
    <t>365</t>
  </si>
  <si>
    <t>000014873</t>
  </si>
  <si>
    <t>0602202601189171221500120015050000148735658032311</t>
  </si>
  <si>
    <t>16XXXXXXX9</t>
  </si>
  <si>
    <t>151896</t>
  </si>
  <si>
    <t>*&lt;"Tm[[L2D*\uccT:L2d}kk\B</t>
  </si>
  <si>
    <t>000014874</t>
  </si>
  <si>
    <t>0602202601189171221500120015050000148745658032317</t>
  </si>
  <si>
    <t>05XXXXXXX3001</t>
  </si>
  <si>
    <t>151894</t>
  </si>
  <si>
    <t>\-jE:xW\d5rMB!_dl=zUJ)gltE#]R</t>
  </si>
  <si>
    <t>000014875</t>
  </si>
  <si>
    <t>0602202601189171221500120015050000148755658032312</t>
  </si>
  <si>
    <t>56636</t>
  </si>
  <si>
    <t>-L:C=';*5TBKE/C2=\JSM7K:EdR[U</t>
  </si>
  <si>
    <t>000014876</t>
  </si>
  <si>
    <t>0602202601189171221500120015050000148765658032318</t>
  </si>
  <si>
    <t>18XXXXXXX6001</t>
  </si>
  <si>
    <t>118909</t>
  </si>
  <si>
    <t>(e6o[i|v0m&gt;wcq%~8uF ky-'@}N(s</t>
  </si>
  <si>
    <t>000014877</t>
  </si>
  <si>
    <t>0602202601189171221500120015050000148775658032313</t>
  </si>
  <si>
    <t>18XXXXXXX8001</t>
  </si>
  <si>
    <t>151876</t>
  </si>
  <si>
    <t>2hP^+2CQ:pXf3:KYBx`n;BSaJ</t>
  </si>
  <si>
    <t>07/02/2026</t>
  </si>
  <si>
    <t>000014878</t>
  </si>
  <si>
    <t>0702202601189171221500120015050000148785658032313</t>
  </si>
  <si>
    <t>05XXXXXXX6</t>
  </si>
  <si>
    <t>151914</t>
  </si>
  <si>
    <t>fu&gt;_v?Zdn}Fg~Gblv&amp;No'Ojt~</t>
  </si>
  <si>
    <t>366</t>
  </si>
  <si>
    <t>09/02/2026</t>
  </si>
  <si>
    <t>000014879</t>
  </si>
  <si>
    <t>0902202601189171221500120015050000148795658032318</t>
  </si>
  <si>
    <t>18XXXXXXX4001</t>
  </si>
  <si>
    <t>121324</t>
  </si>
  <si>
    <t>7~'|qxYi?'/%y!aqG/7-")i</t>
  </si>
  <si>
    <t>367</t>
  </si>
  <si>
    <t>10/02/2026</t>
  </si>
  <si>
    <t>000014880</t>
  </si>
  <si>
    <t>1002202601189171221500120015050000148805658032316</t>
  </si>
  <si>
    <t>888</t>
  </si>
  <si>
    <t>?zMZKb]}G#UbSje&amp;O+]j[rm.W3ercz</t>
  </si>
  <si>
    <t>368</t>
  </si>
  <si>
    <t>000014883</t>
  </si>
  <si>
    <t>1002202601189171221500120015050000148835658032312</t>
  </si>
  <si>
    <t>02XXXXXXX5</t>
  </si>
  <si>
    <t>54374</t>
  </si>
  <si>
    <t>iEC&lt;Y.wfqMKDa6 nyUSLi&gt;(v"][Tq</t>
  </si>
  <si>
    <t>000014884</t>
  </si>
  <si>
    <t>1002202601189171221500120015050000148845658032318</t>
  </si>
  <si>
    <t>103446</t>
  </si>
  <si>
    <t>/H5=2_C87P=E:gK@?XEMBoSHG`M</t>
  </si>
  <si>
    <t>11/02/2026</t>
  </si>
  <si>
    <t>000014885</t>
  </si>
  <si>
    <t>1102202601189171221500120015050000148855658032318</t>
  </si>
  <si>
    <t>138986</t>
  </si>
  <si>
    <t>)Q0*Lz`B1Y82T#hJ9a@:\+pRAiH</t>
  </si>
  <si>
    <t>369</t>
  </si>
  <si>
    <t>000014886</t>
  </si>
  <si>
    <t>1102202601189171221500120015050000148865658032313</t>
  </si>
  <si>
    <t>105998</t>
  </si>
  <si>
    <t>o%CLQ{RKw-KTY$ZS 5S\a,b[(=[di4</t>
  </si>
  <si>
    <t>12/02/2026</t>
  </si>
  <si>
    <t>000014887</t>
  </si>
  <si>
    <t>1202202601189171221500120015050000148875658032313</t>
  </si>
  <si>
    <t>151991</t>
  </si>
  <si>
    <t>I;Of]j)CQCWner1KYK_vmz9SaSg~u#</t>
  </si>
  <si>
    <t>370</t>
  </si>
  <si>
    <t>000014888</t>
  </si>
  <si>
    <t>1202202601189171221500120015050000148885658032319</t>
  </si>
  <si>
    <t>59939</t>
  </si>
  <si>
    <t>B9ZF`BXgJAbNhJ`oRIjVpRhwZQr^x</t>
  </si>
  <si>
    <t>13/02/2026</t>
  </si>
  <si>
    <t>000014889</t>
  </si>
  <si>
    <t>1302202601189171221500120015050000148895658032319</t>
  </si>
  <si>
    <t>18XXXXXXX9</t>
  </si>
  <si>
    <t>152004</t>
  </si>
  <si>
    <t>6FPUvv+y&gt;NX]~~3"FV`e'';*N^hm/</t>
  </si>
  <si>
    <t>4</t>
  </si>
  <si>
    <t>371</t>
  </si>
  <si>
    <t>000014890</t>
  </si>
  <si>
    <t>1302202601189171221500120015050000148905658032314</t>
  </si>
  <si>
    <t>05XXXXXXX2</t>
  </si>
  <si>
    <t>46151</t>
  </si>
  <si>
    <t>u~~LIO!r}''TQW)z&amp;//\Y_1#.77dag</t>
  </si>
  <si>
    <t>000014891</t>
  </si>
  <si>
    <t>1302202601189171221500120015050000148915658032311</t>
  </si>
  <si>
    <t>06XXXXXXX7001</t>
  </si>
  <si>
    <t>151776</t>
  </si>
  <si>
    <t xml:space="preserve">ghznww]!op#v  e)wx+~((m1 </t>
  </si>
  <si>
    <t>000014892</t>
  </si>
  <si>
    <t>1302202601189171221500120015050000148925658032315</t>
  </si>
  <si>
    <t>05XXXXXXX8</t>
  </si>
  <si>
    <t>151998</t>
  </si>
  <si>
    <t xml:space="preserve"> 7O|FIR\(?W%NQZd0G_-VYbl8</t>
  </si>
  <si>
    <t>18/02/2026</t>
  </si>
  <si>
    <t>000014896</t>
  </si>
  <si>
    <t>1802202601189171221500120015050000148965658032311</t>
  </si>
  <si>
    <t>55529</t>
  </si>
  <si>
    <t>1D*JI.NQ9L2RQ6VYAT:ZY&gt;^aI\Bba</t>
  </si>
  <si>
    <t>372</t>
  </si>
  <si>
    <t>000014897</t>
  </si>
  <si>
    <t>1802202601189171221500120015050000148975658032315</t>
  </si>
  <si>
    <t>18XXXXXXX3</t>
  </si>
  <si>
    <t>116500</t>
  </si>
  <si>
    <t>@%4YeU8qH-&lt;am]@yP5DiueH"X=Lq}m</t>
  </si>
  <si>
    <t>19/02/2026</t>
  </si>
  <si>
    <t>000014898</t>
  </si>
  <si>
    <t>1902202601189171221500120015050000148985658032315</t>
  </si>
  <si>
    <t>152072</t>
  </si>
  <si>
    <t>4hV\Kx$L&lt;p^dS!,TDxfl[)4\L!ntc1</t>
  </si>
  <si>
    <t>373</t>
  </si>
  <si>
    <t>000014899</t>
  </si>
  <si>
    <t>1902202601189171221500120015050000148995658032310</t>
  </si>
  <si>
    <t>18XXXXXXX9001</t>
  </si>
  <si>
    <t>152005</t>
  </si>
  <si>
    <t>@^4i(=HIHf&lt;q0EPQPnDy8MXYXvL"@</t>
  </si>
  <si>
    <t>20/02/2026</t>
  </si>
  <si>
    <t>000014900</t>
  </si>
  <si>
    <t>2002202601189171221500120015050000149005658032317</t>
  </si>
  <si>
    <t>47493</t>
  </si>
  <si>
    <t>!sZ&gt;]Q"(){bFeY*01$jNma289</t>
  </si>
  <si>
    <t>374</t>
  </si>
  <si>
    <t>000014901</t>
  </si>
  <si>
    <t>2002202601189171221500120015050000149015658032312</t>
  </si>
  <si>
    <t>6065</t>
  </si>
  <si>
    <t>;$:5&lt;&amp;lQC,B=D.tYK4JEL6|aS&lt;</t>
  </si>
  <si>
    <t>000014902</t>
  </si>
  <si>
    <t>2002202601189171221500120015050000149025658032318</t>
  </si>
  <si>
    <t>05XXXXXXX3</t>
  </si>
  <si>
    <t>39593</t>
  </si>
  <si>
    <t>XwsANk;8` {IVsC@h($Q^{KHp0,Yf$</t>
  </si>
  <si>
    <t>21/02/2026</t>
  </si>
  <si>
    <t>000014903</t>
  </si>
  <si>
    <t>2102202601189171221500120015050000149035658032318</t>
  </si>
  <si>
    <t>09XXXXXXX9</t>
  </si>
  <si>
    <t>137427</t>
  </si>
  <si>
    <t>Cda3SidPKli;[qlXStqCcyt`[|yK</t>
  </si>
  <si>
    <t>375</t>
  </si>
  <si>
    <t>23/02/2026</t>
  </si>
  <si>
    <t>000014904</t>
  </si>
  <si>
    <t>2302202601189171221500120015050000149045658032312</t>
  </si>
  <si>
    <t>48789</t>
  </si>
  <si>
    <t>;!PQD\|!C)XYLd%)K1`aTl-1S9hi</t>
  </si>
  <si>
    <t>376</t>
  </si>
  <si>
    <t>000014905</t>
  </si>
  <si>
    <t>2302202601189171221500120015050000149055658032318</t>
  </si>
  <si>
    <t>17XXXXXXX4001</t>
  </si>
  <si>
    <t>37438</t>
  </si>
  <si>
    <t>IMKvP;;+QUS~XCC3Y]['`KK;aec/hS</t>
  </si>
  <si>
    <t>24/02/2026</t>
  </si>
  <si>
    <t>000014908</t>
  </si>
  <si>
    <t>2402202601189171221500120015050000149085658032319</t>
  </si>
  <si>
    <t>152048</t>
  </si>
  <si>
    <t>;DCG|J^OCLKO%RfWKTSW-Zn_S\[_5b</t>
  </si>
  <si>
    <t>377</t>
  </si>
  <si>
    <t>000014909</t>
  </si>
  <si>
    <t>2402202601189171221500120015050000149095658032314</t>
  </si>
  <si>
    <t>152185</t>
  </si>
  <si>
    <t>=AN&amp;D*/GEIV.L27OMQ^6T:?WUYf&gt;</t>
  </si>
  <si>
    <t>000014910</t>
  </si>
  <si>
    <t>2402202601189171221500120015050000149105658032311</t>
  </si>
  <si>
    <t>18XXXXXXX1001</t>
  </si>
  <si>
    <t>144071</t>
  </si>
  <si>
    <t>n)'v]7CYv1/~e?Ka~97'mGSi'A?/u</t>
  </si>
  <si>
    <t>000014911</t>
  </si>
  <si>
    <t>2402202601189171221500120015050000149115658032315</t>
  </si>
  <si>
    <t>50358</t>
  </si>
  <si>
    <t>_t1OTovTg|9W\w~\o%A_d 'dw-I</t>
  </si>
  <si>
    <t>25/02/2026</t>
  </si>
  <si>
    <t>000014915</t>
  </si>
  <si>
    <t>2502202601189171221500120015050000149155658032311</t>
  </si>
  <si>
    <t>43329</t>
  </si>
  <si>
    <t>gbH0+^#RojP83f+ZwrX@;n3b z`HCv</t>
  </si>
  <si>
    <t>378</t>
  </si>
  <si>
    <t>000014916</t>
  </si>
  <si>
    <t>2502202601189171221500120015050000149165658032317</t>
  </si>
  <si>
    <t>18XXXXXXX8</t>
  </si>
  <si>
    <t>152169</t>
  </si>
  <si>
    <t>(_:'X*&gt;V0gB/`2F^8oJ7h:Nf@wR?pB</t>
  </si>
  <si>
    <t>000014917</t>
  </si>
  <si>
    <t>2502202601189171221500120015050000149175658032312</t>
  </si>
  <si>
    <t>5738</t>
  </si>
  <si>
    <t>ug+(LaSc}o30Ti[k&amp;w</t>
  </si>
  <si>
    <t>26/02/2026</t>
  </si>
  <si>
    <t>000014920</t>
  </si>
  <si>
    <t>2602202601189171221500120015050000149205658032313</t>
  </si>
  <si>
    <t>02XXXXXXX7</t>
  </si>
  <si>
    <t>124727</t>
  </si>
  <si>
    <t>JpXT*X\`Rx`\2`dhZ!hd:hl</t>
  </si>
  <si>
    <t>379</t>
  </si>
  <si>
    <t>000014921</t>
  </si>
  <si>
    <t>2602202601189171221500120015050000149215658032319</t>
  </si>
  <si>
    <t>@xhC3S0"H!pK;[8*P)xSCc@2X1![</t>
  </si>
  <si>
    <t>000014922</t>
  </si>
  <si>
    <t>2602202601189171221500120015050000149225658032314</t>
  </si>
  <si>
    <t>!jAKL3YB)rIST;aJ1zQ[\CiR9#YcdK</t>
  </si>
  <si>
    <t>27/02/2026</t>
  </si>
  <si>
    <t>000014928</t>
  </si>
  <si>
    <t>2702202601189171221500120015050000149285658032311</t>
  </si>
  <si>
    <t>17XXXXXXX9001</t>
  </si>
  <si>
    <t>152218</t>
  </si>
  <si>
    <t>kK#HG^]?sS+POfeG</t>
  </si>
  <si>
    <t>380</t>
  </si>
  <si>
    <t>000014929</t>
  </si>
  <si>
    <t>2702202601189171221500120015050000149295658032317</t>
  </si>
  <si>
    <t>148183</t>
  </si>
  <si>
    <t>SU%)P-XC[]-1X5`Kce59`=hSkm=</t>
  </si>
  <si>
    <t>000014930</t>
  </si>
  <si>
    <t>2702202601189171221500120015050000149305658032312</t>
  </si>
  <si>
    <t>151396</t>
  </si>
  <si>
    <t>z|*@yTsY#%2H"\{a+-:P*d$i3</t>
  </si>
  <si>
    <t>28/02/2026</t>
  </si>
  <si>
    <t>000014933</t>
  </si>
  <si>
    <t>2802202601189171221500120015050000149335658032313</t>
  </si>
  <si>
    <t>9}QBHu"cA&amp;YJP}*kI.aRX&amp;2sQ6iZ`.</t>
  </si>
  <si>
    <t>381</t>
  </si>
  <si>
    <t>000014870</t>
  </si>
  <si>
    <t>FACTURA CREDITO</t>
  </si>
  <si>
    <t>0502202601189171221500120015050000148705658032310</t>
  </si>
  <si>
    <t>906</t>
  </si>
  <si>
    <t>?b+*EoB&lt;Gj32MwJDOr;:U RLWzCB](</t>
  </si>
  <si>
    <t>CREDITO</t>
  </si>
  <si>
    <t>000014871</t>
  </si>
  <si>
    <t>0602202601189171221500120015050000148715658032310</t>
  </si>
  <si>
    <t>d9o^.736lAwf6?;&gt;tI n&gt;GCF|Q(vFO</t>
  </si>
  <si>
    <t>000014881</t>
  </si>
  <si>
    <t>1002202601189171221500120015050000148815658032311</t>
  </si>
  <si>
    <t>B&lt;j0|F@JJDr8%NHRRLz@-VPZZT#H5^</t>
  </si>
  <si>
    <t>000014882</t>
  </si>
  <si>
    <t>1002202601189171221500120015050000148825658032317</t>
  </si>
  <si>
    <t>m B59L:hu(J=ATBp}0REI\Jx&amp;8ZMQd</t>
  </si>
  <si>
    <t>000014893</t>
  </si>
  <si>
    <t>1802202601189171221500120015050000148935658032313</t>
  </si>
  <si>
    <t>HL+@\xP!PT3Hd!X)X\;Pl)`1`dCXt</t>
  </si>
  <si>
    <t>000014894</t>
  </si>
  <si>
    <t>1802202601189171221500120015050000148945658032319</t>
  </si>
  <si>
    <t>_!qK#d,ug)yS+l4}o1"[3t&lt;&amp;w9*c;|</t>
  </si>
  <si>
    <t>000014895</t>
  </si>
  <si>
    <t>1802202601189171221500120015050000148955658032314</t>
  </si>
  <si>
    <t>_%_aZ4Wzg-gib&lt;_#o5oqjDg+w=wyrL</t>
  </si>
  <si>
    <t>000014906</t>
  </si>
  <si>
    <t>2302202601189171221500120015050000149065658032313</t>
  </si>
  <si>
    <t>4Y9US$2n&lt;aA][,:vDiIec4B~LqQmk&lt;</t>
  </si>
  <si>
    <t>000014907</t>
  </si>
  <si>
    <t>2402202601189171221500120015050000149075658032313</t>
  </si>
  <si>
    <t>a2Ia;Pk?i:QiCXsGqBYqK`{OyJaySh</t>
  </si>
  <si>
    <t>000014912</t>
  </si>
  <si>
    <t>2502202601189171221500120015050000149125658032315</t>
  </si>
  <si>
    <t>X2IMV6p7`:QU^&gt;x?hBY]fF!GpJaenN</t>
  </si>
  <si>
    <t>000014913</t>
  </si>
  <si>
    <t>2502202601189171221500120015050000149135658032310</t>
  </si>
  <si>
    <t>46677</t>
  </si>
  <si>
    <t>C+&gt;f_1V(K3Fng9^</t>
  </si>
  <si>
    <t>000014914</t>
  </si>
  <si>
    <t>2502202601189171221500120015050000149145658032316</t>
  </si>
  <si>
    <t>18XXXXXXX7001</t>
  </si>
  <si>
    <t>6678</t>
  </si>
  <si>
    <t>EeU@dQ/ZMm]HlY7bUuePta?j]}mX|i</t>
  </si>
  <si>
    <t>000014918</t>
  </si>
  <si>
    <t>2502202601189171221500120015050000149185658032318</t>
  </si>
  <si>
    <t>L+%_tM8cT3-g|U@k\;5o%]HsdC=w-e</t>
  </si>
  <si>
    <t>000014919</t>
  </si>
  <si>
    <t>2502202601189171221500120015050000149195658032313</t>
  </si>
  <si>
    <t>9N&gt;&gt;M?_:AVFFUGgBI^NN]OoJQfVVeW</t>
  </si>
  <si>
    <t>000014923</t>
  </si>
  <si>
    <t>2702202601189171221500120015050000149235658032314</t>
  </si>
  <si>
    <t>_]'a\!PVge/id)X^om7ql1`fwu?yt9</t>
  </si>
  <si>
    <t>000014924</t>
  </si>
  <si>
    <t>2702202601189171221500120015050000149245658032311</t>
  </si>
  <si>
    <t>uF6B/}aY}N&gt;J7&amp;ia&amp;VFR?.qi.^NZG6</t>
  </si>
  <si>
    <t>000014925</t>
  </si>
  <si>
    <t>2702202601189171221500120015050000149255658032315</t>
  </si>
  <si>
    <t>s)QuPBw^{1Y}XJ f$9a&amp;`R(n,Ai.hZ</t>
  </si>
  <si>
    <t>000014926</t>
  </si>
  <si>
    <t>2702202601189171221500120015050000149265658032310</t>
  </si>
  <si>
    <t>G\PTGO_*OdX\OWg2Wl`dW_o:_thl_g</t>
  </si>
  <si>
    <t>000014927</t>
  </si>
  <si>
    <t>2702202601189171221500120015050000149275658032316</t>
  </si>
  <si>
    <t>+$b]N0I[3,jeV8Qc;4rm^@YkC&lt;zufH</t>
  </si>
  <si>
    <t>000014931</t>
  </si>
  <si>
    <t>2702202601189171221500120015050000149315658032318</t>
  </si>
  <si>
    <t>?=:e'(5EGEBm/0=MOMJu78EUWUR}?@</t>
  </si>
  <si>
    <t>000014932</t>
  </si>
  <si>
    <t>2702202601189171221500120015050000149325658032313</t>
  </si>
  <si>
    <t>&amp;/P"ZU[*.7X*b]c26?`2jek:&gt;Gh:rm</t>
  </si>
  <si>
    <t>TOTAL GENERAL:</t>
  </si>
  <si>
    <t>17626.15</t>
  </si>
  <si>
    <t>MAYOR</t>
  </si>
  <si>
    <t>DEVOLUCIÓN DE VENTAS</t>
  </si>
  <si>
    <t xml:space="preserve"> RepLibroDevolucionesGeneralCB</t>
  </si>
  <si>
    <t>ANULADA</t>
  </si>
  <si>
    <t>FECHA NC</t>
  </si>
  <si>
    <t>CODIGO</t>
  </si>
  <si>
    <t>N/C No.</t>
  </si>
  <si>
    <t>DEV. A FAC.</t>
  </si>
  <si>
    <t>FECHA FACT</t>
  </si>
  <si>
    <t>TOt FACT</t>
  </si>
  <si>
    <t>CEDULA</t>
  </si>
  <si>
    <t>COD CLI</t>
  </si>
  <si>
    <t>TRANSPORTE</t>
  </si>
  <si>
    <t>TOT. NC</t>
  </si>
  <si>
    <t>S/NOTA CR</t>
  </si>
  <si>
    <r>
      <rPr>
        <family val="2"/>
        <sz val="7"/>
        <rFont val="Arial"/>
      </rPr>
      <t>18/02/2026</t>
    </r>
  </si>
  <si>
    <t>MATRIZ</t>
  </si>
  <si>
    <t>000000194</t>
  </si>
  <si>
    <t>DEVOLUCION CONTADO</t>
  </si>
  <si>
    <t>1802202604189171221500120015050000001945658032312</t>
  </si>
  <si>
    <t>5*XBSUfB=2`J[]nJE:hRcevRMBpZk</t>
  </si>
  <si>
    <t>CUENTA</t>
  </si>
  <si>
    <t>NOMBRE</t>
  </si>
  <si>
    <t>N/M</t>
  </si>
  <si>
    <t>TIPO</t>
  </si>
  <si>
    <t>NO.</t>
  </si>
  <si>
    <t>DETALLE</t>
  </si>
  <si>
    <t>DEBITO</t>
  </si>
  <si>
    <t>04.01.01.01.0001</t>
  </si>
  <si>
    <t>VTAS RPTOS TOYOTA - CONTADO CON IVA</t>
  </si>
  <si>
    <t>N</t>
  </si>
  <si>
    <t>REPTO</t>
  </si>
  <si>
    <t>MOD. REPUESTOS REP01</t>
  </si>
  <si>
    <t>04.01.01.01.0003</t>
  </si>
  <si>
    <t>VTAS RPTOS TOYOTA - CREDITO CON IVA</t>
  </si>
  <si>
    <t>04.01.01.01.0005</t>
  </si>
  <si>
    <t>DESC VTAS RPTOS TOYOTA CONTADO  CON IVA</t>
  </si>
  <si>
    <t>04.01.01.01.0007</t>
  </si>
  <si>
    <t>DESC VTAS RPTOS TOYOTA CREDITO CON IVA</t>
  </si>
  <si>
    <t>04.01.01.01.0009</t>
  </si>
  <si>
    <t>DEVOL VTAS RPTOS TOYOTA CONTADO CON IVA</t>
  </si>
  <si>
    <t>Thu Mar 12 2026 17:46:54 GMT-0500 (hora de Ecuador)</t>
  </si>
  <si>
    <t>PEUR</t>
  </si>
  <si>
    <t>000000850</t>
  </si>
  <si>
    <t>002-505</t>
  </si>
  <si>
    <t>0602202601189171221500120025050000008505658032311</t>
  </si>
  <si>
    <t>137782</t>
  </si>
  <si>
    <t xml:space="preserve"> 4$Yl9,=(&lt;,atA4E0D4i|I&lt;M8L&lt;</t>
  </si>
  <si>
    <t>11</t>
  </si>
  <si>
    <t>403</t>
  </si>
  <si>
    <t>06</t>
  </si>
  <si>
    <t>000000853</t>
  </si>
  <si>
    <t>1102202601189171221500120025050000008535658032319</t>
  </si>
  <si>
    <t>18XXXXXXX6</t>
  </si>
  <si>
    <t>151990</t>
  </si>
  <si>
    <t>14mPoKe=9&lt;uXwSmEAD}` [uMIL&amp;h(c</t>
  </si>
  <si>
    <t>405</t>
  </si>
  <si>
    <t>000000855</t>
  </si>
  <si>
    <t>1302202601189171221500120025050000008555658032319</t>
  </si>
  <si>
    <t>08XXXXXXX7001</t>
  </si>
  <si>
    <t>152015</t>
  </si>
  <si>
    <t>H^U5`,?@Pf]=h4GHXneEp&lt;OP`vm</t>
  </si>
  <si>
    <t>407</t>
  </si>
  <si>
    <t>PER4</t>
  </si>
  <si>
    <t>000000856</t>
  </si>
  <si>
    <t>1302202601189171221500120025050000008565658032314</t>
  </si>
  <si>
    <t>11XXXXXXX2</t>
  </si>
  <si>
    <t>152022</t>
  </si>
  <si>
    <t>(;[h%lTY0Ccp-t\a8Kkx5|di@Ss!=</t>
  </si>
  <si>
    <t>000000858</t>
  </si>
  <si>
    <t>1902202601189171221500120025050000008585658032312</t>
  </si>
  <si>
    <t>152044</t>
  </si>
  <si>
    <t>3~, ]`av;'4(ehi~C/&lt;0mpq'K7D8ux</t>
  </si>
  <si>
    <t>409</t>
  </si>
  <si>
    <t>000000860</t>
  </si>
  <si>
    <t>2402202601189171221500120025050000008605658032314</t>
  </si>
  <si>
    <t>141696</t>
  </si>
  <si>
    <t>.DUAaOC]6L]IiWKe&gt;TeQq_SmF\mYyg</t>
  </si>
  <si>
    <t>411</t>
  </si>
  <si>
    <t>000000862</t>
  </si>
  <si>
    <t>2602202601189171221500120025050000008625658032314</t>
  </si>
  <si>
    <t>6284</t>
  </si>
  <si>
    <t>K1q#&lt;*8%S9y+D2@-[A"3L:H5cI*;TB</t>
  </si>
  <si>
    <t>413</t>
  </si>
  <si>
    <t>000000863</t>
  </si>
  <si>
    <t>2602202601189171221500120025050000008635658032311</t>
  </si>
  <si>
    <t>16XXXXXXX6</t>
  </si>
  <si>
    <t>128410</t>
  </si>
  <si>
    <t xml:space="preserve"> *NyNXU8(2V"V`]@0:^*^heH8Bf</t>
  </si>
  <si>
    <t>000000864</t>
  </si>
  <si>
    <t>2702202601189171221500120025050000008645658032311</t>
  </si>
  <si>
    <t>129316</t>
  </si>
  <si>
    <t>']jU,'aN/er]4/iV7mze&lt;7q^?u#mD?</t>
  </si>
  <si>
    <t>414</t>
  </si>
  <si>
    <t>000000851</t>
  </si>
  <si>
    <t>1002202601189171221500120025050000008515658032313</t>
  </si>
  <si>
    <t>03XXXXXXX5001</t>
  </si>
  <si>
    <t>136649</t>
  </si>
  <si>
    <t>o:!s.#@6wB){6+H&gt; J1$&gt;3PF(R</t>
  </si>
  <si>
    <t>404</t>
  </si>
  <si>
    <t>000000852</t>
  </si>
  <si>
    <t>1002202601189171221500120025050000008525658032319</t>
  </si>
  <si>
    <t>53088</t>
  </si>
  <si>
    <t>qVP{,xm.y^X$4!u6"f`,&lt;)}&gt;*n</t>
  </si>
  <si>
    <t>000000854</t>
  </si>
  <si>
    <t>1202202601189171221500120025050000008545658032319</t>
  </si>
  <si>
    <t>01XXXXXXX6001</t>
  </si>
  <si>
    <t>130044</t>
  </si>
  <si>
    <t>&amp;(#d#$^f.0+l+,fn683t34nv&gt;@;|;&lt;</t>
  </si>
  <si>
    <t>406</t>
  </si>
  <si>
    <t>000000857</t>
  </si>
  <si>
    <t>1802202601189171221500120025050000008575658032312</t>
  </si>
  <si>
    <t>2[=RT%R4:cEZ\-Z&lt;BkMbd5bDJs</t>
  </si>
  <si>
    <t>408</t>
  </si>
  <si>
    <t>000000859</t>
  </si>
  <si>
    <t>2302202601189171221500120025050000008595658032314</t>
  </si>
  <si>
    <t>56418</t>
  </si>
  <si>
    <t>wPu7FEH9 X}?NMPA(`&amp;GVUXI0h.O^]</t>
  </si>
  <si>
    <t>410</t>
  </si>
  <si>
    <t>000000861</t>
  </si>
  <si>
    <t>2502202601189171221500120025050000008615658032314</t>
  </si>
  <si>
    <t>17XXXXXXX7001</t>
  </si>
  <si>
    <t>125687</t>
  </si>
  <si>
    <t>W'1-o.32_/95w6;:g7A= &gt;CBo?IE(F</t>
  </si>
  <si>
    <t>412</t>
  </si>
  <si>
    <t>000000865</t>
  </si>
  <si>
    <t>2702202601189171221500120025050000008655658032315</t>
  </si>
  <si>
    <t>&amp;!$VP,@D.),^X4HL614f`&lt;PT&gt;9</t>
  </si>
  <si>
    <t>000000866</t>
  </si>
  <si>
    <t>2702202601189171221500120025050000008665658032310</t>
  </si>
  <si>
    <t>,t`dkm4C4|hlsu&lt;K&lt;%pt{}DSD-x|$&amp;</t>
  </si>
  <si>
    <t>8</t>
  </si>
  <si>
    <t>000000867</t>
  </si>
  <si>
    <t>2702202601189171221500120025050000008675658032316</t>
  </si>
  <si>
    <t>wC&gt;x51o$ KF!=9w,(SN)EA 40[V1MI</t>
  </si>
  <si>
    <t>15666.44</t>
  </si>
  <si>
    <r>
      <rPr>
        <family val="2"/>
        <sz val="7"/>
        <rFont val="Arial"/>
      </rPr>
      <t>04/02/2026</t>
    </r>
  </si>
  <si>
    <t>PEUGEOT</t>
  </si>
  <si>
    <t>000000038</t>
  </si>
  <si>
    <t>000000849</t>
  </si>
  <si>
    <t>0402202604189171221500120025050000000385658032317</t>
  </si>
  <si>
    <t>v!E736hR~)M?;&gt;pZ'1UGCFxb/9]</t>
  </si>
  <si>
    <t>402</t>
  </si>
  <si>
    <t>04.01.01.03.0001</t>
  </si>
  <si>
    <t>VTAS RPTOS PEUGEOT - CONTADO CON IVA</t>
  </si>
  <si>
    <t>MOD. REPUESTOS REP06</t>
  </si>
  <si>
    <t>04.01.01.03.0003</t>
  </si>
  <si>
    <t>VTAS RPTOS PEUGEOT - CREDITO CON IVA</t>
  </si>
  <si>
    <t>04.01.01.03.0005</t>
  </si>
  <si>
    <t>DESC VTAS RPTOS PEUGEOT CONTADO  CON IVA</t>
  </si>
  <si>
    <t>04.01.01.03.0007</t>
  </si>
  <si>
    <t>DESC VTAS RPTOS PEUGEOT CREDITO CON IVA</t>
  </si>
  <si>
    <t>04.01.01.03.0009</t>
  </si>
  <si>
    <t>DEVOL VTAS RPTOS PEUGEOT CONTADO CON IVA</t>
  </si>
  <si>
    <t>Thu Mar 12 2026 17:46:58 GMT-0500 (hora de Ecuador)</t>
  </si>
  <si>
    <t>CHAR</t>
  </si>
  <si>
    <t>000000677</t>
  </si>
  <si>
    <t>005-505</t>
  </si>
  <si>
    <t>0302202601189171221500120055050000006775658032314</t>
  </si>
  <si>
    <t>110121</t>
  </si>
  <si>
    <t>HkW];+64Ps_eC3&gt;&lt;X{gmK;FD`$ouSC</t>
  </si>
  <si>
    <t>23</t>
  </si>
  <si>
    <t>415</t>
  </si>
  <si>
    <t>05</t>
  </si>
  <si>
    <t>000000678</t>
  </si>
  <si>
    <t>0302202601189171221500120055050000006785658032311</t>
  </si>
  <si>
    <t>16XXXXXXX2</t>
  </si>
  <si>
    <t>151382</t>
  </si>
  <si>
    <t>qI6zBBeByQ&gt;#JJmJ"YF+RRuR*</t>
  </si>
  <si>
    <t>000000679</t>
  </si>
  <si>
    <t>0302202601189171221500120055050000006795658032315</t>
  </si>
  <si>
    <t>05XXXXXXX6001</t>
  </si>
  <si>
    <t>151304</t>
  </si>
  <si>
    <t>B*[yk=ccJ2c"sEkkR:k*{MssZBs2$U</t>
  </si>
  <si>
    <t>000000680</t>
  </si>
  <si>
    <t>0302202601189171221500120055050000006805658032310</t>
  </si>
  <si>
    <t>118812</t>
  </si>
  <si>
    <t>/L,OTNIO7T4W\VQW?\&lt;_d^Y_GdDg</t>
  </si>
  <si>
    <t>000000681</t>
  </si>
  <si>
    <t>0502202601189171221500120055050000006815658032315</t>
  </si>
  <si>
    <t>14XXXXXXX3001</t>
  </si>
  <si>
    <t>132886</t>
  </si>
  <si>
    <t>,;Ff`l7E4CNnht?M&lt;KVvp|GUDS^</t>
  </si>
  <si>
    <t>416</t>
  </si>
  <si>
    <t>000000682</t>
  </si>
  <si>
    <t>0602202601189171221500120055050000006825658032315</t>
  </si>
  <si>
    <t>17XXXXXXX0</t>
  </si>
  <si>
    <t>119817</t>
  </si>
  <si>
    <t>7$J1]?eX?,R9eGm`G4ZAmOuhO&lt;bI</t>
  </si>
  <si>
    <t>417</t>
  </si>
  <si>
    <t>000000683</t>
  </si>
  <si>
    <t>0602202601189171221500120055050000006835658032310</t>
  </si>
  <si>
    <t>05XXXXXXX7</t>
  </si>
  <si>
    <t>137438</t>
  </si>
  <si>
    <t>[5L(V[dFc=T0^clNkE\8fktVsMd@ns</t>
  </si>
  <si>
    <t>000000685</t>
  </si>
  <si>
    <t>1102202601189171221500120055050000006855658032312</t>
  </si>
  <si>
    <t>17XXXXXXX3001</t>
  </si>
  <si>
    <t>142594</t>
  </si>
  <si>
    <t>68~]&gt;/BW&gt;@'eF7J_FH/mN?RgNP7uVG</t>
  </si>
  <si>
    <t>418</t>
  </si>
  <si>
    <t>000000686</t>
  </si>
  <si>
    <t>1802202601189171221500120055050000006865658032311</t>
  </si>
  <si>
    <t>152057</t>
  </si>
  <si>
    <t>Pd1F%oNgXl9N-wVo`tAV5 ^wh|I^=(</t>
  </si>
  <si>
    <t>419</t>
  </si>
  <si>
    <t>000000684</t>
  </si>
  <si>
    <t>1102202601189171221500120055050000006845658032317</t>
  </si>
  <si>
    <t>10XXXXXXX3001</t>
  </si>
  <si>
    <t>60115</t>
  </si>
  <si>
    <t>LrC#QGTsTzK+YO\{\#S3aWd$d+[;i_</t>
  </si>
  <si>
    <t>1785.46</t>
  </si>
  <si>
    <t>EST.</t>
  </si>
  <si>
    <t>REFER</t>
  </si>
  <si>
    <t>04.01.01.02.0001</t>
  </si>
  <si>
    <t>VTAS RPTOS CHANGAN - CONTADO CON IVA</t>
  </si>
  <si>
    <t>MOD. REPUESTOS REP05</t>
  </si>
  <si>
    <t>04.01.01.02.0003</t>
  </si>
  <si>
    <t>VTAS RPTOS CHANGAN - CREDITO CON IVA</t>
  </si>
  <si>
    <t>04.01.01.02.0005</t>
  </si>
  <si>
    <t>DESC VTAS RPTOS CHANGAN CONTADO  CON IVA</t>
  </si>
  <si>
    <t>Thu Mar 12 2026 17:47:02 GMT-0500 (hora de Ecuador)</t>
  </si>
  <si>
    <t>SUZR</t>
  </si>
  <si>
    <t>000001289</t>
  </si>
  <si>
    <t>006-505</t>
  </si>
  <si>
    <t>0202202601189171221500120065050000012895658032314</t>
  </si>
  <si>
    <t>17XXXXXXX1</t>
  </si>
  <si>
    <t>151799</t>
  </si>
  <si>
    <t xml:space="preserve">$TI_?g`c,\QgGohk4dYoOwps&lt;lawW </t>
  </si>
  <si>
    <t>32</t>
  </si>
  <si>
    <t>382</t>
  </si>
  <si>
    <t>07</t>
  </si>
  <si>
    <t>000001290</t>
  </si>
  <si>
    <t>0302202601189171221500120065050000012905658032314</t>
  </si>
  <si>
    <t>151797</t>
  </si>
  <si>
    <t>s,5dIc['{4=lQkc/$&lt;EtYsk7,DM</t>
  </si>
  <si>
    <t>383</t>
  </si>
  <si>
    <t>000001291</t>
  </si>
  <si>
    <t>0302202601189171221500120065050000012915658032311</t>
  </si>
  <si>
    <t>17XXXXXXX2</t>
  </si>
  <si>
    <t>151449</t>
  </si>
  <si>
    <t>v0a'f&amp;/:~8i/n.7B'@q7v6?J</t>
  </si>
  <si>
    <t>000001292</t>
  </si>
  <si>
    <t>0302202601189171221500120065050000012925658032315</t>
  </si>
  <si>
    <t>05XXXXXXX0001</t>
  </si>
  <si>
    <t>134734</t>
  </si>
  <si>
    <t>G%D;eZZ9O-LCmbbAW5TKujjI_=\S}r</t>
  </si>
  <si>
    <t>000001293</t>
  </si>
  <si>
    <t>0302202601189171221500120065050000012935658032310</t>
  </si>
  <si>
    <t>148977</t>
  </si>
  <si>
    <t>IC }eb*wQK(&amp;mj2 YS0.ur:(a[8</t>
  </si>
  <si>
    <t>000001294</t>
  </si>
  <si>
    <t>0302202601189171221500120065050000012945658032316</t>
  </si>
  <si>
    <t>17XXXXXXX3</t>
  </si>
  <si>
    <t>151667</t>
  </si>
  <si>
    <t>!(&amp;.6. @)0.6&gt;6(H186&gt;F&gt;0P9@&gt;FNF</t>
  </si>
  <si>
    <t>000001295</t>
  </si>
  <si>
    <t>0302202601189171221500120065050000012955658032311</t>
  </si>
  <si>
    <t>127159</t>
  </si>
  <si>
    <t>jhCcN6&amp;UrpKkV&gt;.]zxSs^F6e#![{</t>
  </si>
  <si>
    <t>SZRR</t>
  </si>
  <si>
    <t>000000247</t>
  </si>
  <si>
    <t>007-505</t>
  </si>
  <si>
    <t>0402202601189171221500120075050000002475658032311</t>
  </si>
  <si>
    <t>06XXXXXXX0</t>
  </si>
  <si>
    <t>151829</t>
  </si>
  <si>
    <t>WBsS|H;s_J{[%PC{gR$c-XK$oZ,</t>
  </si>
  <si>
    <t>384</t>
  </si>
  <si>
    <t>08</t>
  </si>
  <si>
    <t>000000248</t>
  </si>
  <si>
    <t>0402202601189171221500120075050000002485658032317</t>
  </si>
  <si>
    <t>06XXXXXXX3001</t>
  </si>
  <si>
    <t>151865</t>
  </si>
  <si>
    <t>&amp;;?@TF/D.CGH\N7L6KOPdV?T&gt;SWXl^</t>
  </si>
  <si>
    <t>000001296</t>
  </si>
  <si>
    <t>0402202601189171221500120065050000012965658032311</t>
  </si>
  <si>
    <t>16XXXXXXX0</t>
  </si>
  <si>
    <t>151732</t>
  </si>
  <si>
    <t>b!y|((__j)"%00ggr1*-88ooz92</t>
  </si>
  <si>
    <t>000001297</t>
  </si>
  <si>
    <t>0402202601189171221500120065050000012975658032317</t>
  </si>
  <si>
    <t>138108</t>
  </si>
  <si>
    <t>I}h15YHpQ&amp;p9=aPxY.xAEiX!a6!I</t>
  </si>
  <si>
    <t>21</t>
  </si>
  <si>
    <t>000001298</t>
  </si>
  <si>
    <t>0402202601189171221500120065050000012985658032312</t>
  </si>
  <si>
    <t>22XXXXXXX4001</t>
  </si>
  <si>
    <t>147121</t>
  </si>
  <si>
    <t>h|Z&gt;*Cqxp%bF2Ky!x-jN:S")!5rVB</t>
  </si>
  <si>
    <t>000000249</t>
  </si>
  <si>
    <t>0402202601189171221500120075050000002495658032312</t>
  </si>
  <si>
    <t>151875</t>
  </si>
  <si>
    <t>+2|`|[sT3:%h%c{\;B-p-k$dC</t>
  </si>
  <si>
    <t>000001299</t>
  </si>
  <si>
    <t>0402202601189171221500120065050000012995658032318</t>
  </si>
  <si>
    <t>151882</t>
  </si>
  <si>
    <t>0OS9,D:F8W[A4LBN@_cI&lt;TJVHgkQD\</t>
  </si>
  <si>
    <t>000001300</t>
  </si>
  <si>
    <t>0602202601189171221500120065050000013005658032310</t>
  </si>
  <si>
    <t>16XXXXXXX7001</t>
  </si>
  <si>
    <t>134445</t>
  </si>
  <si>
    <t>S]&lt;hB9RU[eDpJAZ]cmLxRIbe</t>
  </si>
  <si>
    <t>385</t>
  </si>
  <si>
    <t>000001301</t>
  </si>
  <si>
    <t>0602202601189171221500120065050000013015658032316</t>
  </si>
  <si>
    <t>151895</t>
  </si>
  <si>
    <t>Tay$\bYN\i",djaVdq*4lri^ly2&lt;t</t>
  </si>
  <si>
    <t>000000250</t>
  </si>
  <si>
    <t>0702202601189171221500120075050000002505658032311</t>
  </si>
  <si>
    <t>02XXXXXXX8</t>
  </si>
  <si>
    <t>137400</t>
  </si>
  <si>
    <t>zAf+SpEO#In3[xMW+Qv;c!U_3</t>
  </si>
  <si>
    <t>386</t>
  </si>
  <si>
    <t>000001302</t>
  </si>
  <si>
    <t>0902202601189171221500120065050000013025658032315</t>
  </si>
  <si>
    <t>142673</t>
  </si>
  <si>
    <t>1j$vrbx:9r,~zj!BAz4'#r)JI#&lt;/+z</t>
  </si>
  <si>
    <t>387</t>
  </si>
  <si>
    <t>000001303</t>
  </si>
  <si>
    <t>0902202601189171221500120065050000013035658032310</t>
  </si>
  <si>
    <t>127431</t>
  </si>
  <si>
    <t>FAbYi~arNIjaq'izVQriy/q#^Yz</t>
  </si>
  <si>
    <t>000000251</t>
  </si>
  <si>
    <t>0902202601189171221500120075050000002515658032316</t>
  </si>
  <si>
    <t>151951</t>
  </si>
  <si>
    <t>jd_CSy8YrlgK["@aztoSc*Hi#|w[</t>
  </si>
  <si>
    <t>000001304</t>
  </si>
  <si>
    <t>1002202601189171221500120065050000013045658032319</t>
  </si>
  <si>
    <t>135939</t>
  </si>
  <si>
    <t>/eFc!H`%7mNk)Ph-?uVs1Xp5G}</t>
  </si>
  <si>
    <t>388</t>
  </si>
  <si>
    <t>000001305</t>
  </si>
  <si>
    <t>1002202601189171221500120065050000013055658032314</t>
  </si>
  <si>
    <t>151964</t>
  </si>
  <si>
    <t>,E`%G7h]4Mh-O?pe&lt;Up5WGxmD]x=_</t>
  </si>
  <si>
    <t>000001306</t>
  </si>
  <si>
    <t>1102202601189171221500120065050000013065658032314</t>
  </si>
  <si>
    <t>151985</t>
  </si>
  <si>
    <t>.GC'%FEB6OK/-NMJ&gt;WS75VURF</t>
  </si>
  <si>
    <t>389</t>
  </si>
  <si>
    <t>000001307</t>
  </si>
  <si>
    <t>1202202601189171221500120065050000013075658032314</t>
  </si>
  <si>
    <t>126993</t>
  </si>
  <si>
    <t>oYtB7\0pwa|J?d8x i%RGl@!(q-Z</t>
  </si>
  <si>
    <t>390</t>
  </si>
  <si>
    <t>000001308</t>
  </si>
  <si>
    <t>1202202601189171221500120065050000013085658032311</t>
  </si>
  <si>
    <t>06XXXXXXX8</t>
  </si>
  <si>
    <t>151996</t>
  </si>
  <si>
    <t>FCyBHPZhNK"JPXbpVS*RX`jx^[2Z`h</t>
  </si>
  <si>
    <t>14/02/2026</t>
  </si>
  <si>
    <t>000001309</t>
  </si>
  <si>
    <t>1402202601189171221500120065050000013095658032314</t>
  </si>
  <si>
    <t>136004</t>
  </si>
  <si>
    <t>\?w$ZE\ldG ,bMdtlO(4jUl|tW0&lt;</t>
  </si>
  <si>
    <t>392</t>
  </si>
  <si>
    <t>000001310</t>
  </si>
  <si>
    <t>1402202601189171221500120065050000013105658032311</t>
  </si>
  <si>
    <t>151137</t>
  </si>
  <si>
    <t>&amp;cB?(Aww.kJG0I  6sRO8Q((&gt;{</t>
  </si>
  <si>
    <t>000000253</t>
  </si>
  <si>
    <t>1802202601189171221500120075050000002535658032316</t>
  </si>
  <si>
    <t>06XXXXXXX2</t>
  </si>
  <si>
    <t>151903</t>
  </si>
  <si>
    <t>3l$n=\gD;t,vEdoLC|4~MlwTK</t>
  </si>
  <si>
    <t>7</t>
  </si>
  <si>
    <t>393</t>
  </si>
  <si>
    <t>000000254</t>
  </si>
  <si>
    <t>1802202601189171221500120075050000002545658032311</t>
  </si>
  <si>
    <t>06XXXXXXX4</t>
  </si>
  <si>
    <t>151904</t>
  </si>
  <si>
    <t>7ITep\oX?Q\mxdw`GYdu!l hOa</t>
  </si>
  <si>
    <t>12</t>
  </si>
  <si>
    <t>000001311</t>
  </si>
  <si>
    <t>1802202601189171221500120065050000013115658032313</t>
  </si>
  <si>
    <t>02XXXXXXX6</t>
  </si>
  <si>
    <t>140903</t>
  </si>
  <si>
    <t>f5Vq3+??n=^y;3GGvEf"C;OO~Mn*</t>
  </si>
  <si>
    <t>5</t>
  </si>
  <si>
    <t>000001312</t>
  </si>
  <si>
    <t>1802202601189171221500120065050000013125658032319</t>
  </si>
  <si>
    <t>143912</t>
  </si>
  <si>
    <t>l\R-7%|*tdZ5?-%2|lb=G5-:%tjEO=</t>
  </si>
  <si>
    <t>000001314</t>
  </si>
  <si>
    <t>2102202601189171221500120065050000013145658032311</t>
  </si>
  <si>
    <t>`07p*+\rh8?x23dzp@G!:;l#xHO</t>
  </si>
  <si>
    <t>395</t>
  </si>
  <si>
    <t>000001315</t>
  </si>
  <si>
    <t>2302202601189171221500120065050000013155658032316</t>
  </si>
  <si>
    <t>02XXXXXXX1</t>
  </si>
  <si>
    <t>152121</t>
  </si>
  <si>
    <t>HJnqOT2vPRvyW\:~XZ~"_dB'`b'*gl</t>
  </si>
  <si>
    <t>396</t>
  </si>
  <si>
    <t>000001317</t>
  </si>
  <si>
    <t>2402202601189171221500120065050000013175658032311</t>
  </si>
  <si>
    <t>fU&lt;u7\2in]D}?d:qveL&amp;GlBy~mT.Ot</t>
  </si>
  <si>
    <t>397</t>
  </si>
  <si>
    <t>000001318</t>
  </si>
  <si>
    <t>2502202601189171221500120065050000013185658032311</t>
  </si>
  <si>
    <t>152144</t>
  </si>
  <si>
    <t>Dwt;$LcUL |C,Tk]T(%K4\se\0-S&lt;d</t>
  </si>
  <si>
    <t>398</t>
  </si>
  <si>
    <t>000001319</t>
  </si>
  <si>
    <t>2602202601189171221500120065050000013195658032311</t>
  </si>
  <si>
    <t>140993</t>
  </si>
  <si>
    <t>D%g]Sdz+L-oe[l#3T5wmct+;\= uk|</t>
  </si>
  <si>
    <t>399</t>
  </si>
  <si>
    <t>000001321</t>
  </si>
  <si>
    <t>2602202601189171221500120065050000013215658032312</t>
  </si>
  <si>
    <t>VPx&lt;zrWs^X!D#z_{f`)L+#g$nh1T</t>
  </si>
  <si>
    <t>000001322</t>
  </si>
  <si>
    <t>2602202601189171221500120065050000013225658032318</t>
  </si>
  <si>
    <t>146068</t>
  </si>
  <si>
    <t>a#&gt;Y?*?di+FaG2Glq3N</t>
  </si>
  <si>
    <t>000001324</t>
  </si>
  <si>
    <t>2802202601189171221500120065050000013245658032318</t>
  </si>
  <si>
    <t>135925</t>
  </si>
  <si>
    <t>9p`J@34DAxhRH;&lt;LI!pZPCDTQ)xbX</t>
  </si>
  <si>
    <t>401</t>
  </si>
  <si>
    <t>000001325</t>
  </si>
  <si>
    <t>2802202601189171221500120065050000013255658032313</t>
  </si>
  <si>
    <t>18XXXXXXX2001</t>
  </si>
  <si>
    <t>38567</t>
  </si>
  <si>
    <t>)!|lTLW_1)%t\T_g91-|d\goA95%l</t>
  </si>
  <si>
    <t>000000244</t>
  </si>
  <si>
    <t>0202202601189171221500120075050000002445658032316</t>
  </si>
  <si>
    <t>28101</t>
  </si>
  <si>
    <t>!Cc6{W(=)Kk&gt;$_0E1SsF,g</t>
  </si>
  <si>
    <t>000000245</t>
  </si>
  <si>
    <t>0302202601189171221500120075050000002455658032316</t>
  </si>
  <si>
    <t>35519</t>
  </si>
  <si>
    <t>87SP7C,T@?[X?K4\HGc`GS&lt;dPOkhO[</t>
  </si>
  <si>
    <t>000000246</t>
  </si>
  <si>
    <t>0402202601189171221500120075050000002465658032316</t>
  </si>
  <si>
    <t>f@T*fj/ZnH\2nr7bvPd:vz?j~XlB~#</t>
  </si>
  <si>
    <t>000000252</t>
  </si>
  <si>
    <t>1102202601189171221500120075050000002525658032319</t>
  </si>
  <si>
    <t>5~R-tPGI='Z5|XOQE/b=%`</t>
  </si>
  <si>
    <t>000001313</t>
  </si>
  <si>
    <t>1902202601189171221500120065050000013135658032319</t>
  </si>
  <si>
    <t>131041</t>
  </si>
  <si>
    <t>\p`7GRH]dxh?OZPel!pGWbXmt)xO_j</t>
  </si>
  <si>
    <t>13</t>
  </si>
  <si>
    <t>394</t>
  </si>
  <si>
    <t>000000255</t>
  </si>
  <si>
    <t>2402202601189171221500120075050000002555658032312</t>
  </si>
  <si>
    <t>0"|wr3T"8*% z;\*@2-(#Cd2H:50+K</t>
  </si>
  <si>
    <t>000001316</t>
  </si>
  <si>
    <t>2402202601189171221500120065050000013165658032316</t>
  </si>
  <si>
    <t>&amp;3*c_F'].;2kgN/e6C:soV7m&gt;KB{w^</t>
  </si>
  <si>
    <t>000001320</t>
  </si>
  <si>
    <t>2602202601189171221500120065050000013205658032317</t>
  </si>
  <si>
    <t>(:jOg'`a0BrWo/hi8Jz_w7pq@R#g ?</t>
  </si>
  <si>
    <t>000001323</t>
  </si>
  <si>
    <t>2702202601189171221500120065050000013235658032318</t>
  </si>
  <si>
    <t>2`2*ZZ"&gt;:h:2bb*FBpB:jj2NJxJBrr</t>
  </si>
  <si>
    <t>400</t>
  </si>
  <si>
    <t>12374.95</t>
  </si>
  <si>
    <r>
      <rPr>
        <family val="2"/>
        <sz val="7"/>
        <rFont val="Arial"/>
      </rPr>
      <t>11/02/2026</t>
    </r>
  </si>
  <si>
    <t>SUZUKI RIOBAMBA</t>
  </si>
  <si>
    <t>000000003</t>
  </si>
  <si>
    <t>DEVOLUCION CREDITO</t>
  </si>
  <si>
    <t>1102202604189171221500120075050000000035658032313</t>
  </si>
  <si>
    <t>(v|y*V=(0~%"2^E08'-*:f</t>
  </si>
  <si>
    <r>
      <rPr>
        <family val="2"/>
        <sz val="7"/>
        <rFont val="Arial"/>
      </rPr>
      <t>13/02/2026</t>
    </r>
  </si>
  <si>
    <t>SUZUKI AMBATO</t>
  </si>
  <si>
    <t>000000024</t>
  </si>
  <si>
    <t>1302202604189171221500120065050000000245658032311</t>
  </si>
  <si>
    <t>[Bp|&amp;zeLcJx%.#mTkR!-6+u\sZ)</t>
  </si>
  <si>
    <t>391</t>
  </si>
  <si>
    <t>04.01.01.04.0001</t>
  </si>
  <si>
    <t>VTAS RPTOS SUZUKI - CONTADO CON IVA</t>
  </si>
  <si>
    <t>MOD. REPUESTOS REP07</t>
  </si>
  <si>
    <t>MOD. REPUESTOS REP08</t>
  </si>
  <si>
    <t>04.01.01.04.0003</t>
  </si>
  <si>
    <t>VTAS RPTOS SUZUKI - CREDITO CON IVA</t>
  </si>
  <si>
    <t>04.01.01.04.0005</t>
  </si>
  <si>
    <t>DESC VTAS RPTOS SUZUKI CONTADO  CON IVA</t>
  </si>
  <si>
    <t>04.01.01.04.0007</t>
  </si>
  <si>
    <t>DESC VTAS RPTOS SUZUKI CREDITO CON IVA</t>
  </si>
  <si>
    <t>04.01.01.04.0009</t>
  </si>
  <si>
    <t>DEVOL VTAS RPTOS SUZUKI CONTADO CON IVA</t>
  </si>
  <si>
    <t>04.01.01.04.0011</t>
  </si>
  <si>
    <t>DEVOL VTAS RPTOS SUZUKI CREDITO CON IVA</t>
  </si>
  <si>
    <t>02.01.06.01.0018</t>
  </si>
  <si>
    <t>15% IVA</t>
  </si>
  <si>
    <t>CP</t>
  </si>
  <si>
    <t>FE CENTRO DE SERVICIOS COMPART 000000933</t>
  </si>
  <si>
    <t>FE CUNALATA VILLACIS HOLGER RA 000001371</t>
  </si>
  <si>
    <t>FE CUNALATA VILLACIS HOLGER RA 000001372</t>
  </si>
  <si>
    <t>FE ETL-EC AUDITORES S.A. 000007437</t>
  </si>
  <si>
    <t>FE NUNEZ NUNEZ OSCAR VINICIO 000000272</t>
  </si>
  <si>
    <t>FE NUNEZ NUNEZ OSCAR VINICIO 000000273</t>
  </si>
  <si>
    <t>FE NUNEZ NUNEZ OSCAR VINICIO 000000274</t>
  </si>
  <si>
    <t>FE NUNEZ NUNEZ OSCAR VINICIO 000000275</t>
  </si>
  <si>
    <t>FE COMERCIAL KYWI S.A. 000731914</t>
  </si>
  <si>
    <t>FE MERA VASQUEZ NELLY MAGDALEN 000000079</t>
  </si>
  <si>
    <t>FE SOLUCIONES INTEGRALES DE CO 000043826</t>
  </si>
  <si>
    <t>FE CARLARSERVICE CIA. LTDA 000000453</t>
  </si>
  <si>
    <t>FE CARLARSERVICE CIA. LTDA 000000455</t>
  </si>
  <si>
    <t>FE CARLARSERVICE CIA. LTDA 000000458</t>
  </si>
  <si>
    <t>LC SILVA MESIAS GRACIELA ELIZA 000000236</t>
  </si>
  <si>
    <t>FE ARELLANO YEPEZ ANDRES FERNA 000007372</t>
  </si>
  <si>
    <t>FE ASEGURADORA DEL SUR C.A. 000050847</t>
  </si>
  <si>
    <t>FE AVIAUTO REPRESENTACIONES IN 000027468</t>
  </si>
  <si>
    <t>FE CAMARA DE COMERCIO DE AMBAT 000020999</t>
  </si>
  <si>
    <t>FE CASTRO MORALES OMAR VLADIMI 000002707</t>
  </si>
  <si>
    <t>FE INDUSTRIAL Y COMERCIAL CAST 000239007</t>
  </si>
  <si>
    <t>FE INDUSTRIAL Y COMERCIAL CAST 000239009</t>
  </si>
  <si>
    <t>FE SERVIENTREGA ECUADOR S.A 000131726</t>
  </si>
  <si>
    <t>FE SUAREZ JACOME DOLORES FERNA 000005597</t>
  </si>
  <si>
    <t>FE SUAREZ JACOME DOLORES FERNA 000005604</t>
  </si>
  <si>
    <t>FE SUAREZ JACOME DOLORES FERNA 000005605</t>
  </si>
  <si>
    <t>FE CORP. NAC.DE TELECOMUNICACI 246230522</t>
  </si>
  <si>
    <t>FE CORP. NAC.DE TELECOMUNICACI 246230524</t>
  </si>
  <si>
    <t>FE OTECEL S.A. 123408242</t>
  </si>
  <si>
    <t>FE S.C. TAMAYO MOYA 001197664</t>
  </si>
  <si>
    <t>FE S.C. TAMAYO MOYA 001197666</t>
  </si>
  <si>
    <t>FE S.C. TAMAYO MOYA 001197860</t>
  </si>
  <si>
    <t>FE S.C. TAMAYO MOYA 001198760</t>
  </si>
  <si>
    <t>FE S.C. TAMAYO MOYA 001198761</t>
  </si>
  <si>
    <t>FE S.C. TAMAYO MOYA 001200311</t>
  </si>
  <si>
    <t>FE S.C. TAMAYO MOYA 001200468</t>
  </si>
  <si>
    <t>FE S.C. TAMAYO MOYA 001200806</t>
  </si>
  <si>
    <t>FE S.C. TAMAYO MOYA 001200859</t>
  </si>
  <si>
    <t>FE S.C. TAMAYO MOYA 001200860</t>
  </si>
  <si>
    <t>FE S.C. TAMAYO MOYA 001204992</t>
  </si>
  <si>
    <t>FE S.C. TAMAYO MOYA 001208700</t>
  </si>
  <si>
    <t>FE S.C. TAMAYO MOYA 001208701</t>
  </si>
  <si>
    <t>FE S.C. TAMAYO MOYA 001602596</t>
  </si>
  <si>
    <t>FE S.C. TAMAYO MOYA 001604570</t>
  </si>
  <si>
    <t>LC LEMA QUINZO LUIS FERNANDO 000000238</t>
  </si>
  <si>
    <t>LC SILVA MESIAS GRACIELA ELIZA 000000237</t>
  </si>
  <si>
    <t>LC TUSTON HIDALGO CARLOS HERNA 000000239</t>
  </si>
  <si>
    <t>FE S.C. TAMAYO MOYA 001209772</t>
  </si>
  <si>
    <t>FE S.C. TAMAYO MOYA 001209773</t>
  </si>
  <si>
    <t>FE CA CONSULTING S.C. 000000051</t>
  </si>
  <si>
    <t>FE PANGOL LASCANO ALBERTO MAUR 000000318</t>
  </si>
  <si>
    <t>NE COMPUMATICA CIA. LTDA. 000000005</t>
  </si>
  <si>
    <t>FE BACLT INMOBILIARIA S.A.S. 000000198</t>
  </si>
  <si>
    <t>FE BACLT INMOBILIARIA S.A.S. 000000199</t>
  </si>
  <si>
    <t>FE CARLARSERVICE CIA. LTDA 000000450</t>
  </si>
  <si>
    <t>FE CORPORACION DE ELITE OCUPAC 000000108</t>
  </si>
  <si>
    <t>FE MEGAWATT-ECUADOR S.A. 000001769</t>
  </si>
  <si>
    <t>FE PAEZ ORTIZ CHRISTIAN GONZAL 000003606</t>
  </si>
  <si>
    <t>FE PAEZ ORTIZ CHRISTIAN GONZAL 000003614</t>
  </si>
  <si>
    <t>FE SOLUCIONES INTEGRALES DE CO 000043598</t>
  </si>
  <si>
    <t>FE VIZUETE MATA ZOILA TERESA 000000003</t>
  </si>
  <si>
    <t>INVEN</t>
  </si>
  <si>
    <t>IN SZK DEL ECUADOR S.A. 000005531</t>
  </si>
  <si>
    <t>IN SZK DEL ECUADOR S.A. 000005537</t>
  </si>
  <si>
    <t>IN SZK DEL ECUADOR S.A. 000005542</t>
  </si>
  <si>
    <t>IN SZK DEL ECUADOR S.A. 000005543</t>
  </si>
  <si>
    <t>IN SZK DEL ECUADOR S.A. 000007907</t>
  </si>
  <si>
    <t>IN LUBRIMEX CIA.LTDA. 000008258</t>
  </si>
  <si>
    <t>IN SZK DEL ECUADOR S.A. 000007915</t>
  </si>
  <si>
    <t>IN CASABACA S.A 000086165</t>
  </si>
  <si>
    <t>IN CASABACA S.A 000086176</t>
  </si>
  <si>
    <t>IN REINOSO SALAS YAJAIRA CAROLINA 000000133</t>
  </si>
  <si>
    <t>IN SOLIS SOLIS MARCO VINICIO 000002852</t>
  </si>
  <si>
    <t>IN VARGAS TORRES WALTTER DARIO 000031861</t>
  </si>
  <si>
    <t>IN LADERCORPORATION S.A.S. 000005404</t>
  </si>
  <si>
    <t>IN SZK DEL ECUADOR S.A. 000005552</t>
  </si>
  <si>
    <t>IN SZK DEL ECUADOR S.A. 000005556</t>
  </si>
  <si>
    <t>IN SZK DEL ECUADOR S.A. 000005554</t>
  </si>
  <si>
    <t>IN SZK DEL ECUADOR S.A. 000005557</t>
  </si>
  <si>
    <t>IN SZK DEL ECUADOR S.A. 000007920</t>
  </si>
  <si>
    <t>IN SZK DEL ECUADOR S.A. 000007925</t>
  </si>
  <si>
    <t>IN CASABACA S.A 000086210</t>
  </si>
  <si>
    <t>IN QUINGATUNA MOREANO EDGAR 000079695</t>
  </si>
  <si>
    <t>IN VARGAS TORRES WALTTER DARIO 000031886</t>
  </si>
  <si>
    <t>IN YANGTSE-AUTO DEL ECUADOR S.A. 000000627</t>
  </si>
  <si>
    <t>IN ESCOBAR PEREZ ITALO FERNANDO 000006320</t>
  </si>
  <si>
    <t>IN SZK DEL ECUADOR S.A. 000007933</t>
  </si>
  <si>
    <t>IN SZK DEL ECUADOR S.A. 000007937</t>
  </si>
  <si>
    <t>IN SZK DEL ECUADOR S.A. 000005565</t>
  </si>
  <si>
    <t>IN CASABACA S.A 000086239</t>
  </si>
  <si>
    <t>IN CASABACA S.A 000086251</t>
  </si>
  <si>
    <t>IN SOLIS SOLIS MARCO VINICIO 000002859</t>
  </si>
  <si>
    <t>IN SZK DEL ECUADOR S.A. 000007945</t>
  </si>
  <si>
    <t>IN SZK DEL ECUADOR S.A. 000007949</t>
  </si>
  <si>
    <t>IN CASABACA S.A 000031418</t>
  </si>
  <si>
    <t>IN CASABACA S.A 000086264</t>
  </si>
  <si>
    <t>IN CASABACA S.A 000086269</t>
  </si>
  <si>
    <t>IN CORPORACION NEXUM NEXUMCORP S.A. 000003397</t>
  </si>
  <si>
    <t>IN GONZALEZ VEGA EL MOTOR CIA LTDA 000071858</t>
  </si>
  <si>
    <t>IN SZK DEL ECUADOR S.A. 000007951</t>
  </si>
  <si>
    <t>IN SZK DEL ECUADOR S.A. 000007946</t>
  </si>
  <si>
    <t>IN CASABACA S.A 000086291</t>
  </si>
  <si>
    <t>IN CASABACA S.A 000086312</t>
  </si>
  <si>
    <t>IN SZK DEL ECUADOR S.A. 000005575</t>
  </si>
  <si>
    <t>IN SZK DEL ECUADOR S.A. 000007961</t>
  </si>
  <si>
    <t>IN SZK DEL ECUADOR S.A. 000005576</t>
  </si>
  <si>
    <t>IN REINOSO SALAS YAJAIRA CAROLINA 000000138</t>
  </si>
  <si>
    <t>IN SOLIS SOLIS MARCO VINICIO 000002874</t>
  </si>
  <si>
    <t>IN VARGAS TORRES WALTTER DARIO 000031951</t>
  </si>
  <si>
    <t>IN YANGTSE-AUTO DEL ECUADOR S.A. 000000648</t>
  </si>
  <si>
    <t>IN CASABACA S.A 000086325</t>
  </si>
  <si>
    <t>IN CASABACA S.A 000086338</t>
  </si>
  <si>
    <t>IN CORPORACION NEXUM NEXUMCORP S.A. 000003408</t>
  </si>
  <si>
    <t>IN SZK DEL ECUADOR S.A. 000005590</t>
  </si>
  <si>
    <t>IN SZK DEL ECUADOR S.A. 000007968</t>
  </si>
  <si>
    <t>IN SZK DEL ECUADOR S.A. 000005589</t>
  </si>
  <si>
    <t>IN SZK DEL ECUADOR S.A. 000005595</t>
  </si>
  <si>
    <t>IN CASABACA S.A 000086371</t>
  </si>
  <si>
    <t>IN CASABACA S.A 000086390</t>
  </si>
  <si>
    <t>IN SOLIS SOLIS MARCO VINICIO 000002888</t>
  </si>
  <si>
    <t>IN YANGTSE-AUTO DEL ECUADOR S.A. 000000659</t>
  </si>
  <si>
    <t>IN CASABACA S.A 000086399</t>
  </si>
  <si>
    <t>IN SZK DEL ECUADOR S.A. 000005604</t>
  </si>
  <si>
    <t>IN SZK DEL ECUADOR S.A. 000007970</t>
  </si>
  <si>
    <t>IN SZK DEL ECUADOR S.A. 000007975</t>
  </si>
  <si>
    <t>IN SZK DEL ECUADOR S.A. 000007976</t>
  </si>
  <si>
    <t>IN SZK DEL ECUADOR S.A. 000007978</t>
  </si>
  <si>
    <t>IN SZK DEL ECUADOR S.A. 000007981</t>
  </si>
  <si>
    <t>IN SOLIS SOLIS MARCO VINICIO 000002899</t>
  </si>
  <si>
    <t>IN COMONTEKSA S A 000007410</t>
  </si>
  <si>
    <t>IN SZK DEL ECUADOR S.A. 000005607</t>
  </si>
  <si>
    <t>IN SZK DEL ECUADOR S.A. 000005619</t>
  </si>
  <si>
    <t>IN SZK DEL ECUADOR S.A. 000007980</t>
  </si>
  <si>
    <t>IN SZK DEL ECUADOR S.A. 000007982</t>
  </si>
  <si>
    <t>IN YANGTSE-AUTO DEL ECUADOR S.A. 000000661</t>
  </si>
  <si>
    <t>IN CASABACA S.A 000086455</t>
  </si>
  <si>
    <t>IN PULLUQUINGA LASLUISA JORGE LUIS 000001087</t>
  </si>
  <si>
    <t>IN REINOSO SALAS YAJAIRA CAROLINA 000000147</t>
  </si>
  <si>
    <t>IN REINOSO SALAS YAJAIRA CAROLINA 000000148</t>
  </si>
  <si>
    <t>IN REINOSO SALAS YAJAIRA CAROLINA 000000150</t>
  </si>
  <si>
    <t>IN SZK DEL ECUADOR S.A. 000005621</t>
  </si>
  <si>
    <t>IN SZK DEL ECUADOR S.A. 000007983</t>
  </si>
  <si>
    <t>IN SZK DEL ECUADOR S.A. 000007987</t>
  </si>
  <si>
    <t>IN SZK DEL ECUADOR S.A. 000007988</t>
  </si>
  <si>
    <t>IN VARGAS VILLENA BELGICA MARGARITA 000002172</t>
  </si>
  <si>
    <t>IN CASABACA S.A 000086463</t>
  </si>
  <si>
    <t>IN CASABACA S.A 000086464</t>
  </si>
  <si>
    <t>IN CASABACA S.A 000086469</t>
  </si>
  <si>
    <t>IN REINOSO SALAS YAJAIRA CAROLINA 000000151</t>
  </si>
  <si>
    <t>IN SOLIS SOLIS MARCO VINICIO 000002902</t>
  </si>
  <si>
    <t>IN VARGAS TORRES WALTTER DARIO 000032019</t>
  </si>
  <si>
    <t>IN SZK DEL ECUADOR S.A. 000005624</t>
  </si>
  <si>
    <t>IN SZK DEL ECUADOR S.A. 000007990</t>
  </si>
  <si>
    <t>IN CASABACA S.A 000086481</t>
  </si>
  <si>
    <t>IN CASABACA S.A 000086502</t>
  </si>
  <si>
    <t>IN GONZALEZ VEGA EL MOTOR CIA LTDA 000072141</t>
  </si>
  <si>
    <t>IN ESCOBAR PEREZ ITALO FERNANDO 000006456</t>
  </si>
  <si>
    <t>IN SZK DEL ECUADOR S.A. 000008001</t>
  </si>
  <si>
    <t>IN NOVINNVENTO SOLUCIONES CIA. LTDA. 000009637</t>
  </si>
  <si>
    <t>IN SZK DEL ECUADOR S.A. 000002465</t>
  </si>
  <si>
    <t>IN SZK DEL ECUADOR S.A. 000002469</t>
  </si>
  <si>
    <t>IN SZK DEL ECUADOR S.A. 000005633</t>
  </si>
  <si>
    <t>IN MANTILLA MORALES HERNAN GIOVANNY 000001829</t>
  </si>
  <si>
    <t>IN CORPORACION NEXUM NEXUMCORP S.A. 000000788</t>
  </si>
  <si>
    <t>IN CORPORACION NEXUM NEXUMCORP S.A. 000000789</t>
  </si>
  <si>
    <t>IN CASABACA S.A 000086528</t>
  </si>
  <si>
    <t>IN CONAUTO C. A. 000139044</t>
  </si>
  <si>
    <t>IN GIAHAN ECUADOR CIA LTDA 000093596</t>
  </si>
  <si>
    <t>IN YANGTSE-AUTO DEL ECUADOR S.A. 000000668</t>
  </si>
  <si>
    <t>IN YANGTSE-AUTO DEL ECUADOR S.A. 000000923</t>
  </si>
  <si>
    <t>IN ESCOBAR PEREZ ITALO FERNANDO 000006464</t>
  </si>
  <si>
    <t>IN SZK DEL ECUADOR S.A. 000004487</t>
  </si>
  <si>
    <t>IN SZK DEL ECUADOR S.A. 000005632</t>
  </si>
  <si>
    <t>IN SZK DEL ECUADOR S.A. 000005635</t>
  </si>
  <si>
    <t>IN SZK DEL ECUADOR S.A. 000008009</t>
  </si>
  <si>
    <t>IN SZK DEL ECUADOR S.A. 000008015</t>
  </si>
  <si>
    <t>IN SZK DEL ECUADOR S.A. 000008016</t>
  </si>
  <si>
    <t>IN SZK DEL ECUADOR S.A. 000008020</t>
  </si>
  <si>
    <t>IN CORPORACION NEXUM NEXUMCORP S.A. 000003330</t>
  </si>
  <si>
    <t>IN CASABACA S.A 000086552</t>
  </si>
  <si>
    <t>IN SZK DEL ECUADOR S.A. 000008023</t>
  </si>
  <si>
    <t>IN SZK DEL ECUADOR S.A. 000005504</t>
  </si>
  <si>
    <t>IN YANGTSE-AUTO DEL ECUADOR S.A. 000000607</t>
  </si>
  <si>
    <t>IN CASABACA S.A 000085976</t>
  </si>
  <si>
    <t>IN CASABACA S.A 000085977</t>
  </si>
  <si>
    <t>IN SZK DEL ECUADOR S.A. 000005511</t>
  </si>
  <si>
    <t>IN SZK DEL ECUADOR S.A. 000007879</t>
  </si>
  <si>
    <t>IN SZK DEL ECUADOR S.A. 000007883</t>
  </si>
  <si>
    <t>IN SZK DEL ECUADOR S.A. 000005508</t>
  </si>
  <si>
    <t>IN SZK DEL ECUADOR S.A. 000005510</t>
  </si>
  <si>
    <t>IN YANGTSE-AUTO DEL ECUADOR S.A. 000000592</t>
  </si>
  <si>
    <t>IN YANGTSE-AUTO DEL ECUADOR S.A. 000000594</t>
  </si>
  <si>
    <t>IN YANGTSE-AUTO DEL ECUADOR S.A. 000000599</t>
  </si>
  <si>
    <t>IN YANGTSE-AUTO DEL ECUADOR S.A. 000000610</t>
  </si>
  <si>
    <t>IN BOMBASTIC S. A. 000019332</t>
  </si>
  <si>
    <t>IN CASABACA S.A 000086019</t>
  </si>
  <si>
    <t>IN WALKER NUNEZ MACRO BAHIA CIA.LTDA. 000056805</t>
  </si>
  <si>
    <t>IN CORPORACION NEXUM NEXUMCORP S.A. 000003335</t>
  </si>
  <si>
    <t>IN ESCOBAR PEREZ ITALO FERNANDO 000006233</t>
  </si>
  <si>
    <t>IN SZK DEL ECUADOR S.A. 000007887</t>
  </si>
  <si>
    <t>IN SZK DEL ECUADOR S.A. 000007888</t>
  </si>
  <si>
    <t>IN SZK DEL ECUADOR S.A. 000007891</t>
  </si>
  <si>
    <t>IN SZK DEL ECUADOR S.A. 000005519</t>
  </si>
  <si>
    <t>IN IBARRA GONZALEZ JORGE MIGUEL 000000989</t>
  </si>
  <si>
    <t>IN PROJECT 23 MOTORSPORTS S.C. 000000573</t>
  </si>
  <si>
    <t>IN YANGTSE-AUTO DEL ECUADOR S.A. 000000611</t>
  </si>
  <si>
    <t>IN YANGTSE-AUTO DEL ECUADOR S.A. 000000612</t>
  </si>
  <si>
    <t>IN CASABACA S.A 000086047</t>
  </si>
  <si>
    <t>IN CASABACA S.A 000086058</t>
  </si>
  <si>
    <t>IN REINOSO SALAS YAJAIRA CAROLINA 000000131</t>
  </si>
  <si>
    <t>IN REINOSO SALAS YAJAIRA CAROLINA 000000132</t>
  </si>
  <si>
    <t>IN SOLIS SOLIS MARCO VINICIO 000002841</t>
  </si>
  <si>
    <t>IN VARGAS TORRES WALTTER DARIO 000031819</t>
  </si>
  <si>
    <t>IN CORPORACION NEXUM NEXUMCORP S.A. 000003350</t>
  </si>
  <si>
    <t>IN SZK DEL ECUADOR S.A. 000007895</t>
  </si>
  <si>
    <t>IN SZK DEL ECUADOR S.A. 000007900</t>
  </si>
  <si>
    <t>IN SZK DEL ECUADOR S.A. 000007901</t>
  </si>
  <si>
    <t>IN SZK DEL ECUADOR S.A. 000007892</t>
  </si>
  <si>
    <t>IN SZK DEL ECUADOR S.A. 000007902</t>
  </si>
  <si>
    <t>IN CASABACA S.A 000086068</t>
  </si>
  <si>
    <t>IN CASABACA S.A 000086081</t>
  </si>
  <si>
    <t>IN SZK DEL ECUADOR S.A. 000005530</t>
  </si>
  <si>
    <t>IN SZK DEL ECUADOR S.A. 000007905</t>
  </si>
  <si>
    <t>IN SZK DEL ECUADOR S.A. 000007908</t>
  </si>
  <si>
    <t>IN CASABACA S.A 000086135</t>
  </si>
  <si>
    <t>IN YANGTSE-AUTO DEL ECUADOR S.A. 000000616</t>
  </si>
  <si>
    <t>INVSE</t>
  </si>
  <si>
    <t>MOV. DE INVENTARIO</t>
  </si>
  <si>
    <t>SUBCO</t>
  </si>
  <si>
    <t>SUBCONTRATOS</t>
  </si>
  <si>
    <t>VENSE</t>
  </si>
  <si>
    <t>CONTA VENTAS - CENTRO01 PERIODO 2026 - 02</t>
  </si>
  <si>
    <t>CONTABILIZACION VENTAS - CENTRO01 PERIODO 2026 - 02</t>
  </si>
  <si>
    <t>CONTA VENTAS - CENTRO07 PERIODO 2026 - 02</t>
  </si>
  <si>
    <t>CONTABILIZACION VENTAS - CENTRO07 PERIODO 2026 - 02</t>
  </si>
  <si>
    <t>CONTA VENTAS - CENTRO08 PERIODO 2026 - 02</t>
  </si>
  <si>
    <t>CONTA VENTAS - CENTRO06 PERIODO 2026 - 02</t>
  </si>
  <si>
    <t>CONTABILIZACION VENTAS - CENTRO06 PERIODO 2026 - 02</t>
  </si>
  <si>
    <t>CONTA VENTAS - CENTRO05 PERIODO 2026 - 02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</si>
</sst>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dd/mm/yyyy hh.mm.ss"/>
    <numFmt numFmtId="165" formatCode="#0.00"/>
    <numFmt numFmtId="166" formatCode="_ * #,##0.00_ ;_ * -#,##0.00_ ;_ * &quot;-&quot;??_ ;_ @_ "/>
    <numFmt numFmtId="167" formatCode="#,##0.0"/>
    <numFmt numFmtId="168" formatCode="dd/mm/yyyy"/>
  </numFmts>
  <fonts count="15" x14ac:knownFonts="1">
    <font>
      <color theme="1"/>
      <family val="2"/>
      <scheme val="minor"/>
      <sz val="11"/>
      <name val="Calibri"/>
    </font>
    <font>
      <b/>
      <color rgb="FF000000"/>
      <family val="2"/>
      <sz val="12"/>
      <name val="Arial"/>
    </font>
    <font>
      <color theme="1"/>
      <family val="2"/>
      <scheme val="minor"/>
      <sz val="11"/>
      <name val="Aptos Narrow"/>
    </font>
    <font>
      <color rgb="FF000000"/>
      <family val="2"/>
      <sz val="10"/>
      <name val="Arial"/>
    </font>
    <font>
      <color rgb="FF000000"/>
      <family val="2"/>
      <sz val="14"/>
      <name val="Arial"/>
    </font>
    <font>
      <color rgb="FF000000"/>
      <family val="2"/>
      <sz val="8"/>
      <name val="Arial"/>
    </font>
    <font>
      <b/>
      <color rgb="FF000000"/>
      <family val="2"/>
      <sz val="8"/>
      <name val="Arial"/>
    </font>
    <font>
      <b/>
      <color rgb="FF000000"/>
      <family val="2"/>
      <sz val="7"/>
      <name val="Arial"/>
    </font>
    <font>
      <color rgb="FF000000"/>
      <family val="2"/>
      <sz val="7"/>
      <name val="Arial"/>
    </font>
    <font>
      <color theme="1"/>
      <family val="2"/>
      <scheme val="minor"/>
      <sz val="8"/>
      <name val="Aptos Narrow"/>
    </font>
    <font>
      <color rgb="FF000000"/>
      <family val="2"/>
      <sz val="6"/>
      <name val="Arial"/>
    </font>
    <font>
      <b/>
      <color rgb="FF000000"/>
      <family val="2"/>
      <sz val="6"/>
      <name val="SansSerif"/>
    </font>
    <font>
      <b/>
      <color rgb="FF000000"/>
      <family val="2"/>
      <sz val="6"/>
      <name val="Arial"/>
    </font>
    <font>
      <color rgb="FF000000"/>
      <family val="2"/>
      <sz val="6"/>
      <name val="SansSerif"/>
    </font>
    <font>
      <b/>
      <color theme="1"/>
      <family val="2"/>
      <scheme val="minor"/>
      <sz val="1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66CC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0" xfId="0" applyFont="1" applyAlignment="1" applyProtection="1">
      <alignment horizontal="left" vertical="top" wrapText="1"/>
      <protection locked="0"/>
    </xf>
    <xf numFmtId="0" fontId="2" fillId="0" borderId="0" xfId="0" applyFont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 applyProtection="1">
      <alignment horizontal="left" vertical="top" wrapText="1"/>
      <protection locked="0"/>
    </xf>
    <xf numFmtId="0" fontId="3" fillId="0" borderId="0" xfId="0" applyFont="1" applyAlignment="1">
      <alignment horizontal="right" vertical="top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 applyProtection="1">
      <alignment horizontal="center" vertical="top" wrapText="1"/>
      <protection locked="0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 applyProtection="1">
      <alignment horizontal="center" vertical="center" wrapText="1"/>
      <protection locked="0"/>
    </xf>
    <xf numFmtId="164" fontId="5" fillId="0" borderId="0" xfId="0" applyNumberFormat="1" applyFont="1" applyAlignment="1">
      <alignment horizontal="right" wrapText="1"/>
    </xf>
    <xf numFmtId="0" fontId="5" fillId="0" borderId="0" xfId="0" applyFont="1" applyAlignment="1" applyProtection="1">
      <alignment horizontal="right" wrapText="1"/>
      <protection locked="0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 applyProtection="1">
      <alignment horizontal="left" vertical="top" wrapText="1"/>
      <protection locked="0"/>
    </xf>
    <xf numFmtId="0" fontId="6" fillId="2" borderId="0" xfId="0" applyFont="1" applyFill="1" applyAlignment="1">
      <alignment horizontal="center" vertical="top" wrapText="1"/>
    </xf>
    <xf numFmtId="0" fontId="6" fillId="2" borderId="0" xfId="0" applyFont="1" applyFill="1" applyAlignment="1" applyProtection="1">
      <alignment horizontal="center" vertical="top" wrapText="1"/>
      <protection locked="0"/>
    </xf>
    <xf numFmtId="0" fontId="2" fillId="3" borderId="1" xfId="0" applyFont="1" applyFill="1" applyBorder="1" applyAlignment="1" applyProtection="1">
      <alignment wrapText="1"/>
      <protection locked="0"/>
    </xf>
    <xf numFmtId="0" fontId="7" fillId="2" borderId="0" xfId="0" applyFont="1" applyFill="1" applyAlignment="1">
      <alignment horizontal="center" vertical="center" wrapText="1"/>
    </xf>
    <xf numFmtId="0" fontId="7" fillId="2" borderId="0" xfId="0" applyFont="1" applyFill="1" applyAlignment="1" applyProtection="1">
      <alignment horizontal="center" vertical="center" wrapText="1"/>
      <protection locked="0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 applyProtection="1">
      <alignment horizontal="left" vertical="center" wrapText="1"/>
      <protection locked="0"/>
    </xf>
    <xf numFmtId="0" fontId="8" fillId="0" borderId="0" xfId="0" applyFont="1" applyAlignment="1">
      <alignment horizontal="right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right" vertical="center" wrapText="1"/>
      <protection locked="0"/>
    </xf>
    <xf numFmtId="165" fontId="8" fillId="0" borderId="0" xfId="0" applyNumberFormat="1" applyFont="1" applyAlignment="1">
      <alignment horizontal="right" vertical="center" wrapText="1"/>
    </xf>
    <xf numFmtId="0" fontId="7" fillId="0" borderId="0" xfId="0" applyFont="1" applyAlignment="1">
      <alignment horizontal="right" vertical="center" wrapText="1"/>
    </xf>
    <xf numFmtId="165" fontId="7" fillId="0" borderId="0" xfId="0" applyNumberFormat="1" applyFont="1" applyAlignment="1">
      <alignment horizontal="right" vertical="center" wrapText="1"/>
    </xf>
    <xf numFmtId="166" fontId="2" fillId="0" borderId="0" xfId="0" applyNumberFormat="1" applyFont="1"/>
    <xf numFmtId="167" fontId="9" fillId="0" borderId="0" xfId="0" applyNumberFormat="1" applyFont="1"/>
    <xf numFmtId="0" fontId="2" fillId="0" borderId="0" xfId="0" applyFont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 applyProtection="1">
      <alignment horizontal="left" vertical="center" wrapText="1"/>
      <protection locked="0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 applyProtection="1">
      <alignment horizontal="center" vertical="top" wrapText="1"/>
      <protection locked="0"/>
    </xf>
    <xf numFmtId="0" fontId="7" fillId="2" borderId="0" xfId="0" applyFont="1" applyFill="1" applyAlignment="1">
      <alignment horizontal="left" vertical="center" wrapText="1"/>
    </xf>
    <xf numFmtId="168" fontId="8" fillId="0" borderId="0" xfId="0" applyNumberFormat="1" applyFont="1" applyAlignment="1">
      <alignment horizontal="left" vertical="center" wrapText="1"/>
    </xf>
    <xf numFmtId="4" fontId="10" fillId="0" borderId="0" xfId="0" applyNumberFormat="1" applyFont="1" applyAlignment="1">
      <alignment horizontal="right" vertical="center" wrapText="1"/>
    </xf>
    <xf numFmtId="0" fontId="10" fillId="0" borderId="0" xfId="0" applyFont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6" fillId="0" borderId="0" xfId="0" applyFont="1" applyAlignment="1" applyProtection="1">
      <alignment horizontal="right" vertical="center" wrapText="1"/>
      <protection locked="0"/>
    </xf>
    <xf numFmtId="0" fontId="11" fillId="0" borderId="0" xfId="0" applyFont="1" applyAlignment="1">
      <alignment horizontal="right" vertical="top" wrapText="1"/>
    </xf>
    <xf numFmtId="4" fontId="12" fillId="0" borderId="0" xfId="0" applyNumberFormat="1" applyFont="1" applyAlignment="1">
      <alignment horizontal="right" vertical="top" wrapText="1"/>
    </xf>
    <xf numFmtId="0" fontId="13" fillId="0" borderId="0" xfId="0" applyFont="1" applyAlignment="1">
      <alignment horizontal="right" vertical="top" wrapText="1"/>
    </xf>
    <xf numFmtId="0" fontId="12" fillId="0" borderId="0" xfId="0" applyFont="1" applyAlignment="1" applyProtection="1">
      <alignment horizontal="right" vertical="top" wrapText="1"/>
      <protection locked="0"/>
    </xf>
    <xf numFmtId="0" fontId="12" fillId="0" borderId="0" xfId="0" applyFont="1" applyAlignment="1">
      <alignment horizontal="right" vertical="top" wrapText="1"/>
    </xf>
    <xf numFmtId="0" fontId="10" fillId="0" borderId="0" xfId="0" applyFont="1" applyAlignment="1">
      <alignment horizontal="right" vertical="top" wrapText="1"/>
    </xf>
    <xf numFmtId="0" fontId="10" fillId="0" borderId="0" xfId="0" applyFont="1" applyAlignment="1" applyProtection="1">
      <alignment horizontal="right" vertical="top" wrapText="1"/>
      <protection locked="0"/>
    </xf>
    <xf numFmtId="15" fontId="2" fillId="0" borderId="0" xfId="0" applyNumberFormat="1" applyFont="1"/>
    <xf numFmtId="4" fontId="2" fillId="0" borderId="0" xfId="0" applyNumberFormat="1" applyFont="1"/>
    <xf numFmtId="0" fontId="14" fillId="0" borderId="0" xfId="0" applyFont="1"/>
    <xf numFmtId="167" fontId="2" fillId="0" borderId="0" xfId="0" applyNumberFormat="1" applyFont="1"/>
    <xf numFmtId="4" fontId="1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O97"/>
  <sheetViews>
    <sheetView workbookViewId="0" zoomScale="130" zoomScaleNormal="130">
      <selection activeCell="V88" sqref="V88"/>
    </sheetView>
  </sheetViews>
  <sheetFormatPr defaultRowHeight="15" outlineLevelRow="0" outlineLevelCol="0" x14ac:dyDescent="0.25" defaultColWidth="9.140625"/>
  <cols>
    <col min="1" max="1" width="3.85546875" customWidth="1"/>
    <col min="2" max="2" width="10.42578125" customWidth="1"/>
    <col min="3" max="3" width="0.28515625" customWidth="1"/>
    <col min="4" max="4" width="9.28515625" customWidth="1"/>
    <col min="5" max="5" width="10.140625" customWidth="1"/>
    <col min="6" max="6" width="8.140625" customWidth="1"/>
    <col min="7" max="7" width="13.42578125" customWidth="1"/>
    <col min="8" max="8" width="38.42578125" customWidth="1"/>
    <col min="9" max="9" width="12.42578125" customWidth="1"/>
    <col min="10" max="10" width="8.140625" customWidth="1"/>
    <col min="11" max="11" width="12" customWidth="1"/>
    <col min="12" max="12" width="25.28515625" customWidth="1"/>
    <col min="13" max="13" width="2.85546875" customWidth="1"/>
    <col min="14" max="14" width="9.140625" customWidth="1"/>
    <col min="15" max="15" width="0.28515625" customWidth="1"/>
    <col min="16" max="16" width="12.85546875" customWidth="1"/>
    <col min="17" max="17" width="3.140625" customWidth="1"/>
    <col min="18" max="18" width="9.28515625" customWidth="1"/>
    <col min="19" max="19" width="3" customWidth="1"/>
    <col min="20" max="20" width="4.7109375" customWidth="1"/>
    <col min="21" max="21" width="4.140625" customWidth="1"/>
    <col min="22" max="24" width="7" customWidth="1"/>
    <col min="25" max="25" width="7.140625" customWidth="1"/>
    <col min="26" max="30" width="7" customWidth="1"/>
    <col min="31" max="31" width="7.140625" customWidth="1"/>
    <col min="32" max="32" width="7.42578125" customWidth="1"/>
    <col min="33" max="34" width="6.7109375" customWidth="1"/>
    <col min="35" max="36" width="7" customWidth="1"/>
    <col min="37" max="37" width="13.28515625" customWidth="1"/>
    <col min="38" max="38" width="8.140625" customWidth="1"/>
    <col min="39" max="39" width="10" customWidth="1"/>
    <col min="40" max="40" width="13.7109375" customWidth="1"/>
  </cols>
  <sheetData>
    <row r="1" ht="15" customHeight="1" spans="1:41" x14ac:dyDescent="0.25">
      <c r="A1" s="1" t="s">
        <v>0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4" t="s">
        <v>1</v>
      </c>
      <c r="O1" s="5"/>
      <c r="P1" s="6" t="s">
        <v>2</v>
      </c>
      <c r="Q1" s="7" t="s">
        <v>3</v>
      </c>
      <c r="R1" s="8"/>
      <c r="S1" s="4">
        <v>2</v>
      </c>
      <c r="T1" s="5"/>
      <c r="U1" s="3" t="s">
        <v>4</v>
      </c>
      <c r="V1" s="3" t="s">
        <v>4</v>
      </c>
      <c r="W1" s="3" t="s">
        <v>4</v>
      </c>
      <c r="X1" s="3" t="s">
        <v>4</v>
      </c>
      <c r="Y1" s="3" t="s">
        <v>4</v>
      </c>
      <c r="Z1" s="3" t="s">
        <v>4</v>
      </c>
      <c r="AA1" s="3" t="s">
        <v>4</v>
      </c>
      <c r="AB1" s="3" t="s">
        <v>4</v>
      </c>
      <c r="AC1" s="3" t="s">
        <v>4</v>
      </c>
      <c r="AD1" s="3" t="s">
        <v>4</v>
      </c>
      <c r="AE1" s="3" t="s">
        <v>4</v>
      </c>
      <c r="AF1" s="3" t="s">
        <v>4</v>
      </c>
      <c r="AG1" s="3" t="s">
        <v>4</v>
      </c>
      <c r="AH1" s="3" t="s">
        <v>4</v>
      </c>
      <c r="AI1" s="3" t="s">
        <v>4</v>
      </c>
      <c r="AJ1" s="3" t="s">
        <v>4</v>
      </c>
      <c r="AK1" s="3"/>
      <c r="AL1" s="3"/>
      <c r="AM1" s="3"/>
      <c r="AN1" s="3"/>
      <c r="AO1" s="3"/>
    </row>
    <row r="2" ht="15" customHeight="1" spans="1:41" x14ac:dyDescent="0.25">
      <c r="A2" s="4" t="s">
        <v>5</v>
      </c>
      <c r="B2" s="5"/>
      <c r="C2" s="5"/>
      <c r="D2" s="5"/>
      <c r="E2" s="5"/>
      <c r="F2" s="9"/>
      <c r="G2" s="10"/>
      <c r="H2" s="10"/>
      <c r="I2" s="10"/>
      <c r="J2" s="10"/>
      <c r="K2" s="10"/>
      <c r="L2" s="10"/>
      <c r="M2" s="10"/>
      <c r="N2" s="4" t="s">
        <v>6</v>
      </c>
      <c r="O2" s="5"/>
      <c r="P2" s="11" t="s">
        <v>7</v>
      </c>
      <c r="Q2" s="12"/>
      <c r="R2" s="12"/>
      <c r="S2" s="12"/>
      <c r="T2" s="12"/>
      <c r="U2" s="3" t="s">
        <v>4</v>
      </c>
      <c r="V2" s="3" t="s">
        <v>4</v>
      </c>
      <c r="W2" s="3" t="s">
        <v>4</v>
      </c>
      <c r="X2" s="3" t="s">
        <v>4</v>
      </c>
      <c r="Y2" s="3" t="s">
        <v>4</v>
      </c>
      <c r="Z2" s="3" t="s">
        <v>4</v>
      </c>
      <c r="AA2" s="3" t="s">
        <v>4</v>
      </c>
      <c r="AB2" s="3" t="s">
        <v>4</v>
      </c>
      <c r="AC2" s="3" t="s">
        <v>4</v>
      </c>
      <c r="AD2" s="3" t="s">
        <v>4</v>
      </c>
      <c r="AE2" s="3" t="s">
        <v>4</v>
      </c>
      <c r="AF2" s="3" t="s">
        <v>4</v>
      </c>
      <c r="AG2" s="3" t="s">
        <v>4</v>
      </c>
      <c r="AH2" s="3" t="s">
        <v>4</v>
      </c>
      <c r="AI2" s="3" t="s">
        <v>4</v>
      </c>
      <c r="AJ2" s="3" t="s">
        <v>4</v>
      </c>
      <c r="AK2" s="3"/>
      <c r="AL2" s="3"/>
      <c r="AM2" s="3"/>
      <c r="AN2" s="3"/>
      <c r="AO2" s="3"/>
    </row>
    <row r="3" ht="0.95" customHeight="1" spans="1:4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13" t="s">
        <v>8</v>
      </c>
      <c r="O3" s="14"/>
      <c r="P3" s="14"/>
      <c r="Q3" s="14"/>
      <c r="R3" s="14"/>
      <c r="S3" s="14"/>
      <c r="T3" s="14"/>
      <c r="U3" s="3" t="s">
        <v>4</v>
      </c>
      <c r="V3" s="3" t="s">
        <v>4</v>
      </c>
      <c r="W3" s="3" t="s">
        <v>4</v>
      </c>
      <c r="X3" s="3" t="s">
        <v>4</v>
      </c>
      <c r="Y3" s="3" t="s">
        <v>4</v>
      </c>
      <c r="Z3" s="3" t="s">
        <v>4</v>
      </c>
      <c r="AA3" s="3" t="s">
        <v>4</v>
      </c>
      <c r="AB3" s="3" t="s">
        <v>4</v>
      </c>
      <c r="AC3" s="3" t="s">
        <v>4</v>
      </c>
      <c r="AD3" s="3" t="s">
        <v>4</v>
      </c>
      <c r="AE3" s="3" t="s">
        <v>4</v>
      </c>
      <c r="AF3" s="3" t="s">
        <v>4</v>
      </c>
      <c r="AG3" s="3" t="s">
        <v>4</v>
      </c>
      <c r="AH3" s="3" t="s">
        <v>4</v>
      </c>
      <c r="AI3" s="3" t="s">
        <v>4</v>
      </c>
      <c r="AJ3" s="3" t="s">
        <v>4</v>
      </c>
      <c r="AK3" s="3"/>
      <c r="AL3" s="3"/>
      <c r="AM3" s="3"/>
      <c r="AN3" s="3"/>
      <c r="AO3" s="3"/>
    </row>
    <row r="4" ht="12" customHeight="1" spans="1:41" x14ac:dyDescent="0.25">
      <c r="A4" s="13" t="s">
        <v>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3" t="s">
        <v>4</v>
      </c>
      <c r="V4" s="3" t="s">
        <v>4</v>
      </c>
      <c r="W4" s="3" t="s">
        <v>4</v>
      </c>
      <c r="X4" s="3" t="s">
        <v>4</v>
      </c>
      <c r="Y4" s="3" t="s">
        <v>4</v>
      </c>
      <c r="Z4" s="3" t="s">
        <v>4</v>
      </c>
      <c r="AA4" s="3" t="s">
        <v>4</v>
      </c>
      <c r="AB4" s="3" t="s">
        <v>4</v>
      </c>
      <c r="AC4" s="3" t="s">
        <v>4</v>
      </c>
      <c r="AD4" s="3" t="s">
        <v>4</v>
      </c>
      <c r="AE4" s="3" t="s">
        <v>4</v>
      </c>
      <c r="AF4" s="3" t="s">
        <v>4</v>
      </c>
      <c r="AG4" s="3" t="s">
        <v>4</v>
      </c>
      <c r="AH4" s="3" t="s">
        <v>4</v>
      </c>
      <c r="AI4" s="3" t="s">
        <v>4</v>
      </c>
      <c r="AJ4" s="3" t="s">
        <v>4</v>
      </c>
      <c r="AK4" s="3"/>
      <c r="AL4" s="3"/>
      <c r="AM4" s="3"/>
      <c r="AN4" s="3"/>
      <c r="AO4" s="3"/>
    </row>
    <row r="5" ht="12.95" customHeight="1" spans="1:41" x14ac:dyDescent="0.25">
      <c r="A5" s="13" t="s">
        <v>10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3"/>
      <c r="O5" s="3"/>
      <c r="P5" s="15" t="s">
        <v>11</v>
      </c>
      <c r="Q5" s="16"/>
      <c r="R5" s="16"/>
      <c r="S5" s="16"/>
      <c r="T5" s="16"/>
      <c r="U5" s="3" t="s">
        <v>4</v>
      </c>
      <c r="V5" s="3" t="s">
        <v>4</v>
      </c>
      <c r="W5" s="3" t="s">
        <v>4</v>
      </c>
      <c r="X5" s="3" t="s">
        <v>4</v>
      </c>
      <c r="Y5" s="3" t="s">
        <v>4</v>
      </c>
      <c r="Z5" s="3" t="s">
        <v>4</v>
      </c>
      <c r="AA5" s="3" t="s">
        <v>4</v>
      </c>
      <c r="AB5" s="3" t="s">
        <v>4</v>
      </c>
      <c r="AC5" s="3" t="s">
        <v>4</v>
      </c>
      <c r="AD5" s="3" t="s">
        <v>4</v>
      </c>
      <c r="AE5" s="3" t="s">
        <v>4</v>
      </c>
      <c r="AF5" s="3" t="s">
        <v>4</v>
      </c>
      <c r="AG5" s="3" t="s">
        <v>4</v>
      </c>
      <c r="AH5" s="3" t="s">
        <v>4</v>
      </c>
      <c r="AI5" s="3" t="s">
        <v>4</v>
      </c>
      <c r="AJ5" s="3" t="s">
        <v>4</v>
      </c>
      <c r="AK5" s="3"/>
      <c r="AL5" s="3"/>
      <c r="AM5" s="3"/>
      <c r="AN5" s="3"/>
      <c r="AO5" s="3"/>
    </row>
    <row r="6" ht="0.95" customHeight="1" spans="1:41" x14ac:dyDescent="0.25">
      <c r="A6" s="3"/>
      <c r="B6" s="3"/>
      <c r="C6" s="3"/>
      <c r="D6" s="3"/>
      <c r="E6" s="3"/>
      <c r="F6" s="13" t="s">
        <v>12</v>
      </c>
      <c r="G6" s="14"/>
      <c r="H6" s="14"/>
      <c r="I6" s="14"/>
      <c r="J6" s="14"/>
      <c r="K6" s="14"/>
      <c r="L6" s="14"/>
      <c r="M6" s="14"/>
      <c r="N6" s="3"/>
      <c r="O6" s="3"/>
      <c r="P6" s="3"/>
      <c r="Q6" s="3" t="s">
        <v>4</v>
      </c>
      <c r="R6" s="3" t="s">
        <v>4</v>
      </c>
      <c r="S6" s="3" t="s">
        <v>4</v>
      </c>
      <c r="T6" s="3" t="s">
        <v>4</v>
      </c>
      <c r="U6" s="3" t="s">
        <v>4</v>
      </c>
      <c r="V6" s="3" t="s">
        <v>4</v>
      </c>
      <c r="W6" s="3" t="s">
        <v>4</v>
      </c>
      <c r="X6" s="3" t="s">
        <v>4</v>
      </c>
      <c r="Y6" s="3" t="s">
        <v>4</v>
      </c>
      <c r="Z6" s="3" t="s">
        <v>4</v>
      </c>
      <c r="AA6" s="3" t="s">
        <v>4</v>
      </c>
      <c r="AB6" s="3" t="s">
        <v>4</v>
      </c>
      <c r="AC6" s="3" t="s">
        <v>4</v>
      </c>
      <c r="AD6" s="3" t="s">
        <v>4</v>
      </c>
      <c r="AE6" s="3" t="s">
        <v>4</v>
      </c>
      <c r="AF6" s="3" t="s">
        <v>4</v>
      </c>
      <c r="AG6" s="3" t="s">
        <v>4</v>
      </c>
      <c r="AH6" s="3" t="s">
        <v>4</v>
      </c>
      <c r="AI6" s="3" t="s">
        <v>4</v>
      </c>
      <c r="AJ6" s="3" t="s">
        <v>4</v>
      </c>
      <c r="AK6" s="3"/>
      <c r="AL6" s="3"/>
      <c r="AM6" s="3"/>
      <c r="AN6" s="3"/>
      <c r="AO6" s="3"/>
    </row>
    <row r="7" ht="12" customHeight="1" spans="1:41" x14ac:dyDescent="0.25">
      <c r="A7" s="13" t="s">
        <v>13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3"/>
      <c r="O7" s="3"/>
      <c r="P7" s="3"/>
      <c r="Q7" s="3" t="s">
        <v>4</v>
      </c>
      <c r="R7" s="3" t="s">
        <v>4</v>
      </c>
      <c r="S7" s="3" t="s">
        <v>4</v>
      </c>
      <c r="T7" s="3" t="s">
        <v>4</v>
      </c>
      <c r="U7" s="3" t="s">
        <v>4</v>
      </c>
      <c r="V7" s="3" t="s">
        <v>4</v>
      </c>
      <c r="W7" s="3" t="s">
        <v>4</v>
      </c>
      <c r="X7" s="3" t="s">
        <v>4</v>
      </c>
      <c r="Y7" s="3" t="s">
        <v>4</v>
      </c>
      <c r="Z7" s="3" t="s">
        <v>4</v>
      </c>
      <c r="AA7" s="3" t="s">
        <v>4</v>
      </c>
      <c r="AB7" s="3" t="s">
        <v>4</v>
      </c>
      <c r="AC7" s="3" t="s">
        <v>4</v>
      </c>
      <c r="AD7" s="3" t="s">
        <v>4</v>
      </c>
      <c r="AE7" s="3" t="s">
        <v>4</v>
      </c>
      <c r="AF7" s="3" t="s">
        <v>4</v>
      </c>
      <c r="AG7" s="3" t="s">
        <v>4</v>
      </c>
      <c r="AH7" s="3" t="s">
        <v>4</v>
      </c>
      <c r="AI7" s="3" t="s">
        <v>4</v>
      </c>
      <c r="AJ7" s="3" t="s">
        <v>4</v>
      </c>
      <c r="AK7" s="3"/>
      <c r="AL7" s="3"/>
      <c r="AM7" s="3"/>
      <c r="AN7" s="3"/>
      <c r="AO7" s="3"/>
    </row>
    <row r="8" ht="0.95" customHeight="1" spans="1:41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3"/>
    </row>
    <row r="9" ht="12.95" customHeight="1" spans="1:41" x14ac:dyDescent="0.25">
      <c r="A9" s="18" t="s">
        <v>14</v>
      </c>
      <c r="B9" s="18" t="s">
        <v>15</v>
      </c>
      <c r="C9" s="18" t="s">
        <v>16</v>
      </c>
      <c r="D9" s="19"/>
      <c r="E9" s="18" t="s">
        <v>17</v>
      </c>
      <c r="F9" s="18" t="s">
        <v>18</v>
      </c>
      <c r="G9" s="18" t="s">
        <v>19</v>
      </c>
      <c r="H9" s="18" t="s">
        <v>20</v>
      </c>
      <c r="I9" s="18" t="s">
        <v>21</v>
      </c>
      <c r="J9" s="18" t="s">
        <v>22</v>
      </c>
      <c r="K9" s="18" t="s">
        <v>23</v>
      </c>
      <c r="L9" s="19"/>
      <c r="M9" s="18" t="s">
        <v>24</v>
      </c>
      <c r="N9" s="19"/>
      <c r="O9" s="19"/>
      <c r="P9" s="18" t="s">
        <v>25</v>
      </c>
      <c r="Q9" s="19"/>
      <c r="R9" s="18" t="s">
        <v>26</v>
      </c>
      <c r="S9" s="19"/>
      <c r="T9" s="18" t="s">
        <v>27</v>
      </c>
      <c r="U9" s="19"/>
      <c r="V9" s="18" t="s">
        <v>28</v>
      </c>
      <c r="W9" s="18" t="s">
        <v>29</v>
      </c>
      <c r="X9" s="18" t="s">
        <v>30</v>
      </c>
      <c r="Y9" s="18" t="s">
        <v>31</v>
      </c>
      <c r="Z9" s="18" t="s">
        <v>32</v>
      </c>
      <c r="AA9" s="18" t="s">
        <v>33</v>
      </c>
      <c r="AB9" s="18" t="s">
        <v>34</v>
      </c>
      <c r="AC9" s="18" t="s">
        <v>35</v>
      </c>
      <c r="AD9" s="18" t="s">
        <v>36</v>
      </c>
      <c r="AE9" s="18" t="s">
        <v>37</v>
      </c>
      <c r="AF9" s="18" t="s">
        <v>38</v>
      </c>
      <c r="AG9" s="18" t="s">
        <v>39</v>
      </c>
      <c r="AH9" s="18" t="s">
        <v>40</v>
      </c>
      <c r="AI9" s="18" t="s">
        <v>41</v>
      </c>
      <c r="AJ9" s="18" t="s">
        <v>39</v>
      </c>
      <c r="AK9" s="18" t="s">
        <v>42</v>
      </c>
      <c r="AL9" s="18" t="s">
        <v>43</v>
      </c>
      <c r="AM9" s="18" t="s">
        <v>44</v>
      </c>
      <c r="AN9" s="18" t="s">
        <v>45</v>
      </c>
      <c r="AO9" s="3"/>
    </row>
    <row r="10" ht="0.95" customHeight="1" spans="1:41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3"/>
    </row>
    <row r="11" ht="12.95" customHeight="1" spans="1:41" x14ac:dyDescent="0.25">
      <c r="A11" s="20" t="s">
        <v>46</v>
      </c>
      <c r="B11" s="20" t="s">
        <v>47</v>
      </c>
      <c r="C11" s="20" t="s">
        <v>48</v>
      </c>
      <c r="D11" s="21"/>
      <c r="E11" s="20" t="s">
        <v>49</v>
      </c>
      <c r="F11" s="22" t="s">
        <v>50</v>
      </c>
      <c r="G11" s="22" t="s">
        <v>51</v>
      </c>
      <c r="H11" s="22" t="s">
        <v>52</v>
      </c>
      <c r="I11" s="20" t="s">
        <v>53</v>
      </c>
      <c r="J11" s="23" t="s">
        <v>54</v>
      </c>
      <c r="K11" s="20" t="s">
        <v>55</v>
      </c>
      <c r="L11" s="21"/>
      <c r="M11" s="23" t="s">
        <v>46</v>
      </c>
      <c r="N11" s="24"/>
      <c r="O11" s="24"/>
      <c r="P11" s="22" t="s">
        <v>2</v>
      </c>
      <c r="Q11" s="25"/>
      <c r="R11" s="26">
        <v>3.7</v>
      </c>
      <c r="S11" s="25"/>
      <c r="T11" s="26">
        <v>0</v>
      </c>
      <c r="U11" s="25"/>
      <c r="V11" s="26">
        <v>3.7</v>
      </c>
      <c r="W11" s="26">
        <v>0</v>
      </c>
      <c r="X11" s="26">
        <v>3.7</v>
      </c>
      <c r="Y11" s="26">
        <v>0</v>
      </c>
      <c r="Z11" s="26">
        <v>0.56</v>
      </c>
      <c r="AA11" s="26">
        <v>0</v>
      </c>
      <c r="AB11" s="26">
        <v>0</v>
      </c>
      <c r="AC11" s="26">
        <v>0</v>
      </c>
      <c r="AD11" s="26">
        <v>4.26</v>
      </c>
      <c r="AE11" s="26">
        <v>0</v>
      </c>
      <c r="AF11" s="26">
        <v>0</v>
      </c>
      <c r="AG11" s="26">
        <v>2.774512152678108</v>
      </c>
      <c r="AH11" s="26">
        <v>0.925488</v>
      </c>
      <c r="AI11" s="26">
        <v>25.013187</v>
      </c>
      <c r="AJ11" s="26">
        <v>33.35678</v>
      </c>
      <c r="AK11" s="22" t="s">
        <v>2</v>
      </c>
      <c r="AL11" s="22" t="s">
        <v>56</v>
      </c>
      <c r="AM11" s="20" t="s">
        <v>57</v>
      </c>
      <c r="AN11" s="23" t="s">
        <v>58</v>
      </c>
      <c r="AO11" s="3"/>
    </row>
    <row r="12" ht="12.95" customHeight="1" spans="1:41" x14ac:dyDescent="0.25">
      <c r="A12" s="20" t="s">
        <v>46</v>
      </c>
      <c r="B12" s="20" t="s">
        <v>47</v>
      </c>
      <c r="C12" s="20" t="s">
        <v>48</v>
      </c>
      <c r="D12" s="21"/>
      <c r="E12" s="20" t="s">
        <v>59</v>
      </c>
      <c r="F12" s="22" t="s">
        <v>50</v>
      </c>
      <c r="G12" s="22" t="s">
        <v>51</v>
      </c>
      <c r="H12" s="22" t="s">
        <v>60</v>
      </c>
      <c r="I12" s="20" t="s">
        <v>61</v>
      </c>
      <c r="J12" s="23" t="s">
        <v>62</v>
      </c>
      <c r="K12" s="20" t="s">
        <v>63</v>
      </c>
      <c r="L12" s="21"/>
      <c r="M12" s="23" t="s">
        <v>46</v>
      </c>
      <c r="N12" s="24"/>
      <c r="O12" s="24"/>
      <c r="P12" s="22" t="s">
        <v>2</v>
      </c>
      <c r="Q12" s="25"/>
      <c r="R12" s="26">
        <v>31.32</v>
      </c>
      <c r="S12" s="25"/>
      <c r="T12" s="26">
        <v>0</v>
      </c>
      <c r="U12" s="25"/>
      <c r="V12" s="26">
        <v>31.32</v>
      </c>
      <c r="W12" s="26">
        <v>0</v>
      </c>
      <c r="X12" s="26">
        <v>31.32</v>
      </c>
      <c r="Y12" s="26">
        <v>0</v>
      </c>
      <c r="Z12" s="26">
        <v>4.7</v>
      </c>
      <c r="AA12" s="26">
        <v>0</v>
      </c>
      <c r="AB12" s="26">
        <v>0</v>
      </c>
      <c r="AC12" s="26">
        <v>0</v>
      </c>
      <c r="AD12" s="26">
        <v>36.02</v>
      </c>
      <c r="AE12" s="26">
        <v>0</v>
      </c>
      <c r="AF12" s="26">
        <v>0</v>
      </c>
      <c r="AG12" s="26">
        <v>23.488025653358985</v>
      </c>
      <c r="AH12" s="26">
        <v>7.831974</v>
      </c>
      <c r="AI12" s="26">
        <v>25.006304</v>
      </c>
      <c r="AJ12" s="26">
        <v>33.34454</v>
      </c>
      <c r="AK12" s="22" t="s">
        <v>2</v>
      </c>
      <c r="AL12" s="22" t="s">
        <v>56</v>
      </c>
      <c r="AM12" s="20" t="s">
        <v>57</v>
      </c>
      <c r="AN12" s="23" t="s">
        <v>58</v>
      </c>
      <c r="AO12" s="3"/>
    </row>
    <row r="13" ht="12.95" customHeight="1" spans="1:41" x14ac:dyDescent="0.25">
      <c r="A13" s="20" t="s">
        <v>46</v>
      </c>
      <c r="B13" s="20" t="s">
        <v>47</v>
      </c>
      <c r="C13" s="20" t="s">
        <v>64</v>
      </c>
      <c r="D13" s="21"/>
      <c r="E13" s="20" t="s">
        <v>65</v>
      </c>
      <c r="F13" s="22" t="s">
        <v>50</v>
      </c>
      <c r="G13" s="22" t="s">
        <v>51</v>
      </c>
      <c r="H13" s="22" t="s">
        <v>66</v>
      </c>
      <c r="I13" s="20" t="s">
        <v>53</v>
      </c>
      <c r="J13" s="23" t="s">
        <v>67</v>
      </c>
      <c r="K13" s="20" t="s">
        <v>68</v>
      </c>
      <c r="L13" s="21"/>
      <c r="M13" s="23" t="s">
        <v>46</v>
      </c>
      <c r="N13" s="24"/>
      <c r="O13" s="24"/>
      <c r="P13" s="22" t="s">
        <v>2</v>
      </c>
      <c r="Q13" s="25"/>
      <c r="R13" s="26">
        <v>38.86</v>
      </c>
      <c r="S13" s="25"/>
      <c r="T13" s="26">
        <v>0</v>
      </c>
      <c r="U13" s="25"/>
      <c r="V13" s="26">
        <v>38.86</v>
      </c>
      <c r="W13" s="26">
        <v>0</v>
      </c>
      <c r="X13" s="26">
        <v>38.86</v>
      </c>
      <c r="Y13" s="26">
        <v>0</v>
      </c>
      <c r="Z13" s="26">
        <v>5.83</v>
      </c>
      <c r="AA13" s="26">
        <v>0</v>
      </c>
      <c r="AB13" s="26">
        <v>0</v>
      </c>
      <c r="AC13" s="26">
        <v>0</v>
      </c>
      <c r="AD13" s="26">
        <v>44.69</v>
      </c>
      <c r="AE13" s="26">
        <v>0</v>
      </c>
      <c r="AF13" s="26">
        <v>0</v>
      </c>
      <c r="AG13" s="26">
        <v>29.144285714285715</v>
      </c>
      <c r="AH13" s="26">
        <v>9.715715</v>
      </c>
      <c r="AI13" s="26">
        <v>25.001842</v>
      </c>
      <c r="AJ13" s="26">
        <v>33.336605</v>
      </c>
      <c r="AK13" s="22" t="s">
        <v>2</v>
      </c>
      <c r="AL13" s="22" t="s">
        <v>69</v>
      </c>
      <c r="AM13" s="20" t="s">
        <v>57</v>
      </c>
      <c r="AN13" s="23" t="s">
        <v>58</v>
      </c>
      <c r="AO13" s="3"/>
    </row>
    <row r="14" ht="12.95" customHeight="1" spans="1:41" x14ac:dyDescent="0.25">
      <c r="A14" s="20" t="s">
        <v>46</v>
      </c>
      <c r="B14" s="20" t="s">
        <v>47</v>
      </c>
      <c r="C14" s="20" t="s">
        <v>64</v>
      </c>
      <c r="D14" s="21"/>
      <c r="E14" s="20" t="s">
        <v>70</v>
      </c>
      <c r="F14" s="22" t="s">
        <v>50</v>
      </c>
      <c r="G14" s="22" t="s">
        <v>51</v>
      </c>
      <c r="H14" s="22" t="s">
        <v>71</v>
      </c>
      <c r="I14" s="20" t="s">
        <v>72</v>
      </c>
      <c r="J14" s="23" t="s">
        <v>73</v>
      </c>
      <c r="K14" s="20" t="s">
        <v>74</v>
      </c>
      <c r="L14" s="21"/>
      <c r="M14" s="23" t="s">
        <v>46</v>
      </c>
      <c r="N14" s="24"/>
      <c r="O14" s="24"/>
      <c r="P14" s="22" t="s">
        <v>2</v>
      </c>
      <c r="Q14" s="25"/>
      <c r="R14" s="26">
        <v>83.44</v>
      </c>
      <c r="S14" s="25"/>
      <c r="T14" s="26">
        <v>0</v>
      </c>
      <c r="U14" s="25"/>
      <c r="V14" s="26">
        <v>83.44</v>
      </c>
      <c r="W14" s="26">
        <v>0</v>
      </c>
      <c r="X14" s="26">
        <v>83.44</v>
      </c>
      <c r="Y14" s="26">
        <v>0</v>
      </c>
      <c r="Z14" s="26">
        <v>12.52</v>
      </c>
      <c r="AA14" s="26">
        <v>0</v>
      </c>
      <c r="AB14" s="26">
        <v>0</v>
      </c>
      <c r="AC14" s="26">
        <v>0</v>
      </c>
      <c r="AD14" s="26">
        <v>95.96</v>
      </c>
      <c r="AE14" s="26">
        <v>95.96</v>
      </c>
      <c r="AF14" s="26">
        <v>0</v>
      </c>
      <c r="AG14" s="26">
        <v>62.58</v>
      </c>
      <c r="AH14" s="26">
        <v>20.86</v>
      </c>
      <c r="AI14" s="26">
        <v>25</v>
      </c>
      <c r="AJ14" s="26">
        <v>33.333336</v>
      </c>
      <c r="AK14" s="22" t="s">
        <v>2</v>
      </c>
      <c r="AL14" s="22" t="s">
        <v>69</v>
      </c>
      <c r="AM14" s="20" t="s">
        <v>57</v>
      </c>
      <c r="AN14" s="23" t="s">
        <v>58</v>
      </c>
      <c r="AO14" s="3"/>
    </row>
    <row r="15" ht="12.95" customHeight="1" spans="1:41" x14ac:dyDescent="0.25">
      <c r="A15" s="20" t="s">
        <v>46</v>
      </c>
      <c r="B15" s="20" t="s">
        <v>47</v>
      </c>
      <c r="C15" s="20" t="s">
        <v>75</v>
      </c>
      <c r="D15" s="21"/>
      <c r="E15" s="20" t="s">
        <v>76</v>
      </c>
      <c r="F15" s="22" t="s">
        <v>50</v>
      </c>
      <c r="G15" s="22" t="s">
        <v>51</v>
      </c>
      <c r="H15" s="22" t="s">
        <v>77</v>
      </c>
      <c r="I15" s="20" t="s">
        <v>78</v>
      </c>
      <c r="J15" s="23" t="s">
        <v>79</v>
      </c>
      <c r="K15" s="20" t="s">
        <v>80</v>
      </c>
      <c r="L15" s="21"/>
      <c r="M15" s="23" t="s">
        <v>46</v>
      </c>
      <c r="N15" s="24"/>
      <c r="O15" s="24"/>
      <c r="P15" s="22" t="s">
        <v>81</v>
      </c>
      <c r="Q15" s="25"/>
      <c r="R15" s="26">
        <v>214.7</v>
      </c>
      <c r="S15" s="25"/>
      <c r="T15" s="26">
        <v>0</v>
      </c>
      <c r="U15" s="25"/>
      <c r="V15" s="26">
        <v>214.7</v>
      </c>
      <c r="W15" s="26">
        <v>0</v>
      </c>
      <c r="X15" s="26">
        <v>214.7</v>
      </c>
      <c r="Y15" s="26">
        <v>0</v>
      </c>
      <c r="Z15" s="26">
        <v>32.21</v>
      </c>
      <c r="AA15" s="26">
        <v>0</v>
      </c>
      <c r="AB15" s="26">
        <v>0</v>
      </c>
      <c r="AC15" s="26">
        <v>0</v>
      </c>
      <c r="AD15" s="26">
        <v>246.91</v>
      </c>
      <c r="AE15" s="26">
        <v>246.91</v>
      </c>
      <c r="AF15" s="26">
        <v>0</v>
      </c>
      <c r="AG15" s="26">
        <v>161.02</v>
      </c>
      <c r="AH15" s="26">
        <v>53.679993</v>
      </c>
      <c r="AI15" s="26">
        <v>25.002325</v>
      </c>
      <c r="AJ15" s="26">
        <v>33.337467</v>
      </c>
      <c r="AK15" s="22" t="s">
        <v>2</v>
      </c>
      <c r="AL15" s="22" t="s">
        <v>82</v>
      </c>
      <c r="AM15" s="20" t="s">
        <v>57</v>
      </c>
      <c r="AN15" s="23" t="s">
        <v>58</v>
      </c>
      <c r="AO15" s="3"/>
    </row>
    <row r="16" ht="12.95" customHeight="1" spans="1:41" x14ac:dyDescent="0.25">
      <c r="A16" s="20" t="s">
        <v>46</v>
      </c>
      <c r="B16" s="20" t="s">
        <v>47</v>
      </c>
      <c r="C16" s="20" t="s">
        <v>75</v>
      </c>
      <c r="D16" s="21"/>
      <c r="E16" s="20" t="s">
        <v>83</v>
      </c>
      <c r="F16" s="22" t="s">
        <v>50</v>
      </c>
      <c r="G16" s="22" t="s">
        <v>51</v>
      </c>
      <c r="H16" s="22" t="s">
        <v>84</v>
      </c>
      <c r="I16" s="20" t="s">
        <v>85</v>
      </c>
      <c r="J16" s="23" t="s">
        <v>86</v>
      </c>
      <c r="K16" s="20" t="s">
        <v>87</v>
      </c>
      <c r="L16" s="21"/>
      <c r="M16" s="23" t="s">
        <v>46</v>
      </c>
      <c r="N16" s="24"/>
      <c r="O16" s="24"/>
      <c r="P16" s="22" t="s">
        <v>88</v>
      </c>
      <c r="Q16" s="25"/>
      <c r="R16" s="26">
        <v>133.74</v>
      </c>
      <c r="S16" s="25"/>
      <c r="T16" s="26">
        <v>0</v>
      </c>
      <c r="U16" s="25"/>
      <c r="V16" s="26">
        <v>133.74</v>
      </c>
      <c r="W16" s="26">
        <v>0</v>
      </c>
      <c r="X16" s="26">
        <v>133.74</v>
      </c>
      <c r="Y16" s="26">
        <v>0</v>
      </c>
      <c r="Z16" s="26">
        <v>20.06</v>
      </c>
      <c r="AA16" s="26">
        <v>0</v>
      </c>
      <c r="AB16" s="26">
        <v>0</v>
      </c>
      <c r="AC16" s="26">
        <v>0</v>
      </c>
      <c r="AD16" s="26">
        <v>153.8</v>
      </c>
      <c r="AE16" s="26">
        <v>153.8</v>
      </c>
      <c r="AF16" s="26">
        <v>0</v>
      </c>
      <c r="AG16" s="26">
        <v>100.29</v>
      </c>
      <c r="AH16" s="26">
        <v>33.450005</v>
      </c>
      <c r="AI16" s="26">
        <v>25.011217</v>
      </c>
      <c r="AJ16" s="26">
        <v>33.35328</v>
      </c>
      <c r="AK16" s="22" t="s">
        <v>2</v>
      </c>
      <c r="AL16" s="22" t="s">
        <v>82</v>
      </c>
      <c r="AM16" s="20" t="s">
        <v>57</v>
      </c>
      <c r="AN16" s="23" t="s">
        <v>58</v>
      </c>
      <c r="AO16" s="3"/>
    </row>
    <row r="17" ht="12.95" customHeight="1" spans="1:41" x14ac:dyDescent="0.25">
      <c r="A17" s="20" t="s">
        <v>46</v>
      </c>
      <c r="B17" s="20" t="s">
        <v>47</v>
      </c>
      <c r="C17" s="20" t="s">
        <v>75</v>
      </c>
      <c r="D17" s="21"/>
      <c r="E17" s="20" t="s">
        <v>89</v>
      </c>
      <c r="F17" s="22" t="s">
        <v>50</v>
      </c>
      <c r="G17" s="22" t="s">
        <v>51</v>
      </c>
      <c r="H17" s="22" t="s">
        <v>90</v>
      </c>
      <c r="I17" s="20" t="s">
        <v>91</v>
      </c>
      <c r="J17" s="23" t="s">
        <v>92</v>
      </c>
      <c r="K17" s="20" t="s">
        <v>93</v>
      </c>
      <c r="L17" s="21"/>
      <c r="M17" s="23" t="s">
        <v>46</v>
      </c>
      <c r="N17" s="24"/>
      <c r="O17" s="24"/>
      <c r="P17" s="22" t="s">
        <v>81</v>
      </c>
      <c r="Q17" s="25"/>
      <c r="R17" s="26">
        <v>386.34</v>
      </c>
      <c r="S17" s="25"/>
      <c r="T17" s="26">
        <v>19.31</v>
      </c>
      <c r="U17" s="25"/>
      <c r="V17" s="26">
        <v>367.03</v>
      </c>
      <c r="W17" s="26">
        <v>0</v>
      </c>
      <c r="X17" s="26">
        <v>367.03</v>
      </c>
      <c r="Y17" s="26">
        <v>0</v>
      </c>
      <c r="Z17" s="26">
        <v>55.05</v>
      </c>
      <c r="AA17" s="26">
        <v>0</v>
      </c>
      <c r="AB17" s="26">
        <v>0</v>
      </c>
      <c r="AC17" s="26">
        <v>0</v>
      </c>
      <c r="AD17" s="26">
        <v>422.08</v>
      </c>
      <c r="AE17" s="26">
        <v>0</v>
      </c>
      <c r="AF17" s="26">
        <v>0</v>
      </c>
      <c r="AG17" s="26">
        <v>289.75503713348763</v>
      </c>
      <c r="AH17" s="26">
        <v>77.27496</v>
      </c>
      <c r="AI17" s="26">
        <v>21.054129</v>
      </c>
      <c r="AJ17" s="26">
        <v>26.669067</v>
      </c>
      <c r="AK17" s="22" t="s">
        <v>2</v>
      </c>
      <c r="AL17" s="22" t="s">
        <v>82</v>
      </c>
      <c r="AM17" s="20" t="s">
        <v>57</v>
      </c>
      <c r="AN17" s="23" t="s">
        <v>58</v>
      </c>
      <c r="AO17" s="3"/>
    </row>
    <row r="18" ht="12.95" customHeight="1" spans="1:41" x14ac:dyDescent="0.25">
      <c r="A18" s="20" t="s">
        <v>46</v>
      </c>
      <c r="B18" s="20" t="s">
        <v>47</v>
      </c>
      <c r="C18" s="20" t="s">
        <v>94</v>
      </c>
      <c r="D18" s="21"/>
      <c r="E18" s="20" t="s">
        <v>95</v>
      </c>
      <c r="F18" s="22" t="s">
        <v>50</v>
      </c>
      <c r="G18" s="22" t="s">
        <v>51</v>
      </c>
      <c r="H18" s="22" t="s">
        <v>96</v>
      </c>
      <c r="I18" s="20" t="s">
        <v>97</v>
      </c>
      <c r="J18" s="23" t="s">
        <v>98</v>
      </c>
      <c r="K18" s="20" t="s">
        <v>99</v>
      </c>
      <c r="L18" s="21"/>
      <c r="M18" s="23" t="s">
        <v>46</v>
      </c>
      <c r="N18" s="24"/>
      <c r="O18" s="24"/>
      <c r="P18" s="22" t="s">
        <v>2</v>
      </c>
      <c r="Q18" s="25"/>
      <c r="R18" s="26">
        <v>38.86</v>
      </c>
      <c r="S18" s="25"/>
      <c r="T18" s="26">
        <v>0</v>
      </c>
      <c r="U18" s="25"/>
      <c r="V18" s="26">
        <v>38.86</v>
      </c>
      <c r="W18" s="26">
        <v>0</v>
      </c>
      <c r="X18" s="26">
        <v>38.86</v>
      </c>
      <c r="Y18" s="26">
        <v>0</v>
      </c>
      <c r="Z18" s="26">
        <v>5.83</v>
      </c>
      <c r="AA18" s="26">
        <v>0</v>
      </c>
      <c r="AB18" s="26">
        <v>0</v>
      </c>
      <c r="AC18" s="26">
        <v>0</v>
      </c>
      <c r="AD18" s="26">
        <v>44.69</v>
      </c>
      <c r="AE18" s="26">
        <v>0</v>
      </c>
      <c r="AF18" s="26">
        <v>0</v>
      </c>
      <c r="AG18" s="26">
        <v>29.145</v>
      </c>
      <c r="AH18" s="26">
        <v>9.715</v>
      </c>
      <c r="AI18" s="26">
        <v>25</v>
      </c>
      <c r="AJ18" s="26">
        <v>33.333336</v>
      </c>
      <c r="AK18" s="22" t="s">
        <v>2</v>
      </c>
      <c r="AL18" s="22" t="s">
        <v>100</v>
      </c>
      <c r="AM18" s="20" t="s">
        <v>57</v>
      </c>
      <c r="AN18" s="23" t="s">
        <v>58</v>
      </c>
      <c r="AO18" s="3"/>
    </row>
    <row r="19" ht="12.95" customHeight="1" spans="1:41" x14ac:dyDescent="0.25">
      <c r="A19" s="20" t="s">
        <v>46</v>
      </c>
      <c r="B19" s="20" t="s">
        <v>47</v>
      </c>
      <c r="C19" s="20" t="s">
        <v>94</v>
      </c>
      <c r="D19" s="21"/>
      <c r="E19" s="20" t="s">
        <v>101</v>
      </c>
      <c r="F19" s="22" t="s">
        <v>50</v>
      </c>
      <c r="G19" s="22" t="s">
        <v>51</v>
      </c>
      <c r="H19" s="22" t="s">
        <v>102</v>
      </c>
      <c r="I19" s="20" t="s">
        <v>103</v>
      </c>
      <c r="J19" s="23" t="s">
        <v>104</v>
      </c>
      <c r="K19" s="20" t="s">
        <v>105</v>
      </c>
      <c r="L19" s="21"/>
      <c r="M19" s="23" t="s">
        <v>46</v>
      </c>
      <c r="N19" s="24"/>
      <c r="O19" s="24"/>
      <c r="P19" s="22" t="s">
        <v>2</v>
      </c>
      <c r="Q19" s="25"/>
      <c r="R19" s="26">
        <v>149.52</v>
      </c>
      <c r="S19" s="25"/>
      <c r="T19" s="26">
        <v>0</v>
      </c>
      <c r="U19" s="25"/>
      <c r="V19" s="26">
        <v>149.52</v>
      </c>
      <c r="W19" s="26">
        <v>0</v>
      </c>
      <c r="X19" s="26">
        <v>149.52</v>
      </c>
      <c r="Y19" s="26">
        <v>0</v>
      </c>
      <c r="Z19" s="26">
        <v>22.43</v>
      </c>
      <c r="AA19" s="26">
        <v>0</v>
      </c>
      <c r="AB19" s="26">
        <v>0</v>
      </c>
      <c r="AC19" s="26">
        <v>0</v>
      </c>
      <c r="AD19" s="26">
        <v>171.95</v>
      </c>
      <c r="AE19" s="26">
        <v>0</v>
      </c>
      <c r="AF19" s="26">
        <v>0</v>
      </c>
      <c r="AG19" s="26">
        <v>112.14</v>
      </c>
      <c r="AH19" s="26">
        <v>37.380005</v>
      </c>
      <c r="AI19" s="26">
        <v>25.000004</v>
      </c>
      <c r="AJ19" s="26">
        <v>33.333336</v>
      </c>
      <c r="AK19" s="22" t="s">
        <v>2</v>
      </c>
      <c r="AL19" s="22" t="s">
        <v>100</v>
      </c>
      <c r="AM19" s="20" t="s">
        <v>57</v>
      </c>
      <c r="AN19" s="23" t="s">
        <v>58</v>
      </c>
      <c r="AO19" s="3"/>
    </row>
    <row r="20" ht="12.95" customHeight="1" spans="1:41" x14ac:dyDescent="0.25">
      <c r="A20" s="20" t="s">
        <v>46</v>
      </c>
      <c r="B20" s="20" t="s">
        <v>47</v>
      </c>
      <c r="C20" s="20" t="s">
        <v>106</v>
      </c>
      <c r="D20" s="21"/>
      <c r="E20" s="20" t="s">
        <v>107</v>
      </c>
      <c r="F20" s="22" t="s">
        <v>50</v>
      </c>
      <c r="G20" s="22" t="s">
        <v>51</v>
      </c>
      <c r="H20" s="22" t="s">
        <v>108</v>
      </c>
      <c r="I20" s="20" t="s">
        <v>109</v>
      </c>
      <c r="J20" s="23" t="s">
        <v>110</v>
      </c>
      <c r="K20" s="20" t="s">
        <v>111</v>
      </c>
      <c r="L20" s="21"/>
      <c r="M20" s="23" t="s">
        <v>46</v>
      </c>
      <c r="N20" s="24"/>
      <c r="O20" s="24"/>
      <c r="P20" s="22" t="s">
        <v>81</v>
      </c>
      <c r="Q20" s="25"/>
      <c r="R20" s="26">
        <v>434.55</v>
      </c>
      <c r="S20" s="25"/>
      <c r="T20" s="26">
        <v>0</v>
      </c>
      <c r="U20" s="25"/>
      <c r="V20" s="26">
        <v>434.55</v>
      </c>
      <c r="W20" s="26">
        <v>0</v>
      </c>
      <c r="X20" s="26">
        <v>434.55</v>
      </c>
      <c r="Y20" s="26">
        <v>0</v>
      </c>
      <c r="Z20" s="26">
        <v>65.18</v>
      </c>
      <c r="AA20" s="26">
        <v>0</v>
      </c>
      <c r="AB20" s="26">
        <v>0</v>
      </c>
      <c r="AC20" s="26">
        <v>0</v>
      </c>
      <c r="AD20" s="26">
        <v>499.73</v>
      </c>
      <c r="AE20" s="26">
        <v>499.73</v>
      </c>
      <c r="AF20" s="26">
        <v>0</v>
      </c>
      <c r="AG20" s="26">
        <v>325.91</v>
      </c>
      <c r="AH20" s="26">
        <v>108.639984</v>
      </c>
      <c r="AI20" s="26">
        <v>25.000572</v>
      </c>
      <c r="AJ20" s="26">
        <v>33.33435</v>
      </c>
      <c r="AK20" s="22" t="s">
        <v>2</v>
      </c>
      <c r="AL20" s="22" t="s">
        <v>112</v>
      </c>
      <c r="AM20" s="20" t="s">
        <v>57</v>
      </c>
      <c r="AN20" s="23" t="s">
        <v>58</v>
      </c>
      <c r="AO20" s="3"/>
    </row>
    <row r="21" ht="12.95" customHeight="1" spans="1:41" x14ac:dyDescent="0.25">
      <c r="A21" s="20" t="s">
        <v>46</v>
      </c>
      <c r="B21" s="20" t="s">
        <v>47</v>
      </c>
      <c r="C21" s="20" t="s">
        <v>106</v>
      </c>
      <c r="D21" s="21"/>
      <c r="E21" s="20" t="s">
        <v>113</v>
      </c>
      <c r="F21" s="22" t="s">
        <v>50</v>
      </c>
      <c r="G21" s="22" t="s">
        <v>51</v>
      </c>
      <c r="H21" s="22" t="s">
        <v>114</v>
      </c>
      <c r="I21" s="20" t="s">
        <v>115</v>
      </c>
      <c r="J21" s="23" t="s">
        <v>116</v>
      </c>
      <c r="K21" s="20" t="s">
        <v>117</v>
      </c>
      <c r="L21" s="21"/>
      <c r="M21" s="23" t="s">
        <v>46</v>
      </c>
      <c r="N21" s="24"/>
      <c r="O21" s="24"/>
      <c r="P21" s="22" t="s">
        <v>81</v>
      </c>
      <c r="Q21" s="25"/>
      <c r="R21" s="26">
        <v>90.03</v>
      </c>
      <c r="S21" s="25"/>
      <c r="T21" s="26">
        <v>0</v>
      </c>
      <c r="U21" s="25"/>
      <c r="V21" s="26">
        <v>90.03</v>
      </c>
      <c r="W21" s="26">
        <v>0</v>
      </c>
      <c r="X21" s="26">
        <v>90.03</v>
      </c>
      <c r="Y21" s="26">
        <v>0</v>
      </c>
      <c r="Z21" s="26">
        <v>13.5</v>
      </c>
      <c r="AA21" s="26">
        <v>0</v>
      </c>
      <c r="AB21" s="26">
        <v>0</v>
      </c>
      <c r="AC21" s="26">
        <v>0</v>
      </c>
      <c r="AD21" s="26">
        <v>103.53</v>
      </c>
      <c r="AE21" s="26">
        <v>103.53</v>
      </c>
      <c r="AF21" s="26">
        <v>0</v>
      </c>
      <c r="AG21" s="26">
        <v>67.5225</v>
      </c>
      <c r="AH21" s="26">
        <v>22.5075</v>
      </c>
      <c r="AI21" s="26">
        <v>25</v>
      </c>
      <c r="AJ21" s="26">
        <v>33.333336</v>
      </c>
      <c r="AK21" s="22" t="s">
        <v>2</v>
      </c>
      <c r="AL21" s="22" t="s">
        <v>112</v>
      </c>
      <c r="AM21" s="20" t="s">
        <v>57</v>
      </c>
      <c r="AN21" s="23" t="s">
        <v>58</v>
      </c>
      <c r="AO21" s="3"/>
    </row>
    <row r="22" ht="12.95" customHeight="1" spans="1:41" x14ac:dyDescent="0.25">
      <c r="A22" s="20" t="s">
        <v>46</v>
      </c>
      <c r="B22" s="20" t="s">
        <v>47</v>
      </c>
      <c r="C22" s="20" t="s">
        <v>106</v>
      </c>
      <c r="D22" s="21"/>
      <c r="E22" s="20" t="s">
        <v>118</v>
      </c>
      <c r="F22" s="22" t="s">
        <v>50</v>
      </c>
      <c r="G22" s="22" t="s">
        <v>51</v>
      </c>
      <c r="H22" s="22" t="s">
        <v>119</v>
      </c>
      <c r="I22" s="20" t="s">
        <v>120</v>
      </c>
      <c r="J22" s="23" t="s">
        <v>121</v>
      </c>
      <c r="K22" s="20" t="s">
        <v>122</v>
      </c>
      <c r="L22" s="21"/>
      <c r="M22" s="23" t="s">
        <v>46</v>
      </c>
      <c r="N22" s="24"/>
      <c r="O22" s="24"/>
      <c r="P22" s="22" t="s">
        <v>2</v>
      </c>
      <c r="Q22" s="25"/>
      <c r="R22" s="26">
        <v>275.64</v>
      </c>
      <c r="S22" s="25"/>
      <c r="T22" s="26">
        <v>0</v>
      </c>
      <c r="U22" s="25"/>
      <c r="V22" s="26">
        <v>275.64</v>
      </c>
      <c r="W22" s="26">
        <v>0</v>
      </c>
      <c r="X22" s="26">
        <v>275.64</v>
      </c>
      <c r="Y22" s="26">
        <v>0</v>
      </c>
      <c r="Z22" s="26">
        <v>41.35</v>
      </c>
      <c r="AA22" s="26">
        <v>0</v>
      </c>
      <c r="AB22" s="26">
        <v>0</v>
      </c>
      <c r="AC22" s="26">
        <v>0</v>
      </c>
      <c r="AD22" s="26">
        <v>316.99</v>
      </c>
      <c r="AE22" s="26">
        <v>0</v>
      </c>
      <c r="AF22" s="26">
        <v>0</v>
      </c>
      <c r="AG22" s="26">
        <v>206.73</v>
      </c>
      <c r="AH22" s="26">
        <v>68.91002</v>
      </c>
      <c r="AI22" s="26">
        <v>25.000006</v>
      </c>
      <c r="AJ22" s="26">
        <v>33.333344</v>
      </c>
      <c r="AK22" s="22" t="s">
        <v>2</v>
      </c>
      <c r="AL22" s="22" t="s">
        <v>112</v>
      </c>
      <c r="AM22" s="20" t="s">
        <v>57</v>
      </c>
      <c r="AN22" s="23" t="s">
        <v>58</v>
      </c>
      <c r="AO22" s="3"/>
    </row>
    <row r="23" ht="12.95" customHeight="1" spans="1:41" x14ac:dyDescent="0.25">
      <c r="A23" s="20" t="s">
        <v>46</v>
      </c>
      <c r="B23" s="20" t="s">
        <v>47</v>
      </c>
      <c r="C23" s="20" t="s">
        <v>106</v>
      </c>
      <c r="D23" s="21"/>
      <c r="E23" s="20" t="s">
        <v>123</v>
      </c>
      <c r="F23" s="22" t="s">
        <v>50</v>
      </c>
      <c r="G23" s="22" t="s">
        <v>51</v>
      </c>
      <c r="H23" s="22" t="s">
        <v>124</v>
      </c>
      <c r="I23" s="20" t="s">
        <v>103</v>
      </c>
      <c r="J23" s="23" t="s">
        <v>125</v>
      </c>
      <c r="K23" s="20" t="s">
        <v>126</v>
      </c>
      <c r="L23" s="21"/>
      <c r="M23" s="23" t="s">
        <v>46</v>
      </c>
      <c r="N23" s="24"/>
      <c r="O23" s="24"/>
      <c r="P23" s="22" t="s">
        <v>2</v>
      </c>
      <c r="Q23" s="25"/>
      <c r="R23" s="26">
        <v>24.98</v>
      </c>
      <c r="S23" s="25"/>
      <c r="T23" s="26">
        <v>0</v>
      </c>
      <c r="U23" s="25"/>
      <c r="V23" s="26">
        <v>24.98</v>
      </c>
      <c r="W23" s="26">
        <v>0</v>
      </c>
      <c r="X23" s="26">
        <v>24.98</v>
      </c>
      <c r="Y23" s="26">
        <v>0</v>
      </c>
      <c r="Z23" s="26">
        <v>3.75</v>
      </c>
      <c r="AA23" s="26">
        <v>0</v>
      </c>
      <c r="AB23" s="26">
        <v>0</v>
      </c>
      <c r="AC23" s="26">
        <v>0</v>
      </c>
      <c r="AD23" s="26">
        <v>28.73</v>
      </c>
      <c r="AE23" s="26">
        <v>0</v>
      </c>
      <c r="AF23" s="26">
        <v>0</v>
      </c>
      <c r="AG23" s="26">
        <v>18.73438909812677</v>
      </c>
      <c r="AH23" s="26">
        <v>6.245611</v>
      </c>
      <c r="AI23" s="26">
        <v>25.002447</v>
      </c>
      <c r="AJ23" s="26">
        <v>33.337685</v>
      </c>
      <c r="AK23" s="22" t="s">
        <v>2</v>
      </c>
      <c r="AL23" s="22" t="s">
        <v>112</v>
      </c>
      <c r="AM23" s="20" t="s">
        <v>57</v>
      </c>
      <c r="AN23" s="23" t="s">
        <v>58</v>
      </c>
      <c r="AO23" s="3"/>
    </row>
    <row r="24" ht="12.95" customHeight="1" spans="1:41" x14ac:dyDescent="0.25">
      <c r="A24" s="20" t="s">
        <v>46</v>
      </c>
      <c r="B24" s="20" t="s">
        <v>47</v>
      </c>
      <c r="C24" s="20" t="s">
        <v>106</v>
      </c>
      <c r="D24" s="21"/>
      <c r="E24" s="20" t="s">
        <v>127</v>
      </c>
      <c r="F24" s="22" t="s">
        <v>50</v>
      </c>
      <c r="G24" s="22" t="s">
        <v>51</v>
      </c>
      <c r="H24" s="22" t="s">
        <v>128</v>
      </c>
      <c r="I24" s="20" t="s">
        <v>129</v>
      </c>
      <c r="J24" s="23" t="s">
        <v>130</v>
      </c>
      <c r="K24" s="20" t="s">
        <v>131</v>
      </c>
      <c r="L24" s="21"/>
      <c r="M24" s="23" t="s">
        <v>46</v>
      </c>
      <c r="N24" s="24"/>
      <c r="O24" s="24"/>
      <c r="P24" s="22" t="s">
        <v>2</v>
      </c>
      <c r="Q24" s="25"/>
      <c r="R24" s="26">
        <v>20.52</v>
      </c>
      <c r="S24" s="25"/>
      <c r="T24" s="26">
        <v>0</v>
      </c>
      <c r="U24" s="25"/>
      <c r="V24" s="26">
        <v>20.52</v>
      </c>
      <c r="W24" s="26">
        <v>0</v>
      </c>
      <c r="X24" s="26">
        <v>20.52</v>
      </c>
      <c r="Y24" s="26">
        <v>0</v>
      </c>
      <c r="Z24" s="26">
        <v>3.08</v>
      </c>
      <c r="AA24" s="26">
        <v>0</v>
      </c>
      <c r="AB24" s="26">
        <v>0</v>
      </c>
      <c r="AC24" s="26">
        <v>0</v>
      </c>
      <c r="AD24" s="26">
        <v>23.6</v>
      </c>
      <c r="AE24" s="26">
        <v>0</v>
      </c>
      <c r="AF24" s="26">
        <v>0</v>
      </c>
      <c r="AG24" s="26">
        <v>15.39</v>
      </c>
      <c r="AH24" s="26">
        <v>5.13</v>
      </c>
      <c r="AI24" s="26">
        <v>25</v>
      </c>
      <c r="AJ24" s="26">
        <v>33.333336</v>
      </c>
      <c r="AK24" s="22" t="s">
        <v>2</v>
      </c>
      <c r="AL24" s="22" t="s">
        <v>112</v>
      </c>
      <c r="AM24" s="20" t="s">
        <v>57</v>
      </c>
      <c r="AN24" s="23" t="s">
        <v>58</v>
      </c>
      <c r="AO24" s="3"/>
    </row>
    <row r="25" ht="12.95" customHeight="1" spans="1:41" x14ac:dyDescent="0.25">
      <c r="A25" s="20" t="s">
        <v>46</v>
      </c>
      <c r="B25" s="20" t="s">
        <v>47</v>
      </c>
      <c r="C25" s="20" t="s">
        <v>106</v>
      </c>
      <c r="D25" s="21"/>
      <c r="E25" s="20" t="s">
        <v>132</v>
      </c>
      <c r="F25" s="22" t="s">
        <v>50</v>
      </c>
      <c r="G25" s="22" t="s">
        <v>51</v>
      </c>
      <c r="H25" s="22" t="s">
        <v>133</v>
      </c>
      <c r="I25" s="20" t="s">
        <v>134</v>
      </c>
      <c r="J25" s="23" t="s">
        <v>135</v>
      </c>
      <c r="K25" s="20" t="s">
        <v>136</v>
      </c>
      <c r="L25" s="21"/>
      <c r="M25" s="23" t="s">
        <v>46</v>
      </c>
      <c r="N25" s="24"/>
      <c r="O25" s="24"/>
      <c r="P25" s="22" t="s">
        <v>81</v>
      </c>
      <c r="Q25" s="25"/>
      <c r="R25" s="26">
        <v>70.94</v>
      </c>
      <c r="S25" s="25"/>
      <c r="T25" s="26">
        <v>0</v>
      </c>
      <c r="U25" s="25"/>
      <c r="V25" s="26">
        <v>70.94</v>
      </c>
      <c r="W25" s="26">
        <v>0</v>
      </c>
      <c r="X25" s="26">
        <v>70.94</v>
      </c>
      <c r="Y25" s="26">
        <v>0</v>
      </c>
      <c r="Z25" s="26">
        <v>10.64</v>
      </c>
      <c r="AA25" s="26">
        <v>0</v>
      </c>
      <c r="AB25" s="26">
        <v>0</v>
      </c>
      <c r="AC25" s="26">
        <v>0</v>
      </c>
      <c r="AD25" s="26">
        <v>81.58</v>
      </c>
      <c r="AE25" s="26">
        <v>81.58</v>
      </c>
      <c r="AF25" s="26">
        <v>0</v>
      </c>
      <c r="AG25" s="26">
        <v>53.21</v>
      </c>
      <c r="AH25" s="26">
        <v>17.730003</v>
      </c>
      <c r="AI25" s="26">
        <v>24.992956</v>
      </c>
      <c r="AJ25" s="26">
        <v>33.320812</v>
      </c>
      <c r="AK25" s="22" t="s">
        <v>2</v>
      </c>
      <c r="AL25" s="22" t="s">
        <v>112</v>
      </c>
      <c r="AM25" s="20" t="s">
        <v>57</v>
      </c>
      <c r="AN25" s="23" t="s">
        <v>58</v>
      </c>
      <c r="AO25" s="3"/>
    </row>
    <row r="26" ht="12.95" customHeight="1" spans="1:41" x14ac:dyDescent="0.25">
      <c r="A26" s="20" t="s">
        <v>46</v>
      </c>
      <c r="B26" s="20" t="s">
        <v>47</v>
      </c>
      <c r="C26" s="20" t="s">
        <v>137</v>
      </c>
      <c r="D26" s="21"/>
      <c r="E26" s="20" t="s">
        <v>138</v>
      </c>
      <c r="F26" s="22" t="s">
        <v>50</v>
      </c>
      <c r="G26" s="22" t="s">
        <v>51</v>
      </c>
      <c r="H26" s="22" t="s">
        <v>139</v>
      </c>
      <c r="I26" s="20" t="s">
        <v>140</v>
      </c>
      <c r="J26" s="23" t="s">
        <v>141</v>
      </c>
      <c r="K26" s="20" t="s">
        <v>142</v>
      </c>
      <c r="L26" s="21"/>
      <c r="M26" s="23" t="s">
        <v>46</v>
      </c>
      <c r="N26" s="24"/>
      <c r="O26" s="24"/>
      <c r="P26" s="22" t="s">
        <v>81</v>
      </c>
      <c r="Q26" s="25"/>
      <c r="R26" s="26">
        <v>251.32</v>
      </c>
      <c r="S26" s="25"/>
      <c r="T26" s="26">
        <v>0</v>
      </c>
      <c r="U26" s="25"/>
      <c r="V26" s="26">
        <v>251.32</v>
      </c>
      <c r="W26" s="26">
        <v>0</v>
      </c>
      <c r="X26" s="26">
        <v>251.32</v>
      </c>
      <c r="Y26" s="26">
        <v>0</v>
      </c>
      <c r="Z26" s="26">
        <v>37.7</v>
      </c>
      <c r="AA26" s="26">
        <v>0</v>
      </c>
      <c r="AB26" s="26">
        <v>0</v>
      </c>
      <c r="AC26" s="26">
        <v>0</v>
      </c>
      <c r="AD26" s="26">
        <v>289.02</v>
      </c>
      <c r="AE26" s="26">
        <v>289.02</v>
      </c>
      <c r="AF26" s="26">
        <v>0</v>
      </c>
      <c r="AG26" s="26">
        <v>188.48</v>
      </c>
      <c r="AH26" s="26">
        <v>62.84001</v>
      </c>
      <c r="AI26" s="26">
        <v>25.003983</v>
      </c>
      <c r="AJ26" s="26">
        <v>33.340416</v>
      </c>
      <c r="AK26" s="22" t="s">
        <v>2</v>
      </c>
      <c r="AL26" s="22" t="s">
        <v>143</v>
      </c>
      <c r="AM26" s="20" t="s">
        <v>57</v>
      </c>
      <c r="AN26" s="23" t="s">
        <v>58</v>
      </c>
      <c r="AO26" s="3"/>
    </row>
    <row r="27" ht="12.95" customHeight="1" spans="1:41" x14ac:dyDescent="0.25">
      <c r="A27" s="20" t="s">
        <v>46</v>
      </c>
      <c r="B27" s="20" t="s">
        <v>47</v>
      </c>
      <c r="C27" s="20" t="s">
        <v>144</v>
      </c>
      <c r="D27" s="21"/>
      <c r="E27" s="20" t="s">
        <v>145</v>
      </c>
      <c r="F27" s="22" t="s">
        <v>50</v>
      </c>
      <c r="G27" s="22" t="s">
        <v>51</v>
      </c>
      <c r="H27" s="22" t="s">
        <v>146</v>
      </c>
      <c r="I27" s="20" t="s">
        <v>147</v>
      </c>
      <c r="J27" s="23" t="s">
        <v>148</v>
      </c>
      <c r="K27" s="20" t="s">
        <v>149</v>
      </c>
      <c r="L27" s="21"/>
      <c r="M27" s="23" t="s">
        <v>46</v>
      </c>
      <c r="N27" s="24"/>
      <c r="O27" s="24"/>
      <c r="P27" s="22" t="s">
        <v>2</v>
      </c>
      <c r="Q27" s="25"/>
      <c r="R27" s="26">
        <v>157.63</v>
      </c>
      <c r="S27" s="25"/>
      <c r="T27" s="26">
        <v>0</v>
      </c>
      <c r="U27" s="25"/>
      <c r="V27" s="26">
        <v>157.63</v>
      </c>
      <c r="W27" s="26">
        <v>0</v>
      </c>
      <c r="X27" s="26">
        <v>157.63</v>
      </c>
      <c r="Y27" s="26">
        <v>0</v>
      </c>
      <c r="Z27" s="26">
        <v>23.64</v>
      </c>
      <c r="AA27" s="26">
        <v>0</v>
      </c>
      <c r="AB27" s="26">
        <v>0</v>
      </c>
      <c r="AC27" s="26">
        <v>0</v>
      </c>
      <c r="AD27" s="26">
        <v>181.27</v>
      </c>
      <c r="AE27" s="26">
        <v>181.27</v>
      </c>
      <c r="AF27" s="26">
        <v>0</v>
      </c>
      <c r="AG27" s="26">
        <v>118.22</v>
      </c>
      <c r="AH27" s="26">
        <v>39.410004</v>
      </c>
      <c r="AI27" s="26">
        <v>25.001589</v>
      </c>
      <c r="AJ27" s="26">
        <v>33.336155</v>
      </c>
      <c r="AK27" s="22" t="s">
        <v>2</v>
      </c>
      <c r="AL27" s="22" t="s">
        <v>150</v>
      </c>
      <c r="AM27" s="20" t="s">
        <v>57</v>
      </c>
      <c r="AN27" s="23" t="s">
        <v>58</v>
      </c>
      <c r="AO27" s="3"/>
    </row>
    <row r="28" ht="12.95" customHeight="1" spans="1:41" x14ac:dyDescent="0.25">
      <c r="A28" s="20" t="s">
        <v>46</v>
      </c>
      <c r="B28" s="20" t="s">
        <v>47</v>
      </c>
      <c r="C28" s="20" t="s">
        <v>151</v>
      </c>
      <c r="D28" s="21"/>
      <c r="E28" s="20" t="s">
        <v>152</v>
      </c>
      <c r="F28" s="22" t="s">
        <v>50</v>
      </c>
      <c r="G28" s="22" t="s">
        <v>51</v>
      </c>
      <c r="H28" s="22" t="s">
        <v>153</v>
      </c>
      <c r="I28" s="20" t="s">
        <v>53</v>
      </c>
      <c r="J28" s="23" t="s">
        <v>154</v>
      </c>
      <c r="K28" s="20" t="s">
        <v>155</v>
      </c>
      <c r="L28" s="21"/>
      <c r="M28" s="23" t="s">
        <v>46</v>
      </c>
      <c r="N28" s="24"/>
      <c r="O28" s="24"/>
      <c r="P28" s="22" t="s">
        <v>2</v>
      </c>
      <c r="Q28" s="25"/>
      <c r="R28" s="26">
        <v>13.21</v>
      </c>
      <c r="S28" s="25"/>
      <c r="T28" s="26">
        <v>0</v>
      </c>
      <c r="U28" s="25"/>
      <c r="V28" s="26">
        <v>13.21</v>
      </c>
      <c r="W28" s="26">
        <v>0</v>
      </c>
      <c r="X28" s="26">
        <v>13.21</v>
      </c>
      <c r="Y28" s="26">
        <v>0</v>
      </c>
      <c r="Z28" s="26">
        <v>1.98</v>
      </c>
      <c r="AA28" s="26">
        <v>0</v>
      </c>
      <c r="AB28" s="26">
        <v>0</v>
      </c>
      <c r="AC28" s="26">
        <v>0</v>
      </c>
      <c r="AD28" s="26">
        <v>15.19</v>
      </c>
      <c r="AE28" s="26">
        <v>0</v>
      </c>
      <c r="AF28" s="26">
        <v>0</v>
      </c>
      <c r="AG28" s="26">
        <v>8.83099237993975</v>
      </c>
      <c r="AH28" s="26">
        <v>4.3790073</v>
      </c>
      <c r="AI28" s="26">
        <v>33.149185</v>
      </c>
      <c r="AJ28" s="26">
        <v>49.586807</v>
      </c>
      <c r="AK28" s="22" t="s">
        <v>2</v>
      </c>
      <c r="AL28" s="22" t="s">
        <v>156</v>
      </c>
      <c r="AM28" s="20" t="s">
        <v>57</v>
      </c>
      <c r="AN28" s="23" t="s">
        <v>58</v>
      </c>
      <c r="AO28" s="3"/>
    </row>
    <row r="29" ht="12.95" customHeight="1" spans="1:41" x14ac:dyDescent="0.25">
      <c r="A29" s="20" t="s">
        <v>46</v>
      </c>
      <c r="B29" s="20" t="s">
        <v>47</v>
      </c>
      <c r="C29" s="20" t="s">
        <v>151</v>
      </c>
      <c r="D29" s="21"/>
      <c r="E29" s="20" t="s">
        <v>157</v>
      </c>
      <c r="F29" s="22" t="s">
        <v>50</v>
      </c>
      <c r="G29" s="22" t="s">
        <v>51</v>
      </c>
      <c r="H29" s="22" t="s">
        <v>158</v>
      </c>
      <c r="I29" s="20" t="s">
        <v>159</v>
      </c>
      <c r="J29" s="23" t="s">
        <v>160</v>
      </c>
      <c r="K29" s="20" t="s">
        <v>161</v>
      </c>
      <c r="L29" s="21"/>
      <c r="M29" s="23" t="s">
        <v>46</v>
      </c>
      <c r="N29" s="24"/>
      <c r="O29" s="24"/>
      <c r="P29" s="22" t="s">
        <v>81</v>
      </c>
      <c r="Q29" s="25"/>
      <c r="R29" s="26">
        <v>559.16</v>
      </c>
      <c r="S29" s="25"/>
      <c r="T29" s="26">
        <v>0</v>
      </c>
      <c r="U29" s="25"/>
      <c r="V29" s="26">
        <v>559.16</v>
      </c>
      <c r="W29" s="26">
        <v>0</v>
      </c>
      <c r="X29" s="26">
        <v>559.16</v>
      </c>
      <c r="Y29" s="26">
        <v>0</v>
      </c>
      <c r="Z29" s="26">
        <v>83.87</v>
      </c>
      <c r="AA29" s="26">
        <v>0</v>
      </c>
      <c r="AB29" s="26">
        <v>0</v>
      </c>
      <c r="AC29" s="26">
        <v>0</v>
      </c>
      <c r="AD29" s="26">
        <v>643.03</v>
      </c>
      <c r="AE29" s="26">
        <v>643.03</v>
      </c>
      <c r="AF29" s="26">
        <v>0</v>
      </c>
      <c r="AG29" s="26">
        <v>419.36</v>
      </c>
      <c r="AH29" s="26">
        <v>139.79999</v>
      </c>
      <c r="AI29" s="26">
        <v>25.00179</v>
      </c>
      <c r="AJ29" s="26">
        <v>33.33651</v>
      </c>
      <c r="AK29" s="22" t="s">
        <v>2</v>
      </c>
      <c r="AL29" s="22" t="s">
        <v>156</v>
      </c>
      <c r="AM29" s="20" t="s">
        <v>57</v>
      </c>
      <c r="AN29" s="23" t="s">
        <v>58</v>
      </c>
      <c r="AO29" s="3"/>
    </row>
    <row r="30" ht="12.95" customHeight="1" spans="1:41" x14ac:dyDescent="0.25">
      <c r="A30" s="20" t="s">
        <v>46</v>
      </c>
      <c r="B30" s="20" t="s">
        <v>47</v>
      </c>
      <c r="C30" s="20" t="s">
        <v>151</v>
      </c>
      <c r="D30" s="21"/>
      <c r="E30" s="20" t="s">
        <v>162</v>
      </c>
      <c r="F30" s="22" t="s">
        <v>50</v>
      </c>
      <c r="G30" s="22" t="s">
        <v>51</v>
      </c>
      <c r="H30" s="22" t="s">
        <v>163</v>
      </c>
      <c r="I30" s="20" t="s">
        <v>78</v>
      </c>
      <c r="J30" s="23" t="s">
        <v>164</v>
      </c>
      <c r="K30" s="20" t="s">
        <v>165</v>
      </c>
      <c r="L30" s="21"/>
      <c r="M30" s="23" t="s">
        <v>46</v>
      </c>
      <c r="N30" s="24"/>
      <c r="O30" s="24"/>
      <c r="P30" s="22" t="s">
        <v>2</v>
      </c>
      <c r="Q30" s="25"/>
      <c r="R30" s="26">
        <v>24.02</v>
      </c>
      <c r="S30" s="25"/>
      <c r="T30" s="26">
        <v>0</v>
      </c>
      <c r="U30" s="25"/>
      <c r="V30" s="26">
        <v>24.02</v>
      </c>
      <c r="W30" s="26">
        <v>0</v>
      </c>
      <c r="X30" s="26">
        <v>24.02</v>
      </c>
      <c r="Y30" s="26">
        <v>0</v>
      </c>
      <c r="Z30" s="26">
        <v>3.6</v>
      </c>
      <c r="AA30" s="26">
        <v>0</v>
      </c>
      <c r="AB30" s="26">
        <v>0</v>
      </c>
      <c r="AC30" s="26">
        <v>0</v>
      </c>
      <c r="AD30" s="26">
        <v>27.62</v>
      </c>
      <c r="AE30" s="26">
        <v>0</v>
      </c>
      <c r="AF30" s="26">
        <v>0</v>
      </c>
      <c r="AG30" s="26">
        <v>18.014985574751165</v>
      </c>
      <c r="AH30" s="26">
        <v>6.0050144</v>
      </c>
      <c r="AI30" s="26">
        <v>25.00006</v>
      </c>
      <c r="AJ30" s="26">
        <v>33.33344</v>
      </c>
      <c r="AK30" s="22" t="s">
        <v>2</v>
      </c>
      <c r="AL30" s="22" t="s">
        <v>156</v>
      </c>
      <c r="AM30" s="20" t="s">
        <v>57</v>
      </c>
      <c r="AN30" s="23" t="s">
        <v>58</v>
      </c>
      <c r="AO30" s="3"/>
    </row>
    <row r="31" ht="12.95" customHeight="1" spans="1:41" x14ac:dyDescent="0.25">
      <c r="A31" s="20" t="s">
        <v>46</v>
      </c>
      <c r="B31" s="20" t="s">
        <v>47</v>
      </c>
      <c r="C31" s="20" t="s">
        <v>166</v>
      </c>
      <c r="D31" s="21"/>
      <c r="E31" s="20" t="s">
        <v>167</v>
      </c>
      <c r="F31" s="22" t="s">
        <v>50</v>
      </c>
      <c r="G31" s="22" t="s">
        <v>51</v>
      </c>
      <c r="H31" s="22" t="s">
        <v>168</v>
      </c>
      <c r="I31" s="20" t="s">
        <v>103</v>
      </c>
      <c r="J31" s="23" t="s">
        <v>169</v>
      </c>
      <c r="K31" s="20" t="s">
        <v>170</v>
      </c>
      <c r="L31" s="21"/>
      <c r="M31" s="23" t="s">
        <v>46</v>
      </c>
      <c r="N31" s="24"/>
      <c r="O31" s="24"/>
      <c r="P31" s="22" t="s">
        <v>88</v>
      </c>
      <c r="Q31" s="25"/>
      <c r="R31" s="26">
        <v>858.11</v>
      </c>
      <c r="S31" s="25"/>
      <c r="T31" s="26">
        <v>0</v>
      </c>
      <c r="U31" s="25"/>
      <c r="V31" s="26">
        <v>858.11</v>
      </c>
      <c r="W31" s="26">
        <v>0</v>
      </c>
      <c r="X31" s="26">
        <v>858.11</v>
      </c>
      <c r="Y31" s="26">
        <v>0</v>
      </c>
      <c r="Z31" s="26">
        <v>128.72</v>
      </c>
      <c r="AA31" s="26">
        <v>0</v>
      </c>
      <c r="AB31" s="26">
        <v>0</v>
      </c>
      <c r="AC31" s="26">
        <v>0</v>
      </c>
      <c r="AD31" s="26">
        <v>986.83</v>
      </c>
      <c r="AE31" s="26">
        <v>986.83</v>
      </c>
      <c r="AF31" s="26">
        <v>0</v>
      </c>
      <c r="AG31" s="26">
        <v>643.58</v>
      </c>
      <c r="AH31" s="26">
        <v>214.52997</v>
      </c>
      <c r="AI31" s="26">
        <v>25.00029</v>
      </c>
      <c r="AJ31" s="26">
        <v>33.333847</v>
      </c>
      <c r="AK31" s="22" t="s">
        <v>2</v>
      </c>
      <c r="AL31" s="22" t="s">
        <v>171</v>
      </c>
      <c r="AM31" s="20" t="s">
        <v>57</v>
      </c>
      <c r="AN31" s="23" t="s">
        <v>58</v>
      </c>
      <c r="AO31" s="3"/>
    </row>
    <row r="32" ht="12.95" customHeight="1" spans="1:41" x14ac:dyDescent="0.25">
      <c r="A32" s="20" t="s">
        <v>46</v>
      </c>
      <c r="B32" s="20" t="s">
        <v>47</v>
      </c>
      <c r="C32" s="20" t="s">
        <v>166</v>
      </c>
      <c r="D32" s="21"/>
      <c r="E32" s="20" t="s">
        <v>172</v>
      </c>
      <c r="F32" s="22" t="s">
        <v>50</v>
      </c>
      <c r="G32" s="22" t="s">
        <v>51</v>
      </c>
      <c r="H32" s="22" t="s">
        <v>173</v>
      </c>
      <c r="I32" s="20" t="s">
        <v>97</v>
      </c>
      <c r="J32" s="23" t="s">
        <v>174</v>
      </c>
      <c r="K32" s="20" t="s">
        <v>175</v>
      </c>
      <c r="L32" s="21"/>
      <c r="M32" s="23" t="s">
        <v>46</v>
      </c>
      <c r="N32" s="24"/>
      <c r="O32" s="24"/>
      <c r="P32" s="22" t="s">
        <v>2</v>
      </c>
      <c r="Q32" s="25"/>
      <c r="R32" s="26">
        <v>13.04</v>
      </c>
      <c r="S32" s="25"/>
      <c r="T32" s="26">
        <v>0</v>
      </c>
      <c r="U32" s="25"/>
      <c r="V32" s="26">
        <v>13.04</v>
      </c>
      <c r="W32" s="26">
        <v>0</v>
      </c>
      <c r="X32" s="26">
        <v>13.04</v>
      </c>
      <c r="Y32" s="26">
        <v>0</v>
      </c>
      <c r="Z32" s="26">
        <v>1.96</v>
      </c>
      <c r="AA32" s="26">
        <v>0</v>
      </c>
      <c r="AB32" s="26">
        <v>0</v>
      </c>
      <c r="AC32" s="26">
        <v>0</v>
      </c>
      <c r="AD32" s="26">
        <v>15</v>
      </c>
      <c r="AE32" s="26">
        <v>0</v>
      </c>
      <c r="AF32" s="26">
        <v>0</v>
      </c>
      <c r="AG32" s="26">
        <v>7.68</v>
      </c>
      <c r="AH32" s="26">
        <v>5.36</v>
      </c>
      <c r="AI32" s="26">
        <v>41.104298</v>
      </c>
      <c r="AJ32" s="26">
        <v>69.79167</v>
      </c>
      <c r="AK32" s="22" t="s">
        <v>2</v>
      </c>
      <c r="AL32" s="22" t="s">
        <v>171</v>
      </c>
      <c r="AM32" s="20" t="s">
        <v>57</v>
      </c>
      <c r="AN32" s="23" t="s">
        <v>58</v>
      </c>
      <c r="AO32" s="3"/>
    </row>
    <row r="33" ht="12.95" customHeight="1" spans="1:41" x14ac:dyDescent="0.25">
      <c r="A33" s="20" t="s">
        <v>46</v>
      </c>
      <c r="B33" s="20" t="s">
        <v>47</v>
      </c>
      <c r="C33" s="20" t="s">
        <v>176</v>
      </c>
      <c r="D33" s="21"/>
      <c r="E33" s="20" t="s">
        <v>177</v>
      </c>
      <c r="F33" s="22" t="s">
        <v>50</v>
      </c>
      <c r="G33" s="22" t="s">
        <v>51</v>
      </c>
      <c r="H33" s="22" t="s">
        <v>178</v>
      </c>
      <c r="I33" s="20" t="s">
        <v>109</v>
      </c>
      <c r="J33" s="23" t="s">
        <v>179</v>
      </c>
      <c r="K33" s="20" t="s">
        <v>180</v>
      </c>
      <c r="L33" s="21"/>
      <c r="M33" s="23" t="s">
        <v>46</v>
      </c>
      <c r="N33" s="24"/>
      <c r="O33" s="24"/>
      <c r="P33" s="22" t="s">
        <v>2</v>
      </c>
      <c r="Q33" s="25"/>
      <c r="R33" s="26">
        <v>42.2</v>
      </c>
      <c r="S33" s="25"/>
      <c r="T33" s="26">
        <v>0</v>
      </c>
      <c r="U33" s="25"/>
      <c r="V33" s="26">
        <v>42.2</v>
      </c>
      <c r="W33" s="26">
        <v>0</v>
      </c>
      <c r="X33" s="26">
        <v>42.2</v>
      </c>
      <c r="Y33" s="26">
        <v>0</v>
      </c>
      <c r="Z33" s="26">
        <v>6.33</v>
      </c>
      <c r="AA33" s="26">
        <v>0</v>
      </c>
      <c r="AB33" s="26">
        <v>0</v>
      </c>
      <c r="AC33" s="26">
        <v>0</v>
      </c>
      <c r="AD33" s="26">
        <v>48.53</v>
      </c>
      <c r="AE33" s="26">
        <v>48.53</v>
      </c>
      <c r="AF33" s="26">
        <v>0</v>
      </c>
      <c r="AG33" s="26">
        <v>31.65</v>
      </c>
      <c r="AH33" s="26">
        <v>10.550001</v>
      </c>
      <c r="AI33" s="26">
        <v>25.000004</v>
      </c>
      <c r="AJ33" s="26">
        <v>33.333336</v>
      </c>
      <c r="AK33" s="22" t="s">
        <v>2</v>
      </c>
      <c r="AL33" s="22" t="s">
        <v>181</v>
      </c>
      <c r="AM33" s="20" t="s">
        <v>57</v>
      </c>
      <c r="AN33" s="23" t="s">
        <v>58</v>
      </c>
      <c r="AO33" s="3"/>
    </row>
    <row r="34" ht="12.95" customHeight="1" spans="1:41" x14ac:dyDescent="0.25">
      <c r="A34" s="20" t="s">
        <v>46</v>
      </c>
      <c r="B34" s="20" t="s">
        <v>47</v>
      </c>
      <c r="C34" s="20" t="s">
        <v>176</v>
      </c>
      <c r="D34" s="21"/>
      <c r="E34" s="20" t="s">
        <v>182</v>
      </c>
      <c r="F34" s="22" t="s">
        <v>50</v>
      </c>
      <c r="G34" s="22" t="s">
        <v>51</v>
      </c>
      <c r="H34" s="22" t="s">
        <v>183</v>
      </c>
      <c r="I34" s="20" t="s">
        <v>72</v>
      </c>
      <c r="J34" s="23" t="s">
        <v>184</v>
      </c>
      <c r="K34" s="20" t="s">
        <v>185</v>
      </c>
      <c r="L34" s="21"/>
      <c r="M34" s="23" t="s">
        <v>46</v>
      </c>
      <c r="N34" s="24"/>
      <c r="O34" s="24"/>
      <c r="P34" s="22" t="s">
        <v>2</v>
      </c>
      <c r="Q34" s="25"/>
      <c r="R34" s="26">
        <v>7.34</v>
      </c>
      <c r="S34" s="25"/>
      <c r="T34" s="26">
        <v>0</v>
      </c>
      <c r="U34" s="25"/>
      <c r="V34" s="26">
        <v>7.34</v>
      </c>
      <c r="W34" s="26">
        <v>0</v>
      </c>
      <c r="X34" s="26">
        <v>7.34</v>
      </c>
      <c r="Y34" s="26">
        <v>0</v>
      </c>
      <c r="Z34" s="26">
        <v>1.1</v>
      </c>
      <c r="AA34" s="26">
        <v>0</v>
      </c>
      <c r="AB34" s="26">
        <v>0</v>
      </c>
      <c r="AC34" s="26">
        <v>0</v>
      </c>
      <c r="AD34" s="26">
        <v>8.44</v>
      </c>
      <c r="AE34" s="26">
        <v>0</v>
      </c>
      <c r="AF34" s="26">
        <v>0</v>
      </c>
      <c r="AG34" s="26">
        <v>5.505</v>
      </c>
      <c r="AH34" s="26">
        <v>1.835</v>
      </c>
      <c r="AI34" s="26">
        <v>25</v>
      </c>
      <c r="AJ34" s="26">
        <v>33.333336</v>
      </c>
      <c r="AK34" s="22" t="s">
        <v>2</v>
      </c>
      <c r="AL34" s="22" t="s">
        <v>181</v>
      </c>
      <c r="AM34" s="20" t="s">
        <v>57</v>
      </c>
      <c r="AN34" s="23" t="s">
        <v>58</v>
      </c>
      <c r="AO34" s="3"/>
    </row>
    <row r="35" ht="12.95" customHeight="1" spans="1:41" x14ac:dyDescent="0.25">
      <c r="A35" s="20" t="s">
        <v>46</v>
      </c>
      <c r="B35" s="20" t="s">
        <v>47</v>
      </c>
      <c r="C35" s="20" t="s">
        <v>186</v>
      </c>
      <c r="D35" s="21"/>
      <c r="E35" s="20" t="s">
        <v>187</v>
      </c>
      <c r="F35" s="22" t="s">
        <v>50</v>
      </c>
      <c r="G35" s="22" t="s">
        <v>51</v>
      </c>
      <c r="H35" s="22" t="s">
        <v>188</v>
      </c>
      <c r="I35" s="20" t="s">
        <v>189</v>
      </c>
      <c r="J35" s="23" t="s">
        <v>190</v>
      </c>
      <c r="K35" s="20" t="s">
        <v>191</v>
      </c>
      <c r="L35" s="21"/>
      <c r="M35" s="23" t="s">
        <v>46</v>
      </c>
      <c r="N35" s="24"/>
      <c r="O35" s="24"/>
      <c r="P35" s="22" t="s">
        <v>192</v>
      </c>
      <c r="Q35" s="25"/>
      <c r="R35" s="26">
        <v>885.86</v>
      </c>
      <c r="S35" s="25"/>
      <c r="T35" s="26">
        <v>44.3</v>
      </c>
      <c r="U35" s="25"/>
      <c r="V35" s="26">
        <v>841.56</v>
      </c>
      <c r="W35" s="26">
        <v>0</v>
      </c>
      <c r="X35" s="26">
        <v>841.56</v>
      </c>
      <c r="Y35" s="26">
        <v>0</v>
      </c>
      <c r="Z35" s="26">
        <v>126.23</v>
      </c>
      <c r="AA35" s="26">
        <v>0</v>
      </c>
      <c r="AB35" s="26">
        <v>0</v>
      </c>
      <c r="AC35" s="26">
        <v>0</v>
      </c>
      <c r="AD35" s="26">
        <v>967.79</v>
      </c>
      <c r="AE35" s="26">
        <v>967.79</v>
      </c>
      <c r="AF35" s="26">
        <v>0</v>
      </c>
      <c r="AG35" s="26">
        <v>664.38</v>
      </c>
      <c r="AH35" s="26">
        <v>177.18</v>
      </c>
      <c r="AI35" s="26">
        <v>21.053757</v>
      </c>
      <c r="AJ35" s="26">
        <v>26.66847</v>
      </c>
      <c r="AK35" s="22" t="s">
        <v>2</v>
      </c>
      <c r="AL35" s="22" t="s">
        <v>193</v>
      </c>
      <c r="AM35" s="20" t="s">
        <v>57</v>
      </c>
      <c r="AN35" s="23" t="s">
        <v>58</v>
      </c>
      <c r="AO35" s="3"/>
    </row>
    <row r="36" ht="12.95" customHeight="1" spans="1:41" x14ac:dyDescent="0.25">
      <c r="A36" s="20" t="s">
        <v>46</v>
      </c>
      <c r="B36" s="20" t="s">
        <v>47</v>
      </c>
      <c r="C36" s="20" t="s">
        <v>186</v>
      </c>
      <c r="D36" s="21"/>
      <c r="E36" s="20" t="s">
        <v>194</v>
      </c>
      <c r="F36" s="22" t="s">
        <v>50</v>
      </c>
      <c r="G36" s="22" t="s">
        <v>51</v>
      </c>
      <c r="H36" s="22" t="s">
        <v>195</v>
      </c>
      <c r="I36" s="20" t="s">
        <v>196</v>
      </c>
      <c r="J36" s="23" t="s">
        <v>197</v>
      </c>
      <c r="K36" s="20" t="s">
        <v>198</v>
      </c>
      <c r="L36" s="21"/>
      <c r="M36" s="23" t="s">
        <v>46</v>
      </c>
      <c r="N36" s="24"/>
      <c r="O36" s="24"/>
      <c r="P36" s="22" t="s">
        <v>2</v>
      </c>
      <c r="Q36" s="25"/>
      <c r="R36" s="26">
        <v>9.63</v>
      </c>
      <c r="S36" s="25"/>
      <c r="T36" s="26">
        <v>0</v>
      </c>
      <c r="U36" s="25"/>
      <c r="V36" s="26">
        <v>9.63</v>
      </c>
      <c r="W36" s="26">
        <v>0</v>
      </c>
      <c r="X36" s="26">
        <v>9.63</v>
      </c>
      <c r="Y36" s="26">
        <v>0</v>
      </c>
      <c r="Z36" s="26">
        <v>1.44</v>
      </c>
      <c r="AA36" s="26">
        <v>0</v>
      </c>
      <c r="AB36" s="26">
        <v>0</v>
      </c>
      <c r="AC36" s="26">
        <v>0</v>
      </c>
      <c r="AD36" s="26">
        <v>11.07</v>
      </c>
      <c r="AE36" s="26">
        <v>11.07</v>
      </c>
      <c r="AF36" s="26">
        <v>0</v>
      </c>
      <c r="AG36" s="26">
        <v>7.22</v>
      </c>
      <c r="AH36" s="26">
        <v>2.4100003</v>
      </c>
      <c r="AI36" s="26">
        <v>25.025963</v>
      </c>
      <c r="AJ36" s="26">
        <v>33.37951</v>
      </c>
      <c r="AK36" s="22" t="s">
        <v>2</v>
      </c>
      <c r="AL36" s="22" t="s">
        <v>193</v>
      </c>
      <c r="AM36" s="20" t="s">
        <v>57</v>
      </c>
      <c r="AN36" s="23" t="s">
        <v>58</v>
      </c>
      <c r="AO36" s="3"/>
    </row>
    <row r="37" ht="12.95" customHeight="1" spans="1:41" x14ac:dyDescent="0.25">
      <c r="A37" s="20" t="s">
        <v>46</v>
      </c>
      <c r="B37" s="20" t="s">
        <v>47</v>
      </c>
      <c r="C37" s="20" t="s">
        <v>186</v>
      </c>
      <c r="D37" s="21"/>
      <c r="E37" s="20" t="s">
        <v>199</v>
      </c>
      <c r="F37" s="22" t="s">
        <v>50</v>
      </c>
      <c r="G37" s="22" t="s">
        <v>51</v>
      </c>
      <c r="H37" s="22" t="s">
        <v>200</v>
      </c>
      <c r="I37" s="20" t="s">
        <v>201</v>
      </c>
      <c r="J37" s="23" t="s">
        <v>202</v>
      </c>
      <c r="K37" s="20" t="s">
        <v>203</v>
      </c>
      <c r="L37" s="21"/>
      <c r="M37" s="23" t="s">
        <v>46</v>
      </c>
      <c r="N37" s="24"/>
      <c r="O37" s="24"/>
      <c r="P37" s="22" t="s">
        <v>81</v>
      </c>
      <c r="Q37" s="25"/>
      <c r="R37" s="26">
        <v>74.34</v>
      </c>
      <c r="S37" s="25"/>
      <c r="T37" s="26">
        <v>0</v>
      </c>
      <c r="U37" s="25"/>
      <c r="V37" s="26">
        <v>74.34</v>
      </c>
      <c r="W37" s="26">
        <v>0</v>
      </c>
      <c r="X37" s="26">
        <v>74.34</v>
      </c>
      <c r="Y37" s="26">
        <v>0</v>
      </c>
      <c r="Z37" s="26">
        <v>11.15</v>
      </c>
      <c r="AA37" s="26">
        <v>0</v>
      </c>
      <c r="AB37" s="26">
        <v>0</v>
      </c>
      <c r="AC37" s="26">
        <v>0</v>
      </c>
      <c r="AD37" s="26">
        <v>85.49</v>
      </c>
      <c r="AE37" s="26">
        <v>0</v>
      </c>
      <c r="AF37" s="26">
        <v>0</v>
      </c>
      <c r="AG37" s="26">
        <v>40.97083568578134</v>
      </c>
      <c r="AH37" s="26">
        <v>33.36916</v>
      </c>
      <c r="AI37" s="26">
        <v>44.887222</v>
      </c>
      <c r="AJ37" s="26">
        <v>81.44613</v>
      </c>
      <c r="AK37" s="22" t="s">
        <v>2</v>
      </c>
      <c r="AL37" s="22" t="s">
        <v>193</v>
      </c>
      <c r="AM37" s="20" t="s">
        <v>57</v>
      </c>
      <c r="AN37" s="23" t="s">
        <v>58</v>
      </c>
      <c r="AO37" s="3"/>
    </row>
    <row r="38" ht="12.95" customHeight="1" spans="1:41" x14ac:dyDescent="0.25">
      <c r="A38" s="20" t="s">
        <v>46</v>
      </c>
      <c r="B38" s="20" t="s">
        <v>47</v>
      </c>
      <c r="C38" s="20" t="s">
        <v>186</v>
      </c>
      <c r="D38" s="21"/>
      <c r="E38" s="20" t="s">
        <v>204</v>
      </c>
      <c r="F38" s="22" t="s">
        <v>50</v>
      </c>
      <c r="G38" s="22" t="s">
        <v>51</v>
      </c>
      <c r="H38" s="22" t="s">
        <v>205</v>
      </c>
      <c r="I38" s="20" t="s">
        <v>206</v>
      </c>
      <c r="J38" s="23" t="s">
        <v>207</v>
      </c>
      <c r="K38" s="20" t="s">
        <v>208</v>
      </c>
      <c r="L38" s="21"/>
      <c r="M38" s="23" t="s">
        <v>46</v>
      </c>
      <c r="N38" s="24"/>
      <c r="O38" s="24"/>
      <c r="P38" s="22" t="s">
        <v>2</v>
      </c>
      <c r="Q38" s="25"/>
      <c r="R38" s="26">
        <v>103.6</v>
      </c>
      <c r="S38" s="25"/>
      <c r="T38" s="26">
        <v>0</v>
      </c>
      <c r="U38" s="25"/>
      <c r="V38" s="26">
        <v>103.6</v>
      </c>
      <c r="W38" s="26">
        <v>0</v>
      </c>
      <c r="X38" s="26">
        <v>103.6</v>
      </c>
      <c r="Y38" s="26">
        <v>0</v>
      </c>
      <c r="Z38" s="26">
        <v>15.54</v>
      </c>
      <c r="AA38" s="26">
        <v>0</v>
      </c>
      <c r="AB38" s="26">
        <v>0</v>
      </c>
      <c r="AC38" s="26">
        <v>0</v>
      </c>
      <c r="AD38" s="26">
        <v>119.14</v>
      </c>
      <c r="AE38" s="26">
        <v>119.14</v>
      </c>
      <c r="AF38" s="26">
        <v>0</v>
      </c>
      <c r="AG38" s="26">
        <v>77.7</v>
      </c>
      <c r="AH38" s="26">
        <v>25.900002</v>
      </c>
      <c r="AI38" s="26">
        <v>25.000004</v>
      </c>
      <c r="AJ38" s="26">
        <v>33.333336</v>
      </c>
      <c r="AK38" s="22" t="s">
        <v>2</v>
      </c>
      <c r="AL38" s="22" t="s">
        <v>193</v>
      </c>
      <c r="AM38" s="20" t="s">
        <v>57</v>
      </c>
      <c r="AN38" s="23" t="s">
        <v>58</v>
      </c>
      <c r="AO38" s="3"/>
    </row>
    <row r="39" ht="12.95" customHeight="1" spans="1:41" x14ac:dyDescent="0.25">
      <c r="A39" s="20" t="s">
        <v>46</v>
      </c>
      <c r="B39" s="20" t="s">
        <v>47</v>
      </c>
      <c r="C39" s="20" t="s">
        <v>209</v>
      </c>
      <c r="D39" s="21"/>
      <c r="E39" s="20" t="s">
        <v>210</v>
      </c>
      <c r="F39" s="22" t="s">
        <v>50</v>
      </c>
      <c r="G39" s="22" t="s">
        <v>51</v>
      </c>
      <c r="H39" s="22" t="s">
        <v>211</v>
      </c>
      <c r="I39" s="20" t="s">
        <v>85</v>
      </c>
      <c r="J39" s="23" t="s">
        <v>212</v>
      </c>
      <c r="K39" s="20" t="s">
        <v>213</v>
      </c>
      <c r="L39" s="21"/>
      <c r="M39" s="23" t="s">
        <v>46</v>
      </c>
      <c r="N39" s="24"/>
      <c r="O39" s="24"/>
      <c r="P39" s="22" t="s">
        <v>2</v>
      </c>
      <c r="Q39" s="25"/>
      <c r="R39" s="26">
        <v>7.34</v>
      </c>
      <c r="S39" s="25"/>
      <c r="T39" s="26">
        <v>0</v>
      </c>
      <c r="U39" s="25"/>
      <c r="V39" s="26">
        <v>7.34</v>
      </c>
      <c r="W39" s="26">
        <v>0</v>
      </c>
      <c r="X39" s="26">
        <v>7.34</v>
      </c>
      <c r="Y39" s="26">
        <v>0</v>
      </c>
      <c r="Z39" s="26">
        <v>1.1</v>
      </c>
      <c r="AA39" s="26">
        <v>0</v>
      </c>
      <c r="AB39" s="26">
        <v>0</v>
      </c>
      <c r="AC39" s="26">
        <v>0</v>
      </c>
      <c r="AD39" s="26">
        <v>8.44</v>
      </c>
      <c r="AE39" s="26">
        <v>0</v>
      </c>
      <c r="AF39" s="26">
        <v>0</v>
      </c>
      <c r="AG39" s="26">
        <v>5.505</v>
      </c>
      <c r="AH39" s="26">
        <v>1.835</v>
      </c>
      <c r="AI39" s="26">
        <v>25</v>
      </c>
      <c r="AJ39" s="26">
        <v>33.333336</v>
      </c>
      <c r="AK39" s="22" t="s">
        <v>2</v>
      </c>
      <c r="AL39" s="22" t="s">
        <v>214</v>
      </c>
      <c r="AM39" s="20" t="s">
        <v>57</v>
      </c>
      <c r="AN39" s="23" t="s">
        <v>58</v>
      </c>
      <c r="AO39" s="3"/>
    </row>
    <row r="40" ht="12.95" customHeight="1" spans="1:41" x14ac:dyDescent="0.25">
      <c r="A40" s="20" t="s">
        <v>46</v>
      </c>
      <c r="B40" s="20" t="s">
        <v>47</v>
      </c>
      <c r="C40" s="20" t="s">
        <v>209</v>
      </c>
      <c r="D40" s="21"/>
      <c r="E40" s="20" t="s">
        <v>215</v>
      </c>
      <c r="F40" s="22" t="s">
        <v>50</v>
      </c>
      <c r="G40" s="22" t="s">
        <v>51</v>
      </c>
      <c r="H40" s="22" t="s">
        <v>216</v>
      </c>
      <c r="I40" s="20" t="s">
        <v>217</v>
      </c>
      <c r="J40" s="23" t="s">
        <v>218</v>
      </c>
      <c r="K40" s="20" t="s">
        <v>219</v>
      </c>
      <c r="L40" s="21"/>
      <c r="M40" s="23" t="s">
        <v>46</v>
      </c>
      <c r="N40" s="24"/>
      <c r="O40" s="24"/>
      <c r="P40" s="22" t="s">
        <v>192</v>
      </c>
      <c r="Q40" s="25"/>
      <c r="R40" s="26">
        <v>201.1</v>
      </c>
      <c r="S40" s="25"/>
      <c r="T40" s="26">
        <v>30.16</v>
      </c>
      <c r="U40" s="25"/>
      <c r="V40" s="26">
        <v>170.94</v>
      </c>
      <c r="W40" s="26">
        <v>0</v>
      </c>
      <c r="X40" s="26">
        <v>170.94</v>
      </c>
      <c r="Y40" s="26">
        <v>0</v>
      </c>
      <c r="Z40" s="26">
        <v>25.64</v>
      </c>
      <c r="AA40" s="26">
        <v>0</v>
      </c>
      <c r="AB40" s="26">
        <v>0</v>
      </c>
      <c r="AC40" s="26">
        <v>0</v>
      </c>
      <c r="AD40" s="26">
        <v>196.58</v>
      </c>
      <c r="AE40" s="26">
        <v>0</v>
      </c>
      <c r="AF40" s="26">
        <v>0</v>
      </c>
      <c r="AG40" s="26">
        <v>150.82324936035204</v>
      </c>
      <c r="AH40" s="26">
        <v>20.11676</v>
      </c>
      <c r="AI40" s="26">
        <v>11.768316</v>
      </c>
      <c r="AJ40" s="26">
        <v>13.337972</v>
      </c>
      <c r="AK40" s="22" t="s">
        <v>2</v>
      </c>
      <c r="AL40" s="22" t="s">
        <v>214</v>
      </c>
      <c r="AM40" s="20" t="s">
        <v>57</v>
      </c>
      <c r="AN40" s="23" t="s">
        <v>58</v>
      </c>
      <c r="AO40" s="3"/>
    </row>
    <row r="41" ht="12.95" customHeight="1" spans="1:41" x14ac:dyDescent="0.25">
      <c r="A41" s="20" t="s">
        <v>46</v>
      </c>
      <c r="B41" s="20" t="s">
        <v>47</v>
      </c>
      <c r="C41" s="20" t="s">
        <v>220</v>
      </c>
      <c r="D41" s="21"/>
      <c r="E41" s="20" t="s">
        <v>221</v>
      </c>
      <c r="F41" s="22" t="s">
        <v>50</v>
      </c>
      <c r="G41" s="22" t="s">
        <v>51</v>
      </c>
      <c r="H41" s="22" t="s">
        <v>222</v>
      </c>
      <c r="I41" s="20" t="s">
        <v>72</v>
      </c>
      <c r="J41" s="23" t="s">
        <v>223</v>
      </c>
      <c r="K41" s="20" t="s">
        <v>224</v>
      </c>
      <c r="L41" s="21"/>
      <c r="M41" s="23" t="s">
        <v>46</v>
      </c>
      <c r="N41" s="24"/>
      <c r="O41" s="24"/>
      <c r="P41" s="22" t="s">
        <v>2</v>
      </c>
      <c r="Q41" s="25"/>
      <c r="R41" s="26">
        <v>22.81</v>
      </c>
      <c r="S41" s="25"/>
      <c r="T41" s="26">
        <v>0</v>
      </c>
      <c r="U41" s="25"/>
      <c r="V41" s="26">
        <v>22.81</v>
      </c>
      <c r="W41" s="26">
        <v>0</v>
      </c>
      <c r="X41" s="26">
        <v>22.81</v>
      </c>
      <c r="Y41" s="26">
        <v>0</v>
      </c>
      <c r="Z41" s="26">
        <v>3.42</v>
      </c>
      <c r="AA41" s="26">
        <v>0</v>
      </c>
      <c r="AB41" s="26">
        <v>0</v>
      </c>
      <c r="AC41" s="26">
        <v>0</v>
      </c>
      <c r="AD41" s="26">
        <v>26.23</v>
      </c>
      <c r="AE41" s="26">
        <v>0</v>
      </c>
      <c r="AF41" s="26">
        <v>0</v>
      </c>
      <c r="AG41" s="26">
        <v>17.10711259947652</v>
      </c>
      <c r="AH41" s="26">
        <v>5.7028866</v>
      </c>
      <c r="AI41" s="26">
        <v>25.001696</v>
      </c>
      <c r="AJ41" s="26">
        <v>33.336346</v>
      </c>
      <c r="AK41" s="22" t="s">
        <v>2</v>
      </c>
      <c r="AL41" s="22" t="s">
        <v>225</v>
      </c>
      <c r="AM41" s="20" t="s">
        <v>57</v>
      </c>
      <c r="AN41" s="23" t="s">
        <v>58</v>
      </c>
      <c r="AO41" s="3"/>
    </row>
    <row r="42" ht="12.95" customHeight="1" spans="1:41" x14ac:dyDescent="0.25">
      <c r="A42" s="20" t="s">
        <v>46</v>
      </c>
      <c r="B42" s="20" t="s">
        <v>47</v>
      </c>
      <c r="C42" s="20" t="s">
        <v>220</v>
      </c>
      <c r="D42" s="21"/>
      <c r="E42" s="20" t="s">
        <v>226</v>
      </c>
      <c r="F42" s="22" t="s">
        <v>50</v>
      </c>
      <c r="G42" s="22" t="s">
        <v>51</v>
      </c>
      <c r="H42" s="22" t="s">
        <v>227</v>
      </c>
      <c r="I42" s="20" t="s">
        <v>228</v>
      </c>
      <c r="J42" s="23" t="s">
        <v>229</v>
      </c>
      <c r="K42" s="20" t="s">
        <v>230</v>
      </c>
      <c r="L42" s="21"/>
      <c r="M42" s="23" t="s">
        <v>46</v>
      </c>
      <c r="N42" s="24"/>
      <c r="O42" s="24"/>
      <c r="P42" s="22" t="s">
        <v>2</v>
      </c>
      <c r="Q42" s="25"/>
      <c r="R42" s="26">
        <v>147.81</v>
      </c>
      <c r="S42" s="25"/>
      <c r="T42" s="26">
        <v>7.39</v>
      </c>
      <c r="U42" s="25"/>
      <c r="V42" s="26">
        <v>140.42</v>
      </c>
      <c r="W42" s="26">
        <v>0</v>
      </c>
      <c r="X42" s="26">
        <v>140.42</v>
      </c>
      <c r="Y42" s="26">
        <v>0</v>
      </c>
      <c r="Z42" s="26">
        <v>21.06</v>
      </c>
      <c r="AA42" s="26">
        <v>0</v>
      </c>
      <c r="AB42" s="26">
        <v>0</v>
      </c>
      <c r="AC42" s="26">
        <v>0</v>
      </c>
      <c r="AD42" s="26">
        <v>161.48</v>
      </c>
      <c r="AE42" s="26">
        <v>161.48</v>
      </c>
      <c r="AF42" s="26">
        <v>0</v>
      </c>
      <c r="AG42" s="26">
        <v>110.86</v>
      </c>
      <c r="AH42" s="26">
        <v>29.559998</v>
      </c>
      <c r="AI42" s="26">
        <v>21.05113</v>
      </c>
      <c r="AJ42" s="26">
        <v>26.66426</v>
      </c>
      <c r="AK42" s="22" t="s">
        <v>2</v>
      </c>
      <c r="AL42" s="22" t="s">
        <v>225</v>
      </c>
      <c r="AM42" s="20" t="s">
        <v>57</v>
      </c>
      <c r="AN42" s="23" t="s">
        <v>58</v>
      </c>
      <c r="AO42" s="3"/>
    </row>
    <row r="43" ht="12.95" customHeight="1" spans="1:41" x14ac:dyDescent="0.25">
      <c r="A43" s="20" t="s">
        <v>46</v>
      </c>
      <c r="B43" s="20" t="s">
        <v>47</v>
      </c>
      <c r="C43" s="20" t="s">
        <v>231</v>
      </c>
      <c r="D43" s="21"/>
      <c r="E43" s="20" t="s">
        <v>232</v>
      </c>
      <c r="F43" s="22" t="s">
        <v>50</v>
      </c>
      <c r="G43" s="22" t="s">
        <v>51</v>
      </c>
      <c r="H43" s="22" t="s">
        <v>233</v>
      </c>
      <c r="I43" s="20" t="s">
        <v>72</v>
      </c>
      <c r="J43" s="23" t="s">
        <v>234</v>
      </c>
      <c r="K43" s="20" t="s">
        <v>235</v>
      </c>
      <c r="L43" s="21"/>
      <c r="M43" s="23" t="s">
        <v>46</v>
      </c>
      <c r="N43" s="24"/>
      <c r="O43" s="24"/>
      <c r="P43" s="22" t="s">
        <v>2</v>
      </c>
      <c r="Q43" s="25"/>
      <c r="R43" s="26">
        <v>103.15</v>
      </c>
      <c r="S43" s="25"/>
      <c r="T43" s="26">
        <v>0</v>
      </c>
      <c r="U43" s="25"/>
      <c r="V43" s="26">
        <v>103.15</v>
      </c>
      <c r="W43" s="26">
        <v>0</v>
      </c>
      <c r="X43" s="26">
        <v>103.15</v>
      </c>
      <c r="Y43" s="26">
        <v>0</v>
      </c>
      <c r="Z43" s="26">
        <v>15.47</v>
      </c>
      <c r="AA43" s="26">
        <v>0</v>
      </c>
      <c r="AB43" s="26">
        <v>0</v>
      </c>
      <c r="AC43" s="26">
        <v>0</v>
      </c>
      <c r="AD43" s="26">
        <v>118.62</v>
      </c>
      <c r="AE43" s="26">
        <v>0</v>
      </c>
      <c r="AF43" s="26">
        <v>0</v>
      </c>
      <c r="AG43" s="26">
        <v>77.36</v>
      </c>
      <c r="AH43" s="26">
        <v>25.79</v>
      </c>
      <c r="AI43" s="26">
        <v>25.002422</v>
      </c>
      <c r="AJ43" s="26">
        <v>33.337643</v>
      </c>
      <c r="AK43" s="22" t="s">
        <v>2</v>
      </c>
      <c r="AL43" s="22" t="s">
        <v>236</v>
      </c>
      <c r="AM43" s="20" t="s">
        <v>57</v>
      </c>
      <c r="AN43" s="23" t="s">
        <v>58</v>
      </c>
      <c r="AO43" s="3"/>
    </row>
    <row r="44" ht="12.95" customHeight="1" spans="1:41" x14ac:dyDescent="0.25">
      <c r="A44" s="20" t="s">
        <v>46</v>
      </c>
      <c r="B44" s="20" t="s">
        <v>47</v>
      </c>
      <c r="C44" s="20" t="s">
        <v>231</v>
      </c>
      <c r="D44" s="21"/>
      <c r="E44" s="20" t="s">
        <v>237</v>
      </c>
      <c r="F44" s="22" t="s">
        <v>50</v>
      </c>
      <c r="G44" s="22" t="s">
        <v>51</v>
      </c>
      <c r="H44" s="22" t="s">
        <v>238</v>
      </c>
      <c r="I44" s="20" t="s">
        <v>134</v>
      </c>
      <c r="J44" s="23" t="s">
        <v>239</v>
      </c>
      <c r="K44" s="20" t="s">
        <v>240</v>
      </c>
      <c r="L44" s="21"/>
      <c r="M44" s="23" t="s">
        <v>46</v>
      </c>
      <c r="N44" s="24"/>
      <c r="O44" s="24"/>
      <c r="P44" s="22" t="s">
        <v>2</v>
      </c>
      <c r="Q44" s="25"/>
      <c r="R44" s="26">
        <v>3.48</v>
      </c>
      <c r="S44" s="25"/>
      <c r="T44" s="26">
        <v>0</v>
      </c>
      <c r="U44" s="25"/>
      <c r="V44" s="26">
        <v>3.48</v>
      </c>
      <c r="W44" s="26">
        <v>0</v>
      </c>
      <c r="X44" s="26">
        <v>3.48</v>
      </c>
      <c r="Y44" s="26">
        <v>0</v>
      </c>
      <c r="Z44" s="26">
        <v>0.52</v>
      </c>
      <c r="AA44" s="26">
        <v>0</v>
      </c>
      <c r="AB44" s="26">
        <v>0</v>
      </c>
      <c r="AC44" s="26">
        <v>0</v>
      </c>
      <c r="AD44" s="26">
        <v>4</v>
      </c>
      <c r="AE44" s="26">
        <v>0</v>
      </c>
      <c r="AF44" s="26">
        <v>0</v>
      </c>
      <c r="AG44" s="26">
        <v>1.5799819230760683</v>
      </c>
      <c r="AH44" s="26">
        <v>1.9000181</v>
      </c>
      <c r="AI44" s="26">
        <v>54.598217</v>
      </c>
      <c r="AJ44" s="26">
        <v>120.255684</v>
      </c>
      <c r="AK44" s="22" t="s">
        <v>2</v>
      </c>
      <c r="AL44" s="22" t="s">
        <v>236</v>
      </c>
      <c r="AM44" s="20" t="s">
        <v>57</v>
      </c>
      <c r="AN44" s="23" t="s">
        <v>58</v>
      </c>
      <c r="AO44" s="3"/>
    </row>
    <row r="45" ht="12.95" customHeight="1" spans="1:41" x14ac:dyDescent="0.25">
      <c r="A45" s="20" t="s">
        <v>46</v>
      </c>
      <c r="B45" s="20" t="s">
        <v>47</v>
      </c>
      <c r="C45" s="20" t="s">
        <v>231</v>
      </c>
      <c r="D45" s="21"/>
      <c r="E45" s="20" t="s">
        <v>241</v>
      </c>
      <c r="F45" s="22" t="s">
        <v>50</v>
      </c>
      <c r="G45" s="22" t="s">
        <v>51</v>
      </c>
      <c r="H45" s="22" t="s">
        <v>242</v>
      </c>
      <c r="I45" s="20" t="s">
        <v>243</v>
      </c>
      <c r="J45" s="23" t="s">
        <v>244</v>
      </c>
      <c r="K45" s="20" t="s">
        <v>245</v>
      </c>
      <c r="L45" s="21"/>
      <c r="M45" s="23" t="s">
        <v>46</v>
      </c>
      <c r="N45" s="24"/>
      <c r="O45" s="24"/>
      <c r="P45" s="22" t="s">
        <v>2</v>
      </c>
      <c r="Q45" s="25"/>
      <c r="R45" s="26">
        <v>205.48</v>
      </c>
      <c r="S45" s="25"/>
      <c r="T45" s="26">
        <v>0</v>
      </c>
      <c r="U45" s="25"/>
      <c r="V45" s="26">
        <v>205.48</v>
      </c>
      <c r="W45" s="26">
        <v>0</v>
      </c>
      <c r="X45" s="26">
        <v>205.48</v>
      </c>
      <c r="Y45" s="26">
        <v>0</v>
      </c>
      <c r="Z45" s="26">
        <v>30.82</v>
      </c>
      <c r="AA45" s="26">
        <v>0</v>
      </c>
      <c r="AB45" s="26">
        <v>0</v>
      </c>
      <c r="AC45" s="26">
        <v>0</v>
      </c>
      <c r="AD45" s="26">
        <v>236.3</v>
      </c>
      <c r="AE45" s="26">
        <v>0</v>
      </c>
      <c r="AF45" s="26">
        <v>0</v>
      </c>
      <c r="AG45" s="26">
        <v>154.11</v>
      </c>
      <c r="AH45" s="26">
        <v>51.369995</v>
      </c>
      <c r="AI45" s="26">
        <v>24.999998</v>
      </c>
      <c r="AJ45" s="26">
        <v>33.333332</v>
      </c>
      <c r="AK45" s="22" t="s">
        <v>2</v>
      </c>
      <c r="AL45" s="22" t="s">
        <v>236</v>
      </c>
      <c r="AM45" s="20" t="s">
        <v>57</v>
      </c>
      <c r="AN45" s="23" t="s">
        <v>58</v>
      </c>
      <c r="AO45" s="3"/>
    </row>
    <row r="46" ht="12.95" customHeight="1" spans="1:41" x14ac:dyDescent="0.25">
      <c r="A46" s="20" t="s">
        <v>46</v>
      </c>
      <c r="B46" s="20" t="s">
        <v>47</v>
      </c>
      <c r="C46" s="20" t="s">
        <v>246</v>
      </c>
      <c r="D46" s="21"/>
      <c r="E46" s="20" t="s">
        <v>247</v>
      </c>
      <c r="F46" s="22" t="s">
        <v>50</v>
      </c>
      <c r="G46" s="22" t="s">
        <v>51</v>
      </c>
      <c r="H46" s="22" t="s">
        <v>248</v>
      </c>
      <c r="I46" s="20" t="s">
        <v>249</v>
      </c>
      <c r="J46" s="23" t="s">
        <v>250</v>
      </c>
      <c r="K46" s="20" t="s">
        <v>251</v>
      </c>
      <c r="L46" s="21"/>
      <c r="M46" s="23" t="s">
        <v>46</v>
      </c>
      <c r="N46" s="24"/>
      <c r="O46" s="24"/>
      <c r="P46" s="22" t="s">
        <v>2</v>
      </c>
      <c r="Q46" s="25"/>
      <c r="R46" s="26">
        <v>53.76</v>
      </c>
      <c r="S46" s="25"/>
      <c r="T46" s="26">
        <v>0</v>
      </c>
      <c r="U46" s="25"/>
      <c r="V46" s="26">
        <v>53.76</v>
      </c>
      <c r="W46" s="26">
        <v>0</v>
      </c>
      <c r="X46" s="26">
        <v>53.76</v>
      </c>
      <c r="Y46" s="26">
        <v>0</v>
      </c>
      <c r="Z46" s="26">
        <v>8.06</v>
      </c>
      <c r="AA46" s="26">
        <v>0</v>
      </c>
      <c r="AB46" s="26">
        <v>0</v>
      </c>
      <c r="AC46" s="26">
        <v>0</v>
      </c>
      <c r="AD46" s="26">
        <v>61.82</v>
      </c>
      <c r="AE46" s="26">
        <v>0</v>
      </c>
      <c r="AF46" s="26">
        <v>0</v>
      </c>
      <c r="AG46" s="26">
        <v>40.32</v>
      </c>
      <c r="AH46" s="26">
        <v>13.439999</v>
      </c>
      <c r="AI46" s="26">
        <v>24.999998</v>
      </c>
      <c r="AJ46" s="26">
        <v>33.333332</v>
      </c>
      <c r="AK46" s="22" t="s">
        <v>2</v>
      </c>
      <c r="AL46" s="22" t="s">
        <v>252</v>
      </c>
      <c r="AM46" s="20" t="s">
        <v>57</v>
      </c>
      <c r="AN46" s="23" t="s">
        <v>58</v>
      </c>
      <c r="AO46" s="3"/>
    </row>
    <row r="47" ht="12.95" customHeight="1" spans="1:41" x14ac:dyDescent="0.25">
      <c r="A47" s="20" t="s">
        <v>46</v>
      </c>
      <c r="B47" s="20" t="s">
        <v>47</v>
      </c>
      <c r="C47" s="20" t="s">
        <v>253</v>
      </c>
      <c r="D47" s="21"/>
      <c r="E47" s="20" t="s">
        <v>254</v>
      </c>
      <c r="F47" s="22" t="s">
        <v>50</v>
      </c>
      <c r="G47" s="22" t="s">
        <v>51</v>
      </c>
      <c r="H47" s="22" t="s">
        <v>255</v>
      </c>
      <c r="I47" s="20" t="s">
        <v>72</v>
      </c>
      <c r="J47" s="23" t="s">
        <v>256</v>
      </c>
      <c r="K47" s="20" t="s">
        <v>257</v>
      </c>
      <c r="L47" s="21"/>
      <c r="M47" s="23" t="s">
        <v>46</v>
      </c>
      <c r="N47" s="24"/>
      <c r="O47" s="24"/>
      <c r="P47" s="22" t="s">
        <v>81</v>
      </c>
      <c r="Q47" s="25"/>
      <c r="R47" s="26">
        <v>58.87</v>
      </c>
      <c r="S47" s="25"/>
      <c r="T47" s="26">
        <v>8.83</v>
      </c>
      <c r="U47" s="25"/>
      <c r="V47" s="26">
        <v>50.04</v>
      </c>
      <c r="W47" s="26">
        <v>0</v>
      </c>
      <c r="X47" s="26">
        <v>50.04</v>
      </c>
      <c r="Y47" s="26">
        <v>0</v>
      </c>
      <c r="Z47" s="26">
        <v>7.51</v>
      </c>
      <c r="AA47" s="26">
        <v>0</v>
      </c>
      <c r="AB47" s="26">
        <v>0</v>
      </c>
      <c r="AC47" s="26">
        <v>0</v>
      </c>
      <c r="AD47" s="26">
        <v>57.55</v>
      </c>
      <c r="AE47" s="26">
        <v>0</v>
      </c>
      <c r="AF47" s="26">
        <v>0</v>
      </c>
      <c r="AG47" s="26">
        <v>44.1525</v>
      </c>
      <c r="AH47" s="26">
        <v>5.887501</v>
      </c>
      <c r="AI47" s="26">
        <v>11.765589</v>
      </c>
      <c r="AJ47" s="26">
        <v>13.334468</v>
      </c>
      <c r="AK47" s="22" t="s">
        <v>2</v>
      </c>
      <c r="AL47" s="22" t="s">
        <v>258</v>
      </c>
      <c r="AM47" s="20" t="s">
        <v>57</v>
      </c>
      <c r="AN47" s="23" t="s">
        <v>58</v>
      </c>
      <c r="AO47" s="3"/>
    </row>
    <row r="48" ht="12.95" customHeight="1" spans="1:41" x14ac:dyDescent="0.25">
      <c r="A48" s="20" t="s">
        <v>46</v>
      </c>
      <c r="B48" s="20" t="s">
        <v>47</v>
      </c>
      <c r="C48" s="20" t="s">
        <v>253</v>
      </c>
      <c r="D48" s="21"/>
      <c r="E48" s="20" t="s">
        <v>259</v>
      </c>
      <c r="F48" s="22" t="s">
        <v>50</v>
      </c>
      <c r="G48" s="22" t="s">
        <v>51</v>
      </c>
      <c r="H48" s="22" t="s">
        <v>260</v>
      </c>
      <c r="I48" s="20" t="s">
        <v>261</v>
      </c>
      <c r="J48" s="23" t="s">
        <v>262</v>
      </c>
      <c r="K48" s="20" t="s">
        <v>263</v>
      </c>
      <c r="L48" s="21"/>
      <c r="M48" s="23" t="s">
        <v>46</v>
      </c>
      <c r="N48" s="24"/>
      <c r="O48" s="24"/>
      <c r="P48" s="22" t="s">
        <v>81</v>
      </c>
      <c r="Q48" s="25"/>
      <c r="R48" s="26">
        <v>77.47</v>
      </c>
      <c r="S48" s="25"/>
      <c r="T48" s="26">
        <v>11.62</v>
      </c>
      <c r="U48" s="25"/>
      <c r="V48" s="26">
        <v>65.85</v>
      </c>
      <c r="W48" s="26">
        <v>0</v>
      </c>
      <c r="X48" s="26">
        <v>65.85</v>
      </c>
      <c r="Y48" s="26">
        <v>0</v>
      </c>
      <c r="Z48" s="26">
        <v>9.88</v>
      </c>
      <c r="AA48" s="26">
        <v>0</v>
      </c>
      <c r="AB48" s="26">
        <v>0</v>
      </c>
      <c r="AC48" s="26">
        <v>0</v>
      </c>
      <c r="AD48" s="26">
        <v>75.73</v>
      </c>
      <c r="AE48" s="26">
        <v>0</v>
      </c>
      <c r="AF48" s="26">
        <v>0</v>
      </c>
      <c r="AG48" s="26">
        <v>58.09903290838655</v>
      </c>
      <c r="AH48" s="26">
        <v>7.750965</v>
      </c>
      <c r="AI48" s="26">
        <v>11.770638</v>
      </c>
      <c r="AJ48" s="26">
        <v>13.340953</v>
      </c>
      <c r="AK48" s="22" t="s">
        <v>2</v>
      </c>
      <c r="AL48" s="22" t="s">
        <v>258</v>
      </c>
      <c r="AM48" s="20" t="s">
        <v>57</v>
      </c>
      <c r="AN48" s="23" t="s">
        <v>58</v>
      </c>
      <c r="AO48" s="3"/>
    </row>
    <row r="49" ht="12.95" customHeight="1" spans="1:41" x14ac:dyDescent="0.25">
      <c r="A49" s="18" t="s">
        <v>14</v>
      </c>
      <c r="B49" s="18" t="s">
        <v>15</v>
      </c>
      <c r="C49" s="18" t="s">
        <v>16</v>
      </c>
      <c r="D49" s="19"/>
      <c r="E49" s="18" t="s">
        <v>17</v>
      </c>
      <c r="F49" s="18" t="s">
        <v>18</v>
      </c>
      <c r="G49" s="18" t="s">
        <v>19</v>
      </c>
      <c r="H49" s="18" t="s">
        <v>20</v>
      </c>
      <c r="I49" s="18" t="s">
        <v>21</v>
      </c>
      <c r="J49" s="18" t="s">
        <v>22</v>
      </c>
      <c r="K49" s="18" t="s">
        <v>23</v>
      </c>
      <c r="L49" s="19"/>
      <c r="M49" s="18" t="s">
        <v>24</v>
      </c>
      <c r="N49" s="19"/>
      <c r="O49" s="19"/>
      <c r="P49" s="18" t="s">
        <v>25</v>
      </c>
      <c r="Q49" s="19"/>
      <c r="R49" s="18" t="s">
        <v>26</v>
      </c>
      <c r="S49" s="19"/>
      <c r="T49" s="18" t="s">
        <v>27</v>
      </c>
      <c r="U49" s="19"/>
      <c r="V49" s="18" t="s">
        <v>28</v>
      </c>
      <c r="W49" s="18" t="s">
        <v>29</v>
      </c>
      <c r="X49" s="18" t="s">
        <v>30</v>
      </c>
      <c r="Y49" s="18" t="s">
        <v>31</v>
      </c>
      <c r="Z49" s="18" t="s">
        <v>32</v>
      </c>
      <c r="AA49" s="18" t="s">
        <v>33</v>
      </c>
      <c r="AB49" s="18" t="s">
        <v>34</v>
      </c>
      <c r="AC49" s="18" t="s">
        <v>35</v>
      </c>
      <c r="AD49" s="18" t="s">
        <v>36</v>
      </c>
      <c r="AE49" s="18" t="s">
        <v>37</v>
      </c>
      <c r="AF49" s="18" t="s">
        <v>38</v>
      </c>
      <c r="AG49" s="18" t="s">
        <v>39</v>
      </c>
      <c r="AH49" s="18" t="s">
        <v>40</v>
      </c>
      <c r="AI49" s="18" t="s">
        <v>41</v>
      </c>
      <c r="AJ49" s="18" t="s">
        <v>39</v>
      </c>
      <c r="AK49" s="18" t="s">
        <v>42</v>
      </c>
      <c r="AL49" s="18" t="s">
        <v>43</v>
      </c>
      <c r="AM49" s="18" t="s">
        <v>44</v>
      </c>
      <c r="AN49" s="18" t="s">
        <v>45</v>
      </c>
      <c r="AO49" s="3"/>
    </row>
    <row r="50" ht="0.95" customHeight="1" spans="1:41" x14ac:dyDescent="0.2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3"/>
    </row>
    <row r="51" ht="12.95" customHeight="1" spans="1:41" x14ac:dyDescent="0.25">
      <c r="A51" s="20" t="s">
        <v>46</v>
      </c>
      <c r="B51" s="20" t="s">
        <v>47</v>
      </c>
      <c r="C51" s="20" t="s">
        <v>264</v>
      </c>
      <c r="D51" s="21"/>
      <c r="E51" s="20" t="s">
        <v>265</v>
      </c>
      <c r="F51" s="22" t="s">
        <v>50</v>
      </c>
      <c r="G51" s="22" t="s">
        <v>51</v>
      </c>
      <c r="H51" s="22" t="s">
        <v>266</v>
      </c>
      <c r="I51" s="20" t="s">
        <v>53</v>
      </c>
      <c r="J51" s="23" t="s">
        <v>267</v>
      </c>
      <c r="K51" s="20" t="s">
        <v>268</v>
      </c>
      <c r="L51" s="21"/>
      <c r="M51" s="23" t="s">
        <v>46</v>
      </c>
      <c r="N51" s="24"/>
      <c r="O51" s="24"/>
      <c r="P51" s="22" t="s">
        <v>2</v>
      </c>
      <c r="Q51" s="25"/>
      <c r="R51" s="26">
        <v>130.43</v>
      </c>
      <c r="S51" s="25"/>
      <c r="T51" s="26">
        <v>0</v>
      </c>
      <c r="U51" s="25"/>
      <c r="V51" s="26">
        <v>130.43</v>
      </c>
      <c r="W51" s="26">
        <v>0</v>
      </c>
      <c r="X51" s="26">
        <v>130.43</v>
      </c>
      <c r="Y51" s="26">
        <v>0</v>
      </c>
      <c r="Z51" s="26">
        <v>19.56</v>
      </c>
      <c r="AA51" s="26">
        <v>0</v>
      </c>
      <c r="AB51" s="26">
        <v>0</v>
      </c>
      <c r="AC51" s="26">
        <v>0</v>
      </c>
      <c r="AD51" s="26">
        <v>149.99</v>
      </c>
      <c r="AE51" s="26">
        <v>0</v>
      </c>
      <c r="AF51" s="26">
        <v>0</v>
      </c>
      <c r="AG51" s="26">
        <v>80</v>
      </c>
      <c r="AH51" s="26">
        <v>50.429993</v>
      </c>
      <c r="AI51" s="26">
        <v>38.664417</v>
      </c>
      <c r="AJ51" s="26">
        <v>63.03749</v>
      </c>
      <c r="AK51" s="22" t="s">
        <v>2</v>
      </c>
      <c r="AL51" s="22" t="s">
        <v>269</v>
      </c>
      <c r="AM51" s="20" t="s">
        <v>57</v>
      </c>
      <c r="AN51" s="23" t="s">
        <v>58</v>
      </c>
      <c r="AO51" s="3"/>
    </row>
    <row r="52" ht="12.95" customHeight="1" spans="1:41" x14ac:dyDescent="0.25">
      <c r="A52" s="20" t="s">
        <v>46</v>
      </c>
      <c r="B52" s="20" t="s">
        <v>47</v>
      </c>
      <c r="C52" s="20" t="s">
        <v>264</v>
      </c>
      <c r="D52" s="21"/>
      <c r="E52" s="20" t="s">
        <v>270</v>
      </c>
      <c r="F52" s="22" t="s">
        <v>50</v>
      </c>
      <c r="G52" s="22" t="s">
        <v>51</v>
      </c>
      <c r="H52" s="22" t="s">
        <v>271</v>
      </c>
      <c r="I52" s="20" t="s">
        <v>72</v>
      </c>
      <c r="J52" s="23" t="s">
        <v>272</v>
      </c>
      <c r="K52" s="20" t="s">
        <v>273</v>
      </c>
      <c r="L52" s="21"/>
      <c r="M52" s="23" t="s">
        <v>46</v>
      </c>
      <c r="N52" s="24"/>
      <c r="O52" s="24"/>
      <c r="P52" s="22" t="s">
        <v>81</v>
      </c>
      <c r="Q52" s="25"/>
      <c r="R52" s="26">
        <v>53.91</v>
      </c>
      <c r="S52" s="25"/>
      <c r="T52" s="26">
        <v>0</v>
      </c>
      <c r="U52" s="25"/>
      <c r="V52" s="26">
        <v>53.91</v>
      </c>
      <c r="W52" s="26">
        <v>0</v>
      </c>
      <c r="X52" s="26">
        <v>53.91</v>
      </c>
      <c r="Y52" s="26">
        <v>0</v>
      </c>
      <c r="Z52" s="26">
        <v>8.09</v>
      </c>
      <c r="AA52" s="26">
        <v>0</v>
      </c>
      <c r="AB52" s="26">
        <v>0</v>
      </c>
      <c r="AC52" s="26">
        <v>0</v>
      </c>
      <c r="AD52" s="26">
        <v>62</v>
      </c>
      <c r="AE52" s="26">
        <v>0</v>
      </c>
      <c r="AF52" s="26">
        <v>0</v>
      </c>
      <c r="AG52" s="26">
        <v>40.435</v>
      </c>
      <c r="AH52" s="26">
        <v>13.474998</v>
      </c>
      <c r="AI52" s="26">
        <v>24.99536</v>
      </c>
      <c r="AJ52" s="26">
        <v>33.325085</v>
      </c>
      <c r="AK52" s="22" t="s">
        <v>2</v>
      </c>
      <c r="AL52" s="22" t="s">
        <v>269</v>
      </c>
      <c r="AM52" s="20" t="s">
        <v>57</v>
      </c>
      <c r="AN52" s="23" t="s">
        <v>58</v>
      </c>
      <c r="AO52" s="3"/>
    </row>
    <row r="53" ht="12.95" customHeight="1" spans="1:41" x14ac:dyDescent="0.25">
      <c r="A53" s="20" t="s">
        <v>46</v>
      </c>
      <c r="B53" s="20" t="s">
        <v>47</v>
      </c>
      <c r="C53" s="20" t="s">
        <v>264</v>
      </c>
      <c r="D53" s="21"/>
      <c r="E53" s="20" t="s">
        <v>274</v>
      </c>
      <c r="F53" s="22" t="s">
        <v>50</v>
      </c>
      <c r="G53" s="22" t="s">
        <v>51</v>
      </c>
      <c r="H53" s="22" t="s">
        <v>275</v>
      </c>
      <c r="I53" s="20" t="s">
        <v>276</v>
      </c>
      <c r="J53" s="23" t="s">
        <v>277</v>
      </c>
      <c r="K53" s="20" t="s">
        <v>278</v>
      </c>
      <c r="L53" s="21"/>
      <c r="M53" s="23" t="s">
        <v>46</v>
      </c>
      <c r="N53" s="24"/>
      <c r="O53" s="24"/>
      <c r="P53" s="22" t="s">
        <v>81</v>
      </c>
      <c r="Q53" s="25"/>
      <c r="R53" s="26">
        <v>225</v>
      </c>
      <c r="S53" s="25"/>
      <c r="T53" s="26">
        <v>0</v>
      </c>
      <c r="U53" s="25"/>
      <c r="V53" s="26">
        <v>225</v>
      </c>
      <c r="W53" s="26">
        <v>0</v>
      </c>
      <c r="X53" s="26">
        <v>225</v>
      </c>
      <c r="Y53" s="26">
        <v>0</v>
      </c>
      <c r="Z53" s="26">
        <v>33.75</v>
      </c>
      <c r="AA53" s="26">
        <v>0</v>
      </c>
      <c r="AB53" s="26">
        <v>0</v>
      </c>
      <c r="AC53" s="26">
        <v>0</v>
      </c>
      <c r="AD53" s="26">
        <v>258.75</v>
      </c>
      <c r="AE53" s="26">
        <v>258.75</v>
      </c>
      <c r="AF53" s="26">
        <v>0</v>
      </c>
      <c r="AG53" s="26">
        <v>168.74</v>
      </c>
      <c r="AH53" s="26">
        <v>56.259995</v>
      </c>
      <c r="AI53" s="26">
        <v>25.00444</v>
      </c>
      <c r="AJ53" s="26">
        <v>33.341232</v>
      </c>
      <c r="AK53" s="22" t="s">
        <v>2</v>
      </c>
      <c r="AL53" s="22" t="s">
        <v>269</v>
      </c>
      <c r="AM53" s="20" t="s">
        <v>57</v>
      </c>
      <c r="AN53" s="23" t="s">
        <v>58</v>
      </c>
      <c r="AO53" s="3"/>
    </row>
    <row r="54" ht="12.95" customHeight="1" spans="1:41" x14ac:dyDescent="0.25">
      <c r="A54" s="20" t="s">
        <v>46</v>
      </c>
      <c r="B54" s="20" t="s">
        <v>47</v>
      </c>
      <c r="C54" s="20" t="s">
        <v>264</v>
      </c>
      <c r="D54" s="21"/>
      <c r="E54" s="20" t="s">
        <v>279</v>
      </c>
      <c r="F54" s="22" t="s">
        <v>50</v>
      </c>
      <c r="G54" s="22" t="s">
        <v>51</v>
      </c>
      <c r="H54" s="22" t="s">
        <v>280</v>
      </c>
      <c r="I54" s="20" t="s">
        <v>129</v>
      </c>
      <c r="J54" s="23" t="s">
        <v>281</v>
      </c>
      <c r="K54" s="20" t="s">
        <v>282</v>
      </c>
      <c r="L54" s="21"/>
      <c r="M54" s="23" t="s">
        <v>46</v>
      </c>
      <c r="N54" s="24"/>
      <c r="O54" s="24"/>
      <c r="P54" s="22" t="s">
        <v>88</v>
      </c>
      <c r="Q54" s="25"/>
      <c r="R54" s="26">
        <v>355.26</v>
      </c>
      <c r="S54" s="25"/>
      <c r="T54" s="26">
        <v>35.53</v>
      </c>
      <c r="U54" s="25"/>
      <c r="V54" s="26">
        <v>319.73</v>
      </c>
      <c r="W54" s="26">
        <v>0</v>
      </c>
      <c r="X54" s="26">
        <v>319.73</v>
      </c>
      <c r="Y54" s="26">
        <v>0</v>
      </c>
      <c r="Z54" s="26">
        <v>47.96</v>
      </c>
      <c r="AA54" s="26">
        <v>0</v>
      </c>
      <c r="AB54" s="26">
        <v>0</v>
      </c>
      <c r="AC54" s="26">
        <v>0</v>
      </c>
      <c r="AD54" s="26">
        <v>367.69</v>
      </c>
      <c r="AE54" s="26">
        <v>0</v>
      </c>
      <c r="AF54" s="26">
        <v>0</v>
      </c>
      <c r="AG54" s="26">
        <v>266.44</v>
      </c>
      <c r="AH54" s="26">
        <v>53.29001</v>
      </c>
      <c r="AI54" s="26">
        <v>16.66719</v>
      </c>
      <c r="AJ54" s="26">
        <v>20.000753</v>
      </c>
      <c r="AK54" s="22" t="s">
        <v>2</v>
      </c>
      <c r="AL54" s="22" t="s">
        <v>269</v>
      </c>
      <c r="AM54" s="20" t="s">
        <v>57</v>
      </c>
      <c r="AN54" s="23" t="s">
        <v>58</v>
      </c>
      <c r="AO54" s="3"/>
    </row>
    <row r="55" ht="12.95" customHeight="1" spans="1:41" x14ac:dyDescent="0.25">
      <c r="A55" s="20" t="s">
        <v>46</v>
      </c>
      <c r="B55" s="20" t="s">
        <v>47</v>
      </c>
      <c r="C55" s="20" t="s">
        <v>283</v>
      </c>
      <c r="D55" s="21"/>
      <c r="E55" s="20" t="s">
        <v>284</v>
      </c>
      <c r="F55" s="22" t="s">
        <v>50</v>
      </c>
      <c r="G55" s="22" t="s">
        <v>51</v>
      </c>
      <c r="H55" s="22" t="s">
        <v>285</v>
      </c>
      <c r="I55" s="20" t="s">
        <v>61</v>
      </c>
      <c r="J55" s="23" t="s">
        <v>286</v>
      </c>
      <c r="K55" s="20" t="s">
        <v>287</v>
      </c>
      <c r="L55" s="21"/>
      <c r="M55" s="23" t="s">
        <v>46</v>
      </c>
      <c r="N55" s="24"/>
      <c r="O55" s="24"/>
      <c r="P55" s="22" t="s">
        <v>2</v>
      </c>
      <c r="Q55" s="25"/>
      <c r="R55" s="26">
        <v>48.04</v>
      </c>
      <c r="S55" s="25"/>
      <c r="T55" s="26">
        <v>0</v>
      </c>
      <c r="U55" s="25"/>
      <c r="V55" s="26">
        <v>48.04</v>
      </c>
      <c r="W55" s="26">
        <v>0</v>
      </c>
      <c r="X55" s="26">
        <v>48.04</v>
      </c>
      <c r="Y55" s="26">
        <v>0</v>
      </c>
      <c r="Z55" s="26">
        <v>7.21</v>
      </c>
      <c r="AA55" s="26">
        <v>0</v>
      </c>
      <c r="AB55" s="26">
        <v>0</v>
      </c>
      <c r="AC55" s="26">
        <v>0</v>
      </c>
      <c r="AD55" s="26">
        <v>55.25</v>
      </c>
      <c r="AE55" s="26">
        <v>0</v>
      </c>
      <c r="AF55" s="26">
        <v>0</v>
      </c>
      <c r="AG55" s="26">
        <v>36.029996126335064</v>
      </c>
      <c r="AH55" s="26">
        <v>12.010006</v>
      </c>
      <c r="AI55" s="26">
        <v>25.000011</v>
      </c>
      <c r="AJ55" s="26">
        <v>33.333355</v>
      </c>
      <c r="AK55" s="22" t="s">
        <v>2</v>
      </c>
      <c r="AL55" s="22" t="s">
        <v>288</v>
      </c>
      <c r="AM55" s="20" t="s">
        <v>57</v>
      </c>
      <c r="AN55" s="23" t="s">
        <v>58</v>
      </c>
      <c r="AO55" s="3"/>
    </row>
    <row r="56" ht="12.95" customHeight="1" spans="1:41" x14ac:dyDescent="0.25">
      <c r="A56" s="20" t="s">
        <v>46</v>
      </c>
      <c r="B56" s="20" t="s">
        <v>47</v>
      </c>
      <c r="C56" s="20" t="s">
        <v>283</v>
      </c>
      <c r="D56" s="21"/>
      <c r="E56" s="20" t="s">
        <v>289</v>
      </c>
      <c r="F56" s="22" t="s">
        <v>50</v>
      </c>
      <c r="G56" s="22" t="s">
        <v>51</v>
      </c>
      <c r="H56" s="22" t="s">
        <v>290</v>
      </c>
      <c r="I56" s="20" t="s">
        <v>291</v>
      </c>
      <c r="J56" s="23" t="s">
        <v>292</v>
      </c>
      <c r="K56" s="20" t="s">
        <v>293</v>
      </c>
      <c r="L56" s="21"/>
      <c r="M56" s="23" t="s">
        <v>46</v>
      </c>
      <c r="N56" s="24"/>
      <c r="O56" s="24"/>
      <c r="P56" s="22" t="s">
        <v>88</v>
      </c>
      <c r="Q56" s="25"/>
      <c r="R56" s="26">
        <v>257.04</v>
      </c>
      <c r="S56" s="25"/>
      <c r="T56" s="26">
        <v>0</v>
      </c>
      <c r="U56" s="25"/>
      <c r="V56" s="26">
        <v>257.04</v>
      </c>
      <c r="W56" s="26">
        <v>0</v>
      </c>
      <c r="X56" s="26">
        <v>257.04</v>
      </c>
      <c r="Y56" s="26">
        <v>0</v>
      </c>
      <c r="Z56" s="26">
        <v>38.56</v>
      </c>
      <c r="AA56" s="26">
        <v>0</v>
      </c>
      <c r="AB56" s="26">
        <v>0</v>
      </c>
      <c r="AC56" s="26">
        <v>0</v>
      </c>
      <c r="AD56" s="26">
        <v>295.6</v>
      </c>
      <c r="AE56" s="26">
        <v>295.6</v>
      </c>
      <c r="AF56" s="26">
        <v>0</v>
      </c>
      <c r="AG56" s="26">
        <v>192.78</v>
      </c>
      <c r="AH56" s="26">
        <v>64.26001</v>
      </c>
      <c r="AI56" s="26">
        <v>25.000004</v>
      </c>
      <c r="AJ56" s="26">
        <v>33.333336</v>
      </c>
      <c r="AK56" s="22" t="s">
        <v>2</v>
      </c>
      <c r="AL56" s="22" t="s">
        <v>288</v>
      </c>
      <c r="AM56" s="20" t="s">
        <v>57</v>
      </c>
      <c r="AN56" s="23" t="s">
        <v>58</v>
      </c>
      <c r="AO56" s="3"/>
    </row>
    <row r="57" ht="12.95" customHeight="1" spans="1:41" x14ac:dyDescent="0.25">
      <c r="A57" s="20" t="s">
        <v>46</v>
      </c>
      <c r="B57" s="20" t="s">
        <v>47</v>
      </c>
      <c r="C57" s="20" t="s">
        <v>283</v>
      </c>
      <c r="D57" s="21"/>
      <c r="E57" s="20" t="s">
        <v>294</v>
      </c>
      <c r="F57" s="22" t="s">
        <v>50</v>
      </c>
      <c r="G57" s="22" t="s">
        <v>51</v>
      </c>
      <c r="H57" s="22" t="s">
        <v>295</v>
      </c>
      <c r="I57" s="20" t="s">
        <v>78</v>
      </c>
      <c r="J57" s="23" t="s">
        <v>296</v>
      </c>
      <c r="K57" s="20" t="s">
        <v>297</v>
      </c>
      <c r="L57" s="21"/>
      <c r="M57" s="23" t="s">
        <v>46</v>
      </c>
      <c r="N57" s="24"/>
      <c r="O57" s="24"/>
      <c r="P57" s="22" t="s">
        <v>2</v>
      </c>
      <c r="Q57" s="25"/>
      <c r="R57" s="26">
        <v>9.28</v>
      </c>
      <c r="S57" s="25"/>
      <c r="T57" s="26">
        <v>0</v>
      </c>
      <c r="U57" s="25"/>
      <c r="V57" s="26">
        <v>9.28</v>
      </c>
      <c r="W57" s="26">
        <v>0</v>
      </c>
      <c r="X57" s="26">
        <v>9.28</v>
      </c>
      <c r="Y57" s="26">
        <v>0</v>
      </c>
      <c r="Z57" s="26">
        <v>1.39</v>
      </c>
      <c r="AA57" s="26">
        <v>0</v>
      </c>
      <c r="AB57" s="26">
        <v>0</v>
      </c>
      <c r="AC57" s="26">
        <v>0</v>
      </c>
      <c r="AD57" s="26">
        <v>10.67</v>
      </c>
      <c r="AE57" s="26">
        <v>0</v>
      </c>
      <c r="AF57" s="26">
        <v>0</v>
      </c>
      <c r="AG57" s="26">
        <v>6.96</v>
      </c>
      <c r="AH57" s="26">
        <v>2.3199997</v>
      </c>
      <c r="AI57" s="26">
        <v>24.999996</v>
      </c>
      <c r="AJ57" s="26">
        <v>33.33333</v>
      </c>
      <c r="AK57" s="22" t="s">
        <v>2</v>
      </c>
      <c r="AL57" s="22" t="s">
        <v>288</v>
      </c>
      <c r="AM57" s="20" t="s">
        <v>57</v>
      </c>
      <c r="AN57" s="23" t="s">
        <v>58</v>
      </c>
      <c r="AO57" s="3"/>
    </row>
    <row r="58" ht="12.95" customHeight="1" spans="1:41" x14ac:dyDescent="0.25">
      <c r="A58" s="20" t="s">
        <v>46</v>
      </c>
      <c r="B58" s="20" t="s">
        <v>47</v>
      </c>
      <c r="C58" s="20" t="s">
        <v>298</v>
      </c>
      <c r="D58" s="21"/>
      <c r="E58" s="20" t="s">
        <v>299</v>
      </c>
      <c r="F58" s="22" t="s">
        <v>50</v>
      </c>
      <c r="G58" s="22" t="s">
        <v>51</v>
      </c>
      <c r="H58" s="22" t="s">
        <v>300</v>
      </c>
      <c r="I58" s="20" t="s">
        <v>301</v>
      </c>
      <c r="J58" s="23" t="s">
        <v>302</v>
      </c>
      <c r="K58" s="20" t="s">
        <v>303</v>
      </c>
      <c r="L58" s="21"/>
      <c r="M58" s="23" t="s">
        <v>46</v>
      </c>
      <c r="N58" s="24"/>
      <c r="O58" s="24"/>
      <c r="P58" s="22" t="s">
        <v>2</v>
      </c>
      <c r="Q58" s="25"/>
      <c r="R58" s="26">
        <v>15</v>
      </c>
      <c r="S58" s="25"/>
      <c r="T58" s="26">
        <v>0</v>
      </c>
      <c r="U58" s="25"/>
      <c r="V58" s="26">
        <v>15</v>
      </c>
      <c r="W58" s="26">
        <v>0</v>
      </c>
      <c r="X58" s="26">
        <v>15</v>
      </c>
      <c r="Y58" s="26">
        <v>0</v>
      </c>
      <c r="Z58" s="26">
        <v>2.25</v>
      </c>
      <c r="AA58" s="26">
        <v>0</v>
      </c>
      <c r="AB58" s="26">
        <v>0</v>
      </c>
      <c r="AC58" s="26">
        <v>0</v>
      </c>
      <c r="AD58" s="26">
        <v>17.25</v>
      </c>
      <c r="AE58" s="26">
        <v>17.25</v>
      </c>
      <c r="AF58" s="26">
        <v>0</v>
      </c>
      <c r="AG58" s="26">
        <v>6.26</v>
      </c>
      <c r="AH58" s="26">
        <v>8.74</v>
      </c>
      <c r="AI58" s="26">
        <v>58.266663</v>
      </c>
      <c r="AJ58" s="26">
        <v>139.61661</v>
      </c>
      <c r="AK58" s="22" t="s">
        <v>2</v>
      </c>
      <c r="AL58" s="22" t="s">
        <v>304</v>
      </c>
      <c r="AM58" s="20" t="s">
        <v>57</v>
      </c>
      <c r="AN58" s="23" t="s">
        <v>58</v>
      </c>
      <c r="AO58" s="3"/>
    </row>
    <row r="59" ht="12.95" customHeight="1" spans="1:41" x14ac:dyDescent="0.25">
      <c r="A59" s="20" t="s">
        <v>46</v>
      </c>
      <c r="B59" s="20" t="s">
        <v>47</v>
      </c>
      <c r="C59" s="20" t="s">
        <v>298</v>
      </c>
      <c r="D59" s="21"/>
      <c r="E59" s="20" t="s">
        <v>305</v>
      </c>
      <c r="F59" s="22" t="s">
        <v>50</v>
      </c>
      <c r="G59" s="22" t="s">
        <v>51</v>
      </c>
      <c r="H59" s="22" t="s">
        <v>306</v>
      </c>
      <c r="I59" s="20" t="s">
        <v>72</v>
      </c>
      <c r="J59" s="23" t="s">
        <v>256</v>
      </c>
      <c r="K59" s="20" t="s">
        <v>307</v>
      </c>
      <c r="L59" s="21"/>
      <c r="M59" s="23" t="s">
        <v>46</v>
      </c>
      <c r="N59" s="24"/>
      <c r="O59" s="24"/>
      <c r="P59" s="22" t="s">
        <v>2</v>
      </c>
      <c r="Q59" s="25"/>
      <c r="R59" s="26">
        <v>24.02</v>
      </c>
      <c r="S59" s="25"/>
      <c r="T59" s="26">
        <v>3.6</v>
      </c>
      <c r="U59" s="25"/>
      <c r="V59" s="26">
        <v>20.42</v>
      </c>
      <c r="W59" s="26">
        <v>0</v>
      </c>
      <c r="X59" s="26">
        <v>20.42</v>
      </c>
      <c r="Y59" s="26">
        <v>0</v>
      </c>
      <c r="Z59" s="26">
        <v>3.06</v>
      </c>
      <c r="AA59" s="26">
        <v>0</v>
      </c>
      <c r="AB59" s="26">
        <v>0</v>
      </c>
      <c r="AC59" s="26">
        <v>0</v>
      </c>
      <c r="AD59" s="26">
        <v>23.48</v>
      </c>
      <c r="AE59" s="26">
        <v>0</v>
      </c>
      <c r="AF59" s="26">
        <v>0</v>
      </c>
      <c r="AG59" s="26">
        <v>19.51356178958356</v>
      </c>
      <c r="AH59" s="26">
        <v>0.9064388</v>
      </c>
      <c r="AI59" s="26">
        <v>4.4389753</v>
      </c>
      <c r="AJ59" s="26">
        <v>4.6451735</v>
      </c>
      <c r="AK59" s="22" t="s">
        <v>2</v>
      </c>
      <c r="AL59" s="22" t="s">
        <v>304</v>
      </c>
      <c r="AM59" s="20" t="s">
        <v>57</v>
      </c>
      <c r="AN59" s="23" t="s">
        <v>58</v>
      </c>
      <c r="AO59" s="3"/>
    </row>
    <row r="60" ht="12.95" customHeight="1" spans="1:41" x14ac:dyDescent="0.25">
      <c r="A60" s="20" t="s">
        <v>46</v>
      </c>
      <c r="B60" s="20" t="s">
        <v>47</v>
      </c>
      <c r="C60" s="20" t="s">
        <v>298</v>
      </c>
      <c r="D60" s="21"/>
      <c r="E60" s="20" t="s">
        <v>308</v>
      </c>
      <c r="F60" s="22" t="s">
        <v>50</v>
      </c>
      <c r="G60" s="22" t="s">
        <v>51</v>
      </c>
      <c r="H60" s="22" t="s">
        <v>309</v>
      </c>
      <c r="I60" s="20" t="s">
        <v>243</v>
      </c>
      <c r="J60" s="23" t="s">
        <v>244</v>
      </c>
      <c r="K60" s="20" t="s">
        <v>310</v>
      </c>
      <c r="L60" s="21"/>
      <c r="M60" s="23" t="s">
        <v>46</v>
      </c>
      <c r="N60" s="24"/>
      <c r="O60" s="24"/>
      <c r="P60" s="22" t="s">
        <v>2</v>
      </c>
      <c r="Q60" s="25"/>
      <c r="R60" s="26">
        <v>253.12</v>
      </c>
      <c r="S60" s="25"/>
      <c r="T60" s="26">
        <v>0</v>
      </c>
      <c r="U60" s="25"/>
      <c r="V60" s="26">
        <v>253.12</v>
      </c>
      <c r="W60" s="26">
        <v>0</v>
      </c>
      <c r="X60" s="26">
        <v>253.12</v>
      </c>
      <c r="Y60" s="26">
        <v>0</v>
      </c>
      <c r="Z60" s="26">
        <v>37.97</v>
      </c>
      <c r="AA60" s="26">
        <v>0</v>
      </c>
      <c r="AB60" s="26">
        <v>0</v>
      </c>
      <c r="AC60" s="26">
        <v>0</v>
      </c>
      <c r="AD60" s="26">
        <v>291.09</v>
      </c>
      <c r="AE60" s="26">
        <v>291.09</v>
      </c>
      <c r="AF60" s="26">
        <v>0</v>
      </c>
      <c r="AG60" s="26">
        <v>189.84</v>
      </c>
      <c r="AH60" s="26">
        <v>63.28</v>
      </c>
      <c r="AI60" s="26">
        <v>25</v>
      </c>
      <c r="AJ60" s="26">
        <v>33.333336</v>
      </c>
      <c r="AK60" s="22" t="s">
        <v>2</v>
      </c>
      <c r="AL60" s="22" t="s">
        <v>304</v>
      </c>
      <c r="AM60" s="20" t="s">
        <v>57</v>
      </c>
      <c r="AN60" s="23" t="s">
        <v>58</v>
      </c>
      <c r="AO60" s="3"/>
    </row>
    <row r="61" ht="12.95" customHeight="1" spans="1:41" x14ac:dyDescent="0.25">
      <c r="A61" s="20" t="s">
        <v>46</v>
      </c>
      <c r="B61" s="20" t="s">
        <v>47</v>
      </c>
      <c r="C61" s="20" t="s">
        <v>311</v>
      </c>
      <c r="D61" s="21"/>
      <c r="E61" s="20" t="s">
        <v>312</v>
      </c>
      <c r="F61" s="22" t="s">
        <v>50</v>
      </c>
      <c r="G61" s="22" t="s">
        <v>51</v>
      </c>
      <c r="H61" s="22" t="s">
        <v>313</v>
      </c>
      <c r="I61" s="20" t="s">
        <v>314</v>
      </c>
      <c r="J61" s="23" t="s">
        <v>315</v>
      </c>
      <c r="K61" s="20" t="s">
        <v>316</v>
      </c>
      <c r="L61" s="21"/>
      <c r="M61" s="23" t="s">
        <v>46</v>
      </c>
      <c r="N61" s="24"/>
      <c r="O61" s="24"/>
      <c r="P61" s="22" t="s">
        <v>2</v>
      </c>
      <c r="Q61" s="25"/>
      <c r="R61" s="26">
        <v>26.71</v>
      </c>
      <c r="S61" s="25"/>
      <c r="T61" s="26">
        <v>0</v>
      </c>
      <c r="U61" s="25"/>
      <c r="V61" s="26">
        <v>26.71</v>
      </c>
      <c r="W61" s="26">
        <v>0</v>
      </c>
      <c r="X61" s="26">
        <v>26.71</v>
      </c>
      <c r="Y61" s="26">
        <v>0</v>
      </c>
      <c r="Z61" s="26">
        <v>4.01</v>
      </c>
      <c r="AA61" s="26">
        <v>0</v>
      </c>
      <c r="AB61" s="26">
        <v>0</v>
      </c>
      <c r="AC61" s="26">
        <v>0</v>
      </c>
      <c r="AD61" s="26">
        <v>30.72</v>
      </c>
      <c r="AE61" s="26">
        <v>30.72</v>
      </c>
      <c r="AF61" s="26">
        <v>0</v>
      </c>
      <c r="AG61" s="26">
        <v>20.03</v>
      </c>
      <c r="AH61" s="26">
        <v>6.6799984</v>
      </c>
      <c r="AI61" s="26">
        <v>25.009356</v>
      </c>
      <c r="AJ61" s="26">
        <v>33.349968</v>
      </c>
      <c r="AK61" s="22" t="s">
        <v>2</v>
      </c>
      <c r="AL61" s="22" t="s">
        <v>317</v>
      </c>
      <c r="AM61" s="20" t="s">
        <v>57</v>
      </c>
      <c r="AN61" s="23" t="s">
        <v>58</v>
      </c>
      <c r="AO61" s="3"/>
    </row>
    <row r="62" ht="12.95" customHeight="1" spans="1:41" x14ac:dyDescent="0.25">
      <c r="A62" s="20" t="s">
        <v>46</v>
      </c>
      <c r="B62" s="20" t="s">
        <v>47</v>
      </c>
      <c r="C62" s="20" t="s">
        <v>311</v>
      </c>
      <c r="D62" s="21"/>
      <c r="E62" s="20" t="s">
        <v>318</v>
      </c>
      <c r="F62" s="22" t="s">
        <v>50</v>
      </c>
      <c r="G62" s="22" t="s">
        <v>51</v>
      </c>
      <c r="H62" s="22" t="s">
        <v>319</v>
      </c>
      <c r="I62" s="20" t="s">
        <v>276</v>
      </c>
      <c r="J62" s="23" t="s">
        <v>320</v>
      </c>
      <c r="K62" s="20" t="s">
        <v>321</v>
      </c>
      <c r="L62" s="21"/>
      <c r="M62" s="23" t="s">
        <v>46</v>
      </c>
      <c r="N62" s="24"/>
      <c r="O62" s="24"/>
      <c r="P62" s="22" t="s">
        <v>2</v>
      </c>
      <c r="Q62" s="25"/>
      <c r="R62" s="26">
        <v>57.6</v>
      </c>
      <c r="S62" s="25"/>
      <c r="T62" s="26">
        <v>0</v>
      </c>
      <c r="U62" s="25"/>
      <c r="V62" s="26">
        <v>57.6</v>
      </c>
      <c r="W62" s="26">
        <v>0</v>
      </c>
      <c r="X62" s="26">
        <v>57.6</v>
      </c>
      <c r="Y62" s="26">
        <v>0</v>
      </c>
      <c r="Z62" s="26">
        <v>8.64</v>
      </c>
      <c r="AA62" s="26">
        <v>0</v>
      </c>
      <c r="AB62" s="26">
        <v>0</v>
      </c>
      <c r="AC62" s="26">
        <v>0</v>
      </c>
      <c r="AD62" s="26">
        <v>66.24</v>
      </c>
      <c r="AE62" s="26">
        <v>66.24</v>
      </c>
      <c r="AF62" s="26">
        <v>0</v>
      </c>
      <c r="AG62" s="26">
        <v>43.2</v>
      </c>
      <c r="AH62" s="26">
        <v>14.399998</v>
      </c>
      <c r="AI62" s="26">
        <v>24.999996</v>
      </c>
      <c r="AJ62" s="26">
        <v>33.33333</v>
      </c>
      <c r="AK62" s="22" t="s">
        <v>2</v>
      </c>
      <c r="AL62" s="22" t="s">
        <v>317</v>
      </c>
      <c r="AM62" s="20" t="s">
        <v>57</v>
      </c>
      <c r="AN62" s="23" t="s">
        <v>58</v>
      </c>
      <c r="AO62" s="3"/>
    </row>
    <row r="63" ht="12.95" customHeight="1" spans="1:41" x14ac:dyDescent="0.25">
      <c r="A63" s="20" t="s">
        <v>46</v>
      </c>
      <c r="B63" s="20" t="s">
        <v>47</v>
      </c>
      <c r="C63" s="20" t="s">
        <v>311</v>
      </c>
      <c r="D63" s="21"/>
      <c r="E63" s="20" t="s">
        <v>322</v>
      </c>
      <c r="F63" s="22" t="s">
        <v>50</v>
      </c>
      <c r="G63" s="22" t="s">
        <v>51</v>
      </c>
      <c r="H63" s="22" t="s">
        <v>323</v>
      </c>
      <c r="I63" s="20" t="s">
        <v>189</v>
      </c>
      <c r="J63" s="23" t="s">
        <v>324</v>
      </c>
      <c r="K63" s="20" t="s">
        <v>325</v>
      </c>
      <c r="L63" s="21"/>
      <c r="M63" s="23" t="s">
        <v>46</v>
      </c>
      <c r="N63" s="24"/>
      <c r="O63" s="24"/>
      <c r="P63" s="22" t="s">
        <v>2</v>
      </c>
      <c r="Q63" s="25"/>
      <c r="R63" s="26">
        <v>73.14</v>
      </c>
      <c r="S63" s="25"/>
      <c r="T63" s="26">
        <v>0</v>
      </c>
      <c r="U63" s="25"/>
      <c r="V63" s="26">
        <v>73.14</v>
      </c>
      <c r="W63" s="26">
        <v>0</v>
      </c>
      <c r="X63" s="26">
        <v>73.14</v>
      </c>
      <c r="Y63" s="26">
        <v>0</v>
      </c>
      <c r="Z63" s="26">
        <v>10.97</v>
      </c>
      <c r="AA63" s="26">
        <v>0</v>
      </c>
      <c r="AB63" s="26">
        <v>0</v>
      </c>
      <c r="AC63" s="26">
        <v>0</v>
      </c>
      <c r="AD63" s="26">
        <v>84.11</v>
      </c>
      <c r="AE63" s="26">
        <v>84.11</v>
      </c>
      <c r="AF63" s="26">
        <v>0</v>
      </c>
      <c r="AG63" s="26">
        <v>54.85</v>
      </c>
      <c r="AH63" s="26">
        <v>18.29</v>
      </c>
      <c r="AI63" s="26">
        <v>25.006836</v>
      </c>
      <c r="AJ63" s="26">
        <v>33.34549</v>
      </c>
      <c r="AK63" s="22" t="s">
        <v>2</v>
      </c>
      <c r="AL63" s="22" t="s">
        <v>317</v>
      </c>
      <c r="AM63" s="20" t="s">
        <v>57</v>
      </c>
      <c r="AN63" s="23" t="s">
        <v>58</v>
      </c>
      <c r="AO63" s="3"/>
    </row>
    <row r="64" ht="12.95" customHeight="1" spans="1:41" x14ac:dyDescent="0.25">
      <c r="A64" s="20" t="s">
        <v>46</v>
      </c>
      <c r="B64" s="20" t="s">
        <v>47</v>
      </c>
      <c r="C64" s="20" t="s">
        <v>326</v>
      </c>
      <c r="D64" s="21"/>
      <c r="E64" s="20" t="s">
        <v>327</v>
      </c>
      <c r="F64" s="22" t="s">
        <v>50</v>
      </c>
      <c r="G64" s="22" t="s">
        <v>51</v>
      </c>
      <c r="H64" s="22" t="s">
        <v>328</v>
      </c>
      <c r="I64" s="20" t="s">
        <v>217</v>
      </c>
      <c r="J64" s="23" t="s">
        <v>218</v>
      </c>
      <c r="K64" s="20" t="s">
        <v>329</v>
      </c>
      <c r="L64" s="21"/>
      <c r="M64" s="23" t="s">
        <v>46</v>
      </c>
      <c r="N64" s="24"/>
      <c r="O64" s="24"/>
      <c r="P64" s="22" t="s">
        <v>81</v>
      </c>
      <c r="Q64" s="25"/>
      <c r="R64" s="26">
        <v>62.37</v>
      </c>
      <c r="S64" s="25"/>
      <c r="T64" s="26">
        <v>9.35</v>
      </c>
      <c r="U64" s="25"/>
      <c r="V64" s="26">
        <v>53.02</v>
      </c>
      <c r="W64" s="26">
        <v>0</v>
      </c>
      <c r="X64" s="26">
        <v>53.02</v>
      </c>
      <c r="Y64" s="26">
        <v>0</v>
      </c>
      <c r="Z64" s="26">
        <v>7.95</v>
      </c>
      <c r="AA64" s="26">
        <v>0</v>
      </c>
      <c r="AB64" s="26">
        <v>0</v>
      </c>
      <c r="AC64" s="26">
        <v>0</v>
      </c>
      <c r="AD64" s="26">
        <v>60.97</v>
      </c>
      <c r="AE64" s="26">
        <v>0</v>
      </c>
      <c r="AF64" s="26">
        <v>0</v>
      </c>
      <c r="AG64" s="26">
        <v>46.77749861444812</v>
      </c>
      <c r="AH64" s="26">
        <v>6.2425003</v>
      </c>
      <c r="AI64" s="26">
        <v>11.77386</v>
      </c>
      <c r="AJ64" s="26">
        <v>13.345091</v>
      </c>
      <c r="AK64" s="22" t="s">
        <v>2</v>
      </c>
      <c r="AL64" s="22" t="s">
        <v>330</v>
      </c>
      <c r="AM64" s="20" t="s">
        <v>57</v>
      </c>
      <c r="AN64" s="23" t="s">
        <v>58</v>
      </c>
      <c r="AO64" s="3"/>
    </row>
    <row r="65" ht="12.95" customHeight="1" spans="1:41" x14ac:dyDescent="0.25">
      <c r="A65" s="20" t="s">
        <v>46</v>
      </c>
      <c r="B65" s="20" t="s">
        <v>47</v>
      </c>
      <c r="C65" s="20" t="s">
        <v>94</v>
      </c>
      <c r="D65" s="21"/>
      <c r="E65" s="20" t="s">
        <v>331</v>
      </c>
      <c r="F65" s="22" t="s">
        <v>50</v>
      </c>
      <c r="G65" s="22" t="s">
        <v>332</v>
      </c>
      <c r="H65" s="22" t="s">
        <v>333</v>
      </c>
      <c r="I65" s="20" t="s">
        <v>134</v>
      </c>
      <c r="J65" s="23" t="s">
        <v>334</v>
      </c>
      <c r="K65" s="20" t="s">
        <v>335</v>
      </c>
      <c r="L65" s="21"/>
      <c r="M65" s="23" t="s">
        <v>46</v>
      </c>
      <c r="N65" s="24"/>
      <c r="O65" s="24"/>
      <c r="P65" s="22" t="s">
        <v>192</v>
      </c>
      <c r="Q65" s="25"/>
      <c r="R65" s="26">
        <v>680.6</v>
      </c>
      <c r="S65" s="25"/>
      <c r="T65" s="26">
        <v>0</v>
      </c>
      <c r="U65" s="25"/>
      <c r="V65" s="26">
        <v>680.6</v>
      </c>
      <c r="W65" s="26">
        <v>0</v>
      </c>
      <c r="X65" s="26">
        <v>680.6</v>
      </c>
      <c r="Y65" s="26">
        <v>0</v>
      </c>
      <c r="Z65" s="26">
        <v>102.09</v>
      </c>
      <c r="AA65" s="26">
        <v>0</v>
      </c>
      <c r="AB65" s="26">
        <v>0</v>
      </c>
      <c r="AC65" s="26">
        <v>0</v>
      </c>
      <c r="AD65" s="26">
        <v>782.69</v>
      </c>
      <c r="AE65" s="26">
        <v>0</v>
      </c>
      <c r="AF65" s="26">
        <v>0</v>
      </c>
      <c r="AG65" s="26">
        <v>599.7008335549575</v>
      </c>
      <c r="AH65" s="26">
        <v>80.89917</v>
      </c>
      <c r="AI65" s="26">
        <v>11.886449</v>
      </c>
      <c r="AJ65" s="26">
        <v>13.489922</v>
      </c>
      <c r="AK65" s="22" t="s">
        <v>2</v>
      </c>
      <c r="AL65" s="22" t="s">
        <v>100</v>
      </c>
      <c r="AM65" s="20" t="s">
        <v>57</v>
      </c>
      <c r="AN65" s="23" t="s">
        <v>336</v>
      </c>
      <c r="AO65" s="3"/>
    </row>
    <row r="66" ht="12.95" customHeight="1" spans="1:41" x14ac:dyDescent="0.25">
      <c r="A66" s="20" t="s">
        <v>46</v>
      </c>
      <c r="B66" s="20" t="s">
        <v>47</v>
      </c>
      <c r="C66" s="20" t="s">
        <v>106</v>
      </c>
      <c r="D66" s="21"/>
      <c r="E66" s="20" t="s">
        <v>337</v>
      </c>
      <c r="F66" s="22" t="s">
        <v>50</v>
      </c>
      <c r="G66" s="22" t="s">
        <v>332</v>
      </c>
      <c r="H66" s="22" t="s">
        <v>338</v>
      </c>
      <c r="I66" s="20" t="s">
        <v>134</v>
      </c>
      <c r="J66" s="23" t="s">
        <v>334</v>
      </c>
      <c r="K66" s="20" t="s">
        <v>339</v>
      </c>
      <c r="L66" s="21"/>
      <c r="M66" s="23" t="s">
        <v>46</v>
      </c>
      <c r="N66" s="24"/>
      <c r="O66" s="24"/>
      <c r="P66" s="22" t="s">
        <v>88</v>
      </c>
      <c r="Q66" s="25"/>
      <c r="R66" s="26">
        <v>204.63</v>
      </c>
      <c r="S66" s="25"/>
      <c r="T66" s="26">
        <v>0</v>
      </c>
      <c r="U66" s="25"/>
      <c r="V66" s="26">
        <v>204.63</v>
      </c>
      <c r="W66" s="26">
        <v>0</v>
      </c>
      <c r="X66" s="26">
        <v>204.63</v>
      </c>
      <c r="Y66" s="26">
        <v>0</v>
      </c>
      <c r="Z66" s="26">
        <v>30.69</v>
      </c>
      <c r="AA66" s="26">
        <v>0</v>
      </c>
      <c r="AB66" s="26">
        <v>0</v>
      </c>
      <c r="AC66" s="26">
        <v>0</v>
      </c>
      <c r="AD66" s="26">
        <v>235.32</v>
      </c>
      <c r="AE66" s="26">
        <v>0</v>
      </c>
      <c r="AF66" s="26">
        <v>0</v>
      </c>
      <c r="AG66" s="26">
        <v>164.64731646796528</v>
      </c>
      <c r="AH66" s="26">
        <v>39.98268</v>
      </c>
      <c r="AI66" s="26">
        <v>19.539013</v>
      </c>
      <c r="AJ66" s="26">
        <v>24.283834</v>
      </c>
      <c r="AK66" s="22" t="s">
        <v>2</v>
      </c>
      <c r="AL66" s="22" t="s">
        <v>112</v>
      </c>
      <c r="AM66" s="20" t="s">
        <v>57</v>
      </c>
      <c r="AN66" s="23" t="s">
        <v>336</v>
      </c>
      <c r="AO66" s="3"/>
    </row>
    <row r="67" ht="12.95" customHeight="1" spans="1:41" x14ac:dyDescent="0.25">
      <c r="A67" s="20" t="s">
        <v>46</v>
      </c>
      <c r="B67" s="20" t="s">
        <v>47</v>
      </c>
      <c r="C67" s="20" t="s">
        <v>151</v>
      </c>
      <c r="D67" s="21"/>
      <c r="E67" s="20" t="s">
        <v>340</v>
      </c>
      <c r="F67" s="22" t="s">
        <v>50</v>
      </c>
      <c r="G67" s="22" t="s">
        <v>332</v>
      </c>
      <c r="H67" s="22" t="s">
        <v>341</v>
      </c>
      <c r="I67" s="20" t="s">
        <v>134</v>
      </c>
      <c r="J67" s="23" t="s">
        <v>334</v>
      </c>
      <c r="K67" s="20" t="s">
        <v>342</v>
      </c>
      <c r="L67" s="21"/>
      <c r="M67" s="23" t="s">
        <v>46</v>
      </c>
      <c r="N67" s="24"/>
      <c r="O67" s="24"/>
      <c r="P67" s="22" t="s">
        <v>192</v>
      </c>
      <c r="Q67" s="25"/>
      <c r="R67" s="26">
        <v>676.11</v>
      </c>
      <c r="S67" s="25"/>
      <c r="T67" s="26">
        <v>0</v>
      </c>
      <c r="U67" s="25"/>
      <c r="V67" s="26">
        <v>676.11</v>
      </c>
      <c r="W67" s="26">
        <v>0</v>
      </c>
      <c r="X67" s="26">
        <v>676.11</v>
      </c>
      <c r="Y67" s="26">
        <v>0</v>
      </c>
      <c r="Z67" s="26">
        <v>101.42</v>
      </c>
      <c r="AA67" s="26">
        <v>0</v>
      </c>
      <c r="AB67" s="26">
        <v>0</v>
      </c>
      <c r="AC67" s="26">
        <v>0</v>
      </c>
      <c r="AD67" s="26">
        <v>777.53</v>
      </c>
      <c r="AE67" s="26">
        <v>0</v>
      </c>
      <c r="AF67" s="26">
        <v>0</v>
      </c>
      <c r="AG67" s="26">
        <v>600.3908136695937</v>
      </c>
      <c r="AH67" s="26">
        <v>75.71918</v>
      </c>
      <c r="AI67" s="26">
        <v>11.19924</v>
      </c>
      <c r="AJ67" s="26">
        <v>12.611649</v>
      </c>
      <c r="AK67" s="22" t="s">
        <v>2</v>
      </c>
      <c r="AL67" s="22" t="s">
        <v>156</v>
      </c>
      <c r="AM67" s="20" t="s">
        <v>57</v>
      </c>
      <c r="AN67" s="23" t="s">
        <v>336</v>
      </c>
      <c r="AO67" s="3"/>
    </row>
    <row r="68" ht="12.95" customHeight="1" spans="1:41" x14ac:dyDescent="0.25">
      <c r="A68" s="20" t="s">
        <v>46</v>
      </c>
      <c r="B68" s="20" t="s">
        <v>47</v>
      </c>
      <c r="C68" s="20" t="s">
        <v>151</v>
      </c>
      <c r="D68" s="21"/>
      <c r="E68" s="20" t="s">
        <v>343</v>
      </c>
      <c r="F68" s="22" t="s">
        <v>50</v>
      </c>
      <c r="G68" s="22" t="s">
        <v>332</v>
      </c>
      <c r="H68" s="22" t="s">
        <v>344</v>
      </c>
      <c r="I68" s="20" t="s">
        <v>134</v>
      </c>
      <c r="J68" s="23" t="s">
        <v>334</v>
      </c>
      <c r="K68" s="20" t="s">
        <v>345</v>
      </c>
      <c r="L68" s="21"/>
      <c r="M68" s="23" t="s">
        <v>46</v>
      </c>
      <c r="N68" s="24"/>
      <c r="O68" s="24"/>
      <c r="P68" s="22" t="s">
        <v>2</v>
      </c>
      <c r="Q68" s="25"/>
      <c r="R68" s="26">
        <v>130</v>
      </c>
      <c r="S68" s="25"/>
      <c r="T68" s="26">
        <v>0</v>
      </c>
      <c r="U68" s="25"/>
      <c r="V68" s="26">
        <v>130</v>
      </c>
      <c r="W68" s="26">
        <v>0</v>
      </c>
      <c r="X68" s="26">
        <v>130</v>
      </c>
      <c r="Y68" s="26">
        <v>0</v>
      </c>
      <c r="Z68" s="26">
        <v>19.5</v>
      </c>
      <c r="AA68" s="26">
        <v>0</v>
      </c>
      <c r="AB68" s="26">
        <v>0</v>
      </c>
      <c r="AC68" s="26">
        <v>0</v>
      </c>
      <c r="AD68" s="26">
        <v>149.5</v>
      </c>
      <c r="AE68" s="26">
        <v>0</v>
      </c>
      <c r="AF68" s="26">
        <v>0</v>
      </c>
      <c r="AG68" s="26">
        <v>99.64731646796527</v>
      </c>
      <c r="AH68" s="26">
        <v>30.352684</v>
      </c>
      <c r="AI68" s="26">
        <v>23.348219</v>
      </c>
      <c r="AJ68" s="26">
        <v>30.460114</v>
      </c>
      <c r="AK68" s="22" t="s">
        <v>2</v>
      </c>
      <c r="AL68" s="22" t="s">
        <v>156</v>
      </c>
      <c r="AM68" s="20" t="s">
        <v>57</v>
      </c>
      <c r="AN68" s="23" t="s">
        <v>336</v>
      </c>
      <c r="AO68" s="3"/>
    </row>
    <row r="69" ht="12.95" customHeight="1" spans="1:41" x14ac:dyDescent="0.25">
      <c r="A69" s="20" t="s">
        <v>46</v>
      </c>
      <c r="B69" s="20" t="s">
        <v>47</v>
      </c>
      <c r="C69" s="20" t="s">
        <v>209</v>
      </c>
      <c r="D69" s="21"/>
      <c r="E69" s="20" t="s">
        <v>346</v>
      </c>
      <c r="F69" s="22" t="s">
        <v>50</v>
      </c>
      <c r="G69" s="22" t="s">
        <v>332</v>
      </c>
      <c r="H69" s="22" t="s">
        <v>347</v>
      </c>
      <c r="I69" s="20" t="s">
        <v>228</v>
      </c>
      <c r="J69" s="23" t="s">
        <v>229</v>
      </c>
      <c r="K69" s="20" t="s">
        <v>348</v>
      </c>
      <c r="L69" s="21"/>
      <c r="M69" s="23" t="s">
        <v>46</v>
      </c>
      <c r="N69" s="24"/>
      <c r="O69" s="24"/>
      <c r="P69" s="22" t="s">
        <v>192</v>
      </c>
      <c r="Q69" s="25"/>
      <c r="R69" s="26">
        <v>885.86</v>
      </c>
      <c r="S69" s="25"/>
      <c r="T69" s="26">
        <v>44.3</v>
      </c>
      <c r="U69" s="25"/>
      <c r="V69" s="26">
        <v>841.56</v>
      </c>
      <c r="W69" s="26">
        <v>0</v>
      </c>
      <c r="X69" s="26">
        <v>841.56</v>
      </c>
      <c r="Y69" s="26">
        <v>0</v>
      </c>
      <c r="Z69" s="26">
        <v>126.23</v>
      </c>
      <c r="AA69" s="26">
        <v>0</v>
      </c>
      <c r="AB69" s="26">
        <v>0</v>
      </c>
      <c r="AC69" s="26">
        <v>0</v>
      </c>
      <c r="AD69" s="26">
        <v>967.79</v>
      </c>
      <c r="AE69" s="26">
        <v>0</v>
      </c>
      <c r="AF69" s="26">
        <v>0</v>
      </c>
      <c r="AG69" s="26">
        <v>664.38</v>
      </c>
      <c r="AH69" s="26">
        <v>177.18</v>
      </c>
      <c r="AI69" s="26">
        <v>21.053757</v>
      </c>
      <c r="AJ69" s="26">
        <v>26.66847</v>
      </c>
      <c r="AK69" s="22" t="s">
        <v>2</v>
      </c>
      <c r="AL69" s="22" t="s">
        <v>214</v>
      </c>
      <c r="AM69" s="20" t="s">
        <v>57</v>
      </c>
      <c r="AN69" s="23" t="s">
        <v>336</v>
      </c>
      <c r="AO69" s="3"/>
    </row>
    <row r="70" ht="12.95" customHeight="1" spans="1:41" x14ac:dyDescent="0.25">
      <c r="A70" s="20" t="s">
        <v>46</v>
      </c>
      <c r="B70" s="20" t="s">
        <v>47</v>
      </c>
      <c r="C70" s="20" t="s">
        <v>209</v>
      </c>
      <c r="D70" s="21"/>
      <c r="E70" s="20" t="s">
        <v>349</v>
      </c>
      <c r="F70" s="22" t="s">
        <v>50</v>
      </c>
      <c r="G70" s="22" t="s">
        <v>332</v>
      </c>
      <c r="H70" s="22" t="s">
        <v>350</v>
      </c>
      <c r="I70" s="20" t="s">
        <v>134</v>
      </c>
      <c r="J70" s="23" t="s">
        <v>334</v>
      </c>
      <c r="K70" s="20" t="s">
        <v>351</v>
      </c>
      <c r="L70" s="21"/>
      <c r="M70" s="23" t="s">
        <v>46</v>
      </c>
      <c r="N70" s="24"/>
      <c r="O70" s="24"/>
      <c r="P70" s="22" t="s">
        <v>192</v>
      </c>
      <c r="Q70" s="25"/>
      <c r="R70" s="26">
        <v>682.3</v>
      </c>
      <c r="S70" s="25"/>
      <c r="T70" s="26">
        <v>0</v>
      </c>
      <c r="U70" s="25"/>
      <c r="V70" s="26">
        <v>682.3</v>
      </c>
      <c r="W70" s="26">
        <v>0</v>
      </c>
      <c r="X70" s="26">
        <v>682.3</v>
      </c>
      <c r="Y70" s="26">
        <v>0</v>
      </c>
      <c r="Z70" s="26">
        <v>102.35</v>
      </c>
      <c r="AA70" s="26">
        <v>0</v>
      </c>
      <c r="AB70" s="26">
        <v>0</v>
      </c>
      <c r="AC70" s="26">
        <v>0</v>
      </c>
      <c r="AD70" s="26">
        <v>784.65</v>
      </c>
      <c r="AE70" s="26">
        <v>0</v>
      </c>
      <c r="AF70" s="26">
        <v>0</v>
      </c>
      <c r="AG70" s="26">
        <v>600.9581036237407</v>
      </c>
      <c r="AH70" s="26">
        <v>81.34186</v>
      </c>
      <c r="AI70" s="26">
        <v>11.921715</v>
      </c>
      <c r="AJ70" s="26">
        <v>13.535362</v>
      </c>
      <c r="AK70" s="22" t="s">
        <v>2</v>
      </c>
      <c r="AL70" s="22" t="s">
        <v>214</v>
      </c>
      <c r="AM70" s="20" t="s">
        <v>57</v>
      </c>
      <c r="AN70" s="23" t="s">
        <v>336</v>
      </c>
      <c r="AO70" s="3"/>
    </row>
    <row r="71" ht="12.95" customHeight="1" spans="1:41" x14ac:dyDescent="0.25">
      <c r="A71" s="20" t="s">
        <v>46</v>
      </c>
      <c r="B71" s="20" t="s">
        <v>47</v>
      </c>
      <c r="C71" s="20" t="s">
        <v>209</v>
      </c>
      <c r="D71" s="21"/>
      <c r="E71" s="20" t="s">
        <v>352</v>
      </c>
      <c r="F71" s="22" t="s">
        <v>50</v>
      </c>
      <c r="G71" s="22" t="s">
        <v>332</v>
      </c>
      <c r="H71" s="22" t="s">
        <v>353</v>
      </c>
      <c r="I71" s="20" t="s">
        <v>134</v>
      </c>
      <c r="J71" s="23" t="s">
        <v>334</v>
      </c>
      <c r="K71" s="20" t="s">
        <v>354</v>
      </c>
      <c r="L71" s="21"/>
      <c r="M71" s="23" t="s">
        <v>46</v>
      </c>
      <c r="N71" s="24"/>
      <c r="O71" s="24"/>
      <c r="P71" s="22" t="s">
        <v>2</v>
      </c>
      <c r="Q71" s="25"/>
      <c r="R71" s="26">
        <v>220</v>
      </c>
      <c r="S71" s="25"/>
      <c r="T71" s="26">
        <v>0</v>
      </c>
      <c r="U71" s="25"/>
      <c r="V71" s="26">
        <v>220</v>
      </c>
      <c r="W71" s="26">
        <v>0</v>
      </c>
      <c r="X71" s="26">
        <v>220</v>
      </c>
      <c r="Y71" s="26">
        <v>0</v>
      </c>
      <c r="Z71" s="26">
        <v>33</v>
      </c>
      <c r="AA71" s="26">
        <v>0</v>
      </c>
      <c r="AB71" s="26">
        <v>0</v>
      </c>
      <c r="AC71" s="26">
        <v>0</v>
      </c>
      <c r="AD71" s="26">
        <v>253</v>
      </c>
      <c r="AE71" s="26">
        <v>0</v>
      </c>
      <c r="AF71" s="26">
        <v>0</v>
      </c>
      <c r="AG71" s="26">
        <v>208.7</v>
      </c>
      <c r="AH71" s="26">
        <v>11.300003</v>
      </c>
      <c r="AI71" s="26">
        <v>5.136365</v>
      </c>
      <c r="AJ71" s="26">
        <v>5.414472</v>
      </c>
      <c r="AK71" s="22" t="s">
        <v>2</v>
      </c>
      <c r="AL71" s="22" t="s">
        <v>214</v>
      </c>
      <c r="AM71" s="20" t="s">
        <v>57</v>
      </c>
      <c r="AN71" s="23" t="s">
        <v>336</v>
      </c>
      <c r="AO71" s="3"/>
    </row>
    <row r="72" ht="12.95" customHeight="1" spans="1:41" x14ac:dyDescent="0.25">
      <c r="A72" s="20" t="s">
        <v>46</v>
      </c>
      <c r="B72" s="20" t="s">
        <v>47</v>
      </c>
      <c r="C72" s="20" t="s">
        <v>253</v>
      </c>
      <c r="D72" s="21"/>
      <c r="E72" s="20" t="s">
        <v>355</v>
      </c>
      <c r="F72" s="22" t="s">
        <v>50</v>
      </c>
      <c r="G72" s="22" t="s">
        <v>332</v>
      </c>
      <c r="H72" s="22" t="s">
        <v>356</v>
      </c>
      <c r="I72" s="20" t="s">
        <v>134</v>
      </c>
      <c r="J72" s="23" t="s">
        <v>334</v>
      </c>
      <c r="K72" s="20" t="s">
        <v>357</v>
      </c>
      <c r="L72" s="21"/>
      <c r="M72" s="23" t="s">
        <v>46</v>
      </c>
      <c r="N72" s="24"/>
      <c r="O72" s="24"/>
      <c r="P72" s="22" t="s">
        <v>2</v>
      </c>
      <c r="Q72" s="25"/>
      <c r="R72" s="26">
        <v>220</v>
      </c>
      <c r="S72" s="25"/>
      <c r="T72" s="26">
        <v>0</v>
      </c>
      <c r="U72" s="25"/>
      <c r="V72" s="26">
        <v>220</v>
      </c>
      <c r="W72" s="26">
        <v>0</v>
      </c>
      <c r="X72" s="26">
        <v>220</v>
      </c>
      <c r="Y72" s="26">
        <v>0</v>
      </c>
      <c r="Z72" s="26">
        <v>33</v>
      </c>
      <c r="AA72" s="26">
        <v>0</v>
      </c>
      <c r="AB72" s="26">
        <v>0</v>
      </c>
      <c r="AC72" s="26">
        <v>0</v>
      </c>
      <c r="AD72" s="26">
        <v>253</v>
      </c>
      <c r="AE72" s="26">
        <v>0</v>
      </c>
      <c r="AF72" s="26">
        <v>0</v>
      </c>
      <c r="AG72" s="26">
        <v>208.7</v>
      </c>
      <c r="AH72" s="26">
        <v>11.300003</v>
      </c>
      <c r="AI72" s="26">
        <v>5.136365</v>
      </c>
      <c r="AJ72" s="26">
        <v>5.414472</v>
      </c>
      <c r="AK72" s="22" t="s">
        <v>2</v>
      </c>
      <c r="AL72" s="22" t="s">
        <v>258</v>
      </c>
      <c r="AM72" s="20" t="s">
        <v>57</v>
      </c>
      <c r="AN72" s="23" t="s">
        <v>336</v>
      </c>
      <c r="AO72" s="3"/>
    </row>
    <row r="73" ht="12.95" customHeight="1" spans="1:41" x14ac:dyDescent="0.25">
      <c r="A73" s="20" t="s">
        <v>46</v>
      </c>
      <c r="B73" s="20" t="s">
        <v>47</v>
      </c>
      <c r="C73" s="20" t="s">
        <v>264</v>
      </c>
      <c r="D73" s="21"/>
      <c r="E73" s="20" t="s">
        <v>358</v>
      </c>
      <c r="F73" s="22" t="s">
        <v>50</v>
      </c>
      <c r="G73" s="22" t="s">
        <v>332</v>
      </c>
      <c r="H73" s="22" t="s">
        <v>359</v>
      </c>
      <c r="I73" s="20" t="s">
        <v>134</v>
      </c>
      <c r="J73" s="23" t="s">
        <v>334</v>
      </c>
      <c r="K73" s="20" t="s">
        <v>360</v>
      </c>
      <c r="L73" s="21"/>
      <c r="M73" s="23" t="s">
        <v>46</v>
      </c>
      <c r="N73" s="24"/>
      <c r="O73" s="24"/>
      <c r="P73" s="22" t="s">
        <v>81</v>
      </c>
      <c r="Q73" s="25"/>
      <c r="R73" s="26">
        <v>106.8</v>
      </c>
      <c r="S73" s="25"/>
      <c r="T73" s="26">
        <v>0</v>
      </c>
      <c r="U73" s="25"/>
      <c r="V73" s="26">
        <v>106.8</v>
      </c>
      <c r="W73" s="26">
        <v>0</v>
      </c>
      <c r="X73" s="26">
        <v>106.8</v>
      </c>
      <c r="Y73" s="26">
        <v>0</v>
      </c>
      <c r="Z73" s="26">
        <v>16.02</v>
      </c>
      <c r="AA73" s="26">
        <v>0</v>
      </c>
      <c r="AB73" s="26">
        <v>0</v>
      </c>
      <c r="AC73" s="26">
        <v>0</v>
      </c>
      <c r="AD73" s="26">
        <v>122.82</v>
      </c>
      <c r="AE73" s="26">
        <v>0</v>
      </c>
      <c r="AF73" s="26">
        <v>0</v>
      </c>
      <c r="AG73" s="26">
        <v>81.07566480108567</v>
      </c>
      <c r="AH73" s="26">
        <v>25.724335</v>
      </c>
      <c r="AI73" s="26">
        <v>24.086454</v>
      </c>
      <c r="AJ73" s="26">
        <v>31.728798</v>
      </c>
      <c r="AK73" s="22" t="s">
        <v>2</v>
      </c>
      <c r="AL73" s="22" t="s">
        <v>269</v>
      </c>
      <c r="AM73" s="20" t="s">
        <v>57</v>
      </c>
      <c r="AN73" s="23" t="s">
        <v>336</v>
      </c>
      <c r="AO73" s="3"/>
    </row>
    <row r="74" ht="12.95" customHeight="1" spans="1:41" x14ac:dyDescent="0.25">
      <c r="A74" s="20" t="s">
        <v>46</v>
      </c>
      <c r="B74" s="20" t="s">
        <v>47</v>
      </c>
      <c r="C74" s="20" t="s">
        <v>283</v>
      </c>
      <c r="D74" s="21"/>
      <c r="E74" s="20" t="s">
        <v>361</v>
      </c>
      <c r="F74" s="22" t="s">
        <v>50</v>
      </c>
      <c r="G74" s="22" t="s">
        <v>332</v>
      </c>
      <c r="H74" s="22" t="s">
        <v>362</v>
      </c>
      <c r="I74" s="20" t="s">
        <v>134</v>
      </c>
      <c r="J74" s="23" t="s">
        <v>334</v>
      </c>
      <c r="K74" s="20" t="s">
        <v>363</v>
      </c>
      <c r="L74" s="21"/>
      <c r="M74" s="23" t="s">
        <v>46</v>
      </c>
      <c r="N74" s="24"/>
      <c r="O74" s="24"/>
      <c r="P74" s="22" t="s">
        <v>81</v>
      </c>
      <c r="Q74" s="25"/>
      <c r="R74" s="26">
        <v>106.8</v>
      </c>
      <c r="S74" s="25"/>
      <c r="T74" s="26">
        <v>0</v>
      </c>
      <c r="U74" s="25"/>
      <c r="V74" s="26">
        <v>106.8</v>
      </c>
      <c r="W74" s="26">
        <v>0</v>
      </c>
      <c r="X74" s="26">
        <v>106.8</v>
      </c>
      <c r="Y74" s="26">
        <v>0</v>
      </c>
      <c r="Z74" s="26">
        <v>16.02</v>
      </c>
      <c r="AA74" s="26">
        <v>0</v>
      </c>
      <c r="AB74" s="26">
        <v>0</v>
      </c>
      <c r="AC74" s="26">
        <v>0</v>
      </c>
      <c r="AD74" s="26">
        <v>122.82</v>
      </c>
      <c r="AE74" s="26">
        <v>0</v>
      </c>
      <c r="AF74" s="26">
        <v>0</v>
      </c>
      <c r="AG74" s="26">
        <v>81.07566480108567</v>
      </c>
      <c r="AH74" s="26">
        <v>25.724335</v>
      </c>
      <c r="AI74" s="26">
        <v>24.086454</v>
      </c>
      <c r="AJ74" s="26">
        <v>31.728798</v>
      </c>
      <c r="AK74" s="22" t="s">
        <v>2</v>
      </c>
      <c r="AL74" s="22" t="s">
        <v>288</v>
      </c>
      <c r="AM74" s="20" t="s">
        <v>57</v>
      </c>
      <c r="AN74" s="23" t="s">
        <v>336</v>
      </c>
      <c r="AO74" s="3"/>
    </row>
    <row r="75" ht="12.95" customHeight="1" spans="1:41" x14ac:dyDescent="0.25">
      <c r="A75" s="20" t="s">
        <v>46</v>
      </c>
      <c r="B75" s="20" t="s">
        <v>47</v>
      </c>
      <c r="C75" s="20" t="s">
        <v>283</v>
      </c>
      <c r="D75" s="21"/>
      <c r="E75" s="20" t="s">
        <v>364</v>
      </c>
      <c r="F75" s="22" t="s">
        <v>50</v>
      </c>
      <c r="G75" s="22" t="s">
        <v>332</v>
      </c>
      <c r="H75" s="22" t="s">
        <v>365</v>
      </c>
      <c r="I75" s="20" t="s">
        <v>276</v>
      </c>
      <c r="J75" s="23" t="s">
        <v>366</v>
      </c>
      <c r="K75" s="20" t="s">
        <v>367</v>
      </c>
      <c r="L75" s="21"/>
      <c r="M75" s="23" t="s">
        <v>46</v>
      </c>
      <c r="N75" s="24"/>
      <c r="O75" s="24"/>
      <c r="P75" s="22" t="s">
        <v>2</v>
      </c>
      <c r="Q75" s="25"/>
      <c r="R75" s="26">
        <v>397.99</v>
      </c>
      <c r="S75" s="25"/>
      <c r="T75" s="26">
        <v>59.7</v>
      </c>
      <c r="U75" s="25"/>
      <c r="V75" s="26">
        <v>338.29</v>
      </c>
      <c r="W75" s="26">
        <v>0</v>
      </c>
      <c r="X75" s="26">
        <v>338.29</v>
      </c>
      <c r="Y75" s="26">
        <v>0</v>
      </c>
      <c r="Z75" s="26">
        <v>50.74</v>
      </c>
      <c r="AA75" s="26">
        <v>0</v>
      </c>
      <c r="AB75" s="26">
        <v>0</v>
      </c>
      <c r="AC75" s="26">
        <v>0</v>
      </c>
      <c r="AD75" s="26">
        <v>389.03</v>
      </c>
      <c r="AE75" s="26">
        <v>0</v>
      </c>
      <c r="AF75" s="26">
        <v>0</v>
      </c>
      <c r="AG75" s="26">
        <v>298.49</v>
      </c>
      <c r="AH75" s="26">
        <v>39.80002</v>
      </c>
      <c r="AI75" s="26">
        <v>11.765059</v>
      </c>
      <c r="AJ75" s="26">
        <v>13.333787</v>
      </c>
      <c r="AK75" s="22" t="s">
        <v>2</v>
      </c>
      <c r="AL75" s="22" t="s">
        <v>288</v>
      </c>
      <c r="AM75" s="20" t="s">
        <v>57</v>
      </c>
      <c r="AN75" s="23" t="s">
        <v>336</v>
      </c>
      <c r="AO75" s="3"/>
    </row>
    <row r="76" ht="12.95" customHeight="1" spans="1:41" x14ac:dyDescent="0.25">
      <c r="A76" s="20" t="s">
        <v>46</v>
      </c>
      <c r="B76" s="20" t="s">
        <v>47</v>
      </c>
      <c r="C76" s="20" t="s">
        <v>283</v>
      </c>
      <c r="D76" s="21"/>
      <c r="E76" s="20" t="s">
        <v>368</v>
      </c>
      <c r="F76" s="22" t="s">
        <v>50</v>
      </c>
      <c r="G76" s="22" t="s">
        <v>332</v>
      </c>
      <c r="H76" s="22" t="s">
        <v>369</v>
      </c>
      <c r="I76" s="20" t="s">
        <v>370</v>
      </c>
      <c r="J76" s="23" t="s">
        <v>371</v>
      </c>
      <c r="K76" s="20" t="s">
        <v>372</v>
      </c>
      <c r="L76" s="21"/>
      <c r="M76" s="23" t="s">
        <v>46</v>
      </c>
      <c r="N76" s="24"/>
      <c r="O76" s="24"/>
      <c r="P76" s="22" t="s">
        <v>81</v>
      </c>
      <c r="Q76" s="25"/>
      <c r="R76" s="26">
        <v>48.68</v>
      </c>
      <c r="S76" s="25"/>
      <c r="T76" s="26">
        <v>0</v>
      </c>
      <c r="U76" s="25"/>
      <c r="V76" s="26">
        <v>48.68</v>
      </c>
      <c r="W76" s="26">
        <v>0</v>
      </c>
      <c r="X76" s="26">
        <v>48.68</v>
      </c>
      <c r="Y76" s="26">
        <v>0</v>
      </c>
      <c r="Z76" s="26">
        <v>7.3</v>
      </c>
      <c r="AA76" s="26">
        <v>0</v>
      </c>
      <c r="AB76" s="26">
        <v>0</v>
      </c>
      <c r="AC76" s="26">
        <v>0</v>
      </c>
      <c r="AD76" s="26">
        <v>55.98</v>
      </c>
      <c r="AE76" s="26">
        <v>0</v>
      </c>
      <c r="AF76" s="26">
        <v>0</v>
      </c>
      <c r="AG76" s="26">
        <v>36.505</v>
      </c>
      <c r="AH76" s="26">
        <v>12.174999</v>
      </c>
      <c r="AI76" s="26">
        <v>25.01027</v>
      </c>
      <c r="AJ76" s="26">
        <v>33.351593</v>
      </c>
      <c r="AK76" s="22" t="s">
        <v>2</v>
      </c>
      <c r="AL76" s="22" t="s">
        <v>288</v>
      </c>
      <c r="AM76" s="20" t="s">
        <v>57</v>
      </c>
      <c r="AN76" s="23" t="s">
        <v>336</v>
      </c>
      <c r="AO76" s="3"/>
    </row>
    <row r="77" ht="12.95" customHeight="1" spans="1:41" x14ac:dyDescent="0.25">
      <c r="A77" s="20" t="s">
        <v>46</v>
      </c>
      <c r="B77" s="20" t="s">
        <v>47</v>
      </c>
      <c r="C77" s="20" t="s">
        <v>283</v>
      </c>
      <c r="D77" s="21"/>
      <c r="E77" s="20" t="s">
        <v>373</v>
      </c>
      <c r="F77" s="22" t="s">
        <v>50</v>
      </c>
      <c r="G77" s="22" t="s">
        <v>332</v>
      </c>
      <c r="H77" s="22" t="s">
        <v>374</v>
      </c>
      <c r="I77" s="20" t="s">
        <v>134</v>
      </c>
      <c r="J77" s="23" t="s">
        <v>334</v>
      </c>
      <c r="K77" s="20" t="s">
        <v>375</v>
      </c>
      <c r="L77" s="21"/>
      <c r="M77" s="23" t="s">
        <v>46</v>
      </c>
      <c r="N77" s="24"/>
      <c r="O77" s="24"/>
      <c r="P77" s="22" t="s">
        <v>192</v>
      </c>
      <c r="Q77" s="25"/>
      <c r="R77" s="26">
        <v>682.3</v>
      </c>
      <c r="S77" s="25"/>
      <c r="T77" s="26">
        <v>0</v>
      </c>
      <c r="U77" s="25"/>
      <c r="V77" s="26">
        <v>682.3</v>
      </c>
      <c r="W77" s="26">
        <v>0</v>
      </c>
      <c r="X77" s="26">
        <v>682.3</v>
      </c>
      <c r="Y77" s="26">
        <v>0</v>
      </c>
      <c r="Z77" s="26">
        <v>102.35</v>
      </c>
      <c r="AA77" s="26">
        <v>0</v>
      </c>
      <c r="AB77" s="26">
        <v>0</v>
      </c>
      <c r="AC77" s="26">
        <v>0</v>
      </c>
      <c r="AD77" s="26">
        <v>784.65</v>
      </c>
      <c r="AE77" s="26">
        <v>0</v>
      </c>
      <c r="AF77" s="26">
        <v>0</v>
      </c>
      <c r="AG77" s="26">
        <v>601.2902712231979</v>
      </c>
      <c r="AH77" s="26">
        <v>81.009705</v>
      </c>
      <c r="AI77" s="26">
        <v>11.873034</v>
      </c>
      <c r="AJ77" s="26">
        <v>13.472645</v>
      </c>
      <c r="AK77" s="22" t="s">
        <v>2</v>
      </c>
      <c r="AL77" s="22" t="s">
        <v>288</v>
      </c>
      <c r="AM77" s="20" t="s">
        <v>57</v>
      </c>
      <c r="AN77" s="23" t="s">
        <v>336</v>
      </c>
      <c r="AO77" s="3"/>
    </row>
    <row r="78" ht="12.95" customHeight="1" spans="1:41" x14ac:dyDescent="0.25">
      <c r="A78" s="20" t="s">
        <v>46</v>
      </c>
      <c r="B78" s="20" t="s">
        <v>47</v>
      </c>
      <c r="C78" s="20" t="s">
        <v>283</v>
      </c>
      <c r="D78" s="21"/>
      <c r="E78" s="20" t="s">
        <v>376</v>
      </c>
      <c r="F78" s="22" t="s">
        <v>50</v>
      </c>
      <c r="G78" s="22" t="s">
        <v>332</v>
      </c>
      <c r="H78" s="22" t="s">
        <v>377</v>
      </c>
      <c r="I78" s="20" t="s">
        <v>134</v>
      </c>
      <c r="J78" s="23" t="s">
        <v>334</v>
      </c>
      <c r="K78" s="20" t="s">
        <v>378</v>
      </c>
      <c r="L78" s="21"/>
      <c r="M78" s="23" t="s">
        <v>46</v>
      </c>
      <c r="N78" s="24"/>
      <c r="O78" s="24"/>
      <c r="P78" s="22" t="s">
        <v>88</v>
      </c>
      <c r="Q78" s="25"/>
      <c r="R78" s="26">
        <v>767.52</v>
      </c>
      <c r="S78" s="25"/>
      <c r="T78" s="26">
        <v>0</v>
      </c>
      <c r="U78" s="25"/>
      <c r="V78" s="26">
        <v>767.52</v>
      </c>
      <c r="W78" s="26">
        <v>0</v>
      </c>
      <c r="X78" s="26">
        <v>767.52</v>
      </c>
      <c r="Y78" s="26">
        <v>0</v>
      </c>
      <c r="Z78" s="26">
        <v>115.13</v>
      </c>
      <c r="AA78" s="26">
        <v>0</v>
      </c>
      <c r="AB78" s="26">
        <v>0</v>
      </c>
      <c r="AC78" s="26">
        <v>0</v>
      </c>
      <c r="AD78" s="26">
        <v>882.65</v>
      </c>
      <c r="AE78" s="26">
        <v>0</v>
      </c>
      <c r="AF78" s="26">
        <v>0</v>
      </c>
      <c r="AG78" s="26">
        <v>707.01</v>
      </c>
      <c r="AH78" s="26">
        <v>60.51001</v>
      </c>
      <c r="AI78" s="26">
        <v>7.883835</v>
      </c>
      <c r="AJ78" s="26">
        <v>8.5585785</v>
      </c>
      <c r="AK78" s="22" t="s">
        <v>2</v>
      </c>
      <c r="AL78" s="22" t="s">
        <v>288</v>
      </c>
      <c r="AM78" s="20" t="s">
        <v>57</v>
      </c>
      <c r="AN78" s="23" t="s">
        <v>336</v>
      </c>
      <c r="AO78" s="3"/>
    </row>
    <row r="79" ht="12.95" customHeight="1" spans="1:41" x14ac:dyDescent="0.25">
      <c r="A79" s="20" t="s">
        <v>46</v>
      </c>
      <c r="B79" s="20" t="s">
        <v>47</v>
      </c>
      <c r="C79" s="20" t="s">
        <v>311</v>
      </c>
      <c r="D79" s="21"/>
      <c r="E79" s="20" t="s">
        <v>379</v>
      </c>
      <c r="F79" s="22" t="s">
        <v>50</v>
      </c>
      <c r="G79" s="22" t="s">
        <v>332</v>
      </c>
      <c r="H79" s="22" t="s">
        <v>380</v>
      </c>
      <c r="I79" s="20" t="s">
        <v>134</v>
      </c>
      <c r="J79" s="23" t="s">
        <v>334</v>
      </c>
      <c r="K79" s="20" t="s">
        <v>381</v>
      </c>
      <c r="L79" s="21"/>
      <c r="M79" s="23" t="s">
        <v>46</v>
      </c>
      <c r="N79" s="24"/>
      <c r="O79" s="24"/>
      <c r="P79" s="22" t="s">
        <v>81</v>
      </c>
      <c r="Q79" s="25"/>
      <c r="R79" s="26">
        <v>621.11</v>
      </c>
      <c r="S79" s="25"/>
      <c r="T79" s="26">
        <v>0</v>
      </c>
      <c r="U79" s="25"/>
      <c r="V79" s="26">
        <v>621.11</v>
      </c>
      <c r="W79" s="26">
        <v>0</v>
      </c>
      <c r="X79" s="26">
        <v>621.11</v>
      </c>
      <c r="Y79" s="26">
        <v>0</v>
      </c>
      <c r="Z79" s="26">
        <v>93.17</v>
      </c>
      <c r="AA79" s="26">
        <v>0</v>
      </c>
      <c r="AB79" s="26">
        <v>0</v>
      </c>
      <c r="AC79" s="26">
        <v>0</v>
      </c>
      <c r="AD79" s="26">
        <v>714.28</v>
      </c>
      <c r="AE79" s="26">
        <v>0</v>
      </c>
      <c r="AF79" s="26">
        <v>0</v>
      </c>
      <c r="AG79" s="26">
        <v>539.8824388226551</v>
      </c>
      <c r="AH79" s="26">
        <v>81.22754</v>
      </c>
      <c r="AI79" s="26">
        <v>13.077803</v>
      </c>
      <c r="AJ79" s="26">
        <v>15.045412</v>
      </c>
      <c r="AK79" s="22" t="s">
        <v>2</v>
      </c>
      <c r="AL79" s="22" t="s">
        <v>317</v>
      </c>
      <c r="AM79" s="20" t="s">
        <v>57</v>
      </c>
      <c r="AN79" s="23" t="s">
        <v>336</v>
      </c>
      <c r="AO79" s="3"/>
    </row>
    <row r="80" ht="12.95" customHeight="1" spans="1:41" x14ac:dyDescent="0.25">
      <c r="A80" s="20" t="s">
        <v>46</v>
      </c>
      <c r="B80" s="20" t="s">
        <v>47</v>
      </c>
      <c r="C80" s="20" t="s">
        <v>311</v>
      </c>
      <c r="D80" s="21"/>
      <c r="E80" s="20" t="s">
        <v>382</v>
      </c>
      <c r="F80" s="22" t="s">
        <v>50</v>
      </c>
      <c r="G80" s="22" t="s">
        <v>332</v>
      </c>
      <c r="H80" s="22" t="s">
        <v>383</v>
      </c>
      <c r="I80" s="20" t="s">
        <v>134</v>
      </c>
      <c r="J80" s="23" t="s">
        <v>334</v>
      </c>
      <c r="K80" s="20" t="s">
        <v>384</v>
      </c>
      <c r="L80" s="21"/>
      <c r="M80" s="23" t="s">
        <v>46</v>
      </c>
      <c r="N80" s="24"/>
      <c r="O80" s="24"/>
      <c r="P80" s="22" t="s">
        <v>81</v>
      </c>
      <c r="Q80" s="25"/>
      <c r="R80" s="26">
        <v>621.11</v>
      </c>
      <c r="S80" s="25"/>
      <c r="T80" s="26">
        <v>0</v>
      </c>
      <c r="U80" s="25"/>
      <c r="V80" s="26">
        <v>621.11</v>
      </c>
      <c r="W80" s="26">
        <v>0</v>
      </c>
      <c r="X80" s="26">
        <v>621.11</v>
      </c>
      <c r="Y80" s="26">
        <v>0</v>
      </c>
      <c r="Z80" s="26">
        <v>93.17</v>
      </c>
      <c r="AA80" s="26">
        <v>0</v>
      </c>
      <c r="AB80" s="26">
        <v>0</v>
      </c>
      <c r="AC80" s="26">
        <v>0</v>
      </c>
      <c r="AD80" s="26">
        <v>714.28</v>
      </c>
      <c r="AE80" s="26">
        <v>0</v>
      </c>
      <c r="AF80" s="26">
        <v>0</v>
      </c>
      <c r="AG80" s="26">
        <v>539.8824388226551</v>
      </c>
      <c r="AH80" s="26">
        <v>81.22754</v>
      </c>
      <c r="AI80" s="26">
        <v>13.077803</v>
      </c>
      <c r="AJ80" s="26">
        <v>15.045412</v>
      </c>
      <c r="AK80" s="22" t="s">
        <v>2</v>
      </c>
      <c r="AL80" s="22" t="s">
        <v>317</v>
      </c>
      <c r="AM80" s="20" t="s">
        <v>57</v>
      </c>
      <c r="AN80" s="23" t="s">
        <v>336</v>
      </c>
      <c r="AO80" s="3"/>
    </row>
    <row r="81" ht="12.95" customHeight="1" spans="1:41" x14ac:dyDescent="0.25">
      <c r="A81" s="20" t="s">
        <v>46</v>
      </c>
      <c r="B81" s="20" t="s">
        <v>47</v>
      </c>
      <c r="C81" s="20" t="s">
        <v>311</v>
      </c>
      <c r="D81" s="21"/>
      <c r="E81" s="20" t="s">
        <v>385</v>
      </c>
      <c r="F81" s="22" t="s">
        <v>50</v>
      </c>
      <c r="G81" s="22" t="s">
        <v>332</v>
      </c>
      <c r="H81" s="22" t="s">
        <v>386</v>
      </c>
      <c r="I81" s="20" t="s">
        <v>134</v>
      </c>
      <c r="J81" s="23" t="s">
        <v>334</v>
      </c>
      <c r="K81" s="20" t="s">
        <v>387</v>
      </c>
      <c r="L81" s="21"/>
      <c r="M81" s="23" t="s">
        <v>46</v>
      </c>
      <c r="N81" s="24"/>
      <c r="O81" s="24"/>
      <c r="P81" s="22" t="s">
        <v>81</v>
      </c>
      <c r="Q81" s="25"/>
      <c r="R81" s="26">
        <v>621.11</v>
      </c>
      <c r="S81" s="25"/>
      <c r="T81" s="26">
        <v>0</v>
      </c>
      <c r="U81" s="25"/>
      <c r="V81" s="26">
        <v>621.11</v>
      </c>
      <c r="W81" s="26">
        <v>0</v>
      </c>
      <c r="X81" s="26">
        <v>621.11</v>
      </c>
      <c r="Y81" s="26">
        <v>0</v>
      </c>
      <c r="Z81" s="26">
        <v>93.17</v>
      </c>
      <c r="AA81" s="26">
        <v>0</v>
      </c>
      <c r="AB81" s="26">
        <v>0</v>
      </c>
      <c r="AC81" s="26">
        <v>0</v>
      </c>
      <c r="AD81" s="26">
        <v>714.28</v>
      </c>
      <c r="AE81" s="26">
        <v>0</v>
      </c>
      <c r="AF81" s="26">
        <v>0</v>
      </c>
      <c r="AG81" s="26">
        <v>539.8824388226551</v>
      </c>
      <c r="AH81" s="26">
        <v>81.22754</v>
      </c>
      <c r="AI81" s="26">
        <v>13.077803</v>
      </c>
      <c r="AJ81" s="26">
        <v>15.045412</v>
      </c>
      <c r="AK81" s="22" t="s">
        <v>2</v>
      </c>
      <c r="AL81" s="22" t="s">
        <v>317</v>
      </c>
      <c r="AM81" s="20" t="s">
        <v>57</v>
      </c>
      <c r="AN81" s="23" t="s">
        <v>336</v>
      </c>
      <c r="AO81" s="3"/>
    </row>
    <row r="82" ht="12.95" customHeight="1" spans="1:41" x14ac:dyDescent="0.25">
      <c r="A82" s="20" t="s">
        <v>46</v>
      </c>
      <c r="B82" s="20" t="s">
        <v>47</v>
      </c>
      <c r="C82" s="20" t="s">
        <v>311</v>
      </c>
      <c r="D82" s="21"/>
      <c r="E82" s="20" t="s">
        <v>388</v>
      </c>
      <c r="F82" s="22" t="s">
        <v>50</v>
      </c>
      <c r="G82" s="22" t="s">
        <v>332</v>
      </c>
      <c r="H82" s="22" t="s">
        <v>389</v>
      </c>
      <c r="I82" s="20" t="s">
        <v>134</v>
      </c>
      <c r="J82" s="23" t="s">
        <v>334</v>
      </c>
      <c r="K82" s="20" t="s">
        <v>390</v>
      </c>
      <c r="L82" s="21"/>
      <c r="M82" s="23" t="s">
        <v>46</v>
      </c>
      <c r="N82" s="24"/>
      <c r="O82" s="24"/>
      <c r="P82" s="22" t="s">
        <v>81</v>
      </c>
      <c r="Q82" s="25"/>
      <c r="R82" s="26">
        <v>621.11</v>
      </c>
      <c r="S82" s="25"/>
      <c r="T82" s="26">
        <v>0</v>
      </c>
      <c r="U82" s="25"/>
      <c r="V82" s="26">
        <v>621.11</v>
      </c>
      <c r="W82" s="26">
        <v>0</v>
      </c>
      <c r="X82" s="26">
        <v>621.11</v>
      </c>
      <c r="Y82" s="26">
        <v>0</v>
      </c>
      <c r="Z82" s="26">
        <v>93.17</v>
      </c>
      <c r="AA82" s="26">
        <v>0</v>
      </c>
      <c r="AB82" s="26">
        <v>0</v>
      </c>
      <c r="AC82" s="26">
        <v>0</v>
      </c>
      <c r="AD82" s="26">
        <v>714.28</v>
      </c>
      <c r="AE82" s="26">
        <v>0</v>
      </c>
      <c r="AF82" s="26">
        <v>0</v>
      </c>
      <c r="AG82" s="26">
        <v>539.8824388226551</v>
      </c>
      <c r="AH82" s="26">
        <v>81.22754</v>
      </c>
      <c r="AI82" s="26">
        <v>13.077803</v>
      </c>
      <c r="AJ82" s="26">
        <v>15.045412</v>
      </c>
      <c r="AK82" s="22" t="s">
        <v>2</v>
      </c>
      <c r="AL82" s="22" t="s">
        <v>317</v>
      </c>
      <c r="AM82" s="20" t="s">
        <v>57</v>
      </c>
      <c r="AN82" s="23" t="s">
        <v>336</v>
      </c>
      <c r="AO82" s="3"/>
    </row>
    <row r="83" ht="12.95" customHeight="1" spans="1:41" x14ac:dyDescent="0.25">
      <c r="A83" s="20" t="s">
        <v>46</v>
      </c>
      <c r="B83" s="20" t="s">
        <v>47</v>
      </c>
      <c r="C83" s="20" t="s">
        <v>311</v>
      </c>
      <c r="D83" s="21"/>
      <c r="E83" s="20" t="s">
        <v>391</v>
      </c>
      <c r="F83" s="22" t="s">
        <v>50</v>
      </c>
      <c r="G83" s="22" t="s">
        <v>332</v>
      </c>
      <c r="H83" s="22" t="s">
        <v>392</v>
      </c>
      <c r="I83" s="20" t="s">
        <v>134</v>
      </c>
      <c r="J83" s="23" t="s">
        <v>334</v>
      </c>
      <c r="K83" s="20" t="s">
        <v>393</v>
      </c>
      <c r="L83" s="21"/>
      <c r="M83" s="23" t="s">
        <v>46</v>
      </c>
      <c r="N83" s="24"/>
      <c r="O83" s="24"/>
      <c r="P83" s="22" t="s">
        <v>81</v>
      </c>
      <c r="Q83" s="25"/>
      <c r="R83" s="26">
        <v>621.11</v>
      </c>
      <c r="S83" s="25"/>
      <c r="T83" s="26">
        <v>0</v>
      </c>
      <c r="U83" s="25"/>
      <c r="V83" s="26">
        <v>621.11</v>
      </c>
      <c r="W83" s="26">
        <v>0</v>
      </c>
      <c r="X83" s="26">
        <v>621.11</v>
      </c>
      <c r="Y83" s="26">
        <v>0</v>
      </c>
      <c r="Z83" s="26">
        <v>93.17</v>
      </c>
      <c r="AA83" s="26">
        <v>0</v>
      </c>
      <c r="AB83" s="26">
        <v>0</v>
      </c>
      <c r="AC83" s="26">
        <v>0</v>
      </c>
      <c r="AD83" s="26">
        <v>714.28</v>
      </c>
      <c r="AE83" s="26">
        <v>0</v>
      </c>
      <c r="AF83" s="26">
        <v>0</v>
      </c>
      <c r="AG83" s="26">
        <v>539.8824388226551</v>
      </c>
      <c r="AH83" s="26">
        <v>81.22754</v>
      </c>
      <c r="AI83" s="26">
        <v>13.077803</v>
      </c>
      <c r="AJ83" s="26">
        <v>15.045412</v>
      </c>
      <c r="AK83" s="22" t="s">
        <v>2</v>
      </c>
      <c r="AL83" s="22" t="s">
        <v>317</v>
      </c>
      <c r="AM83" s="20" t="s">
        <v>57</v>
      </c>
      <c r="AN83" s="23" t="s">
        <v>336</v>
      </c>
      <c r="AO83" s="3"/>
    </row>
    <row r="84" ht="12.95" customHeight="1" spans="1:41" x14ac:dyDescent="0.25">
      <c r="A84" s="20" t="s">
        <v>46</v>
      </c>
      <c r="B84" s="20" t="s">
        <v>47</v>
      </c>
      <c r="C84" s="20" t="s">
        <v>311</v>
      </c>
      <c r="D84" s="21"/>
      <c r="E84" s="20" t="s">
        <v>394</v>
      </c>
      <c r="F84" s="22" t="s">
        <v>50</v>
      </c>
      <c r="G84" s="22" t="s">
        <v>332</v>
      </c>
      <c r="H84" s="22" t="s">
        <v>395</v>
      </c>
      <c r="I84" s="20" t="s">
        <v>134</v>
      </c>
      <c r="J84" s="23" t="s">
        <v>334</v>
      </c>
      <c r="K84" s="20" t="s">
        <v>396</v>
      </c>
      <c r="L84" s="21"/>
      <c r="M84" s="23" t="s">
        <v>46</v>
      </c>
      <c r="N84" s="24"/>
      <c r="O84" s="24"/>
      <c r="P84" s="22" t="s">
        <v>81</v>
      </c>
      <c r="Q84" s="25"/>
      <c r="R84" s="26">
        <v>621.11</v>
      </c>
      <c r="S84" s="25"/>
      <c r="T84" s="26">
        <v>0</v>
      </c>
      <c r="U84" s="25"/>
      <c r="V84" s="26">
        <v>621.11</v>
      </c>
      <c r="W84" s="26">
        <v>0</v>
      </c>
      <c r="X84" s="26">
        <v>621.11</v>
      </c>
      <c r="Y84" s="26">
        <v>0</v>
      </c>
      <c r="Z84" s="26">
        <v>93.17</v>
      </c>
      <c r="AA84" s="26">
        <v>0</v>
      </c>
      <c r="AB84" s="26">
        <v>0</v>
      </c>
      <c r="AC84" s="26">
        <v>0</v>
      </c>
      <c r="AD84" s="26">
        <v>714.28</v>
      </c>
      <c r="AE84" s="26">
        <v>0</v>
      </c>
      <c r="AF84" s="26">
        <v>0</v>
      </c>
      <c r="AG84" s="26">
        <v>539.8824388226551</v>
      </c>
      <c r="AH84" s="26">
        <v>81.22754</v>
      </c>
      <c r="AI84" s="26">
        <v>13.077803</v>
      </c>
      <c r="AJ84" s="26">
        <v>15.045412</v>
      </c>
      <c r="AK84" s="22" t="s">
        <v>2</v>
      </c>
      <c r="AL84" s="22" t="s">
        <v>317</v>
      </c>
      <c r="AM84" s="20" t="s">
        <v>57</v>
      </c>
      <c r="AN84" s="23" t="s">
        <v>336</v>
      </c>
      <c r="AO84" s="3"/>
    </row>
    <row r="85" ht="12.95" customHeight="1" spans="1:41" x14ac:dyDescent="0.25">
      <c r="A85" s="20" t="s">
        <v>46</v>
      </c>
      <c r="B85" s="20" t="s">
        <v>47</v>
      </c>
      <c r="C85" s="20" t="s">
        <v>311</v>
      </c>
      <c r="D85" s="21"/>
      <c r="E85" s="20" t="s">
        <v>397</v>
      </c>
      <c r="F85" s="22" t="s">
        <v>50</v>
      </c>
      <c r="G85" s="22" t="s">
        <v>332</v>
      </c>
      <c r="H85" s="22" t="s">
        <v>398</v>
      </c>
      <c r="I85" s="20" t="s">
        <v>134</v>
      </c>
      <c r="J85" s="23" t="s">
        <v>334</v>
      </c>
      <c r="K85" s="20" t="s">
        <v>399</v>
      </c>
      <c r="L85" s="21"/>
      <c r="M85" s="23" t="s">
        <v>46</v>
      </c>
      <c r="N85" s="24"/>
      <c r="O85" s="24"/>
      <c r="P85" s="22" t="s">
        <v>81</v>
      </c>
      <c r="Q85" s="25"/>
      <c r="R85" s="26">
        <v>621.11</v>
      </c>
      <c r="S85" s="25"/>
      <c r="T85" s="26">
        <v>0</v>
      </c>
      <c r="U85" s="25"/>
      <c r="V85" s="26">
        <v>621.11</v>
      </c>
      <c r="W85" s="26">
        <v>0</v>
      </c>
      <c r="X85" s="26">
        <v>621.11</v>
      </c>
      <c r="Y85" s="26">
        <v>0</v>
      </c>
      <c r="Z85" s="26">
        <v>93.17</v>
      </c>
      <c r="AA85" s="26">
        <v>0</v>
      </c>
      <c r="AB85" s="26">
        <v>0</v>
      </c>
      <c r="AC85" s="26">
        <v>0</v>
      </c>
      <c r="AD85" s="26">
        <v>714.28</v>
      </c>
      <c r="AE85" s="26">
        <v>0</v>
      </c>
      <c r="AF85" s="26">
        <v>0</v>
      </c>
      <c r="AG85" s="26">
        <v>539.8824388226551</v>
      </c>
      <c r="AH85" s="26">
        <v>81.22754</v>
      </c>
      <c r="AI85" s="26">
        <v>13.077803</v>
      </c>
      <c r="AJ85" s="26">
        <v>15.045412</v>
      </c>
      <c r="AK85" s="22" t="s">
        <v>2</v>
      </c>
      <c r="AL85" s="22" t="s">
        <v>317</v>
      </c>
      <c r="AM85" s="20" t="s">
        <v>57</v>
      </c>
      <c r="AN85" s="23" t="s">
        <v>336</v>
      </c>
      <c r="AO85" s="3"/>
    </row>
    <row r="86" ht="0.95" customHeight="1" spans="1:41" x14ac:dyDescent="0.25">
      <c r="A86" s="3"/>
      <c r="B86" s="3"/>
      <c r="C86" s="3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3"/>
      <c r="AL86" s="3"/>
      <c r="AM86" s="3"/>
      <c r="AN86" s="3"/>
      <c r="AO86" s="3"/>
    </row>
    <row r="87" ht="12" customHeight="1" spans="1:4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27" t="s">
        <v>400</v>
      </c>
      <c r="M87" s="27"/>
      <c r="N87" s="27"/>
      <c r="O87" s="3"/>
      <c r="P87" s="28" t="s">
        <v>401</v>
      </c>
      <c r="Q87" s="28"/>
      <c r="R87" s="28">
        <v>274.09</v>
      </c>
      <c r="S87" s="28"/>
      <c r="T87" s="28">
        <v>17352.06</v>
      </c>
      <c r="U87" s="28"/>
      <c r="V87" s="28">
        <v>0</v>
      </c>
      <c r="W87" s="28">
        <v>17352.06</v>
      </c>
      <c r="X87" s="28">
        <v>2602.83</v>
      </c>
      <c r="Y87" s="28">
        <v>0</v>
      </c>
      <c r="Z87" s="27" t="s">
        <v>4</v>
      </c>
      <c r="AA87" s="28">
        <v>0</v>
      </c>
      <c r="AB87" s="28">
        <v>19954.89</v>
      </c>
      <c r="AC87" s="28">
        <v>0</v>
      </c>
      <c r="AD87" s="28">
        <v>0</v>
      </c>
      <c r="AE87" s="26">
        <v>5633.43</v>
      </c>
      <c r="AF87" s="28">
        <v>14292.947</v>
      </c>
      <c r="AG87" s="22">
        <v>14292.947</v>
      </c>
      <c r="AH87" s="28">
        <v>3059.1135</v>
      </c>
      <c r="AI87" s="28">
        <v>17.629683</v>
      </c>
      <c r="AJ87" s="28">
        <v>21.402956</v>
      </c>
      <c r="AK87" s="3"/>
      <c r="AL87" s="3"/>
      <c r="AM87" s="3"/>
      <c r="AN87" s="3"/>
      <c r="AO87" s="3"/>
    </row>
    <row r="88" spans="1:41" x14ac:dyDescent="0.25">
      <c r="N88" t="s">
        <v>402</v>
      </c>
      <c r="P88" s="29">
        <f>+'MY REP TYT'!I38</f>
        <v>17626.15</v>
      </c>
      <c r="R88">
        <f>+'MY REP TYT'!H53</f>
        <v>274.09</v>
      </c>
      <c r="X88" s="30"/>
    </row>
    <row r="89" spans="1:41" x14ac:dyDescent="0.25"/>
    <row r="90" spans="1:41" x14ac:dyDescent="0.25"/>
    <row r="91" spans="1:41" x14ac:dyDescent="0.25"/>
    <row r="92" spans="1:41" x14ac:dyDescent="0.25"/>
    <row r="93" spans="1:41" x14ac:dyDescent="0.25"/>
    <row r="94" spans="1:41" x14ac:dyDescent="0.25"/>
    <row r="95" spans="1:41" x14ac:dyDescent="0.25"/>
    <row r="96" spans="1:41" x14ac:dyDescent="0.25"/>
    <row r="97" spans="1:41" x14ac:dyDescent="0.25"/>
  </sheetData>
  <mergeCells count="472">
    <mergeCell ref="A1:E1"/>
    <mergeCell ref="N1:O1"/>
    <mergeCell ref="Q1:R1"/>
    <mergeCell ref="S1:T1"/>
    <mergeCell ref="A2:E2"/>
    <mergeCell ref="F2:M2"/>
    <mergeCell ref="N2:O2"/>
    <mergeCell ref="P2:T2"/>
    <mergeCell ref="N3:T4"/>
    <mergeCell ref="A4:M4"/>
    <mergeCell ref="A5:M5"/>
    <mergeCell ref="P5:T5"/>
    <mergeCell ref="F6:M7"/>
    <mergeCell ref="A7:E7"/>
    <mergeCell ref="A8:AN8"/>
    <mergeCell ref="C9:D9"/>
    <mergeCell ref="K9:L9"/>
    <mergeCell ref="M9:O9"/>
    <mergeCell ref="P9:Q9"/>
    <mergeCell ref="R9:S9"/>
    <mergeCell ref="T9:U9"/>
    <mergeCell ref="A10:AN10"/>
    <mergeCell ref="C11:D11"/>
    <mergeCell ref="K11:L11"/>
    <mergeCell ref="M11:O11"/>
    <mergeCell ref="P11:Q11"/>
    <mergeCell ref="R11:S11"/>
    <mergeCell ref="T11:U11"/>
    <mergeCell ref="C12:D12"/>
    <mergeCell ref="K12:L12"/>
    <mergeCell ref="M12:O12"/>
    <mergeCell ref="P12:Q12"/>
    <mergeCell ref="R12:S12"/>
    <mergeCell ref="T12:U12"/>
    <mergeCell ref="C13:D13"/>
    <mergeCell ref="K13:L13"/>
    <mergeCell ref="M13:O13"/>
    <mergeCell ref="P13:Q13"/>
    <mergeCell ref="R13:S13"/>
    <mergeCell ref="T13:U13"/>
    <mergeCell ref="C14:D14"/>
    <mergeCell ref="K14:L14"/>
    <mergeCell ref="M14:O14"/>
    <mergeCell ref="P14:Q14"/>
    <mergeCell ref="R14:S14"/>
    <mergeCell ref="T14:U14"/>
    <mergeCell ref="C15:D15"/>
    <mergeCell ref="K15:L15"/>
    <mergeCell ref="M15:O15"/>
    <mergeCell ref="P15:Q15"/>
    <mergeCell ref="R15:S15"/>
    <mergeCell ref="T15:U15"/>
    <mergeCell ref="C16:D16"/>
    <mergeCell ref="K16:L16"/>
    <mergeCell ref="M16:O16"/>
    <mergeCell ref="P16:Q16"/>
    <mergeCell ref="R16:S16"/>
    <mergeCell ref="T16:U16"/>
    <mergeCell ref="C17:D17"/>
    <mergeCell ref="K17:L17"/>
    <mergeCell ref="M17:O17"/>
    <mergeCell ref="P17:Q17"/>
    <mergeCell ref="R17:S17"/>
    <mergeCell ref="T17:U17"/>
    <mergeCell ref="C18:D18"/>
    <mergeCell ref="K18:L18"/>
    <mergeCell ref="M18:O18"/>
    <mergeCell ref="P18:Q18"/>
    <mergeCell ref="R18:S18"/>
    <mergeCell ref="T18:U18"/>
    <mergeCell ref="C19:D19"/>
    <mergeCell ref="K19:L19"/>
    <mergeCell ref="M19:O19"/>
    <mergeCell ref="P19:Q19"/>
    <mergeCell ref="R19:S19"/>
    <mergeCell ref="T19:U19"/>
    <mergeCell ref="C20:D20"/>
    <mergeCell ref="K20:L20"/>
    <mergeCell ref="M20:O20"/>
    <mergeCell ref="P20:Q20"/>
    <mergeCell ref="R20:S20"/>
    <mergeCell ref="T20:U20"/>
    <mergeCell ref="C21:D21"/>
    <mergeCell ref="K21:L21"/>
    <mergeCell ref="M21:O21"/>
    <mergeCell ref="P21:Q21"/>
    <mergeCell ref="R21:S21"/>
    <mergeCell ref="T21:U21"/>
    <mergeCell ref="C22:D22"/>
    <mergeCell ref="K22:L22"/>
    <mergeCell ref="M22:O22"/>
    <mergeCell ref="P22:Q22"/>
    <mergeCell ref="R22:S22"/>
    <mergeCell ref="T22:U22"/>
    <mergeCell ref="C23:D23"/>
    <mergeCell ref="K23:L23"/>
    <mergeCell ref="M23:O23"/>
    <mergeCell ref="P23:Q23"/>
    <mergeCell ref="R23:S23"/>
    <mergeCell ref="T23:U23"/>
    <mergeCell ref="C24:D24"/>
    <mergeCell ref="K24:L24"/>
    <mergeCell ref="M24:O24"/>
    <mergeCell ref="P24:Q24"/>
    <mergeCell ref="R24:S24"/>
    <mergeCell ref="T24:U24"/>
    <mergeCell ref="C25:D25"/>
    <mergeCell ref="K25:L25"/>
    <mergeCell ref="M25:O25"/>
    <mergeCell ref="P25:Q25"/>
    <mergeCell ref="R25:S25"/>
    <mergeCell ref="T25:U25"/>
    <mergeCell ref="C26:D26"/>
    <mergeCell ref="K26:L26"/>
    <mergeCell ref="M26:O26"/>
    <mergeCell ref="P26:Q26"/>
    <mergeCell ref="R26:S26"/>
    <mergeCell ref="T26:U26"/>
    <mergeCell ref="C27:D27"/>
    <mergeCell ref="K27:L27"/>
    <mergeCell ref="M27:O27"/>
    <mergeCell ref="P27:Q27"/>
    <mergeCell ref="R27:S27"/>
    <mergeCell ref="T27:U27"/>
    <mergeCell ref="C28:D28"/>
    <mergeCell ref="K28:L28"/>
    <mergeCell ref="M28:O28"/>
    <mergeCell ref="P28:Q28"/>
    <mergeCell ref="R28:S28"/>
    <mergeCell ref="T28:U28"/>
    <mergeCell ref="C29:D29"/>
    <mergeCell ref="K29:L29"/>
    <mergeCell ref="M29:O29"/>
    <mergeCell ref="P29:Q29"/>
    <mergeCell ref="R29:S29"/>
    <mergeCell ref="T29:U29"/>
    <mergeCell ref="C30:D30"/>
    <mergeCell ref="K30:L30"/>
    <mergeCell ref="M30:O30"/>
    <mergeCell ref="P30:Q30"/>
    <mergeCell ref="R30:S30"/>
    <mergeCell ref="T30:U30"/>
    <mergeCell ref="C31:D31"/>
    <mergeCell ref="K31:L31"/>
    <mergeCell ref="M31:O31"/>
    <mergeCell ref="P31:Q31"/>
    <mergeCell ref="R31:S31"/>
    <mergeCell ref="T31:U31"/>
    <mergeCell ref="C32:D32"/>
    <mergeCell ref="K32:L32"/>
    <mergeCell ref="M32:O32"/>
    <mergeCell ref="P32:Q32"/>
    <mergeCell ref="R32:S32"/>
    <mergeCell ref="T32:U32"/>
    <mergeCell ref="C33:D33"/>
    <mergeCell ref="K33:L33"/>
    <mergeCell ref="M33:O33"/>
    <mergeCell ref="P33:Q33"/>
    <mergeCell ref="R33:S33"/>
    <mergeCell ref="T33:U33"/>
    <mergeCell ref="C34:D34"/>
    <mergeCell ref="K34:L34"/>
    <mergeCell ref="M34:O34"/>
    <mergeCell ref="P34:Q34"/>
    <mergeCell ref="R34:S34"/>
    <mergeCell ref="T34:U34"/>
    <mergeCell ref="C35:D35"/>
    <mergeCell ref="K35:L35"/>
    <mergeCell ref="M35:O35"/>
    <mergeCell ref="P35:Q35"/>
    <mergeCell ref="R35:S35"/>
    <mergeCell ref="T35:U35"/>
    <mergeCell ref="C36:D36"/>
    <mergeCell ref="K36:L36"/>
    <mergeCell ref="M36:O36"/>
    <mergeCell ref="P36:Q36"/>
    <mergeCell ref="R36:S36"/>
    <mergeCell ref="T36:U36"/>
    <mergeCell ref="C37:D37"/>
    <mergeCell ref="K37:L37"/>
    <mergeCell ref="M37:O37"/>
    <mergeCell ref="P37:Q37"/>
    <mergeCell ref="R37:S37"/>
    <mergeCell ref="T37:U37"/>
    <mergeCell ref="C38:D38"/>
    <mergeCell ref="K38:L38"/>
    <mergeCell ref="M38:O38"/>
    <mergeCell ref="P38:Q38"/>
    <mergeCell ref="R38:S38"/>
    <mergeCell ref="T38:U38"/>
    <mergeCell ref="C39:D39"/>
    <mergeCell ref="K39:L39"/>
    <mergeCell ref="M39:O39"/>
    <mergeCell ref="P39:Q39"/>
    <mergeCell ref="R39:S39"/>
    <mergeCell ref="T39:U39"/>
    <mergeCell ref="C40:D40"/>
    <mergeCell ref="K40:L40"/>
    <mergeCell ref="M40:O40"/>
    <mergeCell ref="P40:Q40"/>
    <mergeCell ref="R40:S40"/>
    <mergeCell ref="T40:U40"/>
    <mergeCell ref="C41:D41"/>
    <mergeCell ref="K41:L41"/>
    <mergeCell ref="M41:O41"/>
    <mergeCell ref="P41:Q41"/>
    <mergeCell ref="R41:S41"/>
    <mergeCell ref="T41:U41"/>
    <mergeCell ref="C42:D42"/>
    <mergeCell ref="K42:L42"/>
    <mergeCell ref="M42:O42"/>
    <mergeCell ref="P42:Q42"/>
    <mergeCell ref="R42:S42"/>
    <mergeCell ref="T42:U42"/>
    <mergeCell ref="C43:D43"/>
    <mergeCell ref="K43:L43"/>
    <mergeCell ref="M43:O43"/>
    <mergeCell ref="P43:Q43"/>
    <mergeCell ref="R43:S43"/>
    <mergeCell ref="T43:U43"/>
    <mergeCell ref="C44:D44"/>
    <mergeCell ref="K44:L44"/>
    <mergeCell ref="M44:O44"/>
    <mergeCell ref="P44:Q44"/>
    <mergeCell ref="R44:S44"/>
    <mergeCell ref="T44:U44"/>
    <mergeCell ref="C45:D45"/>
    <mergeCell ref="K45:L45"/>
    <mergeCell ref="M45:O45"/>
    <mergeCell ref="P45:Q45"/>
    <mergeCell ref="R45:S45"/>
    <mergeCell ref="T45:U45"/>
    <mergeCell ref="C46:D46"/>
    <mergeCell ref="K46:L46"/>
    <mergeCell ref="M46:O46"/>
    <mergeCell ref="P46:Q46"/>
    <mergeCell ref="R46:S46"/>
    <mergeCell ref="T46:U46"/>
    <mergeCell ref="C47:D47"/>
    <mergeCell ref="K47:L47"/>
    <mergeCell ref="M47:O47"/>
    <mergeCell ref="P47:Q47"/>
    <mergeCell ref="R47:S47"/>
    <mergeCell ref="T47:U47"/>
    <mergeCell ref="C48:D48"/>
    <mergeCell ref="K48:L48"/>
    <mergeCell ref="M48:O48"/>
    <mergeCell ref="P48:Q48"/>
    <mergeCell ref="R48:S48"/>
    <mergeCell ref="T48:U48"/>
    <mergeCell ref="C49:D49"/>
    <mergeCell ref="K49:L49"/>
    <mergeCell ref="M49:O49"/>
    <mergeCell ref="P49:Q49"/>
    <mergeCell ref="R49:S49"/>
    <mergeCell ref="T49:U49"/>
    <mergeCell ref="A50:AN50"/>
    <mergeCell ref="C51:D51"/>
    <mergeCell ref="K51:L51"/>
    <mergeCell ref="M51:O51"/>
    <mergeCell ref="P51:Q51"/>
    <mergeCell ref="R51:S51"/>
    <mergeCell ref="T51:U51"/>
    <mergeCell ref="C52:D52"/>
    <mergeCell ref="K52:L52"/>
    <mergeCell ref="M52:O52"/>
    <mergeCell ref="P52:Q52"/>
    <mergeCell ref="R52:S52"/>
    <mergeCell ref="T52:U52"/>
    <mergeCell ref="C53:D53"/>
    <mergeCell ref="K53:L53"/>
    <mergeCell ref="M53:O53"/>
    <mergeCell ref="P53:Q53"/>
    <mergeCell ref="R53:S53"/>
    <mergeCell ref="T53:U53"/>
    <mergeCell ref="C54:D54"/>
    <mergeCell ref="K54:L54"/>
    <mergeCell ref="M54:O54"/>
    <mergeCell ref="P54:Q54"/>
    <mergeCell ref="R54:S54"/>
    <mergeCell ref="T54:U54"/>
    <mergeCell ref="C55:D55"/>
    <mergeCell ref="K55:L55"/>
    <mergeCell ref="M55:O55"/>
    <mergeCell ref="P55:Q55"/>
    <mergeCell ref="R55:S55"/>
    <mergeCell ref="T55:U55"/>
    <mergeCell ref="C56:D56"/>
    <mergeCell ref="K56:L56"/>
    <mergeCell ref="M56:O56"/>
    <mergeCell ref="P56:Q56"/>
    <mergeCell ref="R56:S56"/>
    <mergeCell ref="T56:U56"/>
    <mergeCell ref="C57:D57"/>
    <mergeCell ref="K57:L57"/>
    <mergeCell ref="M57:O57"/>
    <mergeCell ref="P57:Q57"/>
    <mergeCell ref="R57:S57"/>
    <mergeCell ref="T57:U57"/>
    <mergeCell ref="C58:D58"/>
    <mergeCell ref="K58:L58"/>
    <mergeCell ref="M58:O58"/>
    <mergeCell ref="P58:Q58"/>
    <mergeCell ref="R58:S58"/>
    <mergeCell ref="T58:U58"/>
    <mergeCell ref="C59:D59"/>
    <mergeCell ref="K59:L59"/>
    <mergeCell ref="M59:O59"/>
    <mergeCell ref="P59:Q59"/>
    <mergeCell ref="R59:S59"/>
    <mergeCell ref="T59:U59"/>
    <mergeCell ref="C60:D60"/>
    <mergeCell ref="K60:L60"/>
    <mergeCell ref="M60:O60"/>
    <mergeCell ref="P60:Q60"/>
    <mergeCell ref="R60:S60"/>
    <mergeCell ref="T60:U60"/>
    <mergeCell ref="C61:D61"/>
    <mergeCell ref="K61:L61"/>
    <mergeCell ref="M61:O61"/>
    <mergeCell ref="P61:Q61"/>
    <mergeCell ref="R61:S61"/>
    <mergeCell ref="T61:U61"/>
    <mergeCell ref="C62:D62"/>
    <mergeCell ref="K62:L62"/>
    <mergeCell ref="M62:O62"/>
    <mergeCell ref="P62:Q62"/>
    <mergeCell ref="R62:S62"/>
    <mergeCell ref="T62:U62"/>
    <mergeCell ref="C63:D63"/>
    <mergeCell ref="K63:L63"/>
    <mergeCell ref="M63:O63"/>
    <mergeCell ref="P63:Q63"/>
    <mergeCell ref="R63:S63"/>
    <mergeCell ref="T63:U63"/>
    <mergeCell ref="C64:D64"/>
    <mergeCell ref="K64:L64"/>
    <mergeCell ref="M64:O64"/>
    <mergeCell ref="P64:Q64"/>
    <mergeCell ref="R64:S64"/>
    <mergeCell ref="T64:U64"/>
    <mergeCell ref="C65:D65"/>
    <mergeCell ref="K65:L65"/>
    <mergeCell ref="M65:O65"/>
    <mergeCell ref="P65:Q65"/>
    <mergeCell ref="R65:S65"/>
    <mergeCell ref="T65:U65"/>
    <mergeCell ref="C66:D66"/>
    <mergeCell ref="K66:L66"/>
    <mergeCell ref="M66:O66"/>
    <mergeCell ref="P66:Q66"/>
    <mergeCell ref="R66:S66"/>
    <mergeCell ref="T66:U66"/>
    <mergeCell ref="C67:D67"/>
    <mergeCell ref="K67:L67"/>
    <mergeCell ref="M67:O67"/>
    <mergeCell ref="P67:Q67"/>
    <mergeCell ref="R67:S67"/>
    <mergeCell ref="T67:U67"/>
    <mergeCell ref="C68:D68"/>
    <mergeCell ref="K68:L68"/>
    <mergeCell ref="M68:O68"/>
    <mergeCell ref="P68:Q68"/>
    <mergeCell ref="R68:S68"/>
    <mergeCell ref="T68:U68"/>
    <mergeCell ref="C69:D69"/>
    <mergeCell ref="K69:L69"/>
    <mergeCell ref="M69:O69"/>
    <mergeCell ref="P69:Q69"/>
    <mergeCell ref="R69:S69"/>
    <mergeCell ref="T69:U69"/>
    <mergeCell ref="C70:D70"/>
    <mergeCell ref="K70:L70"/>
    <mergeCell ref="M70:O70"/>
    <mergeCell ref="P70:Q70"/>
    <mergeCell ref="R70:S70"/>
    <mergeCell ref="T70:U70"/>
    <mergeCell ref="C71:D71"/>
    <mergeCell ref="K71:L71"/>
    <mergeCell ref="M71:O71"/>
    <mergeCell ref="P71:Q71"/>
    <mergeCell ref="R71:S71"/>
    <mergeCell ref="T71:U71"/>
    <mergeCell ref="C72:D72"/>
    <mergeCell ref="K72:L72"/>
    <mergeCell ref="M72:O72"/>
    <mergeCell ref="P72:Q72"/>
    <mergeCell ref="R72:S72"/>
    <mergeCell ref="T72:U72"/>
    <mergeCell ref="C73:D73"/>
    <mergeCell ref="K73:L73"/>
    <mergeCell ref="M73:O73"/>
    <mergeCell ref="P73:Q73"/>
    <mergeCell ref="R73:S73"/>
    <mergeCell ref="T73:U73"/>
    <mergeCell ref="C74:D74"/>
    <mergeCell ref="K74:L74"/>
    <mergeCell ref="M74:O74"/>
    <mergeCell ref="P74:Q74"/>
    <mergeCell ref="R74:S74"/>
    <mergeCell ref="T74:U74"/>
    <mergeCell ref="C75:D75"/>
    <mergeCell ref="K75:L75"/>
    <mergeCell ref="M75:O75"/>
    <mergeCell ref="P75:Q75"/>
    <mergeCell ref="R75:S75"/>
    <mergeCell ref="T75:U75"/>
    <mergeCell ref="C76:D76"/>
    <mergeCell ref="K76:L76"/>
    <mergeCell ref="M76:O76"/>
    <mergeCell ref="P76:Q76"/>
    <mergeCell ref="R76:S76"/>
    <mergeCell ref="T76:U76"/>
    <mergeCell ref="C77:D77"/>
    <mergeCell ref="K77:L77"/>
    <mergeCell ref="M77:O77"/>
    <mergeCell ref="P77:Q77"/>
    <mergeCell ref="R77:S77"/>
    <mergeCell ref="T77:U77"/>
    <mergeCell ref="C78:D78"/>
    <mergeCell ref="K78:L78"/>
    <mergeCell ref="M78:O78"/>
    <mergeCell ref="P78:Q78"/>
    <mergeCell ref="R78:S78"/>
    <mergeCell ref="T78:U78"/>
    <mergeCell ref="C79:D79"/>
    <mergeCell ref="K79:L79"/>
    <mergeCell ref="M79:O79"/>
    <mergeCell ref="P79:Q79"/>
    <mergeCell ref="R79:S79"/>
    <mergeCell ref="T79:U79"/>
    <mergeCell ref="C80:D80"/>
    <mergeCell ref="K80:L80"/>
    <mergeCell ref="M80:O80"/>
    <mergeCell ref="P80:Q80"/>
    <mergeCell ref="R80:S80"/>
    <mergeCell ref="T80:U80"/>
    <mergeCell ref="C81:D81"/>
    <mergeCell ref="K81:L81"/>
    <mergeCell ref="M81:O81"/>
    <mergeCell ref="P81:Q81"/>
    <mergeCell ref="R81:S81"/>
    <mergeCell ref="T81:U81"/>
    <mergeCell ref="C82:D82"/>
    <mergeCell ref="K82:L82"/>
    <mergeCell ref="M82:O82"/>
    <mergeCell ref="P82:Q82"/>
    <mergeCell ref="R82:S82"/>
    <mergeCell ref="T82:U82"/>
    <mergeCell ref="C83:D83"/>
    <mergeCell ref="K83:L83"/>
    <mergeCell ref="M83:O83"/>
    <mergeCell ref="P83:Q83"/>
    <mergeCell ref="R83:S83"/>
    <mergeCell ref="T83:U83"/>
    <mergeCell ref="C84:D84"/>
    <mergeCell ref="K84:L84"/>
    <mergeCell ref="M84:O84"/>
    <mergeCell ref="P84:Q84"/>
    <mergeCell ref="R84:S84"/>
    <mergeCell ref="T84:U84"/>
    <mergeCell ref="C85:D85"/>
    <mergeCell ref="K85:L85"/>
    <mergeCell ref="M85:O85"/>
    <mergeCell ref="P85:Q85"/>
    <mergeCell ref="R85:S85"/>
    <mergeCell ref="T85:U85"/>
    <mergeCell ref="D86:AJ86"/>
    <mergeCell ref="L87:N87"/>
    <mergeCell ref="P87:Q87"/>
    <mergeCell ref="R87:S87"/>
    <mergeCell ref="T87:U87"/>
  </mergeCells>
  <pageMargins left="0" right="0" top="0" bottom="0" header="0" footer="0"/>
  <pageSetup orientation="landscape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Q12"/>
  <sheetViews>
    <sheetView workbookViewId="0" zoomScale="145" zoomScaleNormal="145">
      <selection activeCell="Y9" sqref="Y9"/>
    </sheetView>
  </sheetViews>
  <sheetFormatPr defaultRowHeight="15" outlineLevelRow="0" outlineLevelCol="0" x14ac:dyDescent="0.25" defaultColWidth="9.140625"/>
  <cols>
    <col min="1" max="1" width="0.140625" style="31" customWidth="1"/>
    <col min="2" max="2" width="8.7109375" style="31" customWidth="1"/>
    <col min="3" max="3" width="6.7109375" style="31" customWidth="1"/>
    <col min="4" max="4" width="9.28515625" style="31" customWidth="1"/>
    <col min="5" max="5" width="10.140625" style="31" customWidth="1"/>
    <col min="6" max="6" width="0.140625" style="31" customWidth="1"/>
    <col min="7" max="7" width="35.28515625" style="31" customWidth="1"/>
    <col min="8" max="8" width="7.140625" style="31" customWidth="1"/>
    <col min="9" max="9" width="8.140625" style="31" customWidth="1"/>
    <col min="10" max="10" width="9" style="31" customWidth="1"/>
    <col min="11" max="11" width="22.42578125" style="31" customWidth="1"/>
    <col min="12" max="12" width="9.28515625" style="31" customWidth="1"/>
    <col min="13" max="13" width="30.140625" style="31" customWidth="1"/>
    <col min="14" max="14" width="8.42578125" style="31" customWidth="1"/>
    <col min="15" max="15" width="7.42578125" style="31" customWidth="1"/>
    <col min="16" max="16" width="8.42578125" style="31" customWidth="1"/>
    <col min="17" max="17" width="1.7109375" style="31" customWidth="1"/>
    <col min="18" max="18" width="6.28515625" style="31" customWidth="1"/>
    <col min="19" max="19" width="0.7109375" style="31" customWidth="1"/>
    <col min="20" max="20" width="29.42578125" style="31" customWidth="1"/>
    <col min="21" max="21" width="12.140625" style="31" customWidth="1"/>
    <col min="22" max="22" width="7.28515625" style="31" customWidth="1"/>
    <col min="23" max="23" width="8.140625" style="31" customWidth="1"/>
    <col min="24" max="24" width="7.28515625" style="31" customWidth="1"/>
    <col min="25" max="25" width="7.85546875" style="31" customWidth="1"/>
    <col min="26" max="26" width="7.28515625" style="31" customWidth="1"/>
    <col min="27" max="27" width="7.85546875" style="31" customWidth="1"/>
    <col min="28" max="28" width="3" style="31" customWidth="1"/>
    <col min="29" max="29" width="4.140625" style="31" customWidth="1"/>
    <col min="30" max="30" width="4.28515625" style="31" customWidth="1"/>
    <col min="31" max="31" width="3.42578125" style="31" customWidth="1"/>
    <col min="32" max="32" width="8.28515625" style="31" customWidth="1"/>
    <col min="33" max="33" width="8.7109375" style="31" customWidth="1"/>
    <col min="34" max="34" width="7.140625" style="31" customWidth="1"/>
    <col min="35" max="35" width="1.42578125" style="31" customWidth="1"/>
    <col min="36" max="36" width="8.28515625" style="31" customWidth="1"/>
    <col min="37" max="37" width="8.42578125" style="31" customWidth="1"/>
    <col min="38" max="38" width="11.140625" style="31" customWidth="1"/>
    <col min="39" max="39" width="8" style="31" customWidth="1"/>
    <col min="40" max="41" width="8.42578125" style="31" customWidth="1"/>
    <col min="42" max="42" width="13.42578125" style="31" customWidth="1"/>
    <col min="43" max="16384" width="9.140625" style="31" customWidth="1"/>
  </cols>
  <sheetData>
    <row r="1" ht="15" customHeight="1" spans="1:43" x14ac:dyDescent="0.25">
      <c r="A1" s="3"/>
      <c r="B1" s="32" t="s">
        <v>0</v>
      </c>
      <c r="C1" s="33"/>
      <c r="D1" s="33"/>
      <c r="E1" s="33"/>
      <c r="F1" s="34" t="s">
        <v>403</v>
      </c>
      <c r="G1" s="35"/>
      <c r="H1" s="35"/>
      <c r="I1" s="35"/>
      <c r="J1" s="35"/>
      <c r="K1" s="35"/>
      <c r="L1" s="35"/>
      <c r="M1" s="35"/>
      <c r="N1" s="35"/>
      <c r="O1" s="35"/>
      <c r="P1" s="35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</row>
    <row r="2" ht="15" customHeight="1" spans="1:43" x14ac:dyDescent="0.25">
      <c r="A2" s="3"/>
      <c r="B2" s="4" t="s">
        <v>5</v>
      </c>
      <c r="C2" s="5"/>
      <c r="D2" s="5"/>
      <c r="E2" s="5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4" t="s">
        <v>6</v>
      </c>
      <c r="AD2" s="5"/>
      <c r="AE2" s="11">
        <v>46099.849502303245</v>
      </c>
      <c r="AF2" s="12"/>
      <c r="AG2" s="12"/>
      <c r="AH2" s="12"/>
      <c r="AI2" s="3"/>
      <c r="AJ2" s="3"/>
      <c r="AK2" s="3"/>
      <c r="AL2" s="3"/>
      <c r="AM2" s="3"/>
      <c r="AN2" s="3"/>
      <c r="AO2" s="3"/>
      <c r="AP2" s="3"/>
      <c r="AQ2" s="3"/>
    </row>
    <row r="3" ht="14.1" customHeight="1" spans="1:43" x14ac:dyDescent="0.25">
      <c r="A3" s="3"/>
      <c r="B3" s="13" t="s">
        <v>13</v>
      </c>
      <c r="C3" s="14"/>
      <c r="D3" s="14"/>
      <c r="E3" s="14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</row>
    <row r="4" ht="0.95" customHeight="1" spans="1:43" x14ac:dyDescent="0.25">
      <c r="A4" s="3"/>
      <c r="B4" s="14"/>
      <c r="C4" s="14"/>
      <c r="D4" s="14"/>
      <c r="E4" s="14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13" t="s">
        <v>404</v>
      </c>
      <c r="AD4" s="14"/>
      <c r="AE4" s="14"/>
      <c r="AF4" s="14"/>
      <c r="AG4" s="14"/>
      <c r="AH4" s="14"/>
      <c r="AI4" s="3"/>
      <c r="AJ4" s="3"/>
      <c r="AK4" s="3"/>
      <c r="AL4" s="3"/>
      <c r="AM4" s="3"/>
      <c r="AN4" s="3"/>
      <c r="AO4" s="3"/>
      <c r="AP4" s="3"/>
      <c r="AQ4" s="3"/>
    </row>
    <row r="5" ht="14.1" customHeight="1" spans="1:43" x14ac:dyDescent="0.25">
      <c r="A5" s="13" t="s">
        <v>12</v>
      </c>
      <c r="B5" s="14"/>
      <c r="C5" s="14"/>
      <c r="D5" s="14"/>
      <c r="E5" s="14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14"/>
      <c r="AD5" s="14"/>
      <c r="AE5" s="14"/>
      <c r="AF5" s="14"/>
      <c r="AG5" s="14"/>
      <c r="AH5" s="14"/>
      <c r="AI5" s="3"/>
      <c r="AJ5" s="3"/>
      <c r="AK5" s="3"/>
      <c r="AL5" s="3"/>
      <c r="AM5" s="3"/>
      <c r="AN5" s="3"/>
      <c r="AO5" s="3"/>
      <c r="AP5" s="3"/>
      <c r="AQ5" s="3"/>
    </row>
    <row r="6" ht="0.95" customHeight="1" spans="1:43" x14ac:dyDescent="0.25">
      <c r="A6" s="14"/>
      <c r="B6" s="14"/>
      <c r="C6" s="14"/>
      <c r="D6" s="14"/>
      <c r="E6" s="14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</row>
    <row r="7" ht="14.1" customHeight="1" spans="1:43" x14ac:dyDescent="0.25">
      <c r="A7" s="18" t="s">
        <v>405</v>
      </c>
      <c r="B7" s="19"/>
      <c r="C7" s="18" t="s">
        <v>15</v>
      </c>
      <c r="D7" s="18" t="s">
        <v>406</v>
      </c>
      <c r="E7" s="18" t="s">
        <v>407</v>
      </c>
      <c r="F7" s="19"/>
      <c r="G7" s="36" t="s">
        <v>44</v>
      </c>
      <c r="H7" s="18" t="s">
        <v>18</v>
      </c>
      <c r="I7" s="18" t="s">
        <v>408</v>
      </c>
      <c r="J7" s="18" t="s">
        <v>409</v>
      </c>
      <c r="K7" s="18" t="s">
        <v>19</v>
      </c>
      <c r="L7" s="18" t="s">
        <v>20</v>
      </c>
      <c r="M7" s="19"/>
      <c r="N7" s="18" t="s">
        <v>410</v>
      </c>
      <c r="O7" s="18" t="s">
        <v>411</v>
      </c>
      <c r="P7" s="18" t="s">
        <v>412</v>
      </c>
      <c r="Q7" s="19"/>
      <c r="R7" s="18" t="s">
        <v>413</v>
      </c>
      <c r="S7" s="19"/>
      <c r="T7" s="18" t="s">
        <v>23</v>
      </c>
      <c r="U7" s="18" t="s">
        <v>24</v>
      </c>
      <c r="V7" s="18" t="s">
        <v>25</v>
      </c>
      <c r="W7" s="18" t="s">
        <v>26</v>
      </c>
      <c r="X7" s="18" t="s">
        <v>27</v>
      </c>
      <c r="Y7" s="18" t="s">
        <v>28</v>
      </c>
      <c r="Z7" s="18" t="s">
        <v>29</v>
      </c>
      <c r="AA7" s="18" t="s">
        <v>30</v>
      </c>
      <c r="AB7" s="18" t="s">
        <v>31</v>
      </c>
      <c r="AC7" s="19"/>
      <c r="AD7" s="18" t="s">
        <v>32</v>
      </c>
      <c r="AE7" s="19"/>
      <c r="AF7" s="18" t="s">
        <v>33</v>
      </c>
      <c r="AG7" s="18" t="s">
        <v>35</v>
      </c>
      <c r="AH7" s="18" t="s">
        <v>414</v>
      </c>
      <c r="AI7" s="19"/>
      <c r="AJ7" s="18" t="s">
        <v>415</v>
      </c>
      <c r="AK7" s="18" t="s">
        <v>37</v>
      </c>
      <c r="AL7" s="18" t="s">
        <v>416</v>
      </c>
      <c r="AM7" s="18" t="s">
        <v>39</v>
      </c>
      <c r="AN7" s="18" t="s">
        <v>40</v>
      </c>
      <c r="AO7" s="18" t="s">
        <v>43</v>
      </c>
      <c r="AP7" s="18" t="s">
        <v>45</v>
      </c>
      <c r="AQ7" s="3"/>
    </row>
    <row r="8" ht="12" customHeight="1" spans="1:43" x14ac:dyDescent="0.25">
      <c r="A8" s="3"/>
      <c r="B8" s="20" t="s">
        <v>46</v>
      </c>
      <c r="C8" s="20" t="s">
        <v>47</v>
      </c>
      <c r="D8" s="20" t="s">
        <v>417</v>
      </c>
      <c r="E8" s="20" t="s">
        <v>57</v>
      </c>
      <c r="F8" s="20" t="s">
        <v>418</v>
      </c>
      <c r="G8" s="20"/>
      <c r="H8" s="20" t="s">
        <v>50</v>
      </c>
      <c r="I8" s="20" t="s">
        <v>419</v>
      </c>
      <c r="J8" s="20" t="s">
        <v>187</v>
      </c>
      <c r="K8" s="20" t="s">
        <v>420</v>
      </c>
      <c r="L8" s="20" t="s">
        <v>421</v>
      </c>
      <c r="M8" s="20"/>
      <c r="N8" s="37">
        <v>46066.70423609954</v>
      </c>
      <c r="O8" s="20">
        <v>967.79</v>
      </c>
      <c r="P8" s="20" t="s">
        <v>189</v>
      </c>
      <c r="Q8" s="20"/>
      <c r="R8" s="20" t="s">
        <v>190</v>
      </c>
      <c r="S8" s="20"/>
      <c r="T8" s="20" t="s">
        <v>422</v>
      </c>
      <c r="U8" s="23" t="s">
        <v>46</v>
      </c>
      <c r="V8" s="22" t="s">
        <v>192</v>
      </c>
      <c r="W8" s="38">
        <v>885.86</v>
      </c>
      <c r="X8" s="38">
        <v>44.3</v>
      </c>
      <c r="Y8" s="38">
        <v>841.56</v>
      </c>
      <c r="Z8" s="38">
        <v>0</v>
      </c>
      <c r="AA8" s="38">
        <v>841.56</v>
      </c>
      <c r="AB8" s="38">
        <v>0</v>
      </c>
      <c r="AC8" s="38"/>
      <c r="AD8" s="38">
        <v>126.23</v>
      </c>
      <c r="AE8" s="38"/>
      <c r="AF8" s="38">
        <v>0</v>
      </c>
      <c r="AG8" s="38">
        <v>0</v>
      </c>
      <c r="AH8" s="38">
        <v>0</v>
      </c>
      <c r="AI8" s="38"/>
      <c r="AJ8" s="38">
        <v>967.79</v>
      </c>
      <c r="AK8" s="38">
        <v>0</v>
      </c>
      <c r="AL8" s="39"/>
      <c r="AM8" s="38">
        <v>664.38</v>
      </c>
      <c r="AN8" s="38">
        <v>303.41</v>
      </c>
      <c r="AO8" s="20" t="s">
        <v>214</v>
      </c>
      <c r="AP8" s="23" t="s">
        <v>58</v>
      </c>
      <c r="AQ8" s="3"/>
    </row>
    <row r="9" ht="11.1" customHeight="1" spans="1:43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40" t="s">
        <v>400</v>
      </c>
      <c r="N9" s="41"/>
      <c r="O9" s="41"/>
      <c r="P9" s="41"/>
      <c r="Q9" s="41"/>
      <c r="R9" s="41"/>
      <c r="S9" s="3"/>
      <c r="T9" s="3"/>
      <c r="U9" s="3"/>
      <c r="V9" s="42">
        <f>SUM(V8:V8)</f>
        <v>4</v>
      </c>
      <c r="W9" s="43">
        <f>SUM(W8:W8)</f>
        <v>885.86</v>
      </c>
      <c r="X9" s="44">
        <f>SUM(X8:X8)</f>
        <v>44.3</v>
      </c>
      <c r="Y9" s="43">
        <f>SUM(Y8:Y8)</f>
        <v>841.56</v>
      </c>
      <c r="Z9" s="43">
        <f>SUM(Z8:Z8)</f>
        <v>0</v>
      </c>
      <c r="AA9" s="43">
        <f>SUM(AA8:AA8)</f>
        <v>841.56</v>
      </c>
      <c r="AB9" s="43">
        <f>SUM(AB8:AB8)</f>
        <v>0</v>
      </c>
      <c r="AC9" s="45"/>
      <c r="AD9" s="43">
        <f>SUM(AD8:AD8)</f>
        <v>126.23</v>
      </c>
      <c r="AE9" s="45"/>
      <c r="AF9" s="46"/>
      <c r="AG9" s="43">
        <f>SUM(AG8:AG8)</f>
        <v>0</v>
      </c>
      <c r="AH9" s="47">
        <f>SUM(AH8:AH8)</f>
        <v>0</v>
      </c>
      <c r="AI9" s="48"/>
      <c r="AJ9" s="43">
        <f>SUM(AJ8:AJ8)</f>
        <v>967.79</v>
      </c>
      <c r="AK9" s="43">
        <f>SUM(AK8:AK8)</f>
        <v>0</v>
      </c>
      <c r="AL9" s="42"/>
      <c r="AM9" s="43">
        <f>SUM(AM8:AM8)</f>
        <v>664.38</v>
      </c>
      <c r="AN9" s="43">
        <f>SUM(AN8:AN8)</f>
        <v>303.41</v>
      </c>
      <c r="AO9" s="3"/>
      <c r="AP9" s="3"/>
      <c r="AQ9" s="3"/>
    </row>
    <row r="10" spans="1:42" x14ac:dyDescent="0.25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 t="s">
        <v>402</v>
      </c>
      <c r="W10" s="31">
        <f>+'MY REP TYT'!H58</f>
        <v>885.86</v>
      </c>
      <c r="X10" s="31">
        <f>+'MY REP TYT'!I53</f>
        <v>44.3</v>
      </c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</row>
    <row r="11" spans="1:14" x14ac:dyDescent="0.25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</row>
    <row r="12" spans="1:14" x14ac:dyDescent="0.25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</row>
  </sheetData>
  <mergeCells count="27">
    <mergeCell ref="B1:E1"/>
    <mergeCell ref="F1:P1"/>
    <mergeCell ref="B2:E2"/>
    <mergeCell ref="AC2:AD2"/>
    <mergeCell ref="AE2:AH2"/>
    <mergeCell ref="B3:E4"/>
    <mergeCell ref="AC4:AH5"/>
    <mergeCell ref="A5:E6"/>
    <mergeCell ref="A7:B7"/>
    <mergeCell ref="E7:F7"/>
    <mergeCell ref="L7:M7"/>
    <mergeCell ref="P7:Q7"/>
    <mergeCell ref="R7:S7"/>
    <mergeCell ref="AB7:AC7"/>
    <mergeCell ref="AD7:AE7"/>
    <mergeCell ref="AH7:AI7"/>
    <mergeCell ref="F8:G8"/>
    <mergeCell ref="L8:M8"/>
    <mergeCell ref="P8:Q8"/>
    <mergeCell ref="R8:S8"/>
    <mergeCell ref="AB8:AC8"/>
    <mergeCell ref="AD8:AE8"/>
    <mergeCell ref="AH8:AI8"/>
    <mergeCell ref="M9:R9"/>
    <mergeCell ref="AB9:AC9"/>
    <mergeCell ref="AD9:AE9"/>
    <mergeCell ref="AH9:AI9"/>
  </mergeCells>
  <pageMargins left="0" right="0" top="0" bottom="0" header="0" footer="0"/>
  <pageSetup orientation="landscape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8"/>
  <sheetViews>
    <sheetView workbookViewId="0" zoomScale="100" zoomScaleNormal="100">
      <selection activeCell="I53" sqref="I53"/>
    </sheetView>
  </sheetViews>
  <sheetFormatPr defaultRowHeight="15" outlineLevelRow="0" outlineLevelCol="0" x14ac:dyDescent="0.25"/>
  <cols>
    <col min="1" max="1" width="15.28515625" customWidth="1"/>
    <col min="2" max="2" width="42.85546875" customWidth="1"/>
    <col min="3" max="3" width="4.7109375" customWidth="1"/>
    <col min="6" max="6" width="4.42578125" customWidth="1"/>
    <col min="7" max="7" width="11.7109375" customWidth="1"/>
  </cols>
  <sheetData>
    <row r="1" spans="1:10" x14ac:dyDescent="0.25">
      <c r="A1" t="s">
        <v>423</v>
      </c>
      <c r="B1" t="s">
        <v>424</v>
      </c>
      <c r="C1" t="s">
        <v>425</v>
      </c>
      <c r="D1" t="s">
        <v>16</v>
      </c>
      <c r="E1" t="s">
        <v>426</v>
      </c>
      <c r="F1" t="s">
        <v>427</v>
      </c>
      <c r="G1" t="s">
        <v>428</v>
      </c>
      <c r="H1" t="s">
        <v>429</v>
      </c>
      <c r="I1" t="s">
        <v>336</v>
      </c>
      <c r="J1" t="s">
        <v>38</v>
      </c>
    </row>
    <row r="2" spans="1:10" x14ac:dyDescent="0.25">
      <c r="A2" t="s">
        <v>430</v>
      </c>
      <c r="B2" t="s">
        <v>431</v>
      </c>
      <c r="C2" t="s">
        <v>432</v>
      </c>
      <c r="D2" s="49">
        <v>46055.20833333333</v>
      </c>
      <c r="E2" t="s">
        <v>433</v>
      </c>
      <c r="F2" t="s">
        <v>56</v>
      </c>
      <c r="G2" t="s">
        <v>434</v>
      </c>
      <c r="H2">
        <v>0</v>
      </c>
      <c r="I2">
        <v>35.02</v>
      </c>
      <c r="J2" s="50">
        <v>-9056.76</v>
      </c>
    </row>
    <row r="3" spans="1:10" x14ac:dyDescent="0.25">
      <c r="A3" t="s">
        <v>430</v>
      </c>
      <c r="B3" t="s">
        <v>431</v>
      </c>
      <c r="C3" t="s">
        <v>432</v>
      </c>
      <c r="D3" s="49">
        <v>46056.20833333333</v>
      </c>
      <c r="E3" t="s">
        <v>433</v>
      </c>
      <c r="F3" t="s">
        <v>69</v>
      </c>
      <c r="G3" t="s">
        <v>434</v>
      </c>
      <c r="H3">
        <v>0</v>
      </c>
      <c r="I3">
        <v>122.3</v>
      </c>
      <c r="J3" s="50">
        <v>-9179.06</v>
      </c>
    </row>
    <row r="4" spans="1:10" x14ac:dyDescent="0.25">
      <c r="A4" t="s">
        <v>430</v>
      </c>
      <c r="B4" t="s">
        <v>431</v>
      </c>
      <c r="C4" t="s">
        <v>432</v>
      </c>
      <c r="D4" s="49">
        <v>46057.20833333333</v>
      </c>
      <c r="E4" t="s">
        <v>433</v>
      </c>
      <c r="F4" t="s">
        <v>82</v>
      </c>
      <c r="G4" t="s">
        <v>434</v>
      </c>
      <c r="H4">
        <v>0</v>
      </c>
      <c r="I4">
        <v>734.78</v>
      </c>
      <c r="J4" s="50">
        <v>-9913.84</v>
      </c>
    </row>
    <row r="5" spans="1:10" x14ac:dyDescent="0.25">
      <c r="A5" t="s">
        <v>430</v>
      </c>
      <c r="B5" t="s">
        <v>431</v>
      </c>
      <c r="C5" t="s">
        <v>432</v>
      </c>
      <c r="D5" s="49">
        <v>46058.20833333333</v>
      </c>
      <c r="E5" t="s">
        <v>433</v>
      </c>
      <c r="F5" t="s">
        <v>100</v>
      </c>
      <c r="G5" t="s">
        <v>434</v>
      </c>
      <c r="H5">
        <v>0</v>
      </c>
      <c r="I5">
        <v>188.38</v>
      </c>
      <c r="J5" s="50">
        <v>-10102.22</v>
      </c>
    </row>
    <row r="6" spans="1:10" x14ac:dyDescent="0.25">
      <c r="A6" t="s">
        <v>430</v>
      </c>
      <c r="B6" t="s">
        <v>431</v>
      </c>
      <c r="C6" t="s">
        <v>432</v>
      </c>
      <c r="D6" s="49">
        <v>46059.20833333333</v>
      </c>
      <c r="E6" t="s">
        <v>433</v>
      </c>
      <c r="F6" t="s">
        <v>112</v>
      </c>
      <c r="G6" t="s">
        <v>434</v>
      </c>
      <c r="H6">
        <v>0</v>
      </c>
      <c r="I6">
        <v>916.66</v>
      </c>
      <c r="J6" s="50">
        <v>-11018.88</v>
      </c>
    </row>
    <row r="7" spans="1:10" x14ac:dyDescent="0.25">
      <c r="A7" t="s">
        <v>430</v>
      </c>
      <c r="B7" t="s">
        <v>431</v>
      </c>
      <c r="C7" t="s">
        <v>432</v>
      </c>
      <c r="D7" s="49">
        <v>46060.20833333333</v>
      </c>
      <c r="E7" t="s">
        <v>433</v>
      </c>
      <c r="F7" t="s">
        <v>143</v>
      </c>
      <c r="G7" t="s">
        <v>434</v>
      </c>
      <c r="H7">
        <v>0</v>
      </c>
      <c r="I7">
        <v>251.32</v>
      </c>
      <c r="J7" s="50">
        <v>-11270.2</v>
      </c>
    </row>
    <row r="8" spans="1:10" x14ac:dyDescent="0.25">
      <c r="A8" t="s">
        <v>430</v>
      </c>
      <c r="B8" t="s">
        <v>431</v>
      </c>
      <c r="C8" t="s">
        <v>432</v>
      </c>
      <c r="D8" s="49">
        <v>46062.20833333333</v>
      </c>
      <c r="E8" t="s">
        <v>433</v>
      </c>
      <c r="F8" t="s">
        <v>150</v>
      </c>
      <c r="G8" t="s">
        <v>434</v>
      </c>
      <c r="H8">
        <v>0</v>
      </c>
      <c r="I8">
        <v>157.63</v>
      </c>
      <c r="J8" s="50">
        <v>-11427.83</v>
      </c>
    </row>
    <row r="9" spans="1:10" x14ac:dyDescent="0.25">
      <c r="A9" t="s">
        <v>430</v>
      </c>
      <c r="B9" t="s">
        <v>431</v>
      </c>
      <c r="C9" t="s">
        <v>432</v>
      </c>
      <c r="D9" s="49">
        <v>46063.20833333333</v>
      </c>
      <c r="E9" t="s">
        <v>433</v>
      </c>
      <c r="F9" t="s">
        <v>156</v>
      </c>
      <c r="G9" t="s">
        <v>434</v>
      </c>
      <c r="H9">
        <v>0</v>
      </c>
      <c r="I9">
        <v>596.39</v>
      </c>
      <c r="J9" s="50">
        <v>-12024.22</v>
      </c>
    </row>
    <row r="10" spans="1:10" x14ac:dyDescent="0.25">
      <c r="A10" t="s">
        <v>430</v>
      </c>
      <c r="B10" t="s">
        <v>431</v>
      </c>
      <c r="C10" t="s">
        <v>432</v>
      </c>
      <c r="D10" s="49">
        <v>46064.20833333333</v>
      </c>
      <c r="E10" t="s">
        <v>433</v>
      </c>
      <c r="F10" t="s">
        <v>171</v>
      </c>
      <c r="G10" t="s">
        <v>434</v>
      </c>
      <c r="H10">
        <v>0</v>
      </c>
      <c r="I10">
        <v>871.15</v>
      </c>
      <c r="J10" s="50">
        <v>-12895.37</v>
      </c>
    </row>
    <row r="11" spans="1:10" x14ac:dyDescent="0.25">
      <c r="A11" t="s">
        <v>430</v>
      </c>
      <c r="B11" t="s">
        <v>431</v>
      </c>
      <c r="C11" t="s">
        <v>432</v>
      </c>
      <c r="D11" s="49">
        <v>46065.20833333333</v>
      </c>
      <c r="E11" t="s">
        <v>433</v>
      </c>
      <c r="F11" t="s">
        <v>181</v>
      </c>
      <c r="G11" t="s">
        <v>434</v>
      </c>
      <c r="H11">
        <v>0</v>
      </c>
      <c r="I11">
        <v>49.54</v>
      </c>
      <c r="J11" s="50">
        <v>-12944.91</v>
      </c>
    </row>
    <row r="12" spans="1:10" x14ac:dyDescent="0.25">
      <c r="A12" t="s">
        <v>430</v>
      </c>
      <c r="B12" t="s">
        <v>431</v>
      </c>
      <c r="C12" t="s">
        <v>432</v>
      </c>
      <c r="D12" s="49">
        <v>46066.20833333333</v>
      </c>
      <c r="E12" t="s">
        <v>433</v>
      </c>
      <c r="F12" t="s">
        <v>193</v>
      </c>
      <c r="G12" t="s">
        <v>434</v>
      </c>
      <c r="H12">
        <v>0</v>
      </c>
      <c r="I12">
        <v>1073.43</v>
      </c>
      <c r="J12" s="50">
        <v>-14018.34</v>
      </c>
    </row>
    <row r="13" spans="1:10" x14ac:dyDescent="0.25">
      <c r="A13" t="s">
        <v>430</v>
      </c>
      <c r="B13" t="s">
        <v>431</v>
      </c>
      <c r="C13" t="s">
        <v>432</v>
      </c>
      <c r="D13" s="49">
        <v>46071.20833333333</v>
      </c>
      <c r="E13" t="s">
        <v>433</v>
      </c>
      <c r="F13" t="s">
        <v>214</v>
      </c>
      <c r="G13" t="s">
        <v>434</v>
      </c>
      <c r="H13">
        <v>0</v>
      </c>
      <c r="I13">
        <v>208.44</v>
      </c>
      <c r="J13" s="50">
        <v>-14226.78</v>
      </c>
    </row>
    <row r="14" spans="1:10" x14ac:dyDescent="0.25">
      <c r="A14" t="s">
        <v>430</v>
      </c>
      <c r="B14" t="s">
        <v>431</v>
      </c>
      <c r="C14" t="s">
        <v>432</v>
      </c>
      <c r="D14" s="49">
        <v>46072.20833333333</v>
      </c>
      <c r="E14" t="s">
        <v>433</v>
      </c>
      <c r="F14" t="s">
        <v>225</v>
      </c>
      <c r="G14" t="s">
        <v>434</v>
      </c>
      <c r="H14">
        <v>0</v>
      </c>
      <c r="I14">
        <v>170.62</v>
      </c>
      <c r="J14" s="50">
        <v>-14397.4</v>
      </c>
    </row>
    <row r="15" spans="1:10" x14ac:dyDescent="0.25">
      <c r="A15" t="s">
        <v>430</v>
      </c>
      <c r="B15" t="s">
        <v>431</v>
      </c>
      <c r="C15" t="s">
        <v>432</v>
      </c>
      <c r="D15" s="49">
        <v>46073.20833333333</v>
      </c>
      <c r="E15" t="s">
        <v>433</v>
      </c>
      <c r="F15" t="s">
        <v>236</v>
      </c>
      <c r="G15" t="s">
        <v>434</v>
      </c>
      <c r="H15">
        <v>0</v>
      </c>
      <c r="I15">
        <v>312.11</v>
      </c>
      <c r="J15" s="50">
        <v>-14709.51</v>
      </c>
    </row>
    <row r="16" spans="1:10" x14ac:dyDescent="0.25">
      <c r="A16" t="s">
        <v>430</v>
      </c>
      <c r="B16" t="s">
        <v>431</v>
      </c>
      <c r="C16" t="s">
        <v>432</v>
      </c>
      <c r="D16" s="49">
        <v>46074.20833333333</v>
      </c>
      <c r="E16" t="s">
        <v>433</v>
      </c>
      <c r="F16" t="s">
        <v>252</v>
      </c>
      <c r="G16" t="s">
        <v>434</v>
      </c>
      <c r="H16">
        <v>0</v>
      </c>
      <c r="I16">
        <v>53.76</v>
      </c>
      <c r="J16" s="50">
        <v>-14763.27</v>
      </c>
    </row>
    <row r="17" spans="1:10" x14ac:dyDescent="0.25">
      <c r="A17" t="s">
        <v>430</v>
      </c>
      <c r="B17" t="s">
        <v>431</v>
      </c>
      <c r="C17" t="s">
        <v>432</v>
      </c>
      <c r="D17" s="49">
        <v>46076.20833333333</v>
      </c>
      <c r="E17" t="s">
        <v>433</v>
      </c>
      <c r="F17" t="s">
        <v>258</v>
      </c>
      <c r="G17" t="s">
        <v>434</v>
      </c>
      <c r="H17">
        <v>0</v>
      </c>
      <c r="I17">
        <v>136.34</v>
      </c>
      <c r="J17" s="50">
        <v>-14899.61</v>
      </c>
    </row>
    <row r="18" spans="1:10" x14ac:dyDescent="0.25">
      <c r="A18" t="s">
        <v>430</v>
      </c>
      <c r="B18" t="s">
        <v>431</v>
      </c>
      <c r="C18" t="s">
        <v>432</v>
      </c>
      <c r="D18" s="49">
        <v>46077.20833333333</v>
      </c>
      <c r="E18" t="s">
        <v>433</v>
      </c>
      <c r="F18" t="s">
        <v>269</v>
      </c>
      <c r="G18" t="s">
        <v>434</v>
      </c>
      <c r="H18">
        <v>0</v>
      </c>
      <c r="I18">
        <v>764.6</v>
      </c>
      <c r="J18" s="50">
        <v>-15664.21</v>
      </c>
    </row>
    <row r="19" spans="1:10" x14ac:dyDescent="0.25">
      <c r="A19" t="s">
        <v>430</v>
      </c>
      <c r="B19" t="s">
        <v>431</v>
      </c>
      <c r="C19" t="s">
        <v>432</v>
      </c>
      <c r="D19" s="49">
        <v>46078.20833333333</v>
      </c>
      <c r="E19" t="s">
        <v>433</v>
      </c>
      <c r="F19" t="s">
        <v>288</v>
      </c>
      <c r="G19" t="s">
        <v>434</v>
      </c>
      <c r="H19">
        <v>0</v>
      </c>
      <c r="I19">
        <v>314.36</v>
      </c>
      <c r="J19" s="50">
        <v>-15978.57</v>
      </c>
    </row>
    <row r="20" spans="1:10" x14ac:dyDescent="0.25">
      <c r="A20" t="s">
        <v>430</v>
      </c>
      <c r="B20" t="s">
        <v>431</v>
      </c>
      <c r="C20" t="s">
        <v>432</v>
      </c>
      <c r="D20" s="49">
        <v>46079.20833333333</v>
      </c>
      <c r="E20" t="s">
        <v>433</v>
      </c>
      <c r="F20" t="s">
        <v>304</v>
      </c>
      <c r="G20" t="s">
        <v>434</v>
      </c>
      <c r="H20">
        <v>0</v>
      </c>
      <c r="I20">
        <v>292.14</v>
      </c>
      <c r="J20" s="50">
        <v>-16270.71</v>
      </c>
    </row>
    <row r="21" spans="1:10" x14ac:dyDescent="0.25">
      <c r="A21" t="s">
        <v>430</v>
      </c>
      <c r="B21" t="s">
        <v>431</v>
      </c>
      <c r="C21" t="s">
        <v>432</v>
      </c>
      <c r="D21" s="49">
        <v>46080.20833333333</v>
      </c>
      <c r="E21" t="s">
        <v>433</v>
      </c>
      <c r="F21" t="s">
        <v>317</v>
      </c>
      <c r="G21" t="s">
        <v>434</v>
      </c>
      <c r="H21">
        <v>0</v>
      </c>
      <c r="I21">
        <v>157.45</v>
      </c>
      <c r="J21" s="50">
        <v>-16428.16</v>
      </c>
    </row>
    <row r="22" spans="1:10" x14ac:dyDescent="0.25">
      <c r="A22" t="s">
        <v>430</v>
      </c>
      <c r="B22" t="s">
        <v>431</v>
      </c>
      <c r="C22" t="s">
        <v>432</v>
      </c>
      <c r="D22" s="49">
        <v>46081.20833333333</v>
      </c>
      <c r="E22" t="s">
        <v>433</v>
      </c>
      <c r="F22" t="s">
        <v>330</v>
      </c>
      <c r="G22" t="s">
        <v>434</v>
      </c>
      <c r="H22">
        <v>0</v>
      </c>
      <c r="I22">
        <v>62.37</v>
      </c>
      <c r="J22" s="50">
        <v>-16490.53</v>
      </c>
    </row>
    <row r="23" spans="1:10" x14ac:dyDescent="0.25">
      <c r="A23" t="s">
        <v>435</v>
      </c>
      <c r="B23" t="s">
        <v>436</v>
      </c>
      <c r="C23" t="s">
        <v>432</v>
      </c>
      <c r="D23" s="49">
        <v>46058.20833333333</v>
      </c>
      <c r="E23" t="s">
        <v>433</v>
      </c>
      <c r="F23" t="s">
        <v>100</v>
      </c>
      <c r="G23" t="s">
        <v>434</v>
      </c>
      <c r="H23">
        <v>0</v>
      </c>
      <c r="I23">
        <v>680.6</v>
      </c>
      <c r="J23" s="50">
        <v>-10804.18</v>
      </c>
    </row>
    <row r="24" spans="1:10" x14ac:dyDescent="0.25">
      <c r="A24" t="s">
        <v>435</v>
      </c>
      <c r="B24" t="s">
        <v>436</v>
      </c>
      <c r="C24" t="s">
        <v>432</v>
      </c>
      <c r="D24" s="49">
        <v>46059.20833333333</v>
      </c>
      <c r="E24" t="s">
        <v>433</v>
      </c>
      <c r="F24" t="s">
        <v>112</v>
      </c>
      <c r="G24" t="s">
        <v>434</v>
      </c>
      <c r="H24">
        <v>0</v>
      </c>
      <c r="I24">
        <v>204.63</v>
      </c>
      <c r="J24" s="50">
        <v>-11008.81</v>
      </c>
    </row>
    <row r="25" spans="1:10" x14ac:dyDescent="0.25">
      <c r="A25" t="s">
        <v>435</v>
      </c>
      <c r="B25" t="s">
        <v>436</v>
      </c>
      <c r="C25" t="s">
        <v>432</v>
      </c>
      <c r="D25" s="49">
        <v>46063.20833333333</v>
      </c>
      <c r="E25" t="s">
        <v>433</v>
      </c>
      <c r="F25" t="s">
        <v>156</v>
      </c>
      <c r="G25" t="s">
        <v>434</v>
      </c>
      <c r="H25">
        <v>0</v>
      </c>
      <c r="I25">
        <v>806.11</v>
      </c>
      <c r="J25" s="50">
        <v>-11814.92</v>
      </c>
    </row>
    <row r="26" spans="1:10" x14ac:dyDescent="0.25">
      <c r="A26" t="s">
        <v>435</v>
      </c>
      <c r="B26" t="s">
        <v>436</v>
      </c>
      <c r="C26" t="s">
        <v>432</v>
      </c>
      <c r="D26" s="49">
        <v>46071.20833333333</v>
      </c>
      <c r="E26" t="s">
        <v>433</v>
      </c>
      <c r="F26" t="s">
        <v>214</v>
      </c>
      <c r="G26" t="s">
        <v>434</v>
      </c>
      <c r="H26">
        <v>0</v>
      </c>
      <c r="I26">
        <v>1788.16</v>
      </c>
      <c r="J26" s="50">
        <v>-13603.08</v>
      </c>
    </row>
    <row r="27" spans="1:10" x14ac:dyDescent="0.25">
      <c r="A27" t="s">
        <v>435</v>
      </c>
      <c r="B27" t="s">
        <v>436</v>
      </c>
      <c r="C27" t="s">
        <v>432</v>
      </c>
      <c r="D27" s="49">
        <v>46076.20833333333</v>
      </c>
      <c r="E27" t="s">
        <v>433</v>
      </c>
      <c r="F27" t="s">
        <v>258</v>
      </c>
      <c r="G27" t="s">
        <v>434</v>
      </c>
      <c r="H27">
        <v>0</v>
      </c>
      <c r="I27">
        <v>220</v>
      </c>
      <c r="J27" s="50">
        <v>-13823.08</v>
      </c>
    </row>
    <row r="28" spans="1:10" x14ac:dyDescent="0.25">
      <c r="A28" t="s">
        <v>435</v>
      </c>
      <c r="B28" t="s">
        <v>436</v>
      </c>
      <c r="C28" t="s">
        <v>432</v>
      </c>
      <c r="D28" s="49">
        <v>46077.20833333333</v>
      </c>
      <c r="E28" t="s">
        <v>433</v>
      </c>
      <c r="F28" t="s">
        <v>269</v>
      </c>
      <c r="G28" t="s">
        <v>434</v>
      </c>
      <c r="H28">
        <v>0</v>
      </c>
      <c r="I28">
        <v>106.8</v>
      </c>
      <c r="J28" s="50">
        <v>-13929.88</v>
      </c>
    </row>
    <row r="29" spans="1:10" x14ac:dyDescent="0.25">
      <c r="A29" t="s">
        <v>435</v>
      </c>
      <c r="B29" t="s">
        <v>436</v>
      </c>
      <c r="C29" t="s">
        <v>432</v>
      </c>
      <c r="D29" s="49">
        <v>46078.20833333333</v>
      </c>
      <c r="E29" t="s">
        <v>433</v>
      </c>
      <c r="F29" t="s">
        <v>288</v>
      </c>
      <c r="G29" t="s">
        <v>434</v>
      </c>
      <c r="H29">
        <v>0</v>
      </c>
      <c r="I29">
        <v>2003.29</v>
      </c>
      <c r="J29" s="50">
        <v>-15933.17</v>
      </c>
    </row>
    <row r="30" spans="1:10" x14ac:dyDescent="0.25">
      <c r="A30" t="s">
        <v>435</v>
      </c>
      <c r="B30" t="s">
        <v>436</v>
      </c>
      <c r="C30" t="s">
        <v>432</v>
      </c>
      <c r="D30" s="49">
        <v>46080.20833333333</v>
      </c>
      <c r="E30" t="s">
        <v>433</v>
      </c>
      <c r="F30" t="s">
        <v>317</v>
      </c>
      <c r="G30" t="s">
        <v>434</v>
      </c>
      <c r="H30">
        <v>0</v>
      </c>
      <c r="I30">
        <v>4347.77</v>
      </c>
      <c r="J30" s="50">
        <v>-20280.94</v>
      </c>
    </row>
    <row r="31" spans="1:10" x14ac:dyDescent="0.25">
      <c r="D31" s="49"/>
      <c r="J31" s="50"/>
    </row>
    <row r="32" spans="1:10" x14ac:dyDescent="0.25">
      <c r="D32" s="49"/>
      <c r="J32" s="50"/>
    </row>
    <row r="33" spans="1:10" x14ac:dyDescent="0.25">
      <c r="D33" s="49"/>
      <c r="J33" s="50"/>
    </row>
    <row r="34" spans="1:10" x14ac:dyDescent="0.25">
      <c r="D34" s="49"/>
      <c r="J34" s="50"/>
    </row>
    <row r="35" spans="1:10" x14ac:dyDescent="0.25">
      <c r="D35" s="49"/>
      <c r="I35" s="50"/>
      <c r="J35" s="50"/>
    </row>
    <row r="36" spans="1:10" x14ac:dyDescent="0.25">
      <c r="D36" s="49"/>
      <c r="J36" s="50"/>
    </row>
    <row r="37" spans="1:10" x14ac:dyDescent="0.25">
      <c r="D37" s="49"/>
      <c r="I37" s="50"/>
      <c r="J37" s="50"/>
    </row>
    <row r="38" spans="4:10" x14ac:dyDescent="0.25">
      <c r="D38" s="49"/>
      <c r="H38">
        <f>SUM(H2:H37)</f>
        <v>0</v>
      </c>
      <c r="I38" s="51">
        <f>SUM(I2:I37)</f>
        <v>17626.15</v>
      </c>
      <c r="J38" s="50"/>
    </row>
    <row r="39" spans="4:10" x14ac:dyDescent="0.25">
      <c r="D39" s="49"/>
      <c r="I39" s="50"/>
      <c r="J39" s="50"/>
    </row>
    <row r="40" spans="4:10" x14ac:dyDescent="0.25">
      <c r="D40" s="49"/>
      <c r="I40" s="50"/>
      <c r="J40" s="50"/>
    </row>
    <row r="41" spans="4:10" x14ac:dyDescent="0.25">
      <c r="D41" s="49"/>
      <c r="I41" s="50"/>
      <c r="J41" s="50"/>
    </row>
    <row r="42" spans="1:10" x14ac:dyDescent="0.25">
      <c r="A42" t="s">
        <v>437</v>
      </c>
      <c r="B42" t="s">
        <v>438</v>
      </c>
      <c r="C42" t="s">
        <v>432</v>
      </c>
      <c r="D42" s="49">
        <v>46057.20833333333</v>
      </c>
      <c r="E42" t="s">
        <v>433</v>
      </c>
      <c r="F42" t="s">
        <v>82</v>
      </c>
      <c r="G42" t="s">
        <v>434</v>
      </c>
      <c r="H42">
        <v>19.31</v>
      </c>
      <c r="I42">
        <v>0</v>
      </c>
      <c r="J42">
        <v>137.78</v>
      </c>
    </row>
    <row r="43" spans="1:10" x14ac:dyDescent="0.25">
      <c r="A43" t="s">
        <v>437</v>
      </c>
      <c r="B43" t="s">
        <v>438</v>
      </c>
      <c r="C43" t="s">
        <v>432</v>
      </c>
      <c r="D43" s="49">
        <v>46066.20833333333</v>
      </c>
      <c r="E43" t="s">
        <v>433</v>
      </c>
      <c r="F43" t="s">
        <v>193</v>
      </c>
      <c r="G43" t="s">
        <v>434</v>
      </c>
      <c r="H43">
        <v>44.3</v>
      </c>
      <c r="I43">
        <v>0</v>
      </c>
      <c r="J43">
        <v>182.08</v>
      </c>
    </row>
    <row r="44" spans="1:10" x14ac:dyDescent="0.25">
      <c r="A44" t="s">
        <v>437</v>
      </c>
      <c r="B44" t="s">
        <v>438</v>
      </c>
      <c r="C44" t="s">
        <v>432</v>
      </c>
      <c r="D44" s="49">
        <v>46071.20833333333</v>
      </c>
      <c r="E44" t="s">
        <v>433</v>
      </c>
      <c r="F44" t="s">
        <v>214</v>
      </c>
      <c r="G44" t="s">
        <v>434</v>
      </c>
      <c r="H44">
        <v>0</v>
      </c>
      <c r="I44">
        <v>44.3</v>
      </c>
      <c r="J44">
        <v>137.78</v>
      </c>
    </row>
    <row r="45" spans="1:10" x14ac:dyDescent="0.25">
      <c r="A45" t="s">
        <v>437</v>
      </c>
      <c r="B45" t="s">
        <v>438</v>
      </c>
      <c r="C45" t="s">
        <v>432</v>
      </c>
      <c r="D45" s="49">
        <v>46071.20833333333</v>
      </c>
      <c r="E45" t="s">
        <v>433</v>
      </c>
      <c r="F45" t="s">
        <v>214</v>
      </c>
      <c r="G45" t="s">
        <v>434</v>
      </c>
      <c r="H45">
        <v>30.16</v>
      </c>
      <c r="I45">
        <v>0</v>
      </c>
      <c r="J45">
        <v>167.94</v>
      </c>
    </row>
    <row r="46" spans="1:10" x14ac:dyDescent="0.25">
      <c r="A46" t="s">
        <v>437</v>
      </c>
      <c r="B46" t="s">
        <v>438</v>
      </c>
      <c r="C46" t="s">
        <v>432</v>
      </c>
      <c r="D46" s="49">
        <v>46072.20833333333</v>
      </c>
      <c r="E46" t="s">
        <v>433</v>
      </c>
      <c r="F46" t="s">
        <v>225</v>
      </c>
      <c r="G46" t="s">
        <v>434</v>
      </c>
      <c r="H46">
        <v>7.39</v>
      </c>
      <c r="I46">
        <v>0</v>
      </c>
      <c r="J46">
        <v>175.33</v>
      </c>
    </row>
    <row r="47" spans="1:10" x14ac:dyDescent="0.25">
      <c r="A47" t="s">
        <v>437</v>
      </c>
      <c r="B47" t="s">
        <v>438</v>
      </c>
      <c r="C47" t="s">
        <v>432</v>
      </c>
      <c r="D47" s="49">
        <v>46076.20833333333</v>
      </c>
      <c r="E47" t="s">
        <v>433</v>
      </c>
      <c r="F47" t="s">
        <v>258</v>
      </c>
      <c r="G47" t="s">
        <v>434</v>
      </c>
      <c r="H47">
        <v>20.45</v>
      </c>
      <c r="I47">
        <v>0</v>
      </c>
      <c r="J47">
        <v>195.78</v>
      </c>
    </row>
    <row r="48" spans="1:10" x14ac:dyDescent="0.25">
      <c r="A48" t="s">
        <v>437</v>
      </c>
      <c r="B48" t="s">
        <v>438</v>
      </c>
      <c r="C48" t="s">
        <v>432</v>
      </c>
      <c r="D48" s="49">
        <v>46077.20833333333</v>
      </c>
      <c r="E48" t="s">
        <v>433</v>
      </c>
      <c r="F48" t="s">
        <v>269</v>
      </c>
      <c r="G48" t="s">
        <v>434</v>
      </c>
      <c r="H48">
        <v>35.53</v>
      </c>
      <c r="I48">
        <v>0</v>
      </c>
      <c r="J48">
        <v>231.31</v>
      </c>
    </row>
    <row r="49" spans="1:10" x14ac:dyDescent="0.25">
      <c r="A49" t="s">
        <v>437</v>
      </c>
      <c r="B49" t="s">
        <v>438</v>
      </c>
      <c r="C49" t="s">
        <v>432</v>
      </c>
      <c r="D49" s="49">
        <v>46079.20833333333</v>
      </c>
      <c r="E49" t="s">
        <v>433</v>
      </c>
      <c r="F49" t="s">
        <v>304</v>
      </c>
      <c r="G49" t="s">
        <v>434</v>
      </c>
      <c r="H49">
        <v>3.6</v>
      </c>
      <c r="I49">
        <v>0</v>
      </c>
      <c r="J49">
        <v>234.91</v>
      </c>
    </row>
    <row r="50" spans="1:10" x14ac:dyDescent="0.25">
      <c r="A50" t="s">
        <v>437</v>
      </c>
      <c r="B50" t="s">
        <v>438</v>
      </c>
      <c r="C50" t="s">
        <v>432</v>
      </c>
      <c r="D50" s="49">
        <v>46081.20833333333</v>
      </c>
      <c r="E50" t="s">
        <v>433</v>
      </c>
      <c r="F50" t="s">
        <v>330</v>
      </c>
      <c r="G50" t="s">
        <v>434</v>
      </c>
      <c r="H50">
        <v>9.35</v>
      </c>
      <c r="I50">
        <v>0</v>
      </c>
      <c r="J50">
        <v>244.26</v>
      </c>
    </row>
    <row r="51" spans="1:10" x14ac:dyDescent="0.25">
      <c r="A51" t="s">
        <v>439</v>
      </c>
      <c r="B51" t="s">
        <v>440</v>
      </c>
      <c r="C51" t="s">
        <v>432</v>
      </c>
      <c r="D51" s="49">
        <v>46071.20833333333</v>
      </c>
      <c r="E51" t="s">
        <v>433</v>
      </c>
      <c r="F51" t="s">
        <v>214</v>
      </c>
      <c r="G51" t="s">
        <v>434</v>
      </c>
      <c r="H51">
        <v>44.3</v>
      </c>
      <c r="I51">
        <v>0</v>
      </c>
      <c r="J51">
        <v>44.3</v>
      </c>
    </row>
    <row r="52" spans="1:10" x14ac:dyDescent="0.25">
      <c r="A52" t="s">
        <v>439</v>
      </c>
      <c r="B52" t="s">
        <v>440</v>
      </c>
      <c r="C52" t="s">
        <v>432</v>
      </c>
      <c r="D52" s="49">
        <v>46078.20833333333</v>
      </c>
      <c r="E52" t="s">
        <v>433</v>
      </c>
      <c r="F52" t="s">
        <v>288</v>
      </c>
      <c r="G52" t="s">
        <v>434</v>
      </c>
      <c r="H52">
        <v>59.7</v>
      </c>
      <c r="I52">
        <v>0</v>
      </c>
      <c r="J52">
        <v>104</v>
      </c>
    </row>
    <row r="53" spans="4:9" x14ac:dyDescent="0.25">
      <c r="D53" s="49"/>
      <c r="H53" s="51">
        <f>SUM(H42:H52)</f>
        <v>274.09</v>
      </c>
      <c r="I53" s="51">
        <f>SUM(I42:I52)</f>
        <v>44.3</v>
      </c>
    </row>
    <row r="54" spans="4:4" x14ac:dyDescent="0.25">
      <c r="D54" s="49"/>
    </row>
    <row r="55" spans="4:4" x14ac:dyDescent="0.25">
      <c r="D55" s="49"/>
    </row>
    <row r="56" spans="4:4" x14ac:dyDescent="0.25">
      <c r="D56" s="49"/>
    </row>
    <row r="57" spans="1:10" x14ac:dyDescent="0.25">
      <c r="A57" t="s">
        <v>441</v>
      </c>
      <c r="B57" t="s">
        <v>442</v>
      </c>
      <c r="C57" t="s">
        <v>432</v>
      </c>
      <c r="D57" s="49">
        <v>46071.20833333333</v>
      </c>
      <c r="E57" t="s">
        <v>433</v>
      </c>
      <c r="F57" t="s">
        <v>214</v>
      </c>
      <c r="G57" t="s">
        <v>434</v>
      </c>
      <c r="H57">
        <v>885.86</v>
      </c>
      <c r="I57">
        <v>0</v>
      </c>
      <c r="J57" s="50">
        <v>1255.84</v>
      </c>
    </row>
    <row r="58" spans="8:9" x14ac:dyDescent="0.25">
      <c r="H58">
        <f>SUM(H57:H57)</f>
        <v>885.86</v>
      </c>
      <c r="I58">
        <f>SUM(I57:I57)</f>
        <v>0</v>
      </c>
    </row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O40"/>
  <sheetViews>
    <sheetView workbookViewId="0" zoomScale="130" zoomScaleNormal="130">
      <selection activeCell="T32" sqref="T32"/>
    </sheetView>
  </sheetViews>
  <sheetFormatPr defaultRowHeight="15" outlineLevelRow="0" outlineLevelCol="0" x14ac:dyDescent="0.25" defaultColWidth="9.140625"/>
  <cols>
    <col min="1" max="1" width="3.85546875" style="31" customWidth="1"/>
    <col min="2" max="2" width="10.42578125" style="31" customWidth="1"/>
    <col min="3" max="3" width="0.28515625" style="31" customWidth="1"/>
    <col min="4" max="4" width="9.28515625" style="31" customWidth="1"/>
    <col min="5" max="5" width="10.140625" style="31" customWidth="1"/>
    <col min="6" max="6" width="8.140625" style="31" customWidth="1"/>
    <col min="7" max="7" width="13.42578125" style="31" customWidth="1"/>
    <col min="8" max="8" width="38.42578125" style="31" customWidth="1"/>
    <col min="9" max="9" width="12.42578125" style="31" customWidth="1"/>
    <col min="10" max="10" width="8.140625" style="31" customWidth="1"/>
    <col min="11" max="11" width="12" style="31" customWidth="1"/>
    <col min="12" max="12" width="25.28515625" style="31" customWidth="1"/>
    <col min="13" max="13" width="2.85546875" style="31" customWidth="1"/>
    <col min="14" max="14" width="9.140625" style="31" customWidth="1"/>
    <col min="15" max="15" width="0.28515625" style="31" customWidth="1"/>
    <col min="16" max="16" width="9.5703125" style="31" customWidth="1"/>
    <col min="17" max="17" width="0.42578125" style="31" customWidth="1"/>
    <col min="18" max="18" width="9" style="31" customWidth="1"/>
    <col min="19" max="19" width="3" style="31" customWidth="1"/>
    <col min="20" max="20" width="4.7109375" style="31" customWidth="1"/>
    <col min="21" max="21" width="4.140625" style="31" customWidth="1"/>
    <col min="22" max="24" width="7" style="31" customWidth="1"/>
    <col min="25" max="25" width="7.140625" style="31" customWidth="1"/>
    <col min="26" max="30" width="7" style="31" customWidth="1"/>
    <col min="31" max="31" width="7.140625" style="31" customWidth="1"/>
    <col min="32" max="32" width="7.42578125" style="31" customWidth="1"/>
    <col min="33" max="34" width="6.7109375" style="31" customWidth="1"/>
    <col min="35" max="36" width="7" style="31" customWidth="1"/>
    <col min="37" max="37" width="13.28515625" style="31" customWidth="1"/>
    <col min="38" max="38" width="8.140625" style="31" customWidth="1"/>
    <col min="39" max="39" width="10" style="31" customWidth="1"/>
    <col min="40" max="40" width="13.7109375" style="31" customWidth="1"/>
    <col min="41" max="16384" width="9.140625" style="31" customWidth="1"/>
  </cols>
  <sheetData>
    <row r="1" ht="15" customHeight="1" spans="1:41" x14ac:dyDescent="0.25">
      <c r="A1" s="1" t="s">
        <v>0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4" t="s">
        <v>1</v>
      </c>
      <c r="O1" s="5"/>
      <c r="P1" s="6" t="s">
        <v>2</v>
      </c>
      <c r="Q1" s="7" t="s">
        <v>3</v>
      </c>
      <c r="R1" s="8"/>
      <c r="S1" s="4">
        <v>1</v>
      </c>
      <c r="T1" s="5"/>
      <c r="U1" s="3" t="s">
        <v>4</v>
      </c>
      <c r="V1" s="3" t="s">
        <v>4</v>
      </c>
      <c r="W1" s="3" t="s">
        <v>4</v>
      </c>
      <c r="X1" s="3" t="s">
        <v>4</v>
      </c>
      <c r="Y1" s="3" t="s">
        <v>4</v>
      </c>
      <c r="Z1" s="3" t="s">
        <v>4</v>
      </c>
      <c r="AA1" s="3" t="s">
        <v>4</v>
      </c>
      <c r="AB1" s="3" t="s">
        <v>4</v>
      </c>
      <c r="AC1" s="3" t="s">
        <v>4</v>
      </c>
      <c r="AD1" s="3" t="s">
        <v>4</v>
      </c>
      <c r="AE1" s="3" t="s">
        <v>4</v>
      </c>
      <c r="AF1" s="3" t="s">
        <v>4</v>
      </c>
      <c r="AG1" s="3" t="s">
        <v>4</v>
      </c>
      <c r="AH1" s="3" t="s">
        <v>4</v>
      </c>
      <c r="AI1" s="3" t="s">
        <v>4</v>
      </c>
      <c r="AJ1" s="3" t="s">
        <v>4</v>
      </c>
      <c r="AK1" s="3"/>
      <c r="AL1" s="3"/>
      <c r="AM1" s="3"/>
      <c r="AN1" s="3"/>
      <c r="AO1" s="3"/>
    </row>
    <row r="2" ht="15" customHeight="1" spans="1:41" x14ac:dyDescent="0.25">
      <c r="A2" s="4" t="s">
        <v>5</v>
      </c>
      <c r="B2" s="5"/>
      <c r="C2" s="5"/>
      <c r="D2" s="5"/>
      <c r="E2" s="5"/>
      <c r="F2" s="9"/>
      <c r="G2" s="10"/>
      <c r="H2" s="10"/>
      <c r="I2" s="10"/>
      <c r="J2" s="10"/>
      <c r="K2" s="10"/>
      <c r="L2" s="10"/>
      <c r="M2" s="10"/>
      <c r="N2" s="4" t="s">
        <v>6</v>
      </c>
      <c r="O2" s="5"/>
      <c r="P2" s="11" t="s">
        <v>443</v>
      </c>
      <c r="Q2" s="12"/>
      <c r="R2" s="12"/>
      <c r="S2" s="12"/>
      <c r="T2" s="12"/>
      <c r="U2" s="3" t="s">
        <v>4</v>
      </c>
      <c r="V2" s="3" t="s">
        <v>4</v>
      </c>
      <c r="W2" s="3" t="s">
        <v>4</v>
      </c>
      <c r="X2" s="3" t="s">
        <v>4</v>
      </c>
      <c r="Y2" s="3" t="s">
        <v>4</v>
      </c>
      <c r="Z2" s="3" t="s">
        <v>4</v>
      </c>
      <c r="AA2" s="3" t="s">
        <v>4</v>
      </c>
      <c r="AB2" s="3" t="s">
        <v>4</v>
      </c>
      <c r="AC2" s="3" t="s">
        <v>4</v>
      </c>
      <c r="AD2" s="3" t="s">
        <v>4</v>
      </c>
      <c r="AE2" s="3" t="s">
        <v>4</v>
      </c>
      <c r="AF2" s="3" t="s">
        <v>4</v>
      </c>
      <c r="AG2" s="3" t="s">
        <v>4</v>
      </c>
      <c r="AH2" s="3" t="s">
        <v>4</v>
      </c>
      <c r="AI2" s="3" t="s">
        <v>4</v>
      </c>
      <c r="AJ2" s="3" t="s">
        <v>4</v>
      </c>
      <c r="AK2" s="3"/>
      <c r="AL2" s="3"/>
      <c r="AM2" s="3"/>
      <c r="AN2" s="3"/>
      <c r="AO2" s="3"/>
    </row>
    <row r="3" ht="0.95" customHeight="1" spans="1:4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13" t="s">
        <v>8</v>
      </c>
      <c r="O3" s="14"/>
      <c r="P3" s="14"/>
      <c r="Q3" s="14"/>
      <c r="R3" s="14"/>
      <c r="S3" s="14"/>
      <c r="T3" s="14"/>
      <c r="U3" s="3" t="s">
        <v>4</v>
      </c>
      <c r="V3" s="3" t="s">
        <v>4</v>
      </c>
      <c r="W3" s="3" t="s">
        <v>4</v>
      </c>
      <c r="X3" s="3" t="s">
        <v>4</v>
      </c>
      <c r="Y3" s="3" t="s">
        <v>4</v>
      </c>
      <c r="Z3" s="3" t="s">
        <v>4</v>
      </c>
      <c r="AA3" s="3" t="s">
        <v>4</v>
      </c>
      <c r="AB3" s="3" t="s">
        <v>4</v>
      </c>
      <c r="AC3" s="3" t="s">
        <v>4</v>
      </c>
      <c r="AD3" s="3" t="s">
        <v>4</v>
      </c>
      <c r="AE3" s="3" t="s">
        <v>4</v>
      </c>
      <c r="AF3" s="3" t="s">
        <v>4</v>
      </c>
      <c r="AG3" s="3" t="s">
        <v>4</v>
      </c>
      <c r="AH3" s="3" t="s">
        <v>4</v>
      </c>
      <c r="AI3" s="3" t="s">
        <v>4</v>
      </c>
      <c r="AJ3" s="3" t="s">
        <v>4</v>
      </c>
      <c r="AK3" s="3"/>
      <c r="AL3" s="3"/>
      <c r="AM3" s="3"/>
      <c r="AN3" s="3"/>
      <c r="AO3" s="3"/>
    </row>
    <row r="4" ht="12" customHeight="1" spans="1:41" x14ac:dyDescent="0.25">
      <c r="A4" s="13" t="s">
        <v>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3" t="s">
        <v>4</v>
      </c>
      <c r="V4" s="3" t="s">
        <v>4</v>
      </c>
      <c r="W4" s="3" t="s">
        <v>4</v>
      </c>
      <c r="X4" s="3" t="s">
        <v>4</v>
      </c>
      <c r="Y4" s="3" t="s">
        <v>4</v>
      </c>
      <c r="Z4" s="3" t="s">
        <v>4</v>
      </c>
      <c r="AA4" s="3" t="s">
        <v>4</v>
      </c>
      <c r="AB4" s="3" t="s">
        <v>4</v>
      </c>
      <c r="AC4" s="3" t="s">
        <v>4</v>
      </c>
      <c r="AD4" s="3" t="s">
        <v>4</v>
      </c>
      <c r="AE4" s="3" t="s">
        <v>4</v>
      </c>
      <c r="AF4" s="3" t="s">
        <v>4</v>
      </c>
      <c r="AG4" s="3" t="s">
        <v>4</v>
      </c>
      <c r="AH4" s="3" t="s">
        <v>4</v>
      </c>
      <c r="AI4" s="3" t="s">
        <v>4</v>
      </c>
      <c r="AJ4" s="3" t="s">
        <v>4</v>
      </c>
      <c r="AK4" s="3"/>
      <c r="AL4" s="3"/>
      <c r="AM4" s="3"/>
      <c r="AN4" s="3"/>
      <c r="AO4" s="3"/>
    </row>
    <row r="5" ht="12.95" customHeight="1" spans="1:41" x14ac:dyDescent="0.25">
      <c r="A5" s="13" t="s">
        <v>10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3"/>
      <c r="O5" s="3"/>
      <c r="P5" s="15" t="s">
        <v>11</v>
      </c>
      <c r="Q5" s="16"/>
      <c r="R5" s="16"/>
      <c r="S5" s="16"/>
      <c r="T5" s="16"/>
      <c r="U5" s="3" t="s">
        <v>4</v>
      </c>
      <c r="V5" s="3" t="s">
        <v>4</v>
      </c>
      <c r="W5" s="3" t="s">
        <v>4</v>
      </c>
      <c r="X5" s="3" t="s">
        <v>4</v>
      </c>
      <c r="Y5" s="3" t="s">
        <v>4</v>
      </c>
      <c r="Z5" s="3" t="s">
        <v>4</v>
      </c>
      <c r="AA5" s="3" t="s">
        <v>4</v>
      </c>
      <c r="AB5" s="3" t="s">
        <v>4</v>
      </c>
      <c r="AC5" s="3" t="s">
        <v>4</v>
      </c>
      <c r="AD5" s="3" t="s">
        <v>4</v>
      </c>
      <c r="AE5" s="3" t="s">
        <v>4</v>
      </c>
      <c r="AF5" s="3" t="s">
        <v>4</v>
      </c>
      <c r="AG5" s="3" t="s">
        <v>4</v>
      </c>
      <c r="AH5" s="3" t="s">
        <v>4</v>
      </c>
      <c r="AI5" s="3" t="s">
        <v>4</v>
      </c>
      <c r="AJ5" s="3" t="s">
        <v>4</v>
      </c>
      <c r="AK5" s="3"/>
      <c r="AL5" s="3"/>
      <c r="AM5" s="3"/>
      <c r="AN5" s="3"/>
      <c r="AO5" s="3"/>
    </row>
    <row r="6" ht="0.95" customHeight="1" spans="1:41" x14ac:dyDescent="0.25">
      <c r="A6" s="3"/>
      <c r="B6" s="3"/>
      <c r="C6" s="3"/>
      <c r="D6" s="3"/>
      <c r="E6" s="3"/>
      <c r="F6" s="13" t="s">
        <v>12</v>
      </c>
      <c r="G6" s="14"/>
      <c r="H6" s="14"/>
      <c r="I6" s="14"/>
      <c r="J6" s="14"/>
      <c r="K6" s="14"/>
      <c r="L6" s="14"/>
      <c r="M6" s="14"/>
      <c r="N6" s="3"/>
      <c r="O6" s="3"/>
      <c r="P6" s="3"/>
      <c r="Q6" s="3" t="s">
        <v>4</v>
      </c>
      <c r="R6" s="3" t="s">
        <v>4</v>
      </c>
      <c r="S6" s="3" t="s">
        <v>4</v>
      </c>
      <c r="T6" s="3" t="s">
        <v>4</v>
      </c>
      <c r="U6" s="3" t="s">
        <v>4</v>
      </c>
      <c r="V6" s="3" t="s">
        <v>4</v>
      </c>
      <c r="W6" s="3" t="s">
        <v>4</v>
      </c>
      <c r="X6" s="3" t="s">
        <v>4</v>
      </c>
      <c r="Y6" s="3" t="s">
        <v>4</v>
      </c>
      <c r="Z6" s="3" t="s">
        <v>4</v>
      </c>
      <c r="AA6" s="3" t="s">
        <v>4</v>
      </c>
      <c r="AB6" s="3" t="s">
        <v>4</v>
      </c>
      <c r="AC6" s="3" t="s">
        <v>4</v>
      </c>
      <c r="AD6" s="3" t="s">
        <v>4</v>
      </c>
      <c r="AE6" s="3" t="s">
        <v>4</v>
      </c>
      <c r="AF6" s="3" t="s">
        <v>4</v>
      </c>
      <c r="AG6" s="3" t="s">
        <v>4</v>
      </c>
      <c r="AH6" s="3" t="s">
        <v>4</v>
      </c>
      <c r="AI6" s="3" t="s">
        <v>4</v>
      </c>
      <c r="AJ6" s="3" t="s">
        <v>4</v>
      </c>
      <c r="AK6" s="3"/>
      <c r="AL6" s="3"/>
      <c r="AM6" s="3"/>
      <c r="AN6" s="3"/>
      <c r="AO6" s="3"/>
    </row>
    <row r="7" ht="12" customHeight="1" spans="1:41" x14ac:dyDescent="0.25">
      <c r="A7" s="13" t="s">
        <v>13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3"/>
      <c r="O7" s="3"/>
      <c r="P7" s="3"/>
      <c r="Q7" s="3" t="s">
        <v>4</v>
      </c>
      <c r="R7" s="3" t="s">
        <v>4</v>
      </c>
      <c r="S7" s="3" t="s">
        <v>4</v>
      </c>
      <c r="T7" s="3" t="s">
        <v>4</v>
      </c>
      <c r="U7" s="3" t="s">
        <v>4</v>
      </c>
      <c r="V7" s="3" t="s">
        <v>4</v>
      </c>
      <c r="W7" s="3" t="s">
        <v>4</v>
      </c>
      <c r="X7" s="3" t="s">
        <v>4</v>
      </c>
      <c r="Y7" s="3" t="s">
        <v>4</v>
      </c>
      <c r="Z7" s="3" t="s">
        <v>4</v>
      </c>
      <c r="AA7" s="3" t="s">
        <v>4</v>
      </c>
      <c r="AB7" s="3" t="s">
        <v>4</v>
      </c>
      <c r="AC7" s="3" t="s">
        <v>4</v>
      </c>
      <c r="AD7" s="3" t="s">
        <v>4</v>
      </c>
      <c r="AE7" s="3" t="s">
        <v>4</v>
      </c>
      <c r="AF7" s="3" t="s">
        <v>4</v>
      </c>
      <c r="AG7" s="3" t="s">
        <v>4</v>
      </c>
      <c r="AH7" s="3" t="s">
        <v>4</v>
      </c>
      <c r="AI7" s="3" t="s">
        <v>4</v>
      </c>
      <c r="AJ7" s="3" t="s">
        <v>4</v>
      </c>
      <c r="AK7" s="3"/>
      <c r="AL7" s="3"/>
      <c r="AM7" s="3"/>
      <c r="AN7" s="3"/>
      <c r="AO7" s="3"/>
    </row>
    <row r="8" ht="0.95" customHeight="1" spans="1:41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3"/>
    </row>
    <row r="9" ht="12.95" customHeight="1" spans="1:41" x14ac:dyDescent="0.25">
      <c r="A9" s="18" t="s">
        <v>14</v>
      </c>
      <c r="B9" s="18" t="s">
        <v>15</v>
      </c>
      <c r="C9" s="18" t="s">
        <v>16</v>
      </c>
      <c r="D9" s="19"/>
      <c r="E9" s="18" t="s">
        <v>17</v>
      </c>
      <c r="F9" s="18" t="s">
        <v>18</v>
      </c>
      <c r="G9" s="18" t="s">
        <v>19</v>
      </c>
      <c r="H9" s="18" t="s">
        <v>20</v>
      </c>
      <c r="I9" s="18" t="s">
        <v>21</v>
      </c>
      <c r="J9" s="18" t="s">
        <v>22</v>
      </c>
      <c r="K9" s="18" t="s">
        <v>23</v>
      </c>
      <c r="L9" s="19"/>
      <c r="M9" s="18" t="s">
        <v>24</v>
      </c>
      <c r="N9" s="19"/>
      <c r="O9" s="19"/>
      <c r="P9" s="18" t="s">
        <v>25</v>
      </c>
      <c r="Q9" s="19"/>
      <c r="R9" s="18" t="s">
        <v>26</v>
      </c>
      <c r="S9" s="19"/>
      <c r="T9" s="18" t="s">
        <v>27</v>
      </c>
      <c r="U9" s="19"/>
      <c r="V9" s="18" t="s">
        <v>28</v>
      </c>
      <c r="W9" s="18" t="s">
        <v>29</v>
      </c>
      <c r="X9" s="18" t="s">
        <v>30</v>
      </c>
      <c r="Y9" s="18" t="s">
        <v>31</v>
      </c>
      <c r="Z9" s="18" t="s">
        <v>32</v>
      </c>
      <c r="AA9" s="18" t="s">
        <v>33</v>
      </c>
      <c r="AB9" s="18" t="s">
        <v>34</v>
      </c>
      <c r="AC9" s="18" t="s">
        <v>35</v>
      </c>
      <c r="AD9" s="18" t="s">
        <v>36</v>
      </c>
      <c r="AE9" s="18" t="s">
        <v>37</v>
      </c>
      <c r="AF9" s="18" t="s">
        <v>38</v>
      </c>
      <c r="AG9" s="18" t="s">
        <v>39</v>
      </c>
      <c r="AH9" s="18" t="s">
        <v>40</v>
      </c>
      <c r="AI9" s="18" t="s">
        <v>41</v>
      </c>
      <c r="AJ9" s="18" t="s">
        <v>39</v>
      </c>
      <c r="AK9" s="18" t="s">
        <v>42</v>
      </c>
      <c r="AL9" s="18" t="s">
        <v>43</v>
      </c>
      <c r="AM9" s="18" t="s">
        <v>44</v>
      </c>
      <c r="AN9" s="18" t="s">
        <v>45</v>
      </c>
      <c r="AO9" s="3"/>
    </row>
    <row r="10" ht="0.95" customHeight="1" spans="1:41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3"/>
    </row>
    <row r="11" ht="12.95" customHeight="1" spans="1:41" x14ac:dyDescent="0.25">
      <c r="A11" s="20" t="s">
        <v>46</v>
      </c>
      <c r="B11" s="20" t="s">
        <v>444</v>
      </c>
      <c r="C11" s="20" t="s">
        <v>106</v>
      </c>
      <c r="D11" s="21"/>
      <c r="E11" s="20" t="s">
        <v>445</v>
      </c>
      <c r="F11" s="22" t="s">
        <v>446</v>
      </c>
      <c r="G11" s="22" t="s">
        <v>51</v>
      </c>
      <c r="H11" s="22" t="s">
        <v>447</v>
      </c>
      <c r="I11" s="20" t="s">
        <v>189</v>
      </c>
      <c r="J11" s="23" t="s">
        <v>448</v>
      </c>
      <c r="K11" s="20" t="s">
        <v>449</v>
      </c>
      <c r="L11" s="21"/>
      <c r="M11" s="23" t="s">
        <v>46</v>
      </c>
      <c r="N11" s="24"/>
      <c r="O11" s="24"/>
      <c r="P11" s="22" t="s">
        <v>2</v>
      </c>
      <c r="Q11" s="25"/>
      <c r="R11" s="26">
        <v>20</v>
      </c>
      <c r="S11" s="25"/>
      <c r="T11" s="26">
        <v>0</v>
      </c>
      <c r="U11" s="25"/>
      <c r="V11" s="26">
        <v>20</v>
      </c>
      <c r="W11" s="26">
        <v>0</v>
      </c>
      <c r="X11" s="26">
        <v>20</v>
      </c>
      <c r="Y11" s="26">
        <v>0</v>
      </c>
      <c r="Z11" s="26">
        <v>3</v>
      </c>
      <c r="AA11" s="26">
        <v>0</v>
      </c>
      <c r="AB11" s="26">
        <v>0</v>
      </c>
      <c r="AC11" s="26">
        <v>0</v>
      </c>
      <c r="AD11" s="26">
        <v>23</v>
      </c>
      <c r="AE11" s="26">
        <v>23</v>
      </c>
      <c r="AF11" s="26">
        <v>0</v>
      </c>
      <c r="AG11" s="26">
        <v>11.94</v>
      </c>
      <c r="AH11" s="26">
        <v>8.06</v>
      </c>
      <c r="AI11" s="26">
        <v>40.300003</v>
      </c>
      <c r="AJ11" s="26">
        <v>67.50419</v>
      </c>
      <c r="AK11" s="22" t="s">
        <v>450</v>
      </c>
      <c r="AL11" s="22" t="s">
        <v>451</v>
      </c>
      <c r="AM11" s="20" t="s">
        <v>452</v>
      </c>
      <c r="AN11" s="23" t="s">
        <v>58</v>
      </c>
      <c r="AO11" s="3"/>
    </row>
    <row r="12" ht="12.95" customHeight="1" spans="1:41" x14ac:dyDescent="0.25">
      <c r="A12" s="20" t="s">
        <v>46</v>
      </c>
      <c r="B12" s="20" t="s">
        <v>444</v>
      </c>
      <c r="C12" s="20" t="s">
        <v>166</v>
      </c>
      <c r="D12" s="21"/>
      <c r="E12" s="20" t="s">
        <v>453</v>
      </c>
      <c r="F12" s="22" t="s">
        <v>446</v>
      </c>
      <c r="G12" s="22" t="s">
        <v>51</v>
      </c>
      <c r="H12" s="22" t="s">
        <v>454</v>
      </c>
      <c r="I12" s="20" t="s">
        <v>455</v>
      </c>
      <c r="J12" s="23" t="s">
        <v>456</v>
      </c>
      <c r="K12" s="20" t="s">
        <v>457</v>
      </c>
      <c r="L12" s="21"/>
      <c r="M12" s="23" t="s">
        <v>46</v>
      </c>
      <c r="N12" s="24"/>
      <c r="O12" s="24"/>
      <c r="P12" s="22" t="s">
        <v>2</v>
      </c>
      <c r="Q12" s="25"/>
      <c r="R12" s="26">
        <v>290.06</v>
      </c>
      <c r="S12" s="25"/>
      <c r="T12" s="26">
        <v>20.48</v>
      </c>
      <c r="U12" s="25"/>
      <c r="V12" s="26">
        <v>269.58</v>
      </c>
      <c r="W12" s="26">
        <v>0</v>
      </c>
      <c r="X12" s="26">
        <v>269.58</v>
      </c>
      <c r="Y12" s="26">
        <v>0</v>
      </c>
      <c r="Z12" s="26">
        <v>40.44</v>
      </c>
      <c r="AA12" s="26">
        <v>0</v>
      </c>
      <c r="AB12" s="26">
        <v>0</v>
      </c>
      <c r="AC12" s="26">
        <v>0</v>
      </c>
      <c r="AD12" s="26">
        <v>310.02</v>
      </c>
      <c r="AE12" s="26">
        <v>0</v>
      </c>
      <c r="AF12" s="26">
        <v>0</v>
      </c>
      <c r="AG12" s="26">
        <v>223.13111111111112</v>
      </c>
      <c r="AH12" s="26">
        <v>46.448883</v>
      </c>
      <c r="AI12" s="26">
        <v>17.230093</v>
      </c>
      <c r="AJ12" s="26">
        <v>20.816856</v>
      </c>
      <c r="AK12" s="22" t="s">
        <v>450</v>
      </c>
      <c r="AL12" s="22" t="s">
        <v>458</v>
      </c>
      <c r="AM12" s="20" t="s">
        <v>452</v>
      </c>
      <c r="AN12" s="23" t="s">
        <v>58</v>
      </c>
      <c r="AO12" s="3"/>
    </row>
    <row r="13" ht="12.95" customHeight="1" spans="1:41" x14ac:dyDescent="0.25">
      <c r="A13" s="20" t="s">
        <v>46</v>
      </c>
      <c r="B13" s="20" t="s">
        <v>444</v>
      </c>
      <c r="C13" s="20" t="s">
        <v>186</v>
      </c>
      <c r="D13" s="21"/>
      <c r="E13" s="20" t="s">
        <v>459</v>
      </c>
      <c r="F13" s="22" t="s">
        <v>446</v>
      </c>
      <c r="G13" s="22" t="s">
        <v>51</v>
      </c>
      <c r="H13" s="22" t="s">
        <v>460</v>
      </c>
      <c r="I13" s="20" t="s">
        <v>461</v>
      </c>
      <c r="J13" s="23" t="s">
        <v>462</v>
      </c>
      <c r="K13" s="20" t="s">
        <v>463</v>
      </c>
      <c r="L13" s="21"/>
      <c r="M13" s="23" t="s">
        <v>46</v>
      </c>
      <c r="N13" s="24"/>
      <c r="O13" s="24"/>
      <c r="P13" s="22" t="s">
        <v>2</v>
      </c>
      <c r="Q13" s="25"/>
      <c r="R13" s="26">
        <v>5</v>
      </c>
      <c r="S13" s="25"/>
      <c r="T13" s="26">
        <v>0</v>
      </c>
      <c r="U13" s="25"/>
      <c r="V13" s="26">
        <v>5</v>
      </c>
      <c r="W13" s="26">
        <v>0</v>
      </c>
      <c r="X13" s="26">
        <v>5</v>
      </c>
      <c r="Y13" s="26">
        <v>0</v>
      </c>
      <c r="Z13" s="26">
        <v>0.75</v>
      </c>
      <c r="AA13" s="26">
        <v>0</v>
      </c>
      <c r="AB13" s="26">
        <v>0</v>
      </c>
      <c r="AC13" s="26">
        <v>0</v>
      </c>
      <c r="AD13" s="26">
        <v>5.75</v>
      </c>
      <c r="AE13" s="26">
        <v>5.75</v>
      </c>
      <c r="AF13" s="26">
        <v>0</v>
      </c>
      <c r="AG13" s="26">
        <v>2.59</v>
      </c>
      <c r="AH13" s="26">
        <v>2.41</v>
      </c>
      <c r="AI13" s="26">
        <v>48.2</v>
      </c>
      <c r="AJ13" s="26">
        <v>93.0502</v>
      </c>
      <c r="AK13" s="22" t="s">
        <v>450</v>
      </c>
      <c r="AL13" s="22" t="s">
        <v>464</v>
      </c>
      <c r="AM13" s="20" t="s">
        <v>452</v>
      </c>
      <c r="AN13" s="23" t="s">
        <v>58</v>
      </c>
      <c r="AO13" s="3"/>
    </row>
    <row r="14" ht="12.95" customHeight="1" spans="1:41" x14ac:dyDescent="0.25">
      <c r="A14" s="20" t="s">
        <v>46</v>
      </c>
      <c r="B14" s="20" t="s">
        <v>465</v>
      </c>
      <c r="C14" s="20" t="s">
        <v>186</v>
      </c>
      <c r="D14" s="21"/>
      <c r="E14" s="20" t="s">
        <v>466</v>
      </c>
      <c r="F14" s="22" t="s">
        <v>446</v>
      </c>
      <c r="G14" s="22" t="s">
        <v>51</v>
      </c>
      <c r="H14" s="22" t="s">
        <v>467</v>
      </c>
      <c r="I14" s="20" t="s">
        <v>468</v>
      </c>
      <c r="J14" s="23" t="s">
        <v>469</v>
      </c>
      <c r="K14" s="20" t="s">
        <v>470</v>
      </c>
      <c r="L14" s="21"/>
      <c r="M14" s="23" t="s">
        <v>46</v>
      </c>
      <c r="N14" s="24"/>
      <c r="O14" s="24"/>
      <c r="P14" s="22" t="s">
        <v>2</v>
      </c>
      <c r="Q14" s="25"/>
      <c r="R14" s="26">
        <v>1294.56</v>
      </c>
      <c r="S14" s="25"/>
      <c r="T14" s="26">
        <v>0</v>
      </c>
      <c r="U14" s="25"/>
      <c r="V14" s="26">
        <v>1294.56</v>
      </c>
      <c r="W14" s="26">
        <v>0</v>
      </c>
      <c r="X14" s="26">
        <v>1294.56</v>
      </c>
      <c r="Y14" s="26">
        <v>0</v>
      </c>
      <c r="Z14" s="26">
        <v>194.18</v>
      </c>
      <c r="AA14" s="26">
        <v>0</v>
      </c>
      <c r="AB14" s="26">
        <v>0</v>
      </c>
      <c r="AC14" s="26">
        <v>0</v>
      </c>
      <c r="AD14" s="26">
        <v>1488.74</v>
      </c>
      <c r="AE14" s="26">
        <v>0</v>
      </c>
      <c r="AF14" s="26">
        <v>0</v>
      </c>
      <c r="AG14" s="26">
        <v>995.82</v>
      </c>
      <c r="AH14" s="26">
        <v>298.74005</v>
      </c>
      <c r="AI14" s="26">
        <v>23.07657</v>
      </c>
      <c r="AJ14" s="26">
        <v>29.999403</v>
      </c>
      <c r="AK14" s="22" t="s">
        <v>450</v>
      </c>
      <c r="AL14" s="22" t="s">
        <v>464</v>
      </c>
      <c r="AM14" s="20" t="s">
        <v>452</v>
      </c>
      <c r="AN14" s="23" t="s">
        <v>58</v>
      </c>
      <c r="AO14" s="3"/>
    </row>
    <row r="15" ht="12.95" customHeight="1" spans="1:41" x14ac:dyDescent="0.25">
      <c r="A15" s="20" t="s">
        <v>46</v>
      </c>
      <c r="B15" s="20" t="s">
        <v>444</v>
      </c>
      <c r="C15" s="20" t="s">
        <v>220</v>
      </c>
      <c r="D15" s="21"/>
      <c r="E15" s="20" t="s">
        <v>471</v>
      </c>
      <c r="F15" s="22" t="s">
        <v>446</v>
      </c>
      <c r="G15" s="22" t="s">
        <v>51</v>
      </c>
      <c r="H15" s="22" t="s">
        <v>472</v>
      </c>
      <c r="I15" s="20" t="s">
        <v>109</v>
      </c>
      <c r="J15" s="23" t="s">
        <v>473</v>
      </c>
      <c r="K15" s="20" t="s">
        <v>474</v>
      </c>
      <c r="L15" s="21"/>
      <c r="M15" s="23" t="s">
        <v>46</v>
      </c>
      <c r="N15" s="24"/>
      <c r="O15" s="24"/>
      <c r="P15" s="22" t="s">
        <v>81</v>
      </c>
      <c r="Q15" s="25"/>
      <c r="R15" s="26">
        <v>360.87</v>
      </c>
      <c r="S15" s="25"/>
      <c r="T15" s="26">
        <v>0</v>
      </c>
      <c r="U15" s="25"/>
      <c r="V15" s="26">
        <v>360.87</v>
      </c>
      <c r="W15" s="26">
        <v>0</v>
      </c>
      <c r="X15" s="26">
        <v>360.87</v>
      </c>
      <c r="Y15" s="26">
        <v>0</v>
      </c>
      <c r="Z15" s="26">
        <v>54.13</v>
      </c>
      <c r="AA15" s="26">
        <v>0</v>
      </c>
      <c r="AB15" s="26">
        <v>0</v>
      </c>
      <c r="AC15" s="26">
        <v>0</v>
      </c>
      <c r="AD15" s="26">
        <v>415</v>
      </c>
      <c r="AE15" s="26">
        <v>415</v>
      </c>
      <c r="AF15" s="26">
        <v>0</v>
      </c>
      <c r="AG15" s="26">
        <v>209.115</v>
      </c>
      <c r="AH15" s="26">
        <v>151.75499</v>
      </c>
      <c r="AI15" s="26">
        <v>42.052536</v>
      </c>
      <c r="AJ15" s="26">
        <v>72.57011</v>
      </c>
      <c r="AK15" s="22" t="s">
        <v>450</v>
      </c>
      <c r="AL15" s="22" t="s">
        <v>475</v>
      </c>
      <c r="AM15" s="20" t="s">
        <v>452</v>
      </c>
      <c r="AN15" s="23" t="s">
        <v>58</v>
      </c>
      <c r="AO15" s="3"/>
    </row>
    <row r="16" ht="12.95" customHeight="1" spans="1:41" x14ac:dyDescent="0.25">
      <c r="A16" s="20" t="s">
        <v>46</v>
      </c>
      <c r="B16" s="20" t="s">
        <v>444</v>
      </c>
      <c r="C16" s="20" t="s">
        <v>264</v>
      </c>
      <c r="D16" s="21"/>
      <c r="E16" s="20" t="s">
        <v>476</v>
      </c>
      <c r="F16" s="22" t="s">
        <v>446</v>
      </c>
      <c r="G16" s="22" t="s">
        <v>51</v>
      </c>
      <c r="H16" s="22" t="s">
        <v>477</v>
      </c>
      <c r="I16" s="20" t="s">
        <v>61</v>
      </c>
      <c r="J16" s="23" t="s">
        <v>478</v>
      </c>
      <c r="K16" s="20" t="s">
        <v>479</v>
      </c>
      <c r="L16" s="21"/>
      <c r="M16" s="23" t="s">
        <v>46</v>
      </c>
      <c r="N16" s="24"/>
      <c r="O16" s="24"/>
      <c r="P16" s="22" t="s">
        <v>2</v>
      </c>
      <c r="Q16" s="25"/>
      <c r="R16" s="26">
        <v>201.34</v>
      </c>
      <c r="S16" s="25"/>
      <c r="T16" s="26">
        <v>0</v>
      </c>
      <c r="U16" s="25"/>
      <c r="V16" s="26">
        <v>201.34</v>
      </c>
      <c r="W16" s="26">
        <v>0</v>
      </c>
      <c r="X16" s="26">
        <v>201.34</v>
      </c>
      <c r="Y16" s="26">
        <v>0</v>
      </c>
      <c r="Z16" s="26">
        <v>30.2</v>
      </c>
      <c r="AA16" s="26">
        <v>0</v>
      </c>
      <c r="AB16" s="26">
        <v>0</v>
      </c>
      <c r="AC16" s="26">
        <v>0</v>
      </c>
      <c r="AD16" s="26">
        <v>231.54</v>
      </c>
      <c r="AE16" s="26">
        <v>231.54</v>
      </c>
      <c r="AF16" s="26">
        <v>0</v>
      </c>
      <c r="AG16" s="26">
        <v>120.8</v>
      </c>
      <c r="AH16" s="26">
        <v>80.53999</v>
      </c>
      <c r="AI16" s="26">
        <v>40.001984</v>
      </c>
      <c r="AJ16" s="26">
        <v>66.67217</v>
      </c>
      <c r="AK16" s="22" t="s">
        <v>450</v>
      </c>
      <c r="AL16" s="22" t="s">
        <v>480</v>
      </c>
      <c r="AM16" s="20" t="s">
        <v>452</v>
      </c>
      <c r="AN16" s="23" t="s">
        <v>58</v>
      </c>
      <c r="AO16" s="3"/>
    </row>
    <row r="17" ht="12.95" customHeight="1" spans="1:41" x14ac:dyDescent="0.25">
      <c r="A17" s="20" t="s">
        <v>46</v>
      </c>
      <c r="B17" s="20" t="s">
        <v>444</v>
      </c>
      <c r="C17" s="20" t="s">
        <v>298</v>
      </c>
      <c r="D17" s="21"/>
      <c r="E17" s="20" t="s">
        <v>481</v>
      </c>
      <c r="F17" s="22" t="s">
        <v>446</v>
      </c>
      <c r="G17" s="22" t="s">
        <v>51</v>
      </c>
      <c r="H17" s="22" t="s">
        <v>482</v>
      </c>
      <c r="I17" s="20" t="s">
        <v>134</v>
      </c>
      <c r="J17" s="23" t="s">
        <v>483</v>
      </c>
      <c r="K17" s="20" t="s">
        <v>484</v>
      </c>
      <c r="L17" s="21"/>
      <c r="M17" s="23" t="s">
        <v>46</v>
      </c>
      <c r="N17" s="24"/>
      <c r="O17" s="24"/>
      <c r="P17" s="22" t="s">
        <v>2</v>
      </c>
      <c r="Q17" s="25"/>
      <c r="R17" s="26">
        <v>10.43</v>
      </c>
      <c r="S17" s="25"/>
      <c r="T17" s="26">
        <v>0</v>
      </c>
      <c r="U17" s="25"/>
      <c r="V17" s="26">
        <v>10.43</v>
      </c>
      <c r="W17" s="26">
        <v>0</v>
      </c>
      <c r="X17" s="26">
        <v>10.43</v>
      </c>
      <c r="Y17" s="26">
        <v>0</v>
      </c>
      <c r="Z17" s="26">
        <v>1.56</v>
      </c>
      <c r="AA17" s="26">
        <v>0</v>
      </c>
      <c r="AB17" s="26">
        <v>0</v>
      </c>
      <c r="AC17" s="26">
        <v>0</v>
      </c>
      <c r="AD17" s="26">
        <v>11.99</v>
      </c>
      <c r="AE17" s="26">
        <v>0</v>
      </c>
      <c r="AF17" s="26">
        <v>0</v>
      </c>
      <c r="AG17" s="26">
        <v>7.966088591069029</v>
      </c>
      <c r="AH17" s="26">
        <v>2.4639115</v>
      </c>
      <c r="AI17" s="26">
        <v>23.623312</v>
      </c>
      <c r="AJ17" s="26">
        <v>30.930004</v>
      </c>
      <c r="AK17" s="22" t="s">
        <v>450</v>
      </c>
      <c r="AL17" s="22" t="s">
        <v>485</v>
      </c>
      <c r="AM17" s="20" t="s">
        <v>452</v>
      </c>
      <c r="AN17" s="23" t="s">
        <v>58</v>
      </c>
      <c r="AO17" s="3"/>
    </row>
    <row r="18" ht="12.95" customHeight="1" spans="1:41" x14ac:dyDescent="0.25">
      <c r="A18" s="20" t="s">
        <v>46</v>
      </c>
      <c r="B18" s="20" t="s">
        <v>444</v>
      </c>
      <c r="C18" s="20" t="s">
        <v>298</v>
      </c>
      <c r="D18" s="21"/>
      <c r="E18" s="20" t="s">
        <v>486</v>
      </c>
      <c r="F18" s="22" t="s">
        <v>446</v>
      </c>
      <c r="G18" s="22" t="s">
        <v>51</v>
      </c>
      <c r="H18" s="22" t="s">
        <v>487</v>
      </c>
      <c r="I18" s="20" t="s">
        <v>488</v>
      </c>
      <c r="J18" s="23" t="s">
        <v>489</v>
      </c>
      <c r="K18" s="20" t="s">
        <v>490</v>
      </c>
      <c r="L18" s="21"/>
      <c r="M18" s="23" t="s">
        <v>46</v>
      </c>
      <c r="N18" s="24"/>
      <c r="O18" s="24"/>
      <c r="P18" s="22" t="s">
        <v>2</v>
      </c>
      <c r="Q18" s="25"/>
      <c r="R18" s="26">
        <v>185.45</v>
      </c>
      <c r="S18" s="25"/>
      <c r="T18" s="26">
        <v>18.55</v>
      </c>
      <c r="U18" s="25"/>
      <c r="V18" s="26">
        <v>166.9</v>
      </c>
      <c r="W18" s="26">
        <v>0</v>
      </c>
      <c r="X18" s="26">
        <v>166.9</v>
      </c>
      <c r="Y18" s="26">
        <v>0</v>
      </c>
      <c r="Z18" s="26">
        <v>25.04</v>
      </c>
      <c r="AA18" s="26">
        <v>0</v>
      </c>
      <c r="AB18" s="26">
        <v>0</v>
      </c>
      <c r="AC18" s="26">
        <v>0</v>
      </c>
      <c r="AD18" s="26">
        <v>191.94</v>
      </c>
      <c r="AE18" s="26">
        <v>0</v>
      </c>
      <c r="AF18" s="26">
        <v>0</v>
      </c>
      <c r="AG18" s="26">
        <v>117.54</v>
      </c>
      <c r="AH18" s="26">
        <v>49.359993</v>
      </c>
      <c r="AI18" s="26">
        <v>29.574594</v>
      </c>
      <c r="AJ18" s="26">
        <v>41.99421</v>
      </c>
      <c r="AK18" s="22" t="s">
        <v>450</v>
      </c>
      <c r="AL18" s="22" t="s">
        <v>485</v>
      </c>
      <c r="AM18" s="20" t="s">
        <v>452</v>
      </c>
      <c r="AN18" s="23" t="s">
        <v>58</v>
      </c>
      <c r="AO18" s="3"/>
    </row>
    <row r="19" ht="12.95" customHeight="1" spans="1:41" x14ac:dyDescent="0.25">
      <c r="A19" s="20" t="s">
        <v>46</v>
      </c>
      <c r="B19" s="20" t="s">
        <v>465</v>
      </c>
      <c r="C19" s="20" t="s">
        <v>311</v>
      </c>
      <c r="D19" s="21"/>
      <c r="E19" s="20" t="s">
        <v>491</v>
      </c>
      <c r="F19" s="22" t="s">
        <v>446</v>
      </c>
      <c r="G19" s="22" t="s">
        <v>51</v>
      </c>
      <c r="H19" s="22" t="s">
        <v>492</v>
      </c>
      <c r="I19" s="20" t="s">
        <v>189</v>
      </c>
      <c r="J19" s="23" t="s">
        <v>493</v>
      </c>
      <c r="K19" s="20" t="s">
        <v>494</v>
      </c>
      <c r="L19" s="21"/>
      <c r="M19" s="23" t="s">
        <v>46</v>
      </c>
      <c r="N19" s="24"/>
      <c r="O19" s="24"/>
      <c r="P19" s="22" t="s">
        <v>81</v>
      </c>
      <c r="Q19" s="25"/>
      <c r="R19" s="26">
        <v>137.29</v>
      </c>
      <c r="S19" s="25"/>
      <c r="T19" s="26">
        <v>0</v>
      </c>
      <c r="U19" s="25"/>
      <c r="V19" s="26">
        <v>137.29</v>
      </c>
      <c r="W19" s="26">
        <v>0</v>
      </c>
      <c r="X19" s="26">
        <v>137.29</v>
      </c>
      <c r="Y19" s="26">
        <v>0</v>
      </c>
      <c r="Z19" s="26">
        <v>20.59</v>
      </c>
      <c r="AA19" s="26">
        <v>0</v>
      </c>
      <c r="AB19" s="26">
        <v>0</v>
      </c>
      <c r="AC19" s="26">
        <v>0</v>
      </c>
      <c r="AD19" s="26">
        <v>157.88</v>
      </c>
      <c r="AE19" s="26">
        <v>0</v>
      </c>
      <c r="AF19" s="26">
        <v>0</v>
      </c>
      <c r="AG19" s="26">
        <v>125.05</v>
      </c>
      <c r="AH19" s="26">
        <v>12.23999</v>
      </c>
      <c r="AI19" s="26">
        <v>8.915428</v>
      </c>
      <c r="AJ19" s="26">
        <v>9.788076</v>
      </c>
      <c r="AK19" s="22" t="s">
        <v>450</v>
      </c>
      <c r="AL19" s="22" t="s">
        <v>495</v>
      </c>
      <c r="AM19" s="20" t="s">
        <v>452</v>
      </c>
      <c r="AN19" s="23" t="s">
        <v>58</v>
      </c>
      <c r="AO19" s="3"/>
    </row>
    <row r="20" ht="12.95" customHeight="1" spans="1:41" x14ac:dyDescent="0.25">
      <c r="A20" s="20" t="s">
        <v>46</v>
      </c>
      <c r="B20" s="20" t="s">
        <v>465</v>
      </c>
      <c r="C20" s="20" t="s">
        <v>151</v>
      </c>
      <c r="D20" s="21"/>
      <c r="E20" s="20" t="s">
        <v>496</v>
      </c>
      <c r="F20" s="22" t="s">
        <v>446</v>
      </c>
      <c r="G20" s="22" t="s">
        <v>332</v>
      </c>
      <c r="H20" s="22" t="s">
        <v>497</v>
      </c>
      <c r="I20" s="20" t="s">
        <v>498</v>
      </c>
      <c r="J20" s="23" t="s">
        <v>499</v>
      </c>
      <c r="K20" s="20" t="s">
        <v>500</v>
      </c>
      <c r="L20" s="21"/>
      <c r="M20" s="23" t="s">
        <v>46</v>
      </c>
      <c r="N20" s="24"/>
      <c r="O20" s="24"/>
      <c r="P20" s="22" t="s">
        <v>2</v>
      </c>
      <c r="Q20" s="25"/>
      <c r="R20" s="26">
        <v>331.14</v>
      </c>
      <c r="S20" s="25"/>
      <c r="T20" s="26">
        <v>0</v>
      </c>
      <c r="U20" s="25"/>
      <c r="V20" s="26">
        <v>331.14</v>
      </c>
      <c r="W20" s="26">
        <v>0</v>
      </c>
      <c r="X20" s="26">
        <v>331.14</v>
      </c>
      <c r="Y20" s="26">
        <v>0</v>
      </c>
      <c r="Z20" s="26">
        <v>49.67</v>
      </c>
      <c r="AA20" s="26">
        <v>0</v>
      </c>
      <c r="AB20" s="26">
        <v>0</v>
      </c>
      <c r="AC20" s="26">
        <v>0</v>
      </c>
      <c r="AD20" s="26">
        <v>380.81</v>
      </c>
      <c r="AE20" s="26">
        <v>0</v>
      </c>
      <c r="AF20" s="26">
        <v>0</v>
      </c>
      <c r="AG20" s="26">
        <v>206.96</v>
      </c>
      <c r="AH20" s="26">
        <v>124.18001</v>
      </c>
      <c r="AI20" s="26">
        <v>37.500755</v>
      </c>
      <c r="AJ20" s="26">
        <v>60.001934</v>
      </c>
      <c r="AK20" s="22" t="s">
        <v>450</v>
      </c>
      <c r="AL20" s="22" t="s">
        <v>501</v>
      </c>
      <c r="AM20" s="20" t="s">
        <v>452</v>
      </c>
      <c r="AN20" s="23" t="s">
        <v>336</v>
      </c>
      <c r="AO20" s="3"/>
    </row>
    <row r="21" ht="12.95" customHeight="1" spans="1:41" x14ac:dyDescent="0.25">
      <c r="A21" s="20" t="s">
        <v>46</v>
      </c>
      <c r="B21" s="20" t="s">
        <v>465</v>
      </c>
      <c r="C21" s="20" t="s">
        <v>151</v>
      </c>
      <c r="D21" s="21"/>
      <c r="E21" s="20" t="s">
        <v>502</v>
      </c>
      <c r="F21" s="22" t="s">
        <v>446</v>
      </c>
      <c r="G21" s="22" t="s">
        <v>332</v>
      </c>
      <c r="H21" s="22" t="s">
        <v>503</v>
      </c>
      <c r="I21" s="20" t="s">
        <v>147</v>
      </c>
      <c r="J21" s="23" t="s">
        <v>504</v>
      </c>
      <c r="K21" s="20" t="s">
        <v>505</v>
      </c>
      <c r="L21" s="21"/>
      <c r="M21" s="23" t="s">
        <v>46</v>
      </c>
      <c r="N21" s="24"/>
      <c r="O21" s="24"/>
      <c r="P21" s="22" t="s">
        <v>88</v>
      </c>
      <c r="Q21" s="25"/>
      <c r="R21" s="26">
        <v>3033.28</v>
      </c>
      <c r="S21" s="25"/>
      <c r="T21" s="26">
        <v>209.42</v>
      </c>
      <c r="U21" s="25"/>
      <c r="V21" s="26">
        <v>2823.86</v>
      </c>
      <c r="W21" s="26">
        <v>0</v>
      </c>
      <c r="X21" s="26">
        <v>2823.86</v>
      </c>
      <c r="Y21" s="26">
        <v>0</v>
      </c>
      <c r="Z21" s="26">
        <v>423.58</v>
      </c>
      <c r="AA21" s="26">
        <v>0</v>
      </c>
      <c r="AB21" s="26">
        <v>0</v>
      </c>
      <c r="AC21" s="26">
        <v>0</v>
      </c>
      <c r="AD21" s="26">
        <v>3247.44</v>
      </c>
      <c r="AE21" s="26">
        <v>0</v>
      </c>
      <c r="AF21" s="26">
        <v>0</v>
      </c>
      <c r="AG21" s="26">
        <v>2373.3324444444443</v>
      </c>
      <c r="AH21" s="26">
        <v>450.5276</v>
      </c>
      <c r="AI21" s="26">
        <v>15.954317</v>
      </c>
      <c r="AJ21" s="26">
        <v>18.98291</v>
      </c>
      <c r="AK21" s="22" t="s">
        <v>450</v>
      </c>
      <c r="AL21" s="22" t="s">
        <v>501</v>
      </c>
      <c r="AM21" s="20" t="s">
        <v>452</v>
      </c>
      <c r="AN21" s="23" t="s">
        <v>336</v>
      </c>
      <c r="AO21" s="3"/>
    </row>
    <row r="22" ht="12.95" customHeight="1" spans="1:41" x14ac:dyDescent="0.25">
      <c r="A22" s="20" t="s">
        <v>46</v>
      </c>
      <c r="B22" s="20" t="s">
        <v>465</v>
      </c>
      <c r="C22" s="20" t="s">
        <v>176</v>
      </c>
      <c r="D22" s="21"/>
      <c r="E22" s="20" t="s">
        <v>506</v>
      </c>
      <c r="F22" s="22" t="s">
        <v>446</v>
      </c>
      <c r="G22" s="22" t="s">
        <v>332</v>
      </c>
      <c r="H22" s="22" t="s">
        <v>507</v>
      </c>
      <c r="I22" s="20" t="s">
        <v>508</v>
      </c>
      <c r="J22" s="23" t="s">
        <v>509</v>
      </c>
      <c r="K22" s="20" t="s">
        <v>510</v>
      </c>
      <c r="L22" s="21"/>
      <c r="M22" s="23" t="s">
        <v>46</v>
      </c>
      <c r="N22" s="24"/>
      <c r="O22" s="24"/>
      <c r="P22" s="22" t="s">
        <v>81</v>
      </c>
      <c r="Q22" s="25"/>
      <c r="R22" s="26">
        <v>540.46</v>
      </c>
      <c r="S22" s="25"/>
      <c r="T22" s="26">
        <v>0</v>
      </c>
      <c r="U22" s="25"/>
      <c r="V22" s="26">
        <v>540.46</v>
      </c>
      <c r="W22" s="26">
        <v>0</v>
      </c>
      <c r="X22" s="26">
        <v>540.46</v>
      </c>
      <c r="Y22" s="26">
        <v>0</v>
      </c>
      <c r="Z22" s="26">
        <v>81.07</v>
      </c>
      <c r="AA22" s="26">
        <v>0</v>
      </c>
      <c r="AB22" s="26">
        <v>0</v>
      </c>
      <c r="AC22" s="26">
        <v>0</v>
      </c>
      <c r="AD22" s="26">
        <v>621.53</v>
      </c>
      <c r="AE22" s="26">
        <v>0</v>
      </c>
      <c r="AF22" s="26">
        <v>0</v>
      </c>
      <c r="AG22" s="26">
        <v>429.2189515738077</v>
      </c>
      <c r="AH22" s="26">
        <v>111.24106</v>
      </c>
      <c r="AI22" s="26">
        <v>20.58266</v>
      </c>
      <c r="AJ22" s="26">
        <v>25.91709</v>
      </c>
      <c r="AK22" s="22" t="s">
        <v>450</v>
      </c>
      <c r="AL22" s="22" t="s">
        <v>511</v>
      </c>
      <c r="AM22" s="20" t="s">
        <v>452</v>
      </c>
      <c r="AN22" s="23" t="s">
        <v>336</v>
      </c>
      <c r="AO22" s="3"/>
    </row>
    <row r="23" ht="12.95" customHeight="1" spans="1:41" x14ac:dyDescent="0.25">
      <c r="A23" s="20" t="s">
        <v>46</v>
      </c>
      <c r="B23" s="20" t="s">
        <v>465</v>
      </c>
      <c r="C23" s="20" t="s">
        <v>209</v>
      </c>
      <c r="D23" s="21"/>
      <c r="E23" s="20" t="s">
        <v>512</v>
      </c>
      <c r="F23" s="22" t="s">
        <v>446</v>
      </c>
      <c r="G23" s="22" t="s">
        <v>332</v>
      </c>
      <c r="H23" s="22" t="s">
        <v>513</v>
      </c>
      <c r="I23" s="20" t="s">
        <v>498</v>
      </c>
      <c r="J23" s="23" t="s">
        <v>499</v>
      </c>
      <c r="K23" s="20" t="s">
        <v>514</v>
      </c>
      <c r="L23" s="21"/>
      <c r="M23" s="23" t="s">
        <v>46</v>
      </c>
      <c r="N23" s="24"/>
      <c r="O23" s="24"/>
      <c r="P23" s="22" t="s">
        <v>192</v>
      </c>
      <c r="Q23" s="25"/>
      <c r="R23" s="26">
        <v>1651.11</v>
      </c>
      <c r="S23" s="25"/>
      <c r="T23" s="26">
        <v>0</v>
      </c>
      <c r="U23" s="25"/>
      <c r="V23" s="26">
        <v>1651.11</v>
      </c>
      <c r="W23" s="26">
        <v>0</v>
      </c>
      <c r="X23" s="26">
        <v>1651.11</v>
      </c>
      <c r="Y23" s="26">
        <v>0</v>
      </c>
      <c r="Z23" s="26">
        <v>247.67</v>
      </c>
      <c r="AA23" s="26">
        <v>0</v>
      </c>
      <c r="AB23" s="26">
        <v>0</v>
      </c>
      <c r="AC23" s="26">
        <v>0</v>
      </c>
      <c r="AD23" s="26">
        <v>1898.78</v>
      </c>
      <c r="AE23" s="26">
        <v>0</v>
      </c>
      <c r="AF23" s="26">
        <v>0</v>
      </c>
      <c r="AG23" s="26">
        <v>1293.7646883608265</v>
      </c>
      <c r="AH23" s="26">
        <v>357.34534</v>
      </c>
      <c r="AI23" s="26">
        <v>21.642735</v>
      </c>
      <c r="AJ23" s="26">
        <v>27.620584</v>
      </c>
      <c r="AK23" s="22" t="s">
        <v>450</v>
      </c>
      <c r="AL23" s="22" t="s">
        <v>515</v>
      </c>
      <c r="AM23" s="20" t="s">
        <v>452</v>
      </c>
      <c r="AN23" s="23" t="s">
        <v>336</v>
      </c>
      <c r="AO23" s="3"/>
    </row>
    <row r="24" ht="12.95" customHeight="1" spans="1:41" x14ac:dyDescent="0.25">
      <c r="A24" s="20" t="s">
        <v>46</v>
      </c>
      <c r="B24" s="20" t="s">
        <v>444</v>
      </c>
      <c r="C24" s="20" t="s">
        <v>253</v>
      </c>
      <c r="D24" s="21"/>
      <c r="E24" s="20" t="s">
        <v>516</v>
      </c>
      <c r="F24" s="22" t="s">
        <v>446</v>
      </c>
      <c r="G24" s="22" t="s">
        <v>332</v>
      </c>
      <c r="H24" s="22" t="s">
        <v>517</v>
      </c>
      <c r="I24" s="20" t="s">
        <v>53</v>
      </c>
      <c r="J24" s="23" t="s">
        <v>518</v>
      </c>
      <c r="K24" s="20" t="s">
        <v>519</v>
      </c>
      <c r="L24" s="21"/>
      <c r="M24" s="23" t="s">
        <v>46</v>
      </c>
      <c r="N24" s="24"/>
      <c r="O24" s="24"/>
      <c r="P24" s="22" t="s">
        <v>2</v>
      </c>
      <c r="Q24" s="25"/>
      <c r="R24" s="26">
        <v>47</v>
      </c>
      <c r="S24" s="25"/>
      <c r="T24" s="26">
        <v>0</v>
      </c>
      <c r="U24" s="25"/>
      <c r="V24" s="26">
        <v>47</v>
      </c>
      <c r="W24" s="26">
        <v>0</v>
      </c>
      <c r="X24" s="26">
        <v>47</v>
      </c>
      <c r="Y24" s="26">
        <v>0</v>
      </c>
      <c r="Z24" s="26">
        <v>7.05</v>
      </c>
      <c r="AA24" s="26">
        <v>0</v>
      </c>
      <c r="AB24" s="26">
        <v>0</v>
      </c>
      <c r="AC24" s="26">
        <v>0</v>
      </c>
      <c r="AD24" s="26">
        <v>54.05</v>
      </c>
      <c r="AE24" s="26">
        <v>0</v>
      </c>
      <c r="AF24" s="26">
        <v>0</v>
      </c>
      <c r="AG24" s="26">
        <v>34.812</v>
      </c>
      <c r="AH24" s="26">
        <v>12.188</v>
      </c>
      <c r="AI24" s="26">
        <v>25.931915</v>
      </c>
      <c r="AJ24" s="26">
        <v>35.010918</v>
      </c>
      <c r="AK24" s="22" t="s">
        <v>450</v>
      </c>
      <c r="AL24" s="22" t="s">
        <v>520</v>
      </c>
      <c r="AM24" s="20" t="s">
        <v>452</v>
      </c>
      <c r="AN24" s="23" t="s">
        <v>336</v>
      </c>
      <c r="AO24" s="3"/>
    </row>
    <row r="25" ht="12.95" customHeight="1" spans="1:41" x14ac:dyDescent="0.25">
      <c r="A25" s="20" t="s">
        <v>46</v>
      </c>
      <c r="B25" s="20" t="s">
        <v>465</v>
      </c>
      <c r="C25" s="20" t="s">
        <v>283</v>
      </c>
      <c r="D25" s="21"/>
      <c r="E25" s="20" t="s">
        <v>521</v>
      </c>
      <c r="F25" s="22" t="s">
        <v>446</v>
      </c>
      <c r="G25" s="22" t="s">
        <v>332</v>
      </c>
      <c r="H25" s="22" t="s">
        <v>522</v>
      </c>
      <c r="I25" s="20" t="s">
        <v>523</v>
      </c>
      <c r="J25" s="23" t="s">
        <v>524</v>
      </c>
      <c r="K25" s="20" t="s">
        <v>525</v>
      </c>
      <c r="L25" s="21"/>
      <c r="M25" s="23" t="s">
        <v>46</v>
      </c>
      <c r="N25" s="24"/>
      <c r="O25" s="24"/>
      <c r="P25" s="22" t="s">
        <v>2</v>
      </c>
      <c r="Q25" s="25"/>
      <c r="R25" s="26">
        <v>1408.74</v>
      </c>
      <c r="S25" s="25"/>
      <c r="T25" s="26">
        <v>0</v>
      </c>
      <c r="U25" s="25"/>
      <c r="V25" s="26">
        <v>1408.74</v>
      </c>
      <c r="W25" s="26">
        <v>0</v>
      </c>
      <c r="X25" s="26">
        <v>1408.74</v>
      </c>
      <c r="Y25" s="26">
        <v>0</v>
      </c>
      <c r="Z25" s="26">
        <v>211.31</v>
      </c>
      <c r="AA25" s="26">
        <v>0</v>
      </c>
      <c r="AB25" s="26">
        <v>0</v>
      </c>
      <c r="AC25" s="26">
        <v>0</v>
      </c>
      <c r="AD25" s="26">
        <v>1620.05</v>
      </c>
      <c r="AE25" s="26">
        <v>0</v>
      </c>
      <c r="AF25" s="26">
        <v>0</v>
      </c>
      <c r="AG25" s="26">
        <v>1111.2</v>
      </c>
      <c r="AH25" s="26">
        <v>297.54004</v>
      </c>
      <c r="AI25" s="26">
        <v>21.121004</v>
      </c>
      <c r="AJ25" s="26">
        <v>26.776463</v>
      </c>
      <c r="AK25" s="22" t="s">
        <v>450</v>
      </c>
      <c r="AL25" s="22" t="s">
        <v>526</v>
      </c>
      <c r="AM25" s="20" t="s">
        <v>452</v>
      </c>
      <c r="AN25" s="23" t="s">
        <v>336</v>
      </c>
      <c r="AO25" s="3"/>
    </row>
    <row r="26" ht="12.95" customHeight="1" spans="1:41" x14ac:dyDescent="0.25">
      <c r="A26" s="20" t="s">
        <v>46</v>
      </c>
      <c r="B26" s="20" t="s">
        <v>465</v>
      </c>
      <c r="C26" s="20" t="s">
        <v>311</v>
      </c>
      <c r="D26" s="21"/>
      <c r="E26" s="20" t="s">
        <v>527</v>
      </c>
      <c r="F26" s="22" t="s">
        <v>446</v>
      </c>
      <c r="G26" s="22" t="s">
        <v>332</v>
      </c>
      <c r="H26" s="22" t="s">
        <v>528</v>
      </c>
      <c r="I26" s="20" t="s">
        <v>498</v>
      </c>
      <c r="J26" s="23" t="s">
        <v>499</v>
      </c>
      <c r="K26" s="20" t="s">
        <v>529</v>
      </c>
      <c r="L26" s="21"/>
      <c r="M26" s="23" t="s">
        <v>46</v>
      </c>
      <c r="N26" s="24"/>
      <c r="O26" s="24"/>
      <c r="P26" s="22" t="s">
        <v>81</v>
      </c>
      <c r="Q26" s="25"/>
      <c r="R26" s="26">
        <v>611.96</v>
      </c>
      <c r="S26" s="25"/>
      <c r="T26" s="26">
        <v>0</v>
      </c>
      <c r="U26" s="25"/>
      <c r="V26" s="26">
        <v>611.96</v>
      </c>
      <c r="W26" s="26">
        <v>0</v>
      </c>
      <c r="X26" s="26">
        <v>611.96</v>
      </c>
      <c r="Y26" s="26">
        <v>0</v>
      </c>
      <c r="Z26" s="26">
        <v>91.79</v>
      </c>
      <c r="AA26" s="26">
        <v>0</v>
      </c>
      <c r="AB26" s="26">
        <v>0</v>
      </c>
      <c r="AC26" s="26">
        <v>0</v>
      </c>
      <c r="AD26" s="26">
        <v>703.75</v>
      </c>
      <c r="AE26" s="26">
        <v>0</v>
      </c>
      <c r="AF26" s="26">
        <v>0</v>
      </c>
      <c r="AG26" s="26">
        <v>480.39</v>
      </c>
      <c r="AH26" s="26">
        <v>131.57</v>
      </c>
      <c r="AI26" s="26">
        <v>21.499773</v>
      </c>
      <c r="AJ26" s="26">
        <v>27.388165</v>
      </c>
      <c r="AK26" s="22" t="s">
        <v>450</v>
      </c>
      <c r="AL26" s="22" t="s">
        <v>495</v>
      </c>
      <c r="AM26" s="20" t="s">
        <v>452</v>
      </c>
      <c r="AN26" s="23" t="s">
        <v>336</v>
      </c>
      <c r="AO26" s="3"/>
    </row>
    <row r="27" ht="12.95" customHeight="1" spans="1:41" x14ac:dyDescent="0.25">
      <c r="A27" s="20" t="s">
        <v>46</v>
      </c>
      <c r="B27" s="20" t="s">
        <v>465</v>
      </c>
      <c r="C27" s="20" t="s">
        <v>311</v>
      </c>
      <c r="D27" s="21"/>
      <c r="E27" s="20" t="s">
        <v>530</v>
      </c>
      <c r="F27" s="22" t="s">
        <v>446</v>
      </c>
      <c r="G27" s="22" t="s">
        <v>332</v>
      </c>
      <c r="H27" s="22" t="s">
        <v>531</v>
      </c>
      <c r="I27" s="20" t="s">
        <v>134</v>
      </c>
      <c r="J27" s="23" t="s">
        <v>334</v>
      </c>
      <c r="K27" s="20" t="s">
        <v>532</v>
      </c>
      <c r="L27" s="21"/>
      <c r="M27" s="23" t="s">
        <v>46</v>
      </c>
      <c r="N27" s="24"/>
      <c r="O27" s="24"/>
      <c r="P27" s="22" t="s">
        <v>533</v>
      </c>
      <c r="Q27" s="25"/>
      <c r="R27" s="26">
        <v>4598.9</v>
      </c>
      <c r="S27" s="25"/>
      <c r="T27" s="26">
        <v>0</v>
      </c>
      <c r="U27" s="25"/>
      <c r="V27" s="26">
        <v>4598.9</v>
      </c>
      <c r="W27" s="26">
        <v>0</v>
      </c>
      <c r="X27" s="26">
        <v>4598.9</v>
      </c>
      <c r="Y27" s="26">
        <v>0</v>
      </c>
      <c r="Z27" s="26">
        <v>689.84</v>
      </c>
      <c r="AA27" s="26">
        <v>0</v>
      </c>
      <c r="AB27" s="26">
        <v>0</v>
      </c>
      <c r="AC27" s="26">
        <v>0</v>
      </c>
      <c r="AD27" s="26">
        <v>5288.74</v>
      </c>
      <c r="AE27" s="26">
        <v>0</v>
      </c>
      <c r="AF27" s="26">
        <v>0</v>
      </c>
      <c r="AG27" s="26">
        <v>3520.6015216941596</v>
      </c>
      <c r="AH27" s="26">
        <v>1078.2983</v>
      </c>
      <c r="AI27" s="26">
        <v>23.446877</v>
      </c>
      <c r="AJ27" s="26">
        <v>30.62824</v>
      </c>
      <c r="AK27" s="22" t="s">
        <v>450</v>
      </c>
      <c r="AL27" s="22" t="s">
        <v>495</v>
      </c>
      <c r="AM27" s="20" t="s">
        <v>452</v>
      </c>
      <c r="AN27" s="23" t="s">
        <v>336</v>
      </c>
      <c r="AO27" s="3"/>
    </row>
    <row r="28" ht="12.95" customHeight="1" spans="1:41" x14ac:dyDescent="0.25">
      <c r="A28" s="20" t="s">
        <v>46</v>
      </c>
      <c r="B28" s="20" t="s">
        <v>465</v>
      </c>
      <c r="C28" s="20" t="s">
        <v>311</v>
      </c>
      <c r="D28" s="21"/>
      <c r="E28" s="20" t="s">
        <v>534</v>
      </c>
      <c r="F28" s="22" t="s">
        <v>446</v>
      </c>
      <c r="G28" s="22" t="s">
        <v>332</v>
      </c>
      <c r="H28" s="22" t="s">
        <v>535</v>
      </c>
      <c r="I28" s="20" t="s">
        <v>134</v>
      </c>
      <c r="J28" s="23" t="s">
        <v>334</v>
      </c>
      <c r="K28" s="20" t="s">
        <v>536</v>
      </c>
      <c r="L28" s="21"/>
      <c r="M28" s="23" t="s">
        <v>46</v>
      </c>
      <c r="N28" s="24"/>
      <c r="O28" s="24"/>
      <c r="P28" s="22" t="s">
        <v>88</v>
      </c>
      <c r="Q28" s="25"/>
      <c r="R28" s="26">
        <v>938.85</v>
      </c>
      <c r="S28" s="25"/>
      <c r="T28" s="26">
        <v>0</v>
      </c>
      <c r="U28" s="25"/>
      <c r="V28" s="26">
        <v>938.85</v>
      </c>
      <c r="W28" s="26">
        <v>0</v>
      </c>
      <c r="X28" s="26">
        <v>938.85</v>
      </c>
      <c r="Y28" s="26">
        <v>0</v>
      </c>
      <c r="Z28" s="26">
        <v>140.83</v>
      </c>
      <c r="AA28" s="26">
        <v>0</v>
      </c>
      <c r="AB28" s="26">
        <v>0</v>
      </c>
      <c r="AC28" s="26">
        <v>0</v>
      </c>
      <c r="AD28" s="26">
        <v>1079.68</v>
      </c>
      <c r="AE28" s="26">
        <v>0</v>
      </c>
      <c r="AF28" s="26">
        <v>0</v>
      </c>
      <c r="AG28" s="26">
        <v>722.19</v>
      </c>
      <c r="AH28" s="26">
        <v>216.65997</v>
      </c>
      <c r="AI28" s="26">
        <v>23.077166</v>
      </c>
      <c r="AJ28" s="26">
        <v>30.000412</v>
      </c>
      <c r="AK28" s="22" t="s">
        <v>450</v>
      </c>
      <c r="AL28" s="22" t="s">
        <v>495</v>
      </c>
      <c r="AM28" s="20" t="s">
        <v>452</v>
      </c>
      <c r="AN28" s="23" t="s">
        <v>336</v>
      </c>
      <c r="AO28" s="3"/>
    </row>
    <row r="29" ht="0.95" customHeight="1" spans="1:41" x14ac:dyDescent="0.25">
      <c r="A29" s="3"/>
      <c r="B29" s="3"/>
      <c r="C29" s="3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3"/>
      <c r="AL29" s="3"/>
      <c r="AM29" s="3"/>
      <c r="AN29" s="3"/>
      <c r="AO29" s="3"/>
    </row>
    <row r="30" ht="12" customHeight="1" spans="1:4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27" t="s">
        <v>400</v>
      </c>
      <c r="M30" s="27"/>
      <c r="N30" s="27"/>
      <c r="O30" s="3"/>
      <c r="P30" s="28" t="s">
        <v>537</v>
      </c>
      <c r="Q30" s="28"/>
      <c r="R30" s="28">
        <v>248.45</v>
      </c>
      <c r="S30" s="28"/>
      <c r="T30" s="28">
        <v>15417.988</v>
      </c>
      <c r="U30" s="28"/>
      <c r="V30" s="28">
        <v>0</v>
      </c>
      <c r="W30" s="28">
        <v>15417.99</v>
      </c>
      <c r="X30" s="28">
        <v>2312.7</v>
      </c>
      <c r="Y30" s="28">
        <v>0</v>
      </c>
      <c r="Z30" s="27" t="s">
        <v>4</v>
      </c>
      <c r="AA30" s="28">
        <v>0</v>
      </c>
      <c r="AB30" s="28">
        <v>17730.69</v>
      </c>
      <c r="AC30" s="28">
        <v>0</v>
      </c>
      <c r="AD30" s="28">
        <v>0</v>
      </c>
      <c r="AE30" s="26">
        <v>675.29</v>
      </c>
      <c r="AF30" s="28">
        <v>11986.423</v>
      </c>
      <c r="AG30" s="22">
        <v>11986.423</v>
      </c>
      <c r="AH30" s="28">
        <v>3431.568</v>
      </c>
      <c r="AI30" s="28">
        <v>22.256895</v>
      </c>
      <c r="AJ30" s="28">
        <v>28.628769</v>
      </c>
      <c r="AK30" s="3"/>
      <c r="AL30" s="3"/>
      <c r="AM30" s="3"/>
      <c r="AN30" s="3"/>
      <c r="AO30" s="3"/>
    </row>
    <row r="31" spans="1:41" x14ac:dyDescent="0.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 t="s">
        <v>402</v>
      </c>
      <c r="O31" s="31"/>
      <c r="P31" s="31">
        <f>+'MY REP PEUG'!I19</f>
        <v>15666.44</v>
      </c>
      <c r="Q31" s="31"/>
      <c r="R31" s="31">
        <f>+'MY REP PEUG'!H25</f>
        <v>248.45</v>
      </c>
      <c r="S31" s="31"/>
      <c r="T31" s="31"/>
      <c r="U31" s="31"/>
      <c r="V31" s="31"/>
      <c r="W31" s="31"/>
      <c r="X31" s="31"/>
      <c r="Y31" s="52">
        <v>2309.7</v>
      </c>
      <c r="Z31" s="31">
        <v>2312.7</v>
      </c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</row>
    <row r="32" spans="1:41" x14ac:dyDescent="0.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</row>
    <row r="33" spans="1:41" x14ac:dyDescent="0.25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</row>
    <row r="34" spans="1:41" x14ac:dyDescent="0.25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</row>
    <row r="35" spans="1:41" x14ac:dyDescent="0.25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</row>
    <row r="36" spans="1:41" x14ac:dyDescent="0.25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</row>
    <row r="37" spans="1:41" x14ac:dyDescent="0.25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</row>
    <row r="38" spans="1:41" x14ac:dyDescent="0.25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</row>
    <row r="39" spans="1:41" x14ac:dyDescent="0.25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</row>
    <row r="40" spans="1:41" x14ac:dyDescent="0.25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</row>
  </sheetData>
  <mergeCells count="135">
    <mergeCell ref="A1:E1"/>
    <mergeCell ref="N1:O1"/>
    <mergeCell ref="Q1:R1"/>
    <mergeCell ref="S1:T1"/>
    <mergeCell ref="A2:E2"/>
    <mergeCell ref="F2:M2"/>
    <mergeCell ref="N2:O2"/>
    <mergeCell ref="P2:T2"/>
    <mergeCell ref="N3:T4"/>
    <mergeCell ref="A4:M4"/>
    <mergeCell ref="A5:M5"/>
    <mergeCell ref="P5:T5"/>
    <mergeCell ref="F6:M7"/>
    <mergeCell ref="A7:E7"/>
    <mergeCell ref="A8:AN8"/>
    <mergeCell ref="C9:D9"/>
    <mergeCell ref="K9:L9"/>
    <mergeCell ref="M9:O9"/>
    <mergeCell ref="P9:Q9"/>
    <mergeCell ref="R9:S9"/>
    <mergeCell ref="T9:U9"/>
    <mergeCell ref="A10:AN10"/>
    <mergeCell ref="C11:D11"/>
    <mergeCell ref="K11:L11"/>
    <mergeCell ref="M11:O11"/>
    <mergeCell ref="P11:Q11"/>
    <mergeCell ref="R11:S11"/>
    <mergeCell ref="T11:U11"/>
    <mergeCell ref="C12:D12"/>
    <mergeCell ref="K12:L12"/>
    <mergeCell ref="M12:O12"/>
    <mergeCell ref="P12:Q12"/>
    <mergeCell ref="R12:S12"/>
    <mergeCell ref="T12:U12"/>
    <mergeCell ref="C13:D13"/>
    <mergeCell ref="K13:L13"/>
    <mergeCell ref="M13:O13"/>
    <mergeCell ref="P13:Q13"/>
    <mergeCell ref="R13:S13"/>
    <mergeCell ref="T13:U13"/>
    <mergeCell ref="C14:D14"/>
    <mergeCell ref="K14:L14"/>
    <mergeCell ref="M14:O14"/>
    <mergeCell ref="P14:Q14"/>
    <mergeCell ref="R14:S14"/>
    <mergeCell ref="T14:U14"/>
    <mergeCell ref="C15:D15"/>
    <mergeCell ref="K15:L15"/>
    <mergeCell ref="M15:O15"/>
    <mergeCell ref="P15:Q15"/>
    <mergeCell ref="R15:S15"/>
    <mergeCell ref="T15:U15"/>
    <mergeCell ref="C16:D16"/>
    <mergeCell ref="K16:L16"/>
    <mergeCell ref="M16:O16"/>
    <mergeCell ref="P16:Q16"/>
    <mergeCell ref="R16:S16"/>
    <mergeCell ref="T16:U16"/>
    <mergeCell ref="C17:D17"/>
    <mergeCell ref="K17:L17"/>
    <mergeCell ref="M17:O17"/>
    <mergeCell ref="P17:Q17"/>
    <mergeCell ref="R17:S17"/>
    <mergeCell ref="T17:U17"/>
    <mergeCell ref="C18:D18"/>
    <mergeCell ref="K18:L18"/>
    <mergeCell ref="M18:O18"/>
    <mergeCell ref="P18:Q18"/>
    <mergeCell ref="R18:S18"/>
    <mergeCell ref="T18:U18"/>
    <mergeCell ref="C19:D19"/>
    <mergeCell ref="K19:L19"/>
    <mergeCell ref="M19:O19"/>
    <mergeCell ref="P19:Q19"/>
    <mergeCell ref="R19:S19"/>
    <mergeCell ref="T19:U19"/>
    <mergeCell ref="C20:D20"/>
    <mergeCell ref="K20:L20"/>
    <mergeCell ref="M20:O20"/>
    <mergeCell ref="P20:Q20"/>
    <mergeCell ref="R20:S20"/>
    <mergeCell ref="T20:U20"/>
    <mergeCell ref="C21:D21"/>
    <mergeCell ref="K21:L21"/>
    <mergeCell ref="M21:O21"/>
    <mergeCell ref="P21:Q21"/>
    <mergeCell ref="R21:S21"/>
    <mergeCell ref="T21:U21"/>
    <mergeCell ref="C22:D22"/>
    <mergeCell ref="K22:L22"/>
    <mergeCell ref="M22:O22"/>
    <mergeCell ref="P22:Q22"/>
    <mergeCell ref="R22:S22"/>
    <mergeCell ref="T22:U22"/>
    <mergeCell ref="C23:D23"/>
    <mergeCell ref="K23:L23"/>
    <mergeCell ref="M23:O23"/>
    <mergeCell ref="P23:Q23"/>
    <mergeCell ref="R23:S23"/>
    <mergeCell ref="T23:U23"/>
    <mergeCell ref="C24:D24"/>
    <mergeCell ref="K24:L24"/>
    <mergeCell ref="M24:O24"/>
    <mergeCell ref="P24:Q24"/>
    <mergeCell ref="R24:S24"/>
    <mergeCell ref="T24:U24"/>
    <mergeCell ref="C25:D25"/>
    <mergeCell ref="K25:L25"/>
    <mergeCell ref="M25:O25"/>
    <mergeCell ref="P25:Q25"/>
    <mergeCell ref="R25:S25"/>
    <mergeCell ref="T25:U25"/>
    <mergeCell ref="C26:D26"/>
    <mergeCell ref="K26:L26"/>
    <mergeCell ref="M26:O26"/>
    <mergeCell ref="P26:Q26"/>
    <mergeCell ref="R26:S26"/>
    <mergeCell ref="T26:U26"/>
    <mergeCell ref="C27:D27"/>
    <mergeCell ref="K27:L27"/>
    <mergeCell ref="M27:O27"/>
    <mergeCell ref="P27:Q27"/>
    <mergeCell ref="R27:S27"/>
    <mergeCell ref="T27:U27"/>
    <mergeCell ref="C28:D28"/>
    <mergeCell ref="K28:L28"/>
    <mergeCell ref="M28:O28"/>
    <mergeCell ref="P28:Q28"/>
    <mergeCell ref="R28:S28"/>
    <mergeCell ref="T28:U28"/>
    <mergeCell ref="D29:AJ29"/>
    <mergeCell ref="L30:N30"/>
    <mergeCell ref="P30:Q30"/>
    <mergeCell ref="R30:S30"/>
    <mergeCell ref="T30:U30"/>
  </mergeCells>
  <pageMargins left="0" right="0" top="0" bottom="0" header="0" footer="0"/>
  <pageSetup orientation="landscape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Q12"/>
  <sheetViews>
    <sheetView workbookViewId="0" zoomScale="130" zoomScaleNormal="130">
      <selection activeCell="AA9" sqref="AA9"/>
    </sheetView>
  </sheetViews>
  <sheetFormatPr defaultRowHeight="15" outlineLevelRow="0" outlineLevelCol="0" x14ac:dyDescent="0.25" defaultColWidth="9.140625"/>
  <cols>
    <col min="1" max="1" width="0.140625" style="31" customWidth="1"/>
    <col min="2" max="2" width="8.7109375" style="31" customWidth="1"/>
    <col min="3" max="3" width="6.7109375" style="31" customWidth="1"/>
    <col min="4" max="4" width="9.28515625" style="31" customWidth="1"/>
    <col min="5" max="5" width="10.140625" style="31" customWidth="1"/>
    <col min="6" max="6" width="0.140625" style="31" customWidth="1"/>
    <col min="7" max="7" width="35.28515625" style="31" customWidth="1"/>
    <col min="8" max="8" width="7.140625" style="31" customWidth="1"/>
    <col min="9" max="9" width="8.140625" style="31" customWidth="1"/>
    <col min="10" max="10" width="9" style="31" customWidth="1"/>
    <col min="11" max="11" width="22.42578125" style="31" customWidth="1"/>
    <col min="12" max="12" width="9.28515625" style="31" customWidth="1"/>
    <col min="13" max="13" width="30.140625" style="31" customWidth="1"/>
    <col min="14" max="14" width="8.42578125" style="31" customWidth="1"/>
    <col min="15" max="15" width="7.42578125" style="31" customWidth="1"/>
    <col min="16" max="16" width="8.42578125" style="31" customWidth="1"/>
    <col min="17" max="17" width="1.7109375" style="31" customWidth="1"/>
    <col min="18" max="18" width="6.28515625" style="31" customWidth="1"/>
    <col min="19" max="19" width="0.7109375" style="31" customWidth="1"/>
    <col min="20" max="20" width="29.42578125" style="31" customWidth="1"/>
    <col min="21" max="21" width="12.140625" style="31" customWidth="1"/>
    <col min="22" max="22" width="7.28515625" style="31" customWidth="1"/>
    <col min="23" max="23" width="8.140625" style="31" customWidth="1"/>
    <col min="24" max="24" width="7.28515625" style="31" customWidth="1"/>
    <col min="25" max="25" width="7.85546875" style="31" customWidth="1"/>
    <col min="26" max="26" width="7.28515625" style="31" customWidth="1"/>
    <col min="27" max="27" width="7.85546875" style="31" customWidth="1"/>
    <col min="28" max="28" width="3" style="31" customWidth="1"/>
    <col min="29" max="29" width="4.140625" style="31" customWidth="1"/>
    <col min="30" max="30" width="4.28515625" style="31" customWidth="1"/>
    <col min="31" max="31" width="3.42578125" style="31" customWidth="1"/>
    <col min="32" max="32" width="8.28515625" style="31" customWidth="1"/>
    <col min="33" max="33" width="8.7109375" style="31" customWidth="1"/>
    <col min="34" max="34" width="7.140625" style="31" customWidth="1"/>
    <col min="35" max="35" width="1.42578125" style="31" customWidth="1"/>
    <col min="36" max="36" width="8.28515625" style="31" customWidth="1"/>
    <col min="37" max="37" width="8.42578125" style="31" customWidth="1"/>
    <col min="38" max="38" width="11.140625" style="31" customWidth="1"/>
    <col min="39" max="39" width="8" style="31" customWidth="1"/>
    <col min="40" max="41" width="8.42578125" style="31" customWidth="1"/>
    <col min="42" max="42" width="13.42578125" style="31" customWidth="1"/>
    <col min="43" max="16384" width="9.140625" style="31" customWidth="1"/>
  </cols>
  <sheetData>
    <row r="1" ht="15" customHeight="1" spans="1:43" x14ac:dyDescent="0.25">
      <c r="A1" s="3"/>
      <c r="B1" s="32" t="s">
        <v>0</v>
      </c>
      <c r="C1" s="33"/>
      <c r="D1" s="33"/>
      <c r="E1" s="33"/>
      <c r="F1" s="34" t="s">
        <v>403</v>
      </c>
      <c r="G1" s="35"/>
      <c r="H1" s="35"/>
      <c r="I1" s="35"/>
      <c r="J1" s="35"/>
      <c r="K1" s="35"/>
      <c r="L1" s="35"/>
      <c r="M1" s="35"/>
      <c r="N1" s="35"/>
      <c r="O1" s="35"/>
      <c r="P1" s="35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</row>
    <row r="2" ht="15" customHeight="1" spans="1:43" x14ac:dyDescent="0.25">
      <c r="A2" s="3"/>
      <c r="B2" s="4" t="s">
        <v>5</v>
      </c>
      <c r="C2" s="5"/>
      <c r="D2" s="5"/>
      <c r="E2" s="5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4" t="s">
        <v>6</v>
      </c>
      <c r="AD2" s="5"/>
      <c r="AE2" s="11">
        <v>46099.84956017361</v>
      </c>
      <c r="AF2" s="12"/>
      <c r="AG2" s="12"/>
      <c r="AH2" s="12"/>
      <c r="AI2" s="3"/>
      <c r="AJ2" s="3"/>
      <c r="AK2" s="3"/>
      <c r="AL2" s="3"/>
      <c r="AM2" s="3"/>
      <c r="AN2" s="3"/>
      <c r="AO2" s="3"/>
      <c r="AP2" s="3"/>
      <c r="AQ2" s="3"/>
    </row>
    <row r="3" ht="14.1" customHeight="1" spans="1:43" x14ac:dyDescent="0.25">
      <c r="A3" s="3"/>
      <c r="B3" s="13" t="s">
        <v>13</v>
      </c>
      <c r="C3" s="14"/>
      <c r="D3" s="14"/>
      <c r="E3" s="14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</row>
    <row r="4" ht="0.95" customHeight="1" spans="1:43" x14ac:dyDescent="0.25">
      <c r="A4" s="3"/>
      <c r="B4" s="14"/>
      <c r="C4" s="14"/>
      <c r="D4" s="14"/>
      <c r="E4" s="14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13" t="s">
        <v>404</v>
      </c>
      <c r="AD4" s="14"/>
      <c r="AE4" s="14"/>
      <c r="AF4" s="14"/>
      <c r="AG4" s="14"/>
      <c r="AH4" s="14"/>
      <c r="AI4" s="3"/>
      <c r="AJ4" s="3"/>
      <c r="AK4" s="3"/>
      <c r="AL4" s="3"/>
      <c r="AM4" s="3"/>
      <c r="AN4" s="3"/>
      <c r="AO4" s="3"/>
      <c r="AP4" s="3"/>
      <c r="AQ4" s="3"/>
    </row>
    <row r="5" ht="14.1" customHeight="1" spans="1:43" x14ac:dyDescent="0.25">
      <c r="A5" s="13" t="s">
        <v>12</v>
      </c>
      <c r="B5" s="14"/>
      <c r="C5" s="14"/>
      <c r="D5" s="14"/>
      <c r="E5" s="14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14"/>
      <c r="AD5" s="14"/>
      <c r="AE5" s="14"/>
      <c r="AF5" s="14"/>
      <c r="AG5" s="14"/>
      <c r="AH5" s="14"/>
      <c r="AI5" s="3"/>
      <c r="AJ5" s="3"/>
      <c r="AK5" s="3"/>
      <c r="AL5" s="3"/>
      <c r="AM5" s="3"/>
      <c r="AN5" s="3"/>
      <c r="AO5" s="3"/>
      <c r="AP5" s="3"/>
      <c r="AQ5" s="3"/>
    </row>
    <row r="6" ht="0.95" customHeight="1" spans="1:43" x14ac:dyDescent="0.25">
      <c r="A6" s="14"/>
      <c r="B6" s="14"/>
      <c r="C6" s="14"/>
      <c r="D6" s="14"/>
      <c r="E6" s="14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</row>
    <row r="7" ht="14.1" customHeight="1" spans="1:43" x14ac:dyDescent="0.25">
      <c r="A7" s="18" t="s">
        <v>405</v>
      </c>
      <c r="B7" s="19"/>
      <c r="C7" s="18" t="s">
        <v>15</v>
      </c>
      <c r="D7" s="18" t="s">
        <v>406</v>
      </c>
      <c r="E7" s="18" t="s">
        <v>407</v>
      </c>
      <c r="F7" s="19"/>
      <c r="G7" s="36" t="s">
        <v>44</v>
      </c>
      <c r="H7" s="18" t="s">
        <v>18</v>
      </c>
      <c r="I7" s="18" t="s">
        <v>408</v>
      </c>
      <c r="J7" s="18" t="s">
        <v>409</v>
      </c>
      <c r="K7" s="18" t="s">
        <v>19</v>
      </c>
      <c r="L7" s="18" t="s">
        <v>20</v>
      </c>
      <c r="M7" s="19"/>
      <c r="N7" s="18" t="s">
        <v>410</v>
      </c>
      <c r="O7" s="18" t="s">
        <v>411</v>
      </c>
      <c r="P7" s="18" t="s">
        <v>412</v>
      </c>
      <c r="Q7" s="19"/>
      <c r="R7" s="18" t="s">
        <v>413</v>
      </c>
      <c r="S7" s="19"/>
      <c r="T7" s="18" t="s">
        <v>23</v>
      </c>
      <c r="U7" s="18" t="s">
        <v>24</v>
      </c>
      <c r="V7" s="18" t="s">
        <v>25</v>
      </c>
      <c r="W7" s="18" t="s">
        <v>26</v>
      </c>
      <c r="X7" s="18" t="s">
        <v>27</v>
      </c>
      <c r="Y7" s="18" t="s">
        <v>28</v>
      </c>
      <c r="Z7" s="18" t="s">
        <v>29</v>
      </c>
      <c r="AA7" s="18" t="s">
        <v>30</v>
      </c>
      <c r="AB7" s="18" t="s">
        <v>31</v>
      </c>
      <c r="AC7" s="19"/>
      <c r="AD7" s="18" t="s">
        <v>32</v>
      </c>
      <c r="AE7" s="19"/>
      <c r="AF7" s="18" t="s">
        <v>33</v>
      </c>
      <c r="AG7" s="18" t="s">
        <v>35</v>
      </c>
      <c r="AH7" s="18" t="s">
        <v>414</v>
      </c>
      <c r="AI7" s="19"/>
      <c r="AJ7" s="18" t="s">
        <v>415</v>
      </c>
      <c r="AK7" s="18" t="s">
        <v>37</v>
      </c>
      <c r="AL7" s="18" t="s">
        <v>416</v>
      </c>
      <c r="AM7" s="18" t="s">
        <v>39</v>
      </c>
      <c r="AN7" s="18" t="s">
        <v>40</v>
      </c>
      <c r="AO7" s="18" t="s">
        <v>43</v>
      </c>
      <c r="AP7" s="18" t="s">
        <v>45</v>
      </c>
      <c r="AQ7" s="3"/>
    </row>
    <row r="8" ht="12" customHeight="1" spans="1:43" x14ac:dyDescent="0.25">
      <c r="A8" s="3"/>
      <c r="B8" s="20" t="s">
        <v>46</v>
      </c>
      <c r="C8" s="20" t="s">
        <v>444</v>
      </c>
      <c r="D8" s="20" t="s">
        <v>538</v>
      </c>
      <c r="E8" s="20" t="s">
        <v>452</v>
      </c>
      <c r="F8" s="20" t="s">
        <v>539</v>
      </c>
      <c r="G8" s="20"/>
      <c r="H8" s="20" t="s">
        <v>446</v>
      </c>
      <c r="I8" s="20" t="s">
        <v>540</v>
      </c>
      <c r="J8" s="20" t="s">
        <v>541</v>
      </c>
      <c r="K8" s="20" t="s">
        <v>420</v>
      </c>
      <c r="L8" s="20" t="s">
        <v>542</v>
      </c>
      <c r="M8" s="20"/>
      <c r="N8" s="37">
        <v>46053.769398136574</v>
      </c>
      <c r="O8" s="20">
        <v>23</v>
      </c>
      <c r="P8" s="20" t="s">
        <v>189</v>
      </c>
      <c r="Q8" s="20"/>
      <c r="R8" s="20" t="s">
        <v>448</v>
      </c>
      <c r="S8" s="20"/>
      <c r="T8" s="20" t="s">
        <v>543</v>
      </c>
      <c r="U8" s="23" t="s">
        <v>46</v>
      </c>
      <c r="V8" s="22" t="s">
        <v>2</v>
      </c>
      <c r="W8" s="38">
        <v>20</v>
      </c>
      <c r="X8" s="38">
        <v>0</v>
      </c>
      <c r="Y8" s="38">
        <v>20</v>
      </c>
      <c r="Z8" s="38">
        <v>0</v>
      </c>
      <c r="AA8" s="38">
        <v>20</v>
      </c>
      <c r="AB8" s="38">
        <v>0</v>
      </c>
      <c r="AC8" s="38"/>
      <c r="AD8" s="38">
        <v>3</v>
      </c>
      <c r="AE8" s="38"/>
      <c r="AF8" s="38">
        <v>0</v>
      </c>
      <c r="AG8" s="38">
        <v>0</v>
      </c>
      <c r="AH8" s="38">
        <v>0</v>
      </c>
      <c r="AI8" s="38"/>
      <c r="AJ8" s="38">
        <v>23</v>
      </c>
      <c r="AK8" s="38">
        <v>0</v>
      </c>
      <c r="AL8" s="39"/>
      <c r="AM8" s="38">
        <v>11.35</v>
      </c>
      <c r="AN8" s="38">
        <v>11.65</v>
      </c>
      <c r="AO8" s="20" t="s">
        <v>544</v>
      </c>
      <c r="AP8" s="23" t="s">
        <v>58</v>
      </c>
      <c r="AQ8" s="3"/>
    </row>
    <row r="9" ht="11.1" customHeight="1" spans="1:43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40" t="s">
        <v>400</v>
      </c>
      <c r="N9" s="41"/>
      <c r="O9" s="41"/>
      <c r="P9" s="41"/>
      <c r="Q9" s="41"/>
      <c r="R9" s="41"/>
      <c r="S9" s="3"/>
      <c r="T9" s="3"/>
      <c r="U9" s="3"/>
      <c r="V9" s="42">
        <f>SUM(V8:V8)</f>
        <v>1</v>
      </c>
      <c r="W9" s="43">
        <f>SUM(W8:W8)</f>
        <v>20</v>
      </c>
      <c r="X9" s="44">
        <f>SUM(X8:X8)</f>
        <v>0</v>
      </c>
      <c r="Y9" s="43">
        <f>SUM(Y8:Y8)</f>
        <v>20</v>
      </c>
      <c r="Z9" s="43">
        <f>SUM(Z8:Z8)</f>
        <v>0</v>
      </c>
      <c r="AA9" s="43">
        <f>SUM(AA8:AA8)</f>
        <v>20</v>
      </c>
      <c r="AB9" s="43">
        <f>SUM(AB8:AB8)</f>
        <v>0</v>
      </c>
      <c r="AC9" s="45"/>
      <c r="AD9" s="43">
        <f>SUM(AD8:AD8)</f>
        <v>3</v>
      </c>
      <c r="AE9" s="45"/>
      <c r="AF9" s="46"/>
      <c r="AG9" s="43">
        <f>SUM(AG8:AG8)</f>
        <v>0</v>
      </c>
      <c r="AH9" s="47">
        <f>SUM(AH8:AH8)</f>
        <v>0</v>
      </c>
      <c r="AI9" s="48"/>
      <c r="AJ9" s="43">
        <f>SUM(AJ8:AJ8)</f>
        <v>23</v>
      </c>
      <c r="AK9" s="43">
        <f>SUM(AK8:AK8)</f>
        <v>0</v>
      </c>
      <c r="AL9" s="42"/>
      <c r="AM9" s="43">
        <f>SUM(AM8:AM8)</f>
        <v>11.35</v>
      </c>
      <c r="AN9" s="43">
        <f>SUM(AN8:AN8)</f>
        <v>11.65</v>
      </c>
      <c r="AO9" s="3"/>
      <c r="AP9" s="3"/>
      <c r="AQ9" s="3"/>
    </row>
    <row r="10" spans="1:42" x14ac:dyDescent="0.25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 t="s">
        <v>402</v>
      </c>
      <c r="W10" s="31">
        <f>+'MY REP PEUG'!H29</f>
        <v>20</v>
      </c>
      <c r="X10" s="31">
        <f>+'MY REP PEUG'!I25</f>
        <v>0</v>
      </c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</row>
    <row r="11" spans="1:14" x14ac:dyDescent="0.25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</row>
    <row r="12" spans="1:14" x14ac:dyDescent="0.25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</row>
  </sheetData>
  <mergeCells count="27">
    <mergeCell ref="B1:E1"/>
    <mergeCell ref="F1:P1"/>
    <mergeCell ref="B2:E2"/>
    <mergeCell ref="AC2:AD2"/>
    <mergeCell ref="AE2:AH2"/>
    <mergeCell ref="B3:E4"/>
    <mergeCell ref="AC4:AH5"/>
    <mergeCell ref="A5:E6"/>
    <mergeCell ref="A7:B7"/>
    <mergeCell ref="E7:F7"/>
    <mergeCell ref="L7:M7"/>
    <mergeCell ref="P7:Q7"/>
    <mergeCell ref="R7:S7"/>
    <mergeCell ref="AB7:AC7"/>
    <mergeCell ref="AD7:AE7"/>
    <mergeCell ref="AH7:AI7"/>
    <mergeCell ref="F8:G8"/>
    <mergeCell ref="L8:M8"/>
    <mergeCell ref="P8:Q8"/>
    <mergeCell ref="R8:S8"/>
    <mergeCell ref="AB8:AC8"/>
    <mergeCell ref="AD8:AE8"/>
    <mergeCell ref="AH8:AI8"/>
    <mergeCell ref="M9:R9"/>
    <mergeCell ref="AB9:AC9"/>
    <mergeCell ref="AD9:AE9"/>
    <mergeCell ref="AH9:AI9"/>
  </mergeCells>
  <pageMargins left="0" right="0" top="0" bottom="0" header="0" footer="0"/>
  <pageSetup orientation="landscape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workbookViewId="0" zoomScale="100" zoomScaleNormal="100">
      <selection activeCell="F30" sqref="F30"/>
    </sheetView>
  </sheetViews>
  <sheetFormatPr defaultRowHeight="15" outlineLevelRow="0" outlineLevelCol="0" x14ac:dyDescent="0.25"/>
  <cols>
    <col min="1" max="1" width="15.28515625" customWidth="1"/>
    <col min="2" max="2" width="44" customWidth="1"/>
    <col min="3" max="3" width="4.7109375" customWidth="1"/>
    <col min="5" max="5" width="6.7109375" customWidth="1"/>
  </cols>
  <sheetData>
    <row r="1" spans="1:10" x14ac:dyDescent="0.25">
      <c r="A1" t="s">
        <v>423</v>
      </c>
      <c r="B1" t="s">
        <v>424</v>
      </c>
      <c r="C1" t="s">
        <v>425</v>
      </c>
      <c r="D1" t="s">
        <v>16</v>
      </c>
      <c r="E1" t="s">
        <v>426</v>
      </c>
      <c r="F1" t="s">
        <v>427</v>
      </c>
      <c r="G1" t="s">
        <v>428</v>
      </c>
      <c r="H1" t="s">
        <v>429</v>
      </c>
      <c r="I1" t="s">
        <v>336</v>
      </c>
      <c r="J1" t="s">
        <v>38</v>
      </c>
    </row>
    <row r="2" spans="1:10" x14ac:dyDescent="0.25">
      <c r="A2" t="s">
        <v>545</v>
      </c>
      <c r="B2" t="s">
        <v>546</v>
      </c>
      <c r="C2" t="s">
        <v>432</v>
      </c>
      <c r="D2" s="49">
        <v>46059.20833333333</v>
      </c>
      <c r="E2" t="s">
        <v>433</v>
      </c>
      <c r="F2" t="s">
        <v>451</v>
      </c>
      <c r="G2" t="s">
        <v>547</v>
      </c>
      <c r="H2">
        <v>0</v>
      </c>
      <c r="I2">
        <v>20</v>
      </c>
      <c r="J2" s="50">
        <v>-1821.32</v>
      </c>
    </row>
    <row r="3" spans="1:10" x14ac:dyDescent="0.25">
      <c r="A3" t="s">
        <v>545</v>
      </c>
      <c r="B3" t="s">
        <v>546</v>
      </c>
      <c r="C3" t="s">
        <v>432</v>
      </c>
      <c r="D3" s="49">
        <v>46064.20833333333</v>
      </c>
      <c r="E3" t="s">
        <v>433</v>
      </c>
      <c r="F3" t="s">
        <v>458</v>
      </c>
      <c r="G3" t="s">
        <v>547</v>
      </c>
      <c r="H3">
        <v>0</v>
      </c>
      <c r="I3">
        <v>290.06</v>
      </c>
      <c r="J3" s="50">
        <v>-2111.38</v>
      </c>
    </row>
    <row r="4" spans="1:10" x14ac:dyDescent="0.25">
      <c r="A4" t="s">
        <v>545</v>
      </c>
      <c r="B4" t="s">
        <v>546</v>
      </c>
      <c r="C4" t="s">
        <v>432</v>
      </c>
      <c r="D4" s="49">
        <v>46066.20833333333</v>
      </c>
      <c r="E4" t="s">
        <v>433</v>
      </c>
      <c r="F4" t="s">
        <v>464</v>
      </c>
      <c r="G4" t="s">
        <v>547</v>
      </c>
      <c r="H4">
        <v>0</v>
      </c>
      <c r="I4" s="50">
        <v>1299.56</v>
      </c>
      <c r="J4" s="50">
        <v>-3410.94</v>
      </c>
    </row>
    <row r="5" spans="1:10" x14ac:dyDescent="0.25">
      <c r="A5" t="s">
        <v>545</v>
      </c>
      <c r="B5" t="s">
        <v>546</v>
      </c>
      <c r="C5" t="s">
        <v>432</v>
      </c>
      <c r="D5" s="49">
        <v>46072.20833333333</v>
      </c>
      <c r="E5" t="s">
        <v>433</v>
      </c>
      <c r="F5" t="s">
        <v>475</v>
      </c>
      <c r="G5" t="s">
        <v>547</v>
      </c>
      <c r="H5">
        <v>0</v>
      </c>
      <c r="I5">
        <v>360.87</v>
      </c>
      <c r="J5" s="50">
        <v>-3771.81</v>
      </c>
    </row>
    <row r="6" spans="1:10" x14ac:dyDescent="0.25">
      <c r="A6" t="s">
        <v>545</v>
      </c>
      <c r="B6" t="s">
        <v>546</v>
      </c>
      <c r="C6" t="s">
        <v>432</v>
      </c>
      <c r="D6" s="49">
        <v>46077.20833333333</v>
      </c>
      <c r="E6" t="s">
        <v>433</v>
      </c>
      <c r="F6" t="s">
        <v>480</v>
      </c>
      <c r="G6" t="s">
        <v>547</v>
      </c>
      <c r="H6">
        <v>0</v>
      </c>
      <c r="I6">
        <v>201.34</v>
      </c>
      <c r="J6" s="50">
        <v>-3973.15</v>
      </c>
    </row>
    <row r="7" spans="1:10" x14ac:dyDescent="0.25">
      <c r="A7" t="s">
        <v>545</v>
      </c>
      <c r="B7" t="s">
        <v>546</v>
      </c>
      <c r="C7" t="s">
        <v>432</v>
      </c>
      <c r="D7" s="49">
        <v>46079.20833333333</v>
      </c>
      <c r="E7" t="s">
        <v>433</v>
      </c>
      <c r="F7" t="s">
        <v>485</v>
      </c>
      <c r="G7" t="s">
        <v>547</v>
      </c>
      <c r="H7">
        <v>0</v>
      </c>
      <c r="I7">
        <v>195.88</v>
      </c>
      <c r="J7" s="50">
        <v>-4169.03</v>
      </c>
    </row>
    <row r="8" spans="1:10" x14ac:dyDescent="0.25">
      <c r="A8" t="s">
        <v>545</v>
      </c>
      <c r="B8" t="s">
        <v>546</v>
      </c>
      <c r="C8" t="s">
        <v>432</v>
      </c>
      <c r="D8" s="49">
        <v>46080.20833333333</v>
      </c>
      <c r="E8" t="s">
        <v>433</v>
      </c>
      <c r="F8" t="s">
        <v>495</v>
      </c>
      <c r="G8" t="s">
        <v>547</v>
      </c>
      <c r="H8">
        <v>0</v>
      </c>
      <c r="I8">
        <v>137.29</v>
      </c>
      <c r="J8" s="50">
        <v>-4306.32</v>
      </c>
    </row>
    <row r="9" spans="1:10" x14ac:dyDescent="0.25">
      <c r="A9" t="s">
        <v>548</v>
      </c>
      <c r="B9" t="s">
        <v>549</v>
      </c>
      <c r="C9" t="s">
        <v>432</v>
      </c>
      <c r="D9" s="49">
        <v>46063.20833333333</v>
      </c>
      <c r="E9" t="s">
        <v>433</v>
      </c>
      <c r="F9" t="s">
        <v>501</v>
      </c>
      <c r="G9" t="s">
        <v>547</v>
      </c>
      <c r="H9">
        <v>0</v>
      </c>
      <c r="I9" s="50">
        <v>3364.42</v>
      </c>
      <c r="J9" s="50">
        <v>-3454.94</v>
      </c>
    </row>
    <row r="10" spans="1:10" x14ac:dyDescent="0.25">
      <c r="A10" t="s">
        <v>548</v>
      </c>
      <c r="B10" t="s">
        <v>549</v>
      </c>
      <c r="C10" t="s">
        <v>432</v>
      </c>
      <c r="D10" s="49">
        <v>46065.20833333333</v>
      </c>
      <c r="E10" t="s">
        <v>433</v>
      </c>
      <c r="F10" t="s">
        <v>511</v>
      </c>
      <c r="G10" t="s">
        <v>547</v>
      </c>
      <c r="H10">
        <v>0</v>
      </c>
      <c r="I10" s="50">
        <v>540.46</v>
      </c>
      <c r="J10" s="50">
        <v>-3995.4</v>
      </c>
    </row>
    <row r="11" spans="1:10" x14ac:dyDescent="0.25">
      <c r="A11" t="s">
        <v>548</v>
      </c>
      <c r="B11" t="s">
        <v>549</v>
      </c>
      <c r="C11" t="s">
        <v>432</v>
      </c>
      <c r="D11" s="49">
        <v>46071.20833333333</v>
      </c>
      <c r="E11" t="s">
        <v>433</v>
      </c>
      <c r="F11" t="s">
        <v>515</v>
      </c>
      <c r="G11" t="s">
        <v>547</v>
      </c>
      <c r="H11">
        <v>0</v>
      </c>
      <c r="I11">
        <v>1651.11</v>
      </c>
      <c r="J11" s="50">
        <v>-5646.51</v>
      </c>
    </row>
    <row r="12" spans="1:10" x14ac:dyDescent="0.25">
      <c r="A12" t="s">
        <v>548</v>
      </c>
      <c r="B12" t="s">
        <v>549</v>
      </c>
      <c r="C12" t="s">
        <v>432</v>
      </c>
      <c r="D12" s="49">
        <v>46076.20833333333</v>
      </c>
      <c r="E12" t="s">
        <v>433</v>
      </c>
      <c r="F12" t="s">
        <v>520</v>
      </c>
      <c r="G12" t="s">
        <v>547</v>
      </c>
      <c r="H12">
        <v>0</v>
      </c>
      <c r="I12">
        <v>47</v>
      </c>
      <c r="J12" s="50">
        <v>-5693.51</v>
      </c>
    </row>
    <row r="13" spans="1:10" x14ac:dyDescent="0.25">
      <c r="A13" t="s">
        <v>548</v>
      </c>
      <c r="B13" t="s">
        <v>549</v>
      </c>
      <c r="C13" t="s">
        <v>432</v>
      </c>
      <c r="D13" s="49">
        <v>46078.20833333333</v>
      </c>
      <c r="E13" t="s">
        <v>433</v>
      </c>
      <c r="F13" t="s">
        <v>526</v>
      </c>
      <c r="G13" t="s">
        <v>547</v>
      </c>
      <c r="H13">
        <v>0</v>
      </c>
      <c r="I13">
        <v>1408.74</v>
      </c>
      <c r="J13" s="50">
        <v>-7102.25</v>
      </c>
    </row>
    <row r="14" spans="1:10" x14ac:dyDescent="0.25">
      <c r="A14" t="s">
        <v>548</v>
      </c>
      <c r="B14" t="s">
        <v>549</v>
      </c>
      <c r="C14" t="s">
        <v>432</v>
      </c>
      <c r="D14" s="49">
        <v>46080.20833333333</v>
      </c>
      <c r="E14" t="s">
        <v>433</v>
      </c>
      <c r="F14" t="s">
        <v>495</v>
      </c>
      <c r="G14" t="s">
        <v>547</v>
      </c>
      <c r="H14">
        <v>0</v>
      </c>
      <c r="I14" s="50">
        <v>6149.71</v>
      </c>
      <c r="J14" s="50">
        <v>-13251.96</v>
      </c>
    </row>
    <row r="15" spans="1:10" x14ac:dyDescent="0.25">
      <c r="D15" s="49"/>
      <c r="J15" s="50"/>
    </row>
    <row r="16" spans="1:10" x14ac:dyDescent="0.25">
      <c r="D16" s="49"/>
      <c r="I16" s="50"/>
      <c r="J16" s="50"/>
    </row>
    <row r="17" spans="1:10" x14ac:dyDescent="0.25">
      <c r="D17" s="49"/>
      <c r="I17" s="50"/>
      <c r="J17" s="50"/>
    </row>
    <row r="18" spans="1:10" x14ac:dyDescent="0.25">
      <c r="D18" s="49"/>
      <c r="J18" s="50"/>
    </row>
    <row r="19" spans="4:10" x14ac:dyDescent="0.25">
      <c r="D19" s="49"/>
      <c r="H19">
        <f>SUM(H2:H18)</f>
        <v>0</v>
      </c>
      <c r="I19" s="51">
        <f>SUM(I2:I18)</f>
        <v>15666.44</v>
      </c>
      <c r="J19" s="50"/>
    </row>
    <row r="20" spans="4:10" x14ac:dyDescent="0.25">
      <c r="D20" s="49"/>
      <c r="J20" s="50"/>
    </row>
    <row r="21" spans="1:10" x14ac:dyDescent="0.25">
      <c r="A21" t="s">
        <v>550</v>
      </c>
      <c r="B21" t="s">
        <v>551</v>
      </c>
      <c r="C21" t="s">
        <v>432</v>
      </c>
      <c r="D21" s="49">
        <v>46064.20833333333</v>
      </c>
      <c r="E21" t="s">
        <v>433</v>
      </c>
      <c r="F21" t="s">
        <v>458</v>
      </c>
      <c r="G21" t="s">
        <v>547</v>
      </c>
      <c r="H21">
        <v>20.48</v>
      </c>
      <c r="I21">
        <v>0</v>
      </c>
      <c r="J21">
        <v>124.31</v>
      </c>
    </row>
    <row r="22" spans="1:10" x14ac:dyDescent="0.25">
      <c r="A22" t="s">
        <v>550</v>
      </c>
      <c r="B22" t="s">
        <v>551</v>
      </c>
      <c r="C22" t="s">
        <v>432</v>
      </c>
      <c r="D22" s="49">
        <v>46079.20833333333</v>
      </c>
      <c r="E22" t="s">
        <v>433</v>
      </c>
      <c r="F22" t="s">
        <v>485</v>
      </c>
      <c r="G22" t="s">
        <v>547</v>
      </c>
      <c r="H22">
        <v>18.55</v>
      </c>
      <c r="I22">
        <v>0</v>
      </c>
      <c r="J22">
        <v>142.86</v>
      </c>
    </row>
    <row r="23" spans="1:10" x14ac:dyDescent="0.25">
      <c r="A23" t="s">
        <v>552</v>
      </c>
      <c r="B23" t="s">
        <v>553</v>
      </c>
      <c r="C23" t="s">
        <v>432</v>
      </c>
      <c r="D23" s="49">
        <v>46063.20833333333</v>
      </c>
      <c r="E23" t="s">
        <v>433</v>
      </c>
      <c r="F23" t="s">
        <v>501</v>
      </c>
      <c r="G23" t="s">
        <v>547</v>
      </c>
      <c r="H23">
        <v>209.42</v>
      </c>
      <c r="I23">
        <v>0</v>
      </c>
      <c r="J23">
        <v>209.42</v>
      </c>
    </row>
    <row r="24" spans="1:10" x14ac:dyDescent="0.25">
      <c r="D24" s="49"/>
    </row>
    <row r="25" spans="4:9" x14ac:dyDescent="0.25">
      <c r="D25" s="49"/>
      <c r="H25" s="51">
        <f>SUM(H21:H24)</f>
        <v>248.45</v>
      </c>
      <c r="I25">
        <f>SUM(I21:I24)</f>
        <v>0</v>
      </c>
    </row>
    <row r="26" spans="4:4" x14ac:dyDescent="0.25">
      <c r="D26" s="49"/>
    </row>
    <row r="27" spans="4:4" x14ac:dyDescent="0.25">
      <c r="D27" s="49"/>
    </row>
    <row r="28" spans="1:10" x14ac:dyDescent="0.25">
      <c r="A28" t="s">
        <v>554</v>
      </c>
      <c r="B28" t="s">
        <v>555</v>
      </c>
      <c r="C28" t="s">
        <v>432</v>
      </c>
      <c r="D28" s="49">
        <v>46057.20833333333</v>
      </c>
      <c r="E28" t="s">
        <v>433</v>
      </c>
      <c r="F28" t="s">
        <v>544</v>
      </c>
      <c r="G28" t="s">
        <v>547</v>
      </c>
      <c r="H28">
        <v>20</v>
      </c>
      <c r="I28">
        <v>0</v>
      </c>
      <c r="J28">
        <v>20</v>
      </c>
    </row>
    <row r="29" spans="8:9" x14ac:dyDescent="0.25">
      <c r="H29">
        <f>SUM(H28:H28)</f>
        <v>20</v>
      </c>
      <c r="I29">
        <f>SUM(I28:I28)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O32"/>
  <sheetViews>
    <sheetView workbookViewId="0" zoomScale="130" zoomScaleNormal="130">
      <selection activeCell="X22" sqref="X22"/>
    </sheetView>
  </sheetViews>
  <sheetFormatPr defaultRowHeight="15" outlineLevelRow="0" outlineLevelCol="0" x14ac:dyDescent="0.25" defaultColWidth="9.140625"/>
  <cols>
    <col min="1" max="1" width="3.85546875" style="31" customWidth="1"/>
    <col min="2" max="2" width="10.42578125" style="31" customWidth="1"/>
    <col min="3" max="3" width="0.28515625" style="31" customWidth="1"/>
    <col min="4" max="4" width="9.28515625" style="31" customWidth="1"/>
    <col min="5" max="5" width="10.140625" style="31" customWidth="1"/>
    <col min="6" max="6" width="8.140625" style="31" customWidth="1"/>
    <col min="7" max="7" width="13.42578125" style="31" customWidth="1"/>
    <col min="8" max="8" width="38.42578125" style="31" customWidth="1"/>
    <col min="9" max="9" width="12.42578125" style="31" customWidth="1"/>
    <col min="10" max="10" width="8.140625" style="31" customWidth="1"/>
    <col min="11" max="11" width="12" style="31" customWidth="1"/>
    <col min="12" max="12" width="25.28515625" style="31" customWidth="1"/>
    <col min="13" max="13" width="2.85546875" style="31" customWidth="1"/>
    <col min="14" max="14" width="9.140625" style="31" customWidth="1"/>
    <col min="15" max="15" width="0.28515625" style="31" customWidth="1"/>
    <col min="16" max="16" width="11.85546875" style="31" customWidth="1"/>
    <col min="17" max="17" width="0.42578125" style="31" customWidth="1"/>
    <col min="18" max="18" width="4" style="31" customWidth="1"/>
    <col min="19" max="19" width="9.85546875" style="31" customWidth="1"/>
    <col min="20" max="20" width="4.7109375" style="31" customWidth="1"/>
    <col min="21" max="21" width="4.140625" style="31" customWidth="1"/>
    <col min="22" max="24" width="7" style="31" customWidth="1"/>
    <col min="25" max="25" width="7.140625" style="31" customWidth="1"/>
    <col min="26" max="30" width="7" style="31" customWidth="1"/>
    <col min="31" max="31" width="7.140625" style="31" customWidth="1"/>
    <col min="32" max="32" width="7.42578125" style="31" customWidth="1"/>
    <col min="33" max="34" width="6.7109375" style="31" customWidth="1"/>
    <col min="35" max="36" width="7" style="31" customWidth="1"/>
    <col min="37" max="37" width="13.28515625" style="31" customWidth="1"/>
    <col min="38" max="38" width="8.140625" style="31" customWidth="1"/>
    <col min="39" max="39" width="10" style="31" customWidth="1"/>
    <col min="40" max="40" width="13.7109375" style="31" customWidth="1"/>
    <col min="41" max="16384" width="9.140625" style="31" customWidth="1"/>
  </cols>
  <sheetData>
    <row r="1" ht="15" customHeight="1" spans="1:41" x14ac:dyDescent="0.25">
      <c r="A1" s="1" t="s">
        <v>0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4" t="s">
        <v>1</v>
      </c>
      <c r="O1" s="5"/>
      <c r="P1" s="6" t="s">
        <v>2</v>
      </c>
      <c r="Q1" s="7" t="s">
        <v>3</v>
      </c>
      <c r="R1" s="8"/>
      <c r="S1" s="4">
        <v>1</v>
      </c>
      <c r="T1" s="5"/>
      <c r="U1" s="3" t="s">
        <v>4</v>
      </c>
      <c r="V1" s="3" t="s">
        <v>4</v>
      </c>
      <c r="W1" s="3" t="s">
        <v>4</v>
      </c>
      <c r="X1" s="3" t="s">
        <v>4</v>
      </c>
      <c r="Y1" s="3" t="s">
        <v>4</v>
      </c>
      <c r="Z1" s="3" t="s">
        <v>4</v>
      </c>
      <c r="AA1" s="3" t="s">
        <v>4</v>
      </c>
      <c r="AB1" s="3" t="s">
        <v>4</v>
      </c>
      <c r="AC1" s="3" t="s">
        <v>4</v>
      </c>
      <c r="AD1" s="3" t="s">
        <v>4</v>
      </c>
      <c r="AE1" s="3" t="s">
        <v>4</v>
      </c>
      <c r="AF1" s="3" t="s">
        <v>4</v>
      </c>
      <c r="AG1" s="3" t="s">
        <v>4</v>
      </c>
      <c r="AH1" s="3" t="s">
        <v>4</v>
      </c>
      <c r="AI1" s="3" t="s">
        <v>4</v>
      </c>
      <c r="AJ1" s="3" t="s">
        <v>4</v>
      </c>
      <c r="AK1" s="3"/>
      <c r="AL1" s="3"/>
      <c r="AM1" s="3"/>
      <c r="AN1" s="3"/>
      <c r="AO1" s="3"/>
    </row>
    <row r="2" ht="15" customHeight="1" spans="1:41" x14ac:dyDescent="0.25">
      <c r="A2" s="4" t="s">
        <v>5</v>
      </c>
      <c r="B2" s="5"/>
      <c r="C2" s="5"/>
      <c r="D2" s="5"/>
      <c r="E2" s="5"/>
      <c r="F2" s="9"/>
      <c r="G2" s="10"/>
      <c r="H2" s="10"/>
      <c r="I2" s="10"/>
      <c r="J2" s="10"/>
      <c r="K2" s="10"/>
      <c r="L2" s="10"/>
      <c r="M2" s="10"/>
      <c r="N2" s="4" t="s">
        <v>6</v>
      </c>
      <c r="O2" s="5"/>
      <c r="P2" s="11" t="s">
        <v>556</v>
      </c>
      <c r="Q2" s="12"/>
      <c r="R2" s="12"/>
      <c r="S2" s="12"/>
      <c r="T2" s="12"/>
      <c r="U2" s="3" t="s">
        <v>4</v>
      </c>
      <c r="V2" s="3" t="s">
        <v>4</v>
      </c>
      <c r="W2" s="3" t="s">
        <v>4</v>
      </c>
      <c r="X2" s="3" t="s">
        <v>4</v>
      </c>
      <c r="Y2" s="3" t="s">
        <v>4</v>
      </c>
      <c r="Z2" s="3" t="s">
        <v>4</v>
      </c>
      <c r="AA2" s="3" t="s">
        <v>4</v>
      </c>
      <c r="AB2" s="3" t="s">
        <v>4</v>
      </c>
      <c r="AC2" s="3" t="s">
        <v>4</v>
      </c>
      <c r="AD2" s="3" t="s">
        <v>4</v>
      </c>
      <c r="AE2" s="3" t="s">
        <v>4</v>
      </c>
      <c r="AF2" s="3" t="s">
        <v>4</v>
      </c>
      <c r="AG2" s="3" t="s">
        <v>4</v>
      </c>
      <c r="AH2" s="3" t="s">
        <v>4</v>
      </c>
      <c r="AI2" s="3" t="s">
        <v>4</v>
      </c>
      <c r="AJ2" s="3" t="s">
        <v>4</v>
      </c>
      <c r="AK2" s="3"/>
      <c r="AL2" s="3"/>
      <c r="AM2" s="3"/>
      <c r="AN2" s="3"/>
      <c r="AO2" s="3"/>
    </row>
    <row r="3" ht="0.95" customHeight="1" spans="1:4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13" t="s">
        <v>8</v>
      </c>
      <c r="O3" s="14"/>
      <c r="P3" s="14"/>
      <c r="Q3" s="14"/>
      <c r="R3" s="14"/>
      <c r="S3" s="14"/>
      <c r="T3" s="14"/>
      <c r="U3" s="3" t="s">
        <v>4</v>
      </c>
      <c r="V3" s="3" t="s">
        <v>4</v>
      </c>
      <c r="W3" s="3" t="s">
        <v>4</v>
      </c>
      <c r="X3" s="3" t="s">
        <v>4</v>
      </c>
      <c r="Y3" s="3" t="s">
        <v>4</v>
      </c>
      <c r="Z3" s="3" t="s">
        <v>4</v>
      </c>
      <c r="AA3" s="3" t="s">
        <v>4</v>
      </c>
      <c r="AB3" s="3" t="s">
        <v>4</v>
      </c>
      <c r="AC3" s="3" t="s">
        <v>4</v>
      </c>
      <c r="AD3" s="3" t="s">
        <v>4</v>
      </c>
      <c r="AE3" s="3" t="s">
        <v>4</v>
      </c>
      <c r="AF3" s="3" t="s">
        <v>4</v>
      </c>
      <c r="AG3" s="3" t="s">
        <v>4</v>
      </c>
      <c r="AH3" s="3" t="s">
        <v>4</v>
      </c>
      <c r="AI3" s="3" t="s">
        <v>4</v>
      </c>
      <c r="AJ3" s="3" t="s">
        <v>4</v>
      </c>
      <c r="AK3" s="3"/>
      <c r="AL3" s="3"/>
      <c r="AM3" s="3"/>
      <c r="AN3" s="3"/>
      <c r="AO3" s="3"/>
    </row>
    <row r="4" ht="12" customHeight="1" spans="1:41" x14ac:dyDescent="0.25">
      <c r="A4" s="13" t="s">
        <v>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3" t="s">
        <v>4</v>
      </c>
      <c r="V4" s="3" t="s">
        <v>4</v>
      </c>
      <c r="W4" s="3" t="s">
        <v>4</v>
      </c>
      <c r="X4" s="3" t="s">
        <v>4</v>
      </c>
      <c r="Y4" s="3" t="s">
        <v>4</v>
      </c>
      <c r="Z4" s="3" t="s">
        <v>4</v>
      </c>
      <c r="AA4" s="3" t="s">
        <v>4</v>
      </c>
      <c r="AB4" s="3" t="s">
        <v>4</v>
      </c>
      <c r="AC4" s="3" t="s">
        <v>4</v>
      </c>
      <c r="AD4" s="3" t="s">
        <v>4</v>
      </c>
      <c r="AE4" s="3" t="s">
        <v>4</v>
      </c>
      <c r="AF4" s="3" t="s">
        <v>4</v>
      </c>
      <c r="AG4" s="3" t="s">
        <v>4</v>
      </c>
      <c r="AH4" s="3" t="s">
        <v>4</v>
      </c>
      <c r="AI4" s="3" t="s">
        <v>4</v>
      </c>
      <c r="AJ4" s="3" t="s">
        <v>4</v>
      </c>
      <c r="AK4" s="3"/>
      <c r="AL4" s="3"/>
      <c r="AM4" s="3"/>
      <c r="AN4" s="3"/>
      <c r="AO4" s="3"/>
    </row>
    <row r="5" ht="12.95" customHeight="1" spans="1:41" x14ac:dyDescent="0.25">
      <c r="A5" s="13" t="s">
        <v>10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3"/>
      <c r="O5" s="3"/>
      <c r="P5" s="15" t="s">
        <v>11</v>
      </c>
      <c r="Q5" s="16"/>
      <c r="R5" s="16"/>
      <c r="S5" s="16"/>
      <c r="T5" s="16"/>
      <c r="U5" s="3" t="s">
        <v>4</v>
      </c>
      <c r="V5" s="3" t="s">
        <v>4</v>
      </c>
      <c r="W5" s="3" t="s">
        <v>4</v>
      </c>
      <c r="X5" s="3" t="s">
        <v>4</v>
      </c>
      <c r="Y5" s="3" t="s">
        <v>4</v>
      </c>
      <c r="Z5" s="3" t="s">
        <v>4</v>
      </c>
      <c r="AA5" s="3" t="s">
        <v>4</v>
      </c>
      <c r="AB5" s="3" t="s">
        <v>4</v>
      </c>
      <c r="AC5" s="3" t="s">
        <v>4</v>
      </c>
      <c r="AD5" s="3" t="s">
        <v>4</v>
      </c>
      <c r="AE5" s="3" t="s">
        <v>4</v>
      </c>
      <c r="AF5" s="3" t="s">
        <v>4</v>
      </c>
      <c r="AG5" s="3" t="s">
        <v>4</v>
      </c>
      <c r="AH5" s="3" t="s">
        <v>4</v>
      </c>
      <c r="AI5" s="3" t="s">
        <v>4</v>
      </c>
      <c r="AJ5" s="3" t="s">
        <v>4</v>
      </c>
      <c r="AK5" s="3"/>
      <c r="AL5" s="3"/>
      <c r="AM5" s="3"/>
      <c r="AN5" s="3"/>
      <c r="AO5" s="3"/>
    </row>
    <row r="6" ht="0.95" customHeight="1" spans="1:41" x14ac:dyDescent="0.25">
      <c r="A6" s="3"/>
      <c r="B6" s="3"/>
      <c r="C6" s="3"/>
      <c r="D6" s="3"/>
      <c r="E6" s="3"/>
      <c r="F6" s="13" t="s">
        <v>12</v>
      </c>
      <c r="G6" s="14"/>
      <c r="H6" s="14"/>
      <c r="I6" s="14"/>
      <c r="J6" s="14"/>
      <c r="K6" s="14"/>
      <c r="L6" s="14"/>
      <c r="M6" s="14"/>
      <c r="N6" s="3"/>
      <c r="O6" s="3"/>
      <c r="P6" s="3"/>
      <c r="Q6" s="3" t="s">
        <v>4</v>
      </c>
      <c r="R6" s="3" t="s">
        <v>4</v>
      </c>
      <c r="S6" s="3" t="s">
        <v>4</v>
      </c>
      <c r="T6" s="3" t="s">
        <v>4</v>
      </c>
      <c r="U6" s="3" t="s">
        <v>4</v>
      </c>
      <c r="V6" s="3" t="s">
        <v>4</v>
      </c>
      <c r="W6" s="3" t="s">
        <v>4</v>
      </c>
      <c r="X6" s="3" t="s">
        <v>4</v>
      </c>
      <c r="Y6" s="3" t="s">
        <v>4</v>
      </c>
      <c r="Z6" s="3" t="s">
        <v>4</v>
      </c>
      <c r="AA6" s="3" t="s">
        <v>4</v>
      </c>
      <c r="AB6" s="3" t="s">
        <v>4</v>
      </c>
      <c r="AC6" s="3" t="s">
        <v>4</v>
      </c>
      <c r="AD6" s="3" t="s">
        <v>4</v>
      </c>
      <c r="AE6" s="3" t="s">
        <v>4</v>
      </c>
      <c r="AF6" s="3" t="s">
        <v>4</v>
      </c>
      <c r="AG6" s="3" t="s">
        <v>4</v>
      </c>
      <c r="AH6" s="3" t="s">
        <v>4</v>
      </c>
      <c r="AI6" s="3" t="s">
        <v>4</v>
      </c>
      <c r="AJ6" s="3" t="s">
        <v>4</v>
      </c>
      <c r="AK6" s="3"/>
      <c r="AL6" s="3"/>
      <c r="AM6" s="3"/>
      <c r="AN6" s="3"/>
      <c r="AO6" s="3"/>
    </row>
    <row r="7" ht="12" customHeight="1" spans="1:41" x14ac:dyDescent="0.25">
      <c r="A7" s="13" t="s">
        <v>13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3"/>
      <c r="O7" s="3"/>
      <c r="P7" s="3"/>
      <c r="Q7" s="3" t="s">
        <v>4</v>
      </c>
      <c r="R7" s="3" t="s">
        <v>4</v>
      </c>
      <c r="S7" s="3" t="s">
        <v>4</v>
      </c>
      <c r="T7" s="3" t="s">
        <v>4</v>
      </c>
      <c r="U7" s="3" t="s">
        <v>4</v>
      </c>
      <c r="V7" s="3" t="s">
        <v>4</v>
      </c>
      <c r="W7" s="3" t="s">
        <v>4</v>
      </c>
      <c r="X7" s="3" t="s">
        <v>4</v>
      </c>
      <c r="Y7" s="3" t="s">
        <v>4</v>
      </c>
      <c r="Z7" s="3" t="s">
        <v>4</v>
      </c>
      <c r="AA7" s="3" t="s">
        <v>4</v>
      </c>
      <c r="AB7" s="3" t="s">
        <v>4</v>
      </c>
      <c r="AC7" s="3" t="s">
        <v>4</v>
      </c>
      <c r="AD7" s="3" t="s">
        <v>4</v>
      </c>
      <c r="AE7" s="3" t="s">
        <v>4</v>
      </c>
      <c r="AF7" s="3" t="s">
        <v>4</v>
      </c>
      <c r="AG7" s="3" t="s">
        <v>4</v>
      </c>
      <c r="AH7" s="3" t="s">
        <v>4</v>
      </c>
      <c r="AI7" s="3" t="s">
        <v>4</v>
      </c>
      <c r="AJ7" s="3" t="s">
        <v>4</v>
      </c>
      <c r="AK7" s="3"/>
      <c r="AL7" s="3"/>
      <c r="AM7" s="3"/>
      <c r="AN7" s="3"/>
      <c r="AO7" s="3"/>
    </row>
    <row r="8" ht="0.95" customHeight="1" spans="1:41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3"/>
    </row>
    <row r="9" ht="12.95" customHeight="1" spans="1:41" x14ac:dyDescent="0.25">
      <c r="A9" s="18" t="s">
        <v>14</v>
      </c>
      <c r="B9" s="18" t="s">
        <v>15</v>
      </c>
      <c r="C9" s="18" t="s">
        <v>16</v>
      </c>
      <c r="D9" s="19"/>
      <c r="E9" s="18" t="s">
        <v>17</v>
      </c>
      <c r="F9" s="18" t="s">
        <v>18</v>
      </c>
      <c r="G9" s="18" t="s">
        <v>19</v>
      </c>
      <c r="H9" s="18" t="s">
        <v>20</v>
      </c>
      <c r="I9" s="18" t="s">
        <v>21</v>
      </c>
      <c r="J9" s="18" t="s">
        <v>22</v>
      </c>
      <c r="K9" s="18" t="s">
        <v>23</v>
      </c>
      <c r="L9" s="19"/>
      <c r="M9" s="18" t="s">
        <v>24</v>
      </c>
      <c r="N9" s="19"/>
      <c r="O9" s="19"/>
      <c r="P9" s="18" t="s">
        <v>25</v>
      </c>
      <c r="Q9" s="19"/>
      <c r="R9" s="18" t="s">
        <v>26</v>
      </c>
      <c r="S9" s="19"/>
      <c r="T9" s="18" t="s">
        <v>27</v>
      </c>
      <c r="U9" s="19"/>
      <c r="V9" s="18" t="s">
        <v>28</v>
      </c>
      <c r="W9" s="18" t="s">
        <v>29</v>
      </c>
      <c r="X9" s="18" t="s">
        <v>30</v>
      </c>
      <c r="Y9" s="18" t="s">
        <v>31</v>
      </c>
      <c r="Z9" s="18" t="s">
        <v>32</v>
      </c>
      <c r="AA9" s="18" t="s">
        <v>33</v>
      </c>
      <c r="AB9" s="18" t="s">
        <v>34</v>
      </c>
      <c r="AC9" s="18" t="s">
        <v>35</v>
      </c>
      <c r="AD9" s="18" t="s">
        <v>36</v>
      </c>
      <c r="AE9" s="18" t="s">
        <v>37</v>
      </c>
      <c r="AF9" s="18" t="s">
        <v>38</v>
      </c>
      <c r="AG9" s="18" t="s">
        <v>39</v>
      </c>
      <c r="AH9" s="18" t="s">
        <v>40</v>
      </c>
      <c r="AI9" s="18" t="s">
        <v>41</v>
      </c>
      <c r="AJ9" s="18" t="s">
        <v>39</v>
      </c>
      <c r="AK9" s="18" t="s">
        <v>42</v>
      </c>
      <c r="AL9" s="18" t="s">
        <v>43</v>
      </c>
      <c r="AM9" s="18" t="s">
        <v>44</v>
      </c>
      <c r="AN9" s="18" t="s">
        <v>45</v>
      </c>
      <c r="AO9" s="3"/>
    </row>
    <row r="10" ht="0.95" customHeight="1" spans="1:41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3"/>
    </row>
    <row r="11" ht="12.95" customHeight="1" spans="1:41" x14ac:dyDescent="0.25">
      <c r="A11" s="20" t="s">
        <v>46</v>
      </c>
      <c r="B11" s="20" t="s">
        <v>557</v>
      </c>
      <c r="C11" s="20" t="s">
        <v>64</v>
      </c>
      <c r="D11" s="21"/>
      <c r="E11" s="20" t="s">
        <v>558</v>
      </c>
      <c r="F11" s="22" t="s">
        <v>559</v>
      </c>
      <c r="G11" s="22" t="s">
        <v>51</v>
      </c>
      <c r="H11" s="22" t="s">
        <v>560</v>
      </c>
      <c r="I11" s="20" t="s">
        <v>159</v>
      </c>
      <c r="J11" s="23" t="s">
        <v>561</v>
      </c>
      <c r="K11" s="20" t="s">
        <v>562</v>
      </c>
      <c r="L11" s="21"/>
      <c r="M11" s="23" t="s">
        <v>46</v>
      </c>
      <c r="N11" s="24"/>
      <c r="O11" s="24"/>
      <c r="P11" s="22" t="s">
        <v>2</v>
      </c>
      <c r="Q11" s="25"/>
      <c r="R11" s="26">
        <v>21</v>
      </c>
      <c r="S11" s="25"/>
      <c r="T11" s="26">
        <v>1.05</v>
      </c>
      <c r="U11" s="25"/>
      <c r="V11" s="26">
        <v>19.95</v>
      </c>
      <c r="W11" s="26">
        <v>0</v>
      </c>
      <c r="X11" s="26">
        <v>19.95</v>
      </c>
      <c r="Y11" s="26">
        <v>0</v>
      </c>
      <c r="Z11" s="26">
        <v>2.99</v>
      </c>
      <c r="AA11" s="26">
        <v>0</v>
      </c>
      <c r="AB11" s="26">
        <v>0</v>
      </c>
      <c r="AC11" s="26">
        <v>0</v>
      </c>
      <c r="AD11" s="26">
        <v>22.94</v>
      </c>
      <c r="AE11" s="26">
        <v>0</v>
      </c>
      <c r="AF11" s="26">
        <v>0</v>
      </c>
      <c r="AG11" s="26">
        <v>10.665</v>
      </c>
      <c r="AH11" s="26">
        <v>9.285001</v>
      </c>
      <c r="AI11" s="26">
        <v>46.54136</v>
      </c>
      <c r="AJ11" s="26">
        <v>87.060486</v>
      </c>
      <c r="AK11" s="22" t="s">
        <v>563</v>
      </c>
      <c r="AL11" s="22" t="s">
        <v>564</v>
      </c>
      <c r="AM11" s="20" t="s">
        <v>565</v>
      </c>
      <c r="AN11" s="23" t="s">
        <v>58</v>
      </c>
      <c r="AO11" s="3"/>
    </row>
    <row r="12" ht="12.95" customHeight="1" spans="1:41" x14ac:dyDescent="0.25">
      <c r="A12" s="20" t="s">
        <v>46</v>
      </c>
      <c r="B12" s="20" t="s">
        <v>557</v>
      </c>
      <c r="C12" s="20" t="s">
        <v>64</v>
      </c>
      <c r="D12" s="21"/>
      <c r="E12" s="20" t="s">
        <v>566</v>
      </c>
      <c r="F12" s="22" t="s">
        <v>559</v>
      </c>
      <c r="G12" s="22" t="s">
        <v>51</v>
      </c>
      <c r="H12" s="22" t="s">
        <v>567</v>
      </c>
      <c r="I12" s="20" t="s">
        <v>568</v>
      </c>
      <c r="J12" s="23" t="s">
        <v>569</v>
      </c>
      <c r="K12" s="20" t="s">
        <v>570</v>
      </c>
      <c r="L12" s="21"/>
      <c r="M12" s="23" t="s">
        <v>46</v>
      </c>
      <c r="N12" s="24"/>
      <c r="O12" s="24"/>
      <c r="P12" s="22" t="s">
        <v>2</v>
      </c>
      <c r="Q12" s="25"/>
      <c r="R12" s="26">
        <v>856.52</v>
      </c>
      <c r="S12" s="25"/>
      <c r="T12" s="26">
        <v>0</v>
      </c>
      <c r="U12" s="25"/>
      <c r="V12" s="26">
        <v>856.52</v>
      </c>
      <c r="W12" s="26">
        <v>0</v>
      </c>
      <c r="X12" s="26">
        <v>856.52</v>
      </c>
      <c r="Y12" s="26">
        <v>0</v>
      </c>
      <c r="Z12" s="26">
        <v>128.48</v>
      </c>
      <c r="AA12" s="26">
        <v>0</v>
      </c>
      <c r="AB12" s="26">
        <v>0</v>
      </c>
      <c r="AC12" s="26">
        <v>0</v>
      </c>
      <c r="AD12" s="26">
        <v>985</v>
      </c>
      <c r="AE12" s="26">
        <v>985</v>
      </c>
      <c r="AF12" s="26">
        <v>0</v>
      </c>
      <c r="AG12" s="26">
        <v>503.71</v>
      </c>
      <c r="AH12" s="26">
        <v>352.81003</v>
      </c>
      <c r="AI12" s="26">
        <v>41.1911</v>
      </c>
      <c r="AJ12" s="26">
        <v>70.0423</v>
      </c>
      <c r="AK12" s="22" t="s">
        <v>563</v>
      </c>
      <c r="AL12" s="22" t="s">
        <v>564</v>
      </c>
      <c r="AM12" s="20" t="s">
        <v>565</v>
      </c>
      <c r="AN12" s="23" t="s">
        <v>58</v>
      </c>
      <c r="AO12" s="3"/>
    </row>
    <row r="13" ht="12.95" customHeight="1" spans="1:41" x14ac:dyDescent="0.25">
      <c r="A13" s="20" t="s">
        <v>46</v>
      </c>
      <c r="B13" s="20" t="s">
        <v>557</v>
      </c>
      <c r="C13" s="20" t="s">
        <v>64</v>
      </c>
      <c r="D13" s="21"/>
      <c r="E13" s="20" t="s">
        <v>571</v>
      </c>
      <c r="F13" s="22" t="s">
        <v>559</v>
      </c>
      <c r="G13" s="22" t="s">
        <v>51</v>
      </c>
      <c r="H13" s="22" t="s">
        <v>572</v>
      </c>
      <c r="I13" s="20" t="s">
        <v>573</v>
      </c>
      <c r="J13" s="23" t="s">
        <v>574</v>
      </c>
      <c r="K13" s="20" t="s">
        <v>575</v>
      </c>
      <c r="L13" s="21"/>
      <c r="M13" s="23" t="s">
        <v>46</v>
      </c>
      <c r="N13" s="24"/>
      <c r="O13" s="24"/>
      <c r="P13" s="22" t="s">
        <v>2</v>
      </c>
      <c r="Q13" s="25"/>
      <c r="R13" s="26">
        <v>230.43</v>
      </c>
      <c r="S13" s="25"/>
      <c r="T13" s="26">
        <v>0</v>
      </c>
      <c r="U13" s="25"/>
      <c r="V13" s="26">
        <v>230.43</v>
      </c>
      <c r="W13" s="26">
        <v>0</v>
      </c>
      <c r="X13" s="26">
        <v>230.43</v>
      </c>
      <c r="Y13" s="26">
        <v>0</v>
      </c>
      <c r="Z13" s="26">
        <v>34.56</v>
      </c>
      <c r="AA13" s="26">
        <v>0</v>
      </c>
      <c r="AB13" s="26">
        <v>0</v>
      </c>
      <c r="AC13" s="26">
        <v>0</v>
      </c>
      <c r="AD13" s="26">
        <v>264.99</v>
      </c>
      <c r="AE13" s="26">
        <v>264.99</v>
      </c>
      <c r="AF13" s="26">
        <v>0</v>
      </c>
      <c r="AG13" s="26">
        <v>139.95</v>
      </c>
      <c r="AH13" s="26">
        <v>90.479996</v>
      </c>
      <c r="AI13" s="26">
        <v>39.26572</v>
      </c>
      <c r="AJ13" s="26">
        <v>64.651665</v>
      </c>
      <c r="AK13" s="22" t="s">
        <v>563</v>
      </c>
      <c r="AL13" s="22" t="s">
        <v>564</v>
      </c>
      <c r="AM13" s="20" t="s">
        <v>565</v>
      </c>
      <c r="AN13" s="23" t="s">
        <v>58</v>
      </c>
      <c r="AO13" s="3"/>
    </row>
    <row r="14" ht="12.95" customHeight="1" spans="1:41" x14ac:dyDescent="0.25">
      <c r="A14" s="20" t="s">
        <v>46</v>
      </c>
      <c r="B14" s="20" t="s">
        <v>557</v>
      </c>
      <c r="C14" s="20" t="s">
        <v>64</v>
      </c>
      <c r="D14" s="21"/>
      <c r="E14" s="20" t="s">
        <v>576</v>
      </c>
      <c r="F14" s="22" t="s">
        <v>559</v>
      </c>
      <c r="G14" s="22" t="s">
        <v>51</v>
      </c>
      <c r="H14" s="22" t="s">
        <v>577</v>
      </c>
      <c r="I14" s="20" t="s">
        <v>196</v>
      </c>
      <c r="J14" s="23" t="s">
        <v>578</v>
      </c>
      <c r="K14" s="20" t="s">
        <v>579</v>
      </c>
      <c r="L14" s="21"/>
      <c r="M14" s="23" t="s">
        <v>46</v>
      </c>
      <c r="N14" s="24"/>
      <c r="O14" s="24"/>
      <c r="P14" s="22" t="s">
        <v>2</v>
      </c>
      <c r="Q14" s="25"/>
      <c r="R14" s="26">
        <v>25.6</v>
      </c>
      <c r="S14" s="25"/>
      <c r="T14" s="26">
        <v>0</v>
      </c>
      <c r="U14" s="25"/>
      <c r="V14" s="26">
        <v>25.6</v>
      </c>
      <c r="W14" s="26">
        <v>0</v>
      </c>
      <c r="X14" s="26">
        <v>25.6</v>
      </c>
      <c r="Y14" s="26">
        <v>0</v>
      </c>
      <c r="Z14" s="26">
        <v>3.84</v>
      </c>
      <c r="AA14" s="26">
        <v>0</v>
      </c>
      <c r="AB14" s="26">
        <v>0</v>
      </c>
      <c r="AC14" s="26">
        <v>0</v>
      </c>
      <c r="AD14" s="26">
        <v>29.44</v>
      </c>
      <c r="AE14" s="26">
        <v>29.44</v>
      </c>
      <c r="AF14" s="26">
        <v>0</v>
      </c>
      <c r="AG14" s="26">
        <v>15.136346490646403</v>
      </c>
      <c r="AH14" s="26">
        <v>10.463654</v>
      </c>
      <c r="AI14" s="26">
        <v>40.873646</v>
      </c>
      <c r="AJ14" s="26">
        <v>69.12932</v>
      </c>
      <c r="AK14" s="22" t="s">
        <v>563</v>
      </c>
      <c r="AL14" s="22" t="s">
        <v>564</v>
      </c>
      <c r="AM14" s="20" t="s">
        <v>565</v>
      </c>
      <c r="AN14" s="23" t="s">
        <v>58</v>
      </c>
      <c r="AO14" s="3"/>
    </row>
    <row r="15" ht="12.95" customHeight="1" spans="1:41" x14ac:dyDescent="0.25">
      <c r="A15" s="20" t="s">
        <v>46</v>
      </c>
      <c r="B15" s="20" t="s">
        <v>557</v>
      </c>
      <c r="C15" s="20" t="s">
        <v>94</v>
      </c>
      <c r="D15" s="21"/>
      <c r="E15" s="20" t="s">
        <v>580</v>
      </c>
      <c r="F15" s="22" t="s">
        <v>559</v>
      </c>
      <c r="G15" s="22" t="s">
        <v>51</v>
      </c>
      <c r="H15" s="22" t="s">
        <v>581</v>
      </c>
      <c r="I15" s="20" t="s">
        <v>582</v>
      </c>
      <c r="J15" s="23" t="s">
        <v>583</v>
      </c>
      <c r="K15" s="20" t="s">
        <v>584</v>
      </c>
      <c r="L15" s="21"/>
      <c r="M15" s="23" t="s">
        <v>46</v>
      </c>
      <c r="N15" s="24"/>
      <c r="O15" s="24"/>
      <c r="P15" s="22" t="s">
        <v>192</v>
      </c>
      <c r="Q15" s="25"/>
      <c r="R15" s="26">
        <v>297.32</v>
      </c>
      <c r="S15" s="25"/>
      <c r="T15" s="26">
        <v>14.88</v>
      </c>
      <c r="U15" s="25"/>
      <c r="V15" s="26">
        <v>282.44</v>
      </c>
      <c r="W15" s="26">
        <v>0</v>
      </c>
      <c r="X15" s="26">
        <v>282.44</v>
      </c>
      <c r="Y15" s="26">
        <v>0</v>
      </c>
      <c r="Z15" s="26">
        <v>42.37</v>
      </c>
      <c r="AA15" s="26">
        <v>0</v>
      </c>
      <c r="AB15" s="26">
        <v>0</v>
      </c>
      <c r="AC15" s="26">
        <v>0</v>
      </c>
      <c r="AD15" s="26">
        <v>324.81</v>
      </c>
      <c r="AE15" s="26">
        <v>324.81</v>
      </c>
      <c r="AF15" s="26">
        <v>0</v>
      </c>
      <c r="AG15" s="26">
        <v>185.38096785553628</v>
      </c>
      <c r="AH15" s="26">
        <v>97.05904</v>
      </c>
      <c r="AI15" s="26">
        <v>34.36448</v>
      </c>
      <c r="AJ15" s="26">
        <v>52.35653</v>
      </c>
      <c r="AK15" s="22" t="s">
        <v>563</v>
      </c>
      <c r="AL15" s="22" t="s">
        <v>585</v>
      </c>
      <c r="AM15" s="20" t="s">
        <v>565</v>
      </c>
      <c r="AN15" s="23" t="s">
        <v>58</v>
      </c>
      <c r="AO15" s="3"/>
    </row>
    <row r="16" ht="12.95" customHeight="1" spans="1:41" x14ac:dyDescent="0.25">
      <c r="A16" s="20" t="s">
        <v>46</v>
      </c>
      <c r="B16" s="20" t="s">
        <v>557</v>
      </c>
      <c r="C16" s="20" t="s">
        <v>106</v>
      </c>
      <c r="D16" s="21"/>
      <c r="E16" s="20" t="s">
        <v>586</v>
      </c>
      <c r="F16" s="22" t="s">
        <v>559</v>
      </c>
      <c r="G16" s="22" t="s">
        <v>51</v>
      </c>
      <c r="H16" s="22" t="s">
        <v>587</v>
      </c>
      <c r="I16" s="20" t="s">
        <v>588</v>
      </c>
      <c r="J16" s="23" t="s">
        <v>589</v>
      </c>
      <c r="K16" s="20" t="s">
        <v>590</v>
      </c>
      <c r="L16" s="21"/>
      <c r="M16" s="23" t="s">
        <v>46</v>
      </c>
      <c r="N16" s="24"/>
      <c r="O16" s="24"/>
      <c r="P16" s="22" t="s">
        <v>81</v>
      </c>
      <c r="Q16" s="25"/>
      <c r="R16" s="26">
        <v>148.52</v>
      </c>
      <c r="S16" s="25"/>
      <c r="T16" s="26">
        <v>0</v>
      </c>
      <c r="U16" s="25"/>
      <c r="V16" s="26">
        <v>148.52</v>
      </c>
      <c r="W16" s="26">
        <v>0</v>
      </c>
      <c r="X16" s="26">
        <v>148.52</v>
      </c>
      <c r="Y16" s="26">
        <v>0</v>
      </c>
      <c r="Z16" s="26">
        <v>22.28</v>
      </c>
      <c r="AA16" s="26">
        <v>0</v>
      </c>
      <c r="AB16" s="26">
        <v>0</v>
      </c>
      <c r="AC16" s="26">
        <v>0</v>
      </c>
      <c r="AD16" s="26">
        <v>170.8</v>
      </c>
      <c r="AE16" s="26">
        <v>0</v>
      </c>
      <c r="AF16" s="26">
        <v>0</v>
      </c>
      <c r="AG16" s="26">
        <v>90.29976178932179</v>
      </c>
      <c r="AH16" s="26">
        <v>58.220245</v>
      </c>
      <c r="AI16" s="26">
        <v>39.20027</v>
      </c>
      <c r="AJ16" s="26">
        <v>64.47442</v>
      </c>
      <c r="AK16" s="22" t="s">
        <v>563</v>
      </c>
      <c r="AL16" s="22" t="s">
        <v>591</v>
      </c>
      <c r="AM16" s="20" t="s">
        <v>565</v>
      </c>
      <c r="AN16" s="23" t="s">
        <v>58</v>
      </c>
      <c r="AO16" s="3"/>
    </row>
    <row r="17" ht="12.95" customHeight="1" spans="1:41" x14ac:dyDescent="0.25">
      <c r="A17" s="20" t="s">
        <v>46</v>
      </c>
      <c r="B17" s="20" t="s">
        <v>557</v>
      </c>
      <c r="C17" s="20" t="s">
        <v>106</v>
      </c>
      <c r="D17" s="21"/>
      <c r="E17" s="20" t="s">
        <v>592</v>
      </c>
      <c r="F17" s="22" t="s">
        <v>559</v>
      </c>
      <c r="G17" s="22" t="s">
        <v>51</v>
      </c>
      <c r="H17" s="22" t="s">
        <v>593</v>
      </c>
      <c r="I17" s="20" t="s">
        <v>594</v>
      </c>
      <c r="J17" s="23" t="s">
        <v>595</v>
      </c>
      <c r="K17" s="20" t="s">
        <v>596</v>
      </c>
      <c r="L17" s="21"/>
      <c r="M17" s="23" t="s">
        <v>46</v>
      </c>
      <c r="N17" s="24"/>
      <c r="O17" s="24"/>
      <c r="P17" s="22" t="s">
        <v>2</v>
      </c>
      <c r="Q17" s="25"/>
      <c r="R17" s="26">
        <v>40.24</v>
      </c>
      <c r="S17" s="25"/>
      <c r="T17" s="26">
        <v>0.01</v>
      </c>
      <c r="U17" s="25"/>
      <c r="V17" s="26">
        <v>40.23</v>
      </c>
      <c r="W17" s="26">
        <v>0</v>
      </c>
      <c r="X17" s="26">
        <v>40.23</v>
      </c>
      <c r="Y17" s="26">
        <v>0</v>
      </c>
      <c r="Z17" s="26">
        <v>6.03</v>
      </c>
      <c r="AA17" s="26">
        <v>0</v>
      </c>
      <c r="AB17" s="26">
        <v>0</v>
      </c>
      <c r="AC17" s="26">
        <v>0</v>
      </c>
      <c r="AD17" s="26">
        <v>46.26</v>
      </c>
      <c r="AE17" s="26">
        <v>46.26</v>
      </c>
      <c r="AF17" s="26">
        <v>0</v>
      </c>
      <c r="AG17" s="26">
        <v>23.74</v>
      </c>
      <c r="AH17" s="26">
        <v>16.49</v>
      </c>
      <c r="AI17" s="26">
        <v>40.98931</v>
      </c>
      <c r="AJ17" s="26">
        <v>69.46083</v>
      </c>
      <c r="AK17" s="22" t="s">
        <v>563</v>
      </c>
      <c r="AL17" s="22" t="s">
        <v>591</v>
      </c>
      <c r="AM17" s="20" t="s">
        <v>565</v>
      </c>
      <c r="AN17" s="23" t="s">
        <v>58</v>
      </c>
      <c r="AO17" s="3"/>
    </row>
    <row r="18" ht="12.95" customHeight="1" spans="1:41" x14ac:dyDescent="0.25">
      <c r="A18" s="20" t="s">
        <v>46</v>
      </c>
      <c r="B18" s="20" t="s">
        <v>557</v>
      </c>
      <c r="C18" s="20" t="s">
        <v>166</v>
      </c>
      <c r="D18" s="21"/>
      <c r="E18" s="20" t="s">
        <v>597</v>
      </c>
      <c r="F18" s="22" t="s">
        <v>559</v>
      </c>
      <c r="G18" s="22" t="s">
        <v>51</v>
      </c>
      <c r="H18" s="22" t="s">
        <v>598</v>
      </c>
      <c r="I18" s="20" t="s">
        <v>599</v>
      </c>
      <c r="J18" s="23" t="s">
        <v>600</v>
      </c>
      <c r="K18" s="20" t="s">
        <v>601</v>
      </c>
      <c r="L18" s="21"/>
      <c r="M18" s="23" t="s">
        <v>46</v>
      </c>
      <c r="N18" s="24"/>
      <c r="O18" s="24"/>
      <c r="P18" s="22" t="s">
        <v>81</v>
      </c>
      <c r="Q18" s="25"/>
      <c r="R18" s="26">
        <v>71.48</v>
      </c>
      <c r="S18" s="25"/>
      <c r="T18" s="26">
        <v>0</v>
      </c>
      <c r="U18" s="25"/>
      <c r="V18" s="26">
        <v>71.48</v>
      </c>
      <c r="W18" s="26">
        <v>0</v>
      </c>
      <c r="X18" s="26">
        <v>71.48</v>
      </c>
      <c r="Y18" s="26">
        <v>0</v>
      </c>
      <c r="Z18" s="26">
        <v>10.72</v>
      </c>
      <c r="AA18" s="26">
        <v>0</v>
      </c>
      <c r="AB18" s="26">
        <v>0</v>
      </c>
      <c r="AC18" s="26">
        <v>0</v>
      </c>
      <c r="AD18" s="26">
        <v>82.2</v>
      </c>
      <c r="AE18" s="26">
        <v>82.2</v>
      </c>
      <c r="AF18" s="26">
        <v>0</v>
      </c>
      <c r="AG18" s="26">
        <v>38.5</v>
      </c>
      <c r="AH18" s="26">
        <v>32.980003</v>
      </c>
      <c r="AI18" s="26">
        <v>46.138783</v>
      </c>
      <c r="AJ18" s="26">
        <v>85.662346</v>
      </c>
      <c r="AK18" s="22" t="s">
        <v>563</v>
      </c>
      <c r="AL18" s="22" t="s">
        <v>602</v>
      </c>
      <c r="AM18" s="20" t="s">
        <v>565</v>
      </c>
      <c r="AN18" s="23" t="s">
        <v>58</v>
      </c>
      <c r="AO18" s="3"/>
    </row>
    <row r="19" ht="12.95" customHeight="1" spans="1:41" x14ac:dyDescent="0.25">
      <c r="A19" s="20" t="s">
        <v>46</v>
      </c>
      <c r="B19" s="20" t="s">
        <v>557</v>
      </c>
      <c r="C19" s="20" t="s">
        <v>209</v>
      </c>
      <c r="D19" s="21"/>
      <c r="E19" s="20" t="s">
        <v>603</v>
      </c>
      <c r="F19" s="22" t="s">
        <v>559</v>
      </c>
      <c r="G19" s="22" t="s">
        <v>51</v>
      </c>
      <c r="H19" s="22" t="s">
        <v>604</v>
      </c>
      <c r="I19" s="20" t="s">
        <v>276</v>
      </c>
      <c r="J19" s="23" t="s">
        <v>605</v>
      </c>
      <c r="K19" s="20" t="s">
        <v>606</v>
      </c>
      <c r="L19" s="21"/>
      <c r="M19" s="23" t="s">
        <v>46</v>
      </c>
      <c r="N19" s="24"/>
      <c r="O19" s="24"/>
      <c r="P19" s="22" t="s">
        <v>2</v>
      </c>
      <c r="Q19" s="25"/>
      <c r="R19" s="26">
        <v>14.35</v>
      </c>
      <c r="S19" s="25"/>
      <c r="T19" s="26">
        <v>0</v>
      </c>
      <c r="U19" s="25"/>
      <c r="V19" s="26">
        <v>14.35</v>
      </c>
      <c r="W19" s="26">
        <v>0</v>
      </c>
      <c r="X19" s="26">
        <v>14.35</v>
      </c>
      <c r="Y19" s="26">
        <v>0</v>
      </c>
      <c r="Z19" s="26">
        <v>2.15</v>
      </c>
      <c r="AA19" s="26">
        <v>0</v>
      </c>
      <c r="AB19" s="26">
        <v>0</v>
      </c>
      <c r="AC19" s="26">
        <v>0</v>
      </c>
      <c r="AD19" s="26">
        <v>16.5</v>
      </c>
      <c r="AE19" s="26">
        <v>0</v>
      </c>
      <c r="AF19" s="26">
        <v>0</v>
      </c>
      <c r="AG19" s="26">
        <v>4.696666666666666</v>
      </c>
      <c r="AH19" s="26">
        <v>9.653334</v>
      </c>
      <c r="AI19" s="26">
        <v>67.27062</v>
      </c>
      <c r="AJ19" s="26">
        <v>205.53584</v>
      </c>
      <c r="AK19" s="22" t="s">
        <v>563</v>
      </c>
      <c r="AL19" s="22" t="s">
        <v>607</v>
      </c>
      <c r="AM19" s="20" t="s">
        <v>565</v>
      </c>
      <c r="AN19" s="23" t="s">
        <v>58</v>
      </c>
      <c r="AO19" s="3"/>
    </row>
    <row r="20" ht="12.95" customHeight="1" spans="1:41" x14ac:dyDescent="0.25">
      <c r="A20" s="20" t="s">
        <v>46</v>
      </c>
      <c r="B20" s="20" t="s">
        <v>557</v>
      </c>
      <c r="C20" s="20" t="s">
        <v>166</v>
      </c>
      <c r="D20" s="21"/>
      <c r="E20" s="20" t="s">
        <v>608</v>
      </c>
      <c r="F20" s="22" t="s">
        <v>559</v>
      </c>
      <c r="G20" s="22" t="s">
        <v>332</v>
      </c>
      <c r="H20" s="22" t="s">
        <v>609</v>
      </c>
      <c r="I20" s="20" t="s">
        <v>610</v>
      </c>
      <c r="J20" s="23" t="s">
        <v>611</v>
      </c>
      <c r="K20" s="20" t="s">
        <v>612</v>
      </c>
      <c r="L20" s="21"/>
      <c r="M20" s="23" t="s">
        <v>46</v>
      </c>
      <c r="N20" s="24"/>
      <c r="O20" s="24"/>
      <c r="P20" s="22" t="s">
        <v>2</v>
      </c>
      <c r="Q20" s="25"/>
      <c r="R20" s="26">
        <v>80</v>
      </c>
      <c r="S20" s="25"/>
      <c r="T20" s="26">
        <v>0</v>
      </c>
      <c r="U20" s="25"/>
      <c r="V20" s="26">
        <v>80</v>
      </c>
      <c r="W20" s="26">
        <v>0</v>
      </c>
      <c r="X20" s="26">
        <v>80</v>
      </c>
      <c r="Y20" s="26">
        <v>0</v>
      </c>
      <c r="Z20" s="26">
        <v>12</v>
      </c>
      <c r="AA20" s="26">
        <v>0</v>
      </c>
      <c r="AB20" s="26">
        <v>0</v>
      </c>
      <c r="AC20" s="26">
        <v>0</v>
      </c>
      <c r="AD20" s="26">
        <v>92</v>
      </c>
      <c r="AE20" s="26">
        <v>0</v>
      </c>
      <c r="AF20" s="26">
        <v>0</v>
      </c>
      <c r="AG20" s="26">
        <v>34.81</v>
      </c>
      <c r="AH20" s="26">
        <v>45.19</v>
      </c>
      <c r="AI20" s="26">
        <v>56.4875</v>
      </c>
      <c r="AJ20" s="26">
        <v>129.81902</v>
      </c>
      <c r="AK20" s="22" t="s">
        <v>563</v>
      </c>
      <c r="AL20" s="22" t="s">
        <v>602</v>
      </c>
      <c r="AM20" s="20" t="s">
        <v>565</v>
      </c>
      <c r="AN20" s="23" t="s">
        <v>336</v>
      </c>
      <c r="AO20" s="3"/>
    </row>
    <row r="21" ht="0.95" customHeight="1" spans="1:41" x14ac:dyDescent="0.25">
      <c r="A21" s="3"/>
      <c r="B21" s="3"/>
      <c r="C21" s="3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3"/>
      <c r="AL21" s="3"/>
      <c r="AM21" s="3"/>
      <c r="AN21" s="3"/>
      <c r="AO21" s="3"/>
    </row>
    <row r="22" ht="12" customHeight="1" spans="1:4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27" t="s">
        <v>400</v>
      </c>
      <c r="M22" s="27"/>
      <c r="N22" s="27"/>
      <c r="O22" s="3"/>
      <c r="P22" s="28" t="s">
        <v>613</v>
      </c>
      <c r="Q22" s="28"/>
      <c r="R22" s="28">
        <v>15.94</v>
      </c>
      <c r="S22" s="28"/>
      <c r="T22" s="28">
        <v>1769.5199</v>
      </c>
      <c r="U22" s="28"/>
      <c r="V22" s="28">
        <v>0</v>
      </c>
      <c r="W22" s="28">
        <v>1769.52</v>
      </c>
      <c r="X22" s="28">
        <v>265.42</v>
      </c>
      <c r="Y22" s="28">
        <v>0</v>
      </c>
      <c r="Z22" s="27" t="s">
        <v>4</v>
      </c>
      <c r="AA22" s="28">
        <v>0</v>
      </c>
      <c r="AB22" s="28">
        <v>2034.94</v>
      </c>
      <c r="AC22" s="28">
        <v>0</v>
      </c>
      <c r="AD22" s="28">
        <v>0</v>
      </c>
      <c r="AE22" s="26">
        <v>1732.7</v>
      </c>
      <c r="AF22" s="28">
        <v>1046.8888</v>
      </c>
      <c r="AG22" s="22">
        <v>1046.8888</v>
      </c>
      <c r="AH22" s="28">
        <v>722.6313</v>
      </c>
      <c r="AI22" s="28">
        <v>40.837692</v>
      </c>
      <c r="AJ22" s="28">
        <v>69.02654</v>
      </c>
      <c r="AK22" s="3"/>
      <c r="AL22" s="3"/>
      <c r="AM22" s="3"/>
      <c r="AN22" s="3"/>
      <c r="AO22" s="3"/>
    </row>
    <row r="23" spans="1:41" x14ac:dyDescent="0.2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 t="s">
        <v>402</v>
      </c>
      <c r="O23" s="31"/>
      <c r="P23" s="50">
        <f>+'MY REP CHGN'!J8</f>
        <v>1785.46</v>
      </c>
      <c r="Q23" s="31"/>
      <c r="R23" s="31"/>
      <c r="S23" s="31">
        <f>+'MY REP CHGN'!I15</f>
        <v>15.94</v>
      </c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</row>
    <row r="24" spans="1:41" x14ac:dyDescent="0.2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</row>
    <row r="25" spans="1:41" x14ac:dyDescent="0.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</row>
    <row r="26" spans="1:41" x14ac:dyDescent="0.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</row>
    <row r="27" spans="1:41" x14ac:dyDescent="0.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</row>
    <row r="28" spans="1:41" x14ac:dyDescent="0.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</row>
    <row r="29" spans="1:41" x14ac:dyDescent="0.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</row>
    <row r="30" spans="1:41" x14ac:dyDescent="0.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</row>
    <row r="31" spans="1:41" x14ac:dyDescent="0.2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</row>
    <row r="32" spans="1:41" x14ac:dyDescent="0.25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</row>
  </sheetData>
  <mergeCells count="87">
    <mergeCell ref="A1:E1"/>
    <mergeCell ref="N1:O1"/>
    <mergeCell ref="Q1:R1"/>
    <mergeCell ref="S1:T1"/>
    <mergeCell ref="A2:E2"/>
    <mergeCell ref="F2:M2"/>
    <mergeCell ref="N2:O2"/>
    <mergeCell ref="P2:T2"/>
    <mergeCell ref="N3:T4"/>
    <mergeCell ref="A4:M4"/>
    <mergeCell ref="A5:M5"/>
    <mergeCell ref="P5:T5"/>
    <mergeCell ref="F6:M7"/>
    <mergeCell ref="A7:E7"/>
    <mergeCell ref="A8:AN8"/>
    <mergeCell ref="C9:D9"/>
    <mergeCell ref="K9:L9"/>
    <mergeCell ref="M9:O9"/>
    <mergeCell ref="P9:Q9"/>
    <mergeCell ref="R9:S9"/>
    <mergeCell ref="T9:U9"/>
    <mergeCell ref="A10:AN10"/>
    <mergeCell ref="C11:D11"/>
    <mergeCell ref="K11:L11"/>
    <mergeCell ref="M11:O11"/>
    <mergeCell ref="P11:Q11"/>
    <mergeCell ref="R11:S11"/>
    <mergeCell ref="T11:U11"/>
    <mergeCell ref="C12:D12"/>
    <mergeCell ref="K12:L12"/>
    <mergeCell ref="M12:O12"/>
    <mergeCell ref="P12:Q12"/>
    <mergeCell ref="R12:S12"/>
    <mergeCell ref="T12:U12"/>
    <mergeCell ref="C13:D13"/>
    <mergeCell ref="K13:L13"/>
    <mergeCell ref="M13:O13"/>
    <mergeCell ref="P13:Q13"/>
    <mergeCell ref="R13:S13"/>
    <mergeCell ref="T13:U13"/>
    <mergeCell ref="C14:D14"/>
    <mergeCell ref="K14:L14"/>
    <mergeCell ref="M14:O14"/>
    <mergeCell ref="P14:Q14"/>
    <mergeCell ref="R14:S14"/>
    <mergeCell ref="T14:U14"/>
    <mergeCell ref="C15:D15"/>
    <mergeCell ref="K15:L15"/>
    <mergeCell ref="M15:O15"/>
    <mergeCell ref="P15:Q15"/>
    <mergeCell ref="R15:S15"/>
    <mergeCell ref="T15:U15"/>
    <mergeCell ref="C16:D16"/>
    <mergeCell ref="K16:L16"/>
    <mergeCell ref="M16:O16"/>
    <mergeCell ref="P16:Q16"/>
    <mergeCell ref="R16:S16"/>
    <mergeCell ref="T16:U16"/>
    <mergeCell ref="C17:D17"/>
    <mergeCell ref="K17:L17"/>
    <mergeCell ref="M17:O17"/>
    <mergeCell ref="P17:Q17"/>
    <mergeCell ref="R17:S17"/>
    <mergeCell ref="T17:U17"/>
    <mergeCell ref="C18:D18"/>
    <mergeCell ref="K18:L18"/>
    <mergeCell ref="M18:O18"/>
    <mergeCell ref="P18:Q18"/>
    <mergeCell ref="R18:S18"/>
    <mergeCell ref="T18:U18"/>
    <mergeCell ref="C19:D19"/>
    <mergeCell ref="K19:L19"/>
    <mergeCell ref="M19:O19"/>
    <mergeCell ref="P19:Q19"/>
    <mergeCell ref="R19:S19"/>
    <mergeCell ref="T19:U19"/>
    <mergeCell ref="C20:D20"/>
    <mergeCell ref="K20:L20"/>
    <mergeCell ref="M20:O20"/>
    <mergeCell ref="P20:Q20"/>
    <mergeCell ref="R20:S20"/>
    <mergeCell ref="T20:U20"/>
    <mergeCell ref="D21:AJ21"/>
    <mergeCell ref="L22:N22"/>
    <mergeCell ref="P22:Q22"/>
    <mergeCell ref="R22:S22"/>
    <mergeCell ref="T22:U22"/>
  </mergeCells>
  <pageMargins left="0" right="0" top="0" bottom="0" header="0" footer="0"/>
  <pageSetup orientation="landscape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workbookViewId="0" zoomScale="100" zoomScaleNormal="100">
      <selection activeCell="G20" sqref="G20"/>
    </sheetView>
  </sheetViews>
  <sheetFormatPr defaultRowHeight="15" outlineLevelRow="0" outlineLevelCol="0" x14ac:dyDescent="0.25"/>
  <cols>
    <col min="1" max="1" width="11.42578125" style="31" customWidth="1"/>
    <col min="2" max="2" width="43.85546875" style="31" customWidth="1"/>
    <col min="3" max="16384" width="11.42578125" style="31" customWidth="1"/>
  </cols>
  <sheetData>
    <row r="1" spans="1:12" x14ac:dyDescent="0.25">
      <c r="A1" s="31" t="s">
        <v>423</v>
      </c>
      <c r="B1" s="31" t="s">
        <v>424</v>
      </c>
      <c r="D1" s="31" t="s">
        <v>16</v>
      </c>
      <c r="E1" s="31" t="s">
        <v>426</v>
      </c>
      <c r="F1" s="31" t="s">
        <v>427</v>
      </c>
      <c r="G1" s="31" t="s">
        <v>614</v>
      </c>
      <c r="H1" s="31" t="s">
        <v>615</v>
      </c>
      <c r="I1" s="31" t="s">
        <v>428</v>
      </c>
      <c r="J1" s="31" t="s">
        <v>429</v>
      </c>
      <c r="K1" s="31" t="s">
        <v>336</v>
      </c>
      <c r="L1" s="31" t="s">
        <v>38</v>
      </c>
    </row>
    <row r="2" spans="1:11" x14ac:dyDescent="0.25">
      <c r="A2" s="31" t="s">
        <v>616</v>
      </c>
      <c r="B2" s="31" t="s">
        <v>617</v>
      </c>
      <c r="C2" s="31" t="s">
        <v>432</v>
      </c>
      <c r="D2" s="49">
        <v>46056.20833333333</v>
      </c>
      <c r="E2" s="31" t="s">
        <v>433</v>
      </c>
      <c r="F2" s="31" t="s">
        <v>564</v>
      </c>
      <c r="G2" s="31"/>
      <c r="H2" s="31" t="s">
        <v>618</v>
      </c>
      <c r="I2" s="31">
        <v>0</v>
      </c>
      <c r="J2" s="50">
        <v>1133.55</v>
      </c>
      <c r="K2" s="50">
        <v>-1606.54</v>
      </c>
    </row>
    <row r="3" spans="1:11" x14ac:dyDescent="0.25">
      <c r="A3" s="31" t="s">
        <v>616</v>
      </c>
      <c r="B3" s="31" t="s">
        <v>617</v>
      </c>
      <c r="C3" s="31" t="s">
        <v>432</v>
      </c>
      <c r="D3" s="49">
        <v>46058.20833333333</v>
      </c>
      <c r="E3" s="31" t="s">
        <v>433</v>
      </c>
      <c r="F3" s="31" t="s">
        <v>585</v>
      </c>
      <c r="G3" s="31"/>
      <c r="H3" s="31" t="s">
        <v>618</v>
      </c>
      <c r="I3" s="31">
        <v>0</v>
      </c>
      <c r="J3" s="31">
        <v>297.32</v>
      </c>
      <c r="K3" s="50">
        <v>-1903.86</v>
      </c>
    </row>
    <row r="4" spans="1:11" x14ac:dyDescent="0.25">
      <c r="A4" s="31" t="s">
        <v>616</v>
      </c>
      <c r="B4" s="31" t="s">
        <v>617</v>
      </c>
      <c r="C4" s="31" t="s">
        <v>432</v>
      </c>
      <c r="D4" s="49">
        <v>46059.20833333333</v>
      </c>
      <c r="E4" s="31" t="s">
        <v>433</v>
      </c>
      <c r="F4" s="31" t="s">
        <v>591</v>
      </c>
      <c r="G4" s="31"/>
      <c r="H4" s="31" t="s">
        <v>618</v>
      </c>
      <c r="I4" s="31">
        <v>0</v>
      </c>
      <c r="J4" s="31">
        <v>188.76</v>
      </c>
      <c r="K4" s="50">
        <v>-2092.62</v>
      </c>
    </row>
    <row r="5" spans="1:11" x14ac:dyDescent="0.25">
      <c r="A5" s="31" t="s">
        <v>616</v>
      </c>
      <c r="B5" s="31" t="s">
        <v>617</v>
      </c>
      <c r="C5" s="31" t="s">
        <v>432</v>
      </c>
      <c r="D5" s="49">
        <v>46064.20833333333</v>
      </c>
      <c r="E5" s="31" t="s">
        <v>433</v>
      </c>
      <c r="F5" s="31" t="s">
        <v>602</v>
      </c>
      <c r="G5" s="31"/>
      <c r="H5" s="31" t="s">
        <v>618</v>
      </c>
      <c r="I5" s="31">
        <v>0</v>
      </c>
      <c r="J5" s="31">
        <v>71.48</v>
      </c>
      <c r="K5" s="50">
        <v>-2164.1</v>
      </c>
    </row>
    <row r="6" spans="1:11" x14ac:dyDescent="0.25">
      <c r="A6" s="31" t="s">
        <v>616</v>
      </c>
      <c r="B6" s="31" t="s">
        <v>617</v>
      </c>
      <c r="C6" s="31" t="s">
        <v>432</v>
      </c>
      <c r="D6" s="49">
        <v>46071.20833333333</v>
      </c>
      <c r="E6" s="31" t="s">
        <v>433</v>
      </c>
      <c r="F6" s="31" t="s">
        <v>607</v>
      </c>
      <c r="G6" s="31"/>
      <c r="H6" s="31" t="s">
        <v>618</v>
      </c>
      <c r="I6" s="31">
        <v>0</v>
      </c>
      <c r="J6" s="31">
        <v>14.35</v>
      </c>
      <c r="K6" s="50">
        <v>-2178.45</v>
      </c>
    </row>
    <row r="7" spans="1:11" x14ac:dyDescent="0.25">
      <c r="A7" s="31" t="s">
        <v>619</v>
      </c>
      <c r="B7" s="31" t="s">
        <v>620</v>
      </c>
      <c r="C7" s="31" t="s">
        <v>432</v>
      </c>
      <c r="D7" s="49">
        <v>46064.20833333333</v>
      </c>
      <c r="E7" s="31" t="s">
        <v>433</v>
      </c>
      <c r="F7" s="31" t="s">
        <v>602</v>
      </c>
      <c r="G7" s="31"/>
      <c r="H7" s="31" t="s">
        <v>618</v>
      </c>
      <c r="I7" s="31">
        <v>0</v>
      </c>
      <c r="J7" s="31">
        <v>80</v>
      </c>
      <c r="K7" s="50">
        <v>-1922.46</v>
      </c>
    </row>
    <row r="8" spans="4:11" x14ac:dyDescent="0.25">
      <c r="D8" s="49"/>
      <c r="I8" s="31">
        <f>SUM(I2:I7)</f>
        <v>0</v>
      </c>
      <c r="J8" s="53">
        <f>SUM(J2:J7)</f>
        <v>1785.46</v>
      </c>
      <c r="K8" s="50"/>
    </row>
    <row r="9" spans="4:11" x14ac:dyDescent="0.25">
      <c r="D9" s="49"/>
      <c r="K9" s="50"/>
    </row>
    <row r="10" spans="4:11" x14ac:dyDescent="0.25">
      <c r="D10" s="49"/>
      <c r="K10" s="50"/>
    </row>
    <row r="11" spans="4:11" x14ac:dyDescent="0.25">
      <c r="D11" s="49"/>
      <c r="K11" s="50"/>
    </row>
    <row r="12" spans="1:11" x14ac:dyDescent="0.25">
      <c r="A12" s="31" t="s">
        <v>621</v>
      </c>
      <c r="B12" s="31" t="s">
        <v>622</v>
      </c>
      <c r="C12" s="31" t="s">
        <v>432</v>
      </c>
      <c r="D12" s="49">
        <v>46056.20833333333</v>
      </c>
      <c r="E12" s="31" t="s">
        <v>433</v>
      </c>
      <c r="F12" s="31" t="s">
        <v>564</v>
      </c>
      <c r="G12" s="31"/>
      <c r="H12" s="31" t="s">
        <v>618</v>
      </c>
      <c r="I12" s="31">
        <v>1.05</v>
      </c>
      <c r="J12" s="31">
        <v>0</v>
      </c>
      <c r="K12" s="31">
        <v>2.6</v>
      </c>
    </row>
    <row r="13" spans="1:11" x14ac:dyDescent="0.25">
      <c r="A13" s="31" t="s">
        <v>621</v>
      </c>
      <c r="B13" s="31" t="s">
        <v>622</v>
      </c>
      <c r="C13" s="31" t="s">
        <v>432</v>
      </c>
      <c r="D13" s="49">
        <v>46058.20833333333</v>
      </c>
      <c r="E13" s="31" t="s">
        <v>433</v>
      </c>
      <c r="F13" s="31" t="s">
        <v>585</v>
      </c>
      <c r="G13" s="31"/>
      <c r="H13" s="31" t="s">
        <v>618</v>
      </c>
      <c r="I13" s="31">
        <v>14.88</v>
      </c>
      <c r="J13" s="31">
        <v>0</v>
      </c>
      <c r="K13" s="31">
        <v>17.48</v>
      </c>
    </row>
    <row r="14" spans="1:11" x14ac:dyDescent="0.25">
      <c r="A14" s="31" t="s">
        <v>621</v>
      </c>
      <c r="B14" s="31" t="s">
        <v>622</v>
      </c>
      <c r="C14" s="31" t="s">
        <v>432</v>
      </c>
      <c r="D14" s="49">
        <v>46059.20833333333</v>
      </c>
      <c r="E14" s="31" t="s">
        <v>433</v>
      </c>
      <c r="F14" s="31" t="s">
        <v>591</v>
      </c>
      <c r="G14" s="31"/>
      <c r="H14" s="31" t="s">
        <v>618</v>
      </c>
      <c r="I14" s="31">
        <v>0.01</v>
      </c>
      <c r="J14" s="31">
        <v>0</v>
      </c>
      <c r="K14" s="31">
        <v>17.49</v>
      </c>
    </row>
    <row r="15" spans="9:10" x14ac:dyDescent="0.25">
      <c r="I15" s="51">
        <f>SUM(I12:I14)</f>
        <v>15.94</v>
      </c>
      <c r="J15" s="31">
        <f>SUM(J12:J14)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O73"/>
  <sheetViews>
    <sheetView workbookViewId="0" zoomScale="145" zoomScaleNormal="145">
      <selection activeCell="S64" sqref="S64"/>
    </sheetView>
  </sheetViews>
  <sheetFormatPr defaultRowHeight="15" outlineLevelRow="0" outlineLevelCol="0" x14ac:dyDescent="0.25" defaultColWidth="9.140625"/>
  <cols>
    <col min="1" max="1" width="3.85546875" style="31" customWidth="1"/>
    <col min="2" max="2" width="10.42578125" style="31" customWidth="1"/>
    <col min="3" max="3" width="0.28515625" style="31" customWidth="1"/>
    <col min="4" max="4" width="9.28515625" style="31" customWidth="1"/>
    <col min="5" max="5" width="10.140625" style="31" customWidth="1"/>
    <col min="6" max="6" width="8.140625" style="31" customWidth="1"/>
    <col min="7" max="7" width="13.42578125" style="31" customWidth="1"/>
    <col min="8" max="8" width="38.42578125" style="31" customWidth="1"/>
    <col min="9" max="9" width="12.42578125" style="31" customWidth="1"/>
    <col min="10" max="10" width="8.140625" style="31" customWidth="1"/>
    <col min="11" max="11" width="12" style="31" customWidth="1"/>
    <col min="12" max="12" width="25.28515625" style="31" customWidth="1"/>
    <col min="13" max="13" width="2.85546875" style="31" customWidth="1"/>
    <col min="14" max="14" width="9.140625" style="31" customWidth="1"/>
    <col min="15" max="15" width="0.28515625" style="31" customWidth="1"/>
    <col min="16" max="16" width="9.85546875" style="31" customWidth="1"/>
    <col min="17" max="17" width="0.42578125" style="31" customWidth="1"/>
    <col min="18" max="18" width="8.42578125" style="31" customWidth="1"/>
    <col min="19" max="19" width="3" style="31" customWidth="1"/>
    <col min="20" max="20" width="4.7109375" style="31" customWidth="1"/>
    <col min="21" max="21" width="4.140625" style="31" customWidth="1"/>
    <col min="22" max="24" width="7" style="31" customWidth="1"/>
    <col min="25" max="25" width="7.140625" style="31" customWidth="1"/>
    <col min="26" max="30" width="7" style="31" customWidth="1"/>
    <col min="31" max="31" width="7.140625" style="31" customWidth="1"/>
    <col min="32" max="32" width="7.42578125" style="31" customWidth="1"/>
    <col min="33" max="34" width="6.7109375" style="31" customWidth="1"/>
    <col min="35" max="36" width="7" style="31" customWidth="1"/>
    <col min="37" max="37" width="13.28515625" style="31" customWidth="1"/>
    <col min="38" max="38" width="8.140625" style="31" customWidth="1"/>
    <col min="39" max="39" width="10" style="31" customWidth="1"/>
    <col min="40" max="40" width="13.7109375" style="31" customWidth="1"/>
    <col min="41" max="16384" width="9.140625" style="31" customWidth="1"/>
  </cols>
  <sheetData>
    <row r="1" ht="15" customHeight="1" spans="1:41" x14ac:dyDescent="0.25">
      <c r="A1" s="1" t="s">
        <v>0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4" t="s">
        <v>1</v>
      </c>
      <c r="O1" s="5"/>
      <c r="P1" s="6" t="s">
        <v>2</v>
      </c>
      <c r="Q1" s="7" t="s">
        <v>3</v>
      </c>
      <c r="R1" s="8"/>
      <c r="S1" s="4">
        <v>2</v>
      </c>
      <c r="T1" s="5"/>
      <c r="U1" s="3" t="s">
        <v>4</v>
      </c>
      <c r="V1" s="3" t="s">
        <v>4</v>
      </c>
      <c r="W1" s="3" t="s">
        <v>4</v>
      </c>
      <c r="X1" s="3" t="s">
        <v>4</v>
      </c>
      <c r="Y1" s="3" t="s">
        <v>4</v>
      </c>
      <c r="Z1" s="3" t="s">
        <v>4</v>
      </c>
      <c r="AA1" s="3" t="s">
        <v>4</v>
      </c>
      <c r="AB1" s="3" t="s">
        <v>4</v>
      </c>
      <c r="AC1" s="3" t="s">
        <v>4</v>
      </c>
      <c r="AD1" s="3" t="s">
        <v>4</v>
      </c>
      <c r="AE1" s="3" t="s">
        <v>4</v>
      </c>
      <c r="AF1" s="3" t="s">
        <v>4</v>
      </c>
      <c r="AG1" s="3" t="s">
        <v>4</v>
      </c>
      <c r="AH1" s="3" t="s">
        <v>4</v>
      </c>
      <c r="AI1" s="3" t="s">
        <v>4</v>
      </c>
      <c r="AJ1" s="3" t="s">
        <v>4</v>
      </c>
      <c r="AK1" s="3"/>
      <c r="AL1" s="3"/>
      <c r="AM1" s="3"/>
      <c r="AN1" s="3"/>
      <c r="AO1" s="3"/>
    </row>
    <row r="2" ht="15" customHeight="1" spans="1:41" x14ac:dyDescent="0.25">
      <c r="A2" s="4" t="s">
        <v>5</v>
      </c>
      <c r="B2" s="5"/>
      <c r="C2" s="5"/>
      <c r="D2" s="5"/>
      <c r="E2" s="5"/>
      <c r="F2" s="9"/>
      <c r="G2" s="10"/>
      <c r="H2" s="10"/>
      <c r="I2" s="10"/>
      <c r="J2" s="10"/>
      <c r="K2" s="10"/>
      <c r="L2" s="10"/>
      <c r="M2" s="10"/>
      <c r="N2" s="4" t="s">
        <v>6</v>
      </c>
      <c r="O2" s="5"/>
      <c r="P2" s="11" t="s">
        <v>623</v>
      </c>
      <c r="Q2" s="12"/>
      <c r="R2" s="12"/>
      <c r="S2" s="12"/>
      <c r="T2" s="12"/>
      <c r="U2" s="3" t="s">
        <v>4</v>
      </c>
      <c r="V2" s="3" t="s">
        <v>4</v>
      </c>
      <c r="W2" s="3" t="s">
        <v>4</v>
      </c>
      <c r="X2" s="3" t="s">
        <v>4</v>
      </c>
      <c r="Y2" s="3" t="s">
        <v>4</v>
      </c>
      <c r="Z2" s="3" t="s">
        <v>4</v>
      </c>
      <c r="AA2" s="3" t="s">
        <v>4</v>
      </c>
      <c r="AB2" s="3" t="s">
        <v>4</v>
      </c>
      <c r="AC2" s="3" t="s">
        <v>4</v>
      </c>
      <c r="AD2" s="3" t="s">
        <v>4</v>
      </c>
      <c r="AE2" s="3" t="s">
        <v>4</v>
      </c>
      <c r="AF2" s="3" t="s">
        <v>4</v>
      </c>
      <c r="AG2" s="3" t="s">
        <v>4</v>
      </c>
      <c r="AH2" s="3" t="s">
        <v>4</v>
      </c>
      <c r="AI2" s="3" t="s">
        <v>4</v>
      </c>
      <c r="AJ2" s="3" t="s">
        <v>4</v>
      </c>
      <c r="AK2" s="3"/>
      <c r="AL2" s="3"/>
      <c r="AM2" s="3"/>
      <c r="AN2" s="3"/>
      <c r="AO2" s="3"/>
    </row>
    <row r="3" ht="0.95" customHeight="1" spans="1:4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13" t="s">
        <v>8</v>
      </c>
      <c r="O3" s="14"/>
      <c r="P3" s="14"/>
      <c r="Q3" s="14"/>
      <c r="R3" s="14"/>
      <c r="S3" s="14"/>
      <c r="T3" s="14"/>
      <c r="U3" s="3" t="s">
        <v>4</v>
      </c>
      <c r="V3" s="3" t="s">
        <v>4</v>
      </c>
      <c r="W3" s="3" t="s">
        <v>4</v>
      </c>
      <c r="X3" s="3" t="s">
        <v>4</v>
      </c>
      <c r="Y3" s="3" t="s">
        <v>4</v>
      </c>
      <c r="Z3" s="3" t="s">
        <v>4</v>
      </c>
      <c r="AA3" s="3" t="s">
        <v>4</v>
      </c>
      <c r="AB3" s="3" t="s">
        <v>4</v>
      </c>
      <c r="AC3" s="3" t="s">
        <v>4</v>
      </c>
      <c r="AD3" s="3" t="s">
        <v>4</v>
      </c>
      <c r="AE3" s="3" t="s">
        <v>4</v>
      </c>
      <c r="AF3" s="3" t="s">
        <v>4</v>
      </c>
      <c r="AG3" s="3" t="s">
        <v>4</v>
      </c>
      <c r="AH3" s="3" t="s">
        <v>4</v>
      </c>
      <c r="AI3" s="3" t="s">
        <v>4</v>
      </c>
      <c r="AJ3" s="3" t="s">
        <v>4</v>
      </c>
      <c r="AK3" s="3"/>
      <c r="AL3" s="3"/>
      <c r="AM3" s="3"/>
      <c r="AN3" s="3"/>
      <c r="AO3" s="3"/>
    </row>
    <row r="4" ht="12" customHeight="1" spans="1:41" x14ac:dyDescent="0.25">
      <c r="A4" s="13" t="s">
        <v>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3" t="s">
        <v>4</v>
      </c>
      <c r="V4" s="3" t="s">
        <v>4</v>
      </c>
      <c r="W4" s="3" t="s">
        <v>4</v>
      </c>
      <c r="X4" s="3" t="s">
        <v>4</v>
      </c>
      <c r="Y4" s="3" t="s">
        <v>4</v>
      </c>
      <c r="Z4" s="3" t="s">
        <v>4</v>
      </c>
      <c r="AA4" s="3" t="s">
        <v>4</v>
      </c>
      <c r="AB4" s="3" t="s">
        <v>4</v>
      </c>
      <c r="AC4" s="3" t="s">
        <v>4</v>
      </c>
      <c r="AD4" s="3" t="s">
        <v>4</v>
      </c>
      <c r="AE4" s="3" t="s">
        <v>4</v>
      </c>
      <c r="AF4" s="3" t="s">
        <v>4</v>
      </c>
      <c r="AG4" s="3" t="s">
        <v>4</v>
      </c>
      <c r="AH4" s="3" t="s">
        <v>4</v>
      </c>
      <c r="AI4" s="3" t="s">
        <v>4</v>
      </c>
      <c r="AJ4" s="3" t="s">
        <v>4</v>
      </c>
      <c r="AK4" s="3"/>
      <c r="AL4" s="3"/>
      <c r="AM4" s="3"/>
      <c r="AN4" s="3"/>
      <c r="AO4" s="3"/>
    </row>
    <row r="5" ht="12.95" customHeight="1" spans="1:41" x14ac:dyDescent="0.25">
      <c r="A5" s="13" t="s">
        <v>10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3"/>
      <c r="O5" s="3"/>
      <c r="P5" s="15" t="s">
        <v>11</v>
      </c>
      <c r="Q5" s="16"/>
      <c r="R5" s="16"/>
      <c r="S5" s="16"/>
      <c r="T5" s="16"/>
      <c r="U5" s="3" t="s">
        <v>4</v>
      </c>
      <c r="V5" s="3" t="s">
        <v>4</v>
      </c>
      <c r="W5" s="3" t="s">
        <v>4</v>
      </c>
      <c r="X5" s="3" t="s">
        <v>4</v>
      </c>
      <c r="Y5" s="3" t="s">
        <v>4</v>
      </c>
      <c r="Z5" s="3" t="s">
        <v>4</v>
      </c>
      <c r="AA5" s="3" t="s">
        <v>4</v>
      </c>
      <c r="AB5" s="3" t="s">
        <v>4</v>
      </c>
      <c r="AC5" s="3" t="s">
        <v>4</v>
      </c>
      <c r="AD5" s="3" t="s">
        <v>4</v>
      </c>
      <c r="AE5" s="3" t="s">
        <v>4</v>
      </c>
      <c r="AF5" s="3" t="s">
        <v>4</v>
      </c>
      <c r="AG5" s="3" t="s">
        <v>4</v>
      </c>
      <c r="AH5" s="3" t="s">
        <v>4</v>
      </c>
      <c r="AI5" s="3" t="s">
        <v>4</v>
      </c>
      <c r="AJ5" s="3" t="s">
        <v>4</v>
      </c>
      <c r="AK5" s="3"/>
      <c r="AL5" s="3"/>
      <c r="AM5" s="3"/>
      <c r="AN5" s="3"/>
      <c r="AO5" s="3"/>
    </row>
    <row r="6" ht="0.95" customHeight="1" spans="1:41" x14ac:dyDescent="0.25">
      <c r="A6" s="3"/>
      <c r="B6" s="3"/>
      <c r="C6" s="3"/>
      <c r="D6" s="3"/>
      <c r="E6" s="3"/>
      <c r="F6" s="13" t="s">
        <v>12</v>
      </c>
      <c r="G6" s="14"/>
      <c r="H6" s="14"/>
      <c r="I6" s="14"/>
      <c r="J6" s="14"/>
      <c r="K6" s="14"/>
      <c r="L6" s="14"/>
      <c r="M6" s="14"/>
      <c r="N6" s="3"/>
      <c r="O6" s="3"/>
      <c r="P6" s="3"/>
      <c r="Q6" s="3" t="s">
        <v>4</v>
      </c>
      <c r="R6" s="3" t="s">
        <v>4</v>
      </c>
      <c r="S6" s="3" t="s">
        <v>4</v>
      </c>
      <c r="T6" s="3" t="s">
        <v>4</v>
      </c>
      <c r="U6" s="3" t="s">
        <v>4</v>
      </c>
      <c r="V6" s="3" t="s">
        <v>4</v>
      </c>
      <c r="W6" s="3" t="s">
        <v>4</v>
      </c>
      <c r="X6" s="3" t="s">
        <v>4</v>
      </c>
      <c r="Y6" s="3" t="s">
        <v>4</v>
      </c>
      <c r="Z6" s="3" t="s">
        <v>4</v>
      </c>
      <c r="AA6" s="3" t="s">
        <v>4</v>
      </c>
      <c r="AB6" s="3" t="s">
        <v>4</v>
      </c>
      <c r="AC6" s="3" t="s">
        <v>4</v>
      </c>
      <c r="AD6" s="3" t="s">
        <v>4</v>
      </c>
      <c r="AE6" s="3" t="s">
        <v>4</v>
      </c>
      <c r="AF6" s="3" t="s">
        <v>4</v>
      </c>
      <c r="AG6" s="3" t="s">
        <v>4</v>
      </c>
      <c r="AH6" s="3" t="s">
        <v>4</v>
      </c>
      <c r="AI6" s="3" t="s">
        <v>4</v>
      </c>
      <c r="AJ6" s="3" t="s">
        <v>4</v>
      </c>
      <c r="AK6" s="3"/>
      <c r="AL6" s="3"/>
      <c r="AM6" s="3"/>
      <c r="AN6" s="3"/>
      <c r="AO6" s="3"/>
    </row>
    <row r="7" ht="12" customHeight="1" spans="1:41" x14ac:dyDescent="0.25">
      <c r="A7" s="13" t="s">
        <v>13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3"/>
      <c r="O7" s="3"/>
      <c r="P7" s="3"/>
      <c r="Q7" s="3" t="s">
        <v>4</v>
      </c>
      <c r="R7" s="3" t="s">
        <v>4</v>
      </c>
      <c r="S7" s="3" t="s">
        <v>4</v>
      </c>
      <c r="T7" s="3" t="s">
        <v>4</v>
      </c>
      <c r="U7" s="3" t="s">
        <v>4</v>
      </c>
      <c r="V7" s="3" t="s">
        <v>4</v>
      </c>
      <c r="W7" s="3" t="s">
        <v>4</v>
      </c>
      <c r="X7" s="3" t="s">
        <v>4</v>
      </c>
      <c r="Y7" s="3" t="s">
        <v>4</v>
      </c>
      <c r="Z7" s="3" t="s">
        <v>4</v>
      </c>
      <c r="AA7" s="3" t="s">
        <v>4</v>
      </c>
      <c r="AB7" s="3" t="s">
        <v>4</v>
      </c>
      <c r="AC7" s="3" t="s">
        <v>4</v>
      </c>
      <c r="AD7" s="3" t="s">
        <v>4</v>
      </c>
      <c r="AE7" s="3" t="s">
        <v>4</v>
      </c>
      <c r="AF7" s="3" t="s">
        <v>4</v>
      </c>
      <c r="AG7" s="3" t="s">
        <v>4</v>
      </c>
      <c r="AH7" s="3" t="s">
        <v>4</v>
      </c>
      <c r="AI7" s="3" t="s">
        <v>4</v>
      </c>
      <c r="AJ7" s="3" t="s">
        <v>4</v>
      </c>
      <c r="AK7" s="3"/>
      <c r="AL7" s="3"/>
      <c r="AM7" s="3"/>
      <c r="AN7" s="3"/>
      <c r="AO7" s="3"/>
    </row>
    <row r="8" ht="0.95" customHeight="1" spans="1:41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3"/>
    </row>
    <row r="9" ht="12.95" customHeight="1" spans="1:41" x14ac:dyDescent="0.25">
      <c r="A9" s="18" t="s">
        <v>14</v>
      </c>
      <c r="B9" s="18" t="s">
        <v>15</v>
      </c>
      <c r="C9" s="18" t="s">
        <v>16</v>
      </c>
      <c r="D9" s="19"/>
      <c r="E9" s="18" t="s">
        <v>17</v>
      </c>
      <c r="F9" s="18" t="s">
        <v>18</v>
      </c>
      <c r="G9" s="18" t="s">
        <v>19</v>
      </c>
      <c r="H9" s="18" t="s">
        <v>20</v>
      </c>
      <c r="I9" s="18" t="s">
        <v>21</v>
      </c>
      <c r="J9" s="18" t="s">
        <v>22</v>
      </c>
      <c r="K9" s="18" t="s">
        <v>23</v>
      </c>
      <c r="L9" s="19"/>
      <c r="M9" s="18" t="s">
        <v>24</v>
      </c>
      <c r="N9" s="19"/>
      <c r="O9" s="19"/>
      <c r="P9" s="18" t="s">
        <v>25</v>
      </c>
      <c r="Q9" s="19"/>
      <c r="R9" s="18" t="s">
        <v>26</v>
      </c>
      <c r="S9" s="19"/>
      <c r="T9" s="18" t="s">
        <v>27</v>
      </c>
      <c r="U9" s="19"/>
      <c r="V9" s="18" t="s">
        <v>28</v>
      </c>
      <c r="W9" s="18" t="s">
        <v>29</v>
      </c>
      <c r="X9" s="18" t="s">
        <v>30</v>
      </c>
      <c r="Y9" s="18" t="s">
        <v>31</v>
      </c>
      <c r="Z9" s="18" t="s">
        <v>32</v>
      </c>
      <c r="AA9" s="18" t="s">
        <v>33</v>
      </c>
      <c r="AB9" s="18" t="s">
        <v>34</v>
      </c>
      <c r="AC9" s="18" t="s">
        <v>35</v>
      </c>
      <c r="AD9" s="18" t="s">
        <v>36</v>
      </c>
      <c r="AE9" s="18" t="s">
        <v>37</v>
      </c>
      <c r="AF9" s="18" t="s">
        <v>38</v>
      </c>
      <c r="AG9" s="18" t="s">
        <v>39</v>
      </c>
      <c r="AH9" s="18" t="s">
        <v>40</v>
      </c>
      <c r="AI9" s="18" t="s">
        <v>41</v>
      </c>
      <c r="AJ9" s="18" t="s">
        <v>39</v>
      </c>
      <c r="AK9" s="18" t="s">
        <v>42</v>
      </c>
      <c r="AL9" s="18" t="s">
        <v>43</v>
      </c>
      <c r="AM9" s="18" t="s">
        <v>44</v>
      </c>
      <c r="AN9" s="18" t="s">
        <v>45</v>
      </c>
      <c r="AO9" s="3"/>
    </row>
    <row r="10" ht="0.95" customHeight="1" spans="1:41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3"/>
    </row>
    <row r="11" ht="12.95" customHeight="1" spans="1:41" x14ac:dyDescent="0.25">
      <c r="A11" s="20" t="s">
        <v>46</v>
      </c>
      <c r="B11" s="20" t="s">
        <v>624</v>
      </c>
      <c r="C11" s="20" t="s">
        <v>48</v>
      </c>
      <c r="D11" s="21"/>
      <c r="E11" s="20" t="s">
        <v>625</v>
      </c>
      <c r="F11" s="22" t="s">
        <v>626</v>
      </c>
      <c r="G11" s="22" t="s">
        <v>51</v>
      </c>
      <c r="H11" s="22" t="s">
        <v>627</v>
      </c>
      <c r="I11" s="20" t="s">
        <v>628</v>
      </c>
      <c r="J11" s="23" t="s">
        <v>629</v>
      </c>
      <c r="K11" s="20" t="s">
        <v>630</v>
      </c>
      <c r="L11" s="21"/>
      <c r="M11" s="23" t="s">
        <v>46</v>
      </c>
      <c r="N11" s="24"/>
      <c r="O11" s="24"/>
      <c r="P11" s="22" t="s">
        <v>81</v>
      </c>
      <c r="Q11" s="25"/>
      <c r="R11" s="26">
        <v>27.86</v>
      </c>
      <c r="S11" s="25"/>
      <c r="T11" s="26">
        <v>0</v>
      </c>
      <c r="U11" s="25"/>
      <c r="V11" s="26">
        <v>27.86</v>
      </c>
      <c r="W11" s="26">
        <v>0</v>
      </c>
      <c r="X11" s="26">
        <v>27.86</v>
      </c>
      <c r="Y11" s="26">
        <v>0</v>
      </c>
      <c r="Z11" s="26">
        <v>4.18</v>
      </c>
      <c r="AA11" s="26">
        <v>0</v>
      </c>
      <c r="AB11" s="26">
        <v>0</v>
      </c>
      <c r="AC11" s="26">
        <v>0</v>
      </c>
      <c r="AD11" s="26">
        <v>32.04</v>
      </c>
      <c r="AE11" s="26">
        <v>0</v>
      </c>
      <c r="AF11" s="26">
        <v>0</v>
      </c>
      <c r="AG11" s="26">
        <v>18.387447478461937</v>
      </c>
      <c r="AH11" s="26">
        <v>9.472553</v>
      </c>
      <c r="AI11" s="26">
        <v>34.00055</v>
      </c>
      <c r="AJ11" s="26">
        <v>51.516415</v>
      </c>
      <c r="AK11" s="22" t="s">
        <v>631</v>
      </c>
      <c r="AL11" s="22" t="s">
        <v>632</v>
      </c>
      <c r="AM11" s="20" t="s">
        <v>633</v>
      </c>
      <c r="AN11" s="23" t="s">
        <v>58</v>
      </c>
      <c r="AO11" s="3"/>
    </row>
    <row r="12" ht="12.95" customHeight="1" spans="1:41" x14ac:dyDescent="0.25">
      <c r="A12" s="20" t="s">
        <v>46</v>
      </c>
      <c r="B12" s="20" t="s">
        <v>624</v>
      </c>
      <c r="C12" s="20" t="s">
        <v>64</v>
      </c>
      <c r="D12" s="21"/>
      <c r="E12" s="20" t="s">
        <v>634</v>
      </c>
      <c r="F12" s="22" t="s">
        <v>626</v>
      </c>
      <c r="G12" s="22" t="s">
        <v>51</v>
      </c>
      <c r="H12" s="22" t="s">
        <v>635</v>
      </c>
      <c r="I12" s="20" t="s">
        <v>61</v>
      </c>
      <c r="J12" s="23" t="s">
        <v>636</v>
      </c>
      <c r="K12" s="20" t="s">
        <v>637</v>
      </c>
      <c r="L12" s="21"/>
      <c r="M12" s="23" t="s">
        <v>46</v>
      </c>
      <c r="N12" s="24"/>
      <c r="O12" s="24"/>
      <c r="P12" s="22" t="s">
        <v>2</v>
      </c>
      <c r="Q12" s="25"/>
      <c r="R12" s="26">
        <v>95.92</v>
      </c>
      <c r="S12" s="25"/>
      <c r="T12" s="26">
        <v>9.59</v>
      </c>
      <c r="U12" s="25"/>
      <c r="V12" s="26">
        <v>86.33</v>
      </c>
      <c r="W12" s="26">
        <v>0</v>
      </c>
      <c r="X12" s="26">
        <v>86.33</v>
      </c>
      <c r="Y12" s="26">
        <v>0</v>
      </c>
      <c r="Z12" s="26">
        <v>12.95</v>
      </c>
      <c r="AA12" s="26">
        <v>0</v>
      </c>
      <c r="AB12" s="26">
        <v>0</v>
      </c>
      <c r="AC12" s="26">
        <v>0</v>
      </c>
      <c r="AD12" s="26">
        <v>99.28</v>
      </c>
      <c r="AE12" s="26">
        <v>0</v>
      </c>
      <c r="AF12" s="26">
        <v>0</v>
      </c>
      <c r="AG12" s="26">
        <v>50.58765625</v>
      </c>
      <c r="AH12" s="26">
        <v>35.742344</v>
      </c>
      <c r="AI12" s="26">
        <v>41.401997</v>
      </c>
      <c r="AJ12" s="26">
        <v>70.65428</v>
      </c>
      <c r="AK12" s="22" t="s">
        <v>631</v>
      </c>
      <c r="AL12" s="22" t="s">
        <v>638</v>
      </c>
      <c r="AM12" s="20" t="s">
        <v>633</v>
      </c>
      <c r="AN12" s="23" t="s">
        <v>58</v>
      </c>
      <c r="AO12" s="3"/>
    </row>
    <row r="13" ht="12.95" customHeight="1" spans="1:41" x14ac:dyDescent="0.25">
      <c r="A13" s="20" t="s">
        <v>46</v>
      </c>
      <c r="B13" s="20" t="s">
        <v>624</v>
      </c>
      <c r="C13" s="20" t="s">
        <v>64</v>
      </c>
      <c r="D13" s="21"/>
      <c r="E13" s="20" t="s">
        <v>639</v>
      </c>
      <c r="F13" s="22" t="s">
        <v>626</v>
      </c>
      <c r="G13" s="22" t="s">
        <v>51</v>
      </c>
      <c r="H13" s="22" t="s">
        <v>640</v>
      </c>
      <c r="I13" s="20" t="s">
        <v>641</v>
      </c>
      <c r="J13" s="23" t="s">
        <v>642</v>
      </c>
      <c r="K13" s="20" t="s">
        <v>643</v>
      </c>
      <c r="L13" s="21"/>
      <c r="M13" s="23" t="s">
        <v>46</v>
      </c>
      <c r="N13" s="24"/>
      <c r="O13" s="24"/>
      <c r="P13" s="22" t="s">
        <v>2</v>
      </c>
      <c r="Q13" s="25"/>
      <c r="R13" s="26">
        <v>75.61</v>
      </c>
      <c r="S13" s="25"/>
      <c r="T13" s="26">
        <v>0</v>
      </c>
      <c r="U13" s="25"/>
      <c r="V13" s="26">
        <v>75.61</v>
      </c>
      <c r="W13" s="26">
        <v>0</v>
      </c>
      <c r="X13" s="26">
        <v>75.61</v>
      </c>
      <c r="Y13" s="26">
        <v>0</v>
      </c>
      <c r="Z13" s="26">
        <v>11.34</v>
      </c>
      <c r="AA13" s="26">
        <v>0</v>
      </c>
      <c r="AB13" s="26">
        <v>0</v>
      </c>
      <c r="AC13" s="26">
        <v>0</v>
      </c>
      <c r="AD13" s="26">
        <v>86.95</v>
      </c>
      <c r="AE13" s="26">
        <v>86.95</v>
      </c>
      <c r="AF13" s="26">
        <v>0</v>
      </c>
      <c r="AG13" s="26">
        <v>49.9</v>
      </c>
      <c r="AH13" s="26">
        <v>25.71</v>
      </c>
      <c r="AI13" s="26">
        <v>34.003437</v>
      </c>
      <c r="AJ13" s="26">
        <v>51.52304</v>
      </c>
      <c r="AK13" s="22" t="s">
        <v>631</v>
      </c>
      <c r="AL13" s="22" t="s">
        <v>638</v>
      </c>
      <c r="AM13" s="20" t="s">
        <v>633</v>
      </c>
      <c r="AN13" s="23" t="s">
        <v>58</v>
      </c>
      <c r="AO13" s="3"/>
    </row>
    <row r="14" ht="12.95" customHeight="1" spans="1:41" x14ac:dyDescent="0.25">
      <c r="A14" s="20" t="s">
        <v>46</v>
      </c>
      <c r="B14" s="20" t="s">
        <v>624</v>
      </c>
      <c r="C14" s="20" t="s">
        <v>64</v>
      </c>
      <c r="D14" s="21"/>
      <c r="E14" s="20" t="s">
        <v>644</v>
      </c>
      <c r="F14" s="22" t="s">
        <v>626</v>
      </c>
      <c r="G14" s="22" t="s">
        <v>51</v>
      </c>
      <c r="H14" s="22" t="s">
        <v>645</v>
      </c>
      <c r="I14" s="20" t="s">
        <v>646</v>
      </c>
      <c r="J14" s="23" t="s">
        <v>647</v>
      </c>
      <c r="K14" s="20" t="s">
        <v>648</v>
      </c>
      <c r="L14" s="21"/>
      <c r="M14" s="23" t="s">
        <v>46</v>
      </c>
      <c r="N14" s="24"/>
      <c r="O14" s="24"/>
      <c r="P14" s="22" t="s">
        <v>2</v>
      </c>
      <c r="Q14" s="25"/>
      <c r="R14" s="26">
        <v>38</v>
      </c>
      <c r="S14" s="25"/>
      <c r="T14" s="26">
        <v>1.9</v>
      </c>
      <c r="U14" s="25"/>
      <c r="V14" s="26">
        <v>36.1</v>
      </c>
      <c r="W14" s="26">
        <v>0</v>
      </c>
      <c r="X14" s="26">
        <v>36.1</v>
      </c>
      <c r="Y14" s="26">
        <v>0</v>
      </c>
      <c r="Z14" s="26">
        <v>5.42</v>
      </c>
      <c r="AA14" s="26">
        <v>0</v>
      </c>
      <c r="AB14" s="26">
        <v>0</v>
      </c>
      <c r="AC14" s="26">
        <v>0</v>
      </c>
      <c r="AD14" s="26">
        <v>41.52</v>
      </c>
      <c r="AE14" s="26">
        <v>41.52</v>
      </c>
      <c r="AF14" s="26">
        <v>0</v>
      </c>
      <c r="AG14" s="26">
        <v>20</v>
      </c>
      <c r="AH14" s="26">
        <v>16.099998</v>
      </c>
      <c r="AI14" s="26">
        <v>44.598335</v>
      </c>
      <c r="AJ14" s="26">
        <v>80.49999</v>
      </c>
      <c r="AK14" s="22" t="s">
        <v>631</v>
      </c>
      <c r="AL14" s="22" t="s">
        <v>638</v>
      </c>
      <c r="AM14" s="20" t="s">
        <v>633</v>
      </c>
      <c r="AN14" s="23" t="s">
        <v>58</v>
      </c>
      <c r="AO14" s="3"/>
    </row>
    <row r="15" ht="12.95" customHeight="1" spans="1:41" x14ac:dyDescent="0.25">
      <c r="A15" s="20" t="s">
        <v>46</v>
      </c>
      <c r="B15" s="20" t="s">
        <v>624</v>
      </c>
      <c r="C15" s="20" t="s">
        <v>64</v>
      </c>
      <c r="D15" s="21"/>
      <c r="E15" s="20" t="s">
        <v>649</v>
      </c>
      <c r="F15" s="22" t="s">
        <v>626</v>
      </c>
      <c r="G15" s="22" t="s">
        <v>51</v>
      </c>
      <c r="H15" s="22" t="s">
        <v>650</v>
      </c>
      <c r="I15" s="20" t="s">
        <v>610</v>
      </c>
      <c r="J15" s="23" t="s">
        <v>651</v>
      </c>
      <c r="K15" s="20" t="s">
        <v>652</v>
      </c>
      <c r="L15" s="21"/>
      <c r="M15" s="23" t="s">
        <v>46</v>
      </c>
      <c r="N15" s="24"/>
      <c r="O15" s="24"/>
      <c r="P15" s="22" t="s">
        <v>81</v>
      </c>
      <c r="Q15" s="25"/>
      <c r="R15" s="26">
        <v>8.69</v>
      </c>
      <c r="S15" s="25"/>
      <c r="T15" s="26">
        <v>0</v>
      </c>
      <c r="U15" s="25"/>
      <c r="V15" s="26">
        <v>8.69</v>
      </c>
      <c r="W15" s="26">
        <v>0</v>
      </c>
      <c r="X15" s="26">
        <v>8.69</v>
      </c>
      <c r="Y15" s="26">
        <v>0</v>
      </c>
      <c r="Z15" s="26">
        <v>1.3</v>
      </c>
      <c r="AA15" s="26">
        <v>0</v>
      </c>
      <c r="AB15" s="26">
        <v>0</v>
      </c>
      <c r="AC15" s="26">
        <v>0</v>
      </c>
      <c r="AD15" s="26">
        <v>9.99</v>
      </c>
      <c r="AE15" s="26">
        <v>9.99</v>
      </c>
      <c r="AF15" s="26">
        <v>0</v>
      </c>
      <c r="AG15" s="26">
        <v>5.028849507392346</v>
      </c>
      <c r="AH15" s="26">
        <v>3.66115</v>
      </c>
      <c r="AI15" s="26">
        <v>42.13061</v>
      </c>
      <c r="AJ15" s="26">
        <v>72.80293</v>
      </c>
      <c r="AK15" s="22" t="s">
        <v>631</v>
      </c>
      <c r="AL15" s="22" t="s">
        <v>638</v>
      </c>
      <c r="AM15" s="20" t="s">
        <v>633</v>
      </c>
      <c r="AN15" s="23" t="s">
        <v>58</v>
      </c>
      <c r="AO15" s="3"/>
    </row>
    <row r="16" ht="12.95" customHeight="1" spans="1:41" x14ac:dyDescent="0.25">
      <c r="A16" s="20" t="s">
        <v>46</v>
      </c>
      <c r="B16" s="20" t="s">
        <v>624</v>
      </c>
      <c r="C16" s="20" t="s">
        <v>64</v>
      </c>
      <c r="D16" s="21"/>
      <c r="E16" s="20" t="s">
        <v>653</v>
      </c>
      <c r="F16" s="22" t="s">
        <v>626</v>
      </c>
      <c r="G16" s="22" t="s">
        <v>51</v>
      </c>
      <c r="H16" s="22" t="s">
        <v>654</v>
      </c>
      <c r="I16" s="20" t="s">
        <v>655</v>
      </c>
      <c r="J16" s="23" t="s">
        <v>656</v>
      </c>
      <c r="K16" s="20" t="s">
        <v>657</v>
      </c>
      <c r="L16" s="21"/>
      <c r="M16" s="23" t="s">
        <v>46</v>
      </c>
      <c r="N16" s="24"/>
      <c r="O16" s="24"/>
      <c r="P16" s="22" t="s">
        <v>2</v>
      </c>
      <c r="Q16" s="25"/>
      <c r="R16" s="26">
        <v>30.33</v>
      </c>
      <c r="S16" s="25"/>
      <c r="T16" s="26">
        <v>0</v>
      </c>
      <c r="U16" s="25"/>
      <c r="V16" s="26">
        <v>30.33</v>
      </c>
      <c r="W16" s="26">
        <v>0</v>
      </c>
      <c r="X16" s="26">
        <v>30.33</v>
      </c>
      <c r="Y16" s="26">
        <v>0</v>
      </c>
      <c r="Z16" s="26">
        <v>4.55</v>
      </c>
      <c r="AA16" s="26">
        <v>0</v>
      </c>
      <c r="AB16" s="26">
        <v>0</v>
      </c>
      <c r="AC16" s="26">
        <v>0</v>
      </c>
      <c r="AD16" s="26">
        <v>34.88</v>
      </c>
      <c r="AE16" s="26">
        <v>34.88</v>
      </c>
      <c r="AF16" s="26">
        <v>0</v>
      </c>
      <c r="AG16" s="26">
        <v>20.02</v>
      </c>
      <c r="AH16" s="26">
        <v>10.309999</v>
      </c>
      <c r="AI16" s="26">
        <v>33.992744</v>
      </c>
      <c r="AJ16" s="26">
        <v>51.498497</v>
      </c>
      <c r="AK16" s="22" t="s">
        <v>631</v>
      </c>
      <c r="AL16" s="22" t="s">
        <v>638</v>
      </c>
      <c r="AM16" s="20" t="s">
        <v>633</v>
      </c>
      <c r="AN16" s="23" t="s">
        <v>58</v>
      </c>
      <c r="AO16" s="3"/>
    </row>
    <row r="17" ht="12.95" customHeight="1" spans="1:41" x14ac:dyDescent="0.25">
      <c r="A17" s="20" t="s">
        <v>46</v>
      </c>
      <c r="B17" s="20" t="s">
        <v>624</v>
      </c>
      <c r="C17" s="20" t="s">
        <v>64</v>
      </c>
      <c r="D17" s="21"/>
      <c r="E17" s="20" t="s">
        <v>658</v>
      </c>
      <c r="F17" s="22" t="s">
        <v>626</v>
      </c>
      <c r="G17" s="22" t="s">
        <v>51</v>
      </c>
      <c r="H17" s="22" t="s">
        <v>659</v>
      </c>
      <c r="I17" s="20" t="s">
        <v>72</v>
      </c>
      <c r="J17" s="23" t="s">
        <v>660</v>
      </c>
      <c r="K17" s="20" t="s">
        <v>661</v>
      </c>
      <c r="L17" s="21"/>
      <c r="M17" s="23" t="s">
        <v>46</v>
      </c>
      <c r="N17" s="24"/>
      <c r="O17" s="24"/>
      <c r="P17" s="22" t="s">
        <v>2</v>
      </c>
      <c r="Q17" s="25"/>
      <c r="R17" s="26">
        <v>139.83</v>
      </c>
      <c r="S17" s="25"/>
      <c r="T17" s="26">
        <v>0</v>
      </c>
      <c r="U17" s="25"/>
      <c r="V17" s="26">
        <v>139.83</v>
      </c>
      <c r="W17" s="26">
        <v>0</v>
      </c>
      <c r="X17" s="26">
        <v>139.83</v>
      </c>
      <c r="Y17" s="26">
        <v>0</v>
      </c>
      <c r="Z17" s="26">
        <v>20.97</v>
      </c>
      <c r="AA17" s="26">
        <v>0</v>
      </c>
      <c r="AB17" s="26">
        <v>0</v>
      </c>
      <c r="AC17" s="26">
        <v>0</v>
      </c>
      <c r="AD17" s="26">
        <v>160.8</v>
      </c>
      <c r="AE17" s="26">
        <v>160.8</v>
      </c>
      <c r="AF17" s="26">
        <v>0</v>
      </c>
      <c r="AG17" s="26">
        <v>92.29</v>
      </c>
      <c r="AH17" s="26">
        <v>47.54</v>
      </c>
      <c r="AI17" s="26">
        <v>33.99843</v>
      </c>
      <c r="AJ17" s="26">
        <v>51.51154</v>
      </c>
      <c r="AK17" s="22" t="s">
        <v>631</v>
      </c>
      <c r="AL17" s="22" t="s">
        <v>638</v>
      </c>
      <c r="AM17" s="20" t="s">
        <v>633</v>
      </c>
      <c r="AN17" s="23" t="s">
        <v>58</v>
      </c>
      <c r="AO17" s="3"/>
    </row>
    <row r="18" ht="12.95" customHeight="1" spans="1:41" x14ac:dyDescent="0.25">
      <c r="A18" s="20" t="s">
        <v>46</v>
      </c>
      <c r="B18" s="20" t="s">
        <v>662</v>
      </c>
      <c r="C18" s="20" t="s">
        <v>75</v>
      </c>
      <c r="D18" s="21"/>
      <c r="E18" s="20" t="s">
        <v>663</v>
      </c>
      <c r="F18" s="22" t="s">
        <v>664</v>
      </c>
      <c r="G18" s="22" t="s">
        <v>51</v>
      </c>
      <c r="H18" s="22" t="s">
        <v>665</v>
      </c>
      <c r="I18" s="20" t="s">
        <v>666</v>
      </c>
      <c r="J18" s="23" t="s">
        <v>667</v>
      </c>
      <c r="K18" s="20" t="s">
        <v>668</v>
      </c>
      <c r="L18" s="21"/>
      <c r="M18" s="23" t="s">
        <v>46</v>
      </c>
      <c r="N18" s="24"/>
      <c r="O18" s="24"/>
      <c r="P18" s="22" t="s">
        <v>2</v>
      </c>
      <c r="Q18" s="25"/>
      <c r="R18" s="26">
        <v>12.26</v>
      </c>
      <c r="S18" s="25"/>
      <c r="T18" s="26">
        <v>0</v>
      </c>
      <c r="U18" s="25"/>
      <c r="V18" s="26">
        <v>12.26</v>
      </c>
      <c r="W18" s="26">
        <v>0</v>
      </c>
      <c r="X18" s="26">
        <v>12.26</v>
      </c>
      <c r="Y18" s="26">
        <v>0</v>
      </c>
      <c r="Z18" s="26">
        <v>1.84</v>
      </c>
      <c r="AA18" s="26">
        <v>0</v>
      </c>
      <c r="AB18" s="26">
        <v>0</v>
      </c>
      <c r="AC18" s="26">
        <v>0</v>
      </c>
      <c r="AD18" s="26">
        <v>14.1</v>
      </c>
      <c r="AE18" s="26">
        <v>0</v>
      </c>
      <c r="AF18" s="26">
        <v>0</v>
      </c>
      <c r="AG18" s="26">
        <v>8.08</v>
      </c>
      <c r="AH18" s="26">
        <v>4.1800003</v>
      </c>
      <c r="AI18" s="26">
        <v>34.09462</v>
      </c>
      <c r="AJ18" s="26">
        <v>51.732677</v>
      </c>
      <c r="AK18" s="22" t="s">
        <v>631</v>
      </c>
      <c r="AL18" s="22" t="s">
        <v>669</v>
      </c>
      <c r="AM18" s="20" t="s">
        <v>670</v>
      </c>
      <c r="AN18" s="23" t="s">
        <v>58</v>
      </c>
      <c r="AO18" s="3"/>
    </row>
    <row r="19" ht="12.95" customHeight="1" spans="1:41" x14ac:dyDescent="0.25">
      <c r="A19" s="20" t="s">
        <v>46</v>
      </c>
      <c r="B19" s="20" t="s">
        <v>662</v>
      </c>
      <c r="C19" s="20" t="s">
        <v>75</v>
      </c>
      <c r="D19" s="21"/>
      <c r="E19" s="20" t="s">
        <v>671</v>
      </c>
      <c r="F19" s="22" t="s">
        <v>664</v>
      </c>
      <c r="G19" s="22" t="s">
        <v>51</v>
      </c>
      <c r="H19" s="22" t="s">
        <v>672</v>
      </c>
      <c r="I19" s="20" t="s">
        <v>673</v>
      </c>
      <c r="J19" s="23" t="s">
        <v>674</v>
      </c>
      <c r="K19" s="20" t="s">
        <v>675</v>
      </c>
      <c r="L19" s="21"/>
      <c r="M19" s="23" t="s">
        <v>46</v>
      </c>
      <c r="N19" s="24"/>
      <c r="O19" s="24"/>
      <c r="P19" s="22" t="s">
        <v>2</v>
      </c>
      <c r="Q19" s="25"/>
      <c r="R19" s="26">
        <v>13.04</v>
      </c>
      <c r="S19" s="25"/>
      <c r="T19" s="26">
        <v>0</v>
      </c>
      <c r="U19" s="25"/>
      <c r="V19" s="26">
        <v>13.04</v>
      </c>
      <c r="W19" s="26">
        <v>0</v>
      </c>
      <c r="X19" s="26">
        <v>13.04</v>
      </c>
      <c r="Y19" s="26">
        <v>0</v>
      </c>
      <c r="Z19" s="26">
        <v>1.96</v>
      </c>
      <c r="AA19" s="26">
        <v>0</v>
      </c>
      <c r="AB19" s="26">
        <v>0</v>
      </c>
      <c r="AC19" s="26">
        <v>0</v>
      </c>
      <c r="AD19" s="26">
        <v>15</v>
      </c>
      <c r="AE19" s="26">
        <v>0</v>
      </c>
      <c r="AF19" s="26">
        <v>0</v>
      </c>
      <c r="AG19" s="26">
        <v>8.11</v>
      </c>
      <c r="AH19" s="26">
        <v>4.9300003</v>
      </c>
      <c r="AI19" s="26">
        <v>37.80675</v>
      </c>
      <c r="AJ19" s="26">
        <v>60.789154</v>
      </c>
      <c r="AK19" s="22" t="s">
        <v>631</v>
      </c>
      <c r="AL19" s="22" t="s">
        <v>669</v>
      </c>
      <c r="AM19" s="20" t="s">
        <v>670</v>
      </c>
      <c r="AN19" s="23" t="s">
        <v>58</v>
      </c>
      <c r="AO19" s="3"/>
    </row>
    <row r="20" ht="12.95" customHeight="1" spans="1:41" x14ac:dyDescent="0.25">
      <c r="A20" s="20" t="s">
        <v>46</v>
      </c>
      <c r="B20" s="20" t="s">
        <v>624</v>
      </c>
      <c r="C20" s="20" t="s">
        <v>75</v>
      </c>
      <c r="D20" s="21"/>
      <c r="E20" s="20" t="s">
        <v>676</v>
      </c>
      <c r="F20" s="22" t="s">
        <v>626</v>
      </c>
      <c r="G20" s="22" t="s">
        <v>51</v>
      </c>
      <c r="H20" s="22" t="s">
        <v>677</v>
      </c>
      <c r="I20" s="20" t="s">
        <v>678</v>
      </c>
      <c r="J20" s="23" t="s">
        <v>679</v>
      </c>
      <c r="K20" s="20" t="s">
        <v>680</v>
      </c>
      <c r="L20" s="21"/>
      <c r="M20" s="23" t="s">
        <v>46</v>
      </c>
      <c r="N20" s="24"/>
      <c r="O20" s="24"/>
      <c r="P20" s="22" t="s">
        <v>2</v>
      </c>
      <c r="Q20" s="25"/>
      <c r="R20" s="26">
        <v>82.5</v>
      </c>
      <c r="S20" s="25"/>
      <c r="T20" s="26">
        <v>0</v>
      </c>
      <c r="U20" s="25"/>
      <c r="V20" s="26">
        <v>82.5</v>
      </c>
      <c r="W20" s="26">
        <v>0</v>
      </c>
      <c r="X20" s="26">
        <v>82.5</v>
      </c>
      <c r="Y20" s="26">
        <v>0</v>
      </c>
      <c r="Z20" s="26">
        <v>12.38</v>
      </c>
      <c r="AA20" s="26">
        <v>0</v>
      </c>
      <c r="AB20" s="26">
        <v>0</v>
      </c>
      <c r="AC20" s="26">
        <v>0</v>
      </c>
      <c r="AD20" s="26">
        <v>94.88</v>
      </c>
      <c r="AE20" s="26">
        <v>94.88</v>
      </c>
      <c r="AF20" s="26">
        <v>0</v>
      </c>
      <c r="AG20" s="26">
        <v>56</v>
      </c>
      <c r="AH20" s="26">
        <v>26.5</v>
      </c>
      <c r="AI20" s="26">
        <v>32.121212</v>
      </c>
      <c r="AJ20" s="26">
        <v>47.32143</v>
      </c>
      <c r="AK20" s="22" t="s">
        <v>631</v>
      </c>
      <c r="AL20" s="22" t="s">
        <v>669</v>
      </c>
      <c r="AM20" s="20" t="s">
        <v>633</v>
      </c>
      <c r="AN20" s="23" t="s">
        <v>58</v>
      </c>
      <c r="AO20" s="3"/>
    </row>
    <row r="21" ht="12.95" customHeight="1" spans="1:41" x14ac:dyDescent="0.25">
      <c r="A21" s="20" t="s">
        <v>46</v>
      </c>
      <c r="B21" s="20" t="s">
        <v>624</v>
      </c>
      <c r="C21" s="20" t="s">
        <v>75</v>
      </c>
      <c r="D21" s="21"/>
      <c r="E21" s="20" t="s">
        <v>681</v>
      </c>
      <c r="F21" s="22" t="s">
        <v>626</v>
      </c>
      <c r="G21" s="22" t="s">
        <v>51</v>
      </c>
      <c r="H21" s="22" t="s">
        <v>682</v>
      </c>
      <c r="I21" s="20" t="s">
        <v>594</v>
      </c>
      <c r="J21" s="23" t="s">
        <v>683</v>
      </c>
      <c r="K21" s="20" t="s">
        <v>684</v>
      </c>
      <c r="L21" s="21"/>
      <c r="M21" s="23" t="s">
        <v>46</v>
      </c>
      <c r="N21" s="24"/>
      <c r="O21" s="24"/>
      <c r="P21" s="22" t="s">
        <v>685</v>
      </c>
      <c r="Q21" s="25"/>
      <c r="R21" s="26">
        <v>2782.03</v>
      </c>
      <c r="S21" s="25"/>
      <c r="T21" s="26">
        <v>278.21</v>
      </c>
      <c r="U21" s="25"/>
      <c r="V21" s="26">
        <v>2503.82</v>
      </c>
      <c r="W21" s="26">
        <v>0</v>
      </c>
      <c r="X21" s="26">
        <v>2503.82</v>
      </c>
      <c r="Y21" s="26">
        <v>0</v>
      </c>
      <c r="Z21" s="26">
        <v>375.57</v>
      </c>
      <c r="AA21" s="26">
        <v>0</v>
      </c>
      <c r="AB21" s="26">
        <v>0</v>
      </c>
      <c r="AC21" s="26">
        <v>0</v>
      </c>
      <c r="AD21" s="26">
        <v>2879.39</v>
      </c>
      <c r="AE21" s="26">
        <v>2879.39</v>
      </c>
      <c r="AF21" s="26">
        <v>0</v>
      </c>
      <c r="AG21" s="26">
        <v>1841.9418119211873</v>
      </c>
      <c r="AH21" s="26">
        <v>661.8783</v>
      </c>
      <c r="AI21" s="26">
        <v>26.434738</v>
      </c>
      <c r="AJ21" s="26">
        <v>35.933723</v>
      </c>
      <c r="AK21" s="22" t="s">
        <v>631</v>
      </c>
      <c r="AL21" s="22" t="s">
        <v>669</v>
      </c>
      <c r="AM21" s="20" t="s">
        <v>633</v>
      </c>
      <c r="AN21" s="23" t="s">
        <v>58</v>
      </c>
      <c r="AO21" s="3"/>
    </row>
    <row r="22" ht="12.95" customHeight="1" spans="1:41" x14ac:dyDescent="0.25">
      <c r="A22" s="20" t="s">
        <v>46</v>
      </c>
      <c r="B22" s="20" t="s">
        <v>624</v>
      </c>
      <c r="C22" s="20" t="s">
        <v>75</v>
      </c>
      <c r="D22" s="21"/>
      <c r="E22" s="20" t="s">
        <v>686</v>
      </c>
      <c r="F22" s="22" t="s">
        <v>626</v>
      </c>
      <c r="G22" s="22" t="s">
        <v>51</v>
      </c>
      <c r="H22" s="22" t="s">
        <v>687</v>
      </c>
      <c r="I22" s="20" t="s">
        <v>688</v>
      </c>
      <c r="J22" s="23" t="s">
        <v>689</v>
      </c>
      <c r="K22" s="20" t="s">
        <v>690</v>
      </c>
      <c r="L22" s="21"/>
      <c r="M22" s="23" t="s">
        <v>46</v>
      </c>
      <c r="N22" s="24"/>
      <c r="O22" s="24"/>
      <c r="P22" s="22" t="s">
        <v>2</v>
      </c>
      <c r="Q22" s="25"/>
      <c r="R22" s="26">
        <v>253.17</v>
      </c>
      <c r="S22" s="25"/>
      <c r="T22" s="26">
        <v>0</v>
      </c>
      <c r="U22" s="25"/>
      <c r="V22" s="26">
        <v>253.17</v>
      </c>
      <c r="W22" s="26">
        <v>0</v>
      </c>
      <c r="X22" s="26">
        <v>253.17</v>
      </c>
      <c r="Y22" s="26">
        <v>0</v>
      </c>
      <c r="Z22" s="26">
        <v>37.98</v>
      </c>
      <c r="AA22" s="26">
        <v>0</v>
      </c>
      <c r="AB22" s="26">
        <v>0</v>
      </c>
      <c r="AC22" s="26">
        <v>0</v>
      </c>
      <c r="AD22" s="26">
        <v>291.15</v>
      </c>
      <c r="AE22" s="26">
        <v>291.15</v>
      </c>
      <c r="AF22" s="26">
        <v>0</v>
      </c>
      <c r="AG22" s="26">
        <v>157.9</v>
      </c>
      <c r="AH22" s="26">
        <v>95.270004</v>
      </c>
      <c r="AI22" s="26">
        <v>37.630844</v>
      </c>
      <c r="AJ22" s="26">
        <v>60.33566</v>
      </c>
      <c r="AK22" s="22" t="s">
        <v>631</v>
      </c>
      <c r="AL22" s="22" t="s">
        <v>669</v>
      </c>
      <c r="AM22" s="20" t="s">
        <v>633</v>
      </c>
      <c r="AN22" s="23" t="s">
        <v>58</v>
      </c>
      <c r="AO22" s="3"/>
    </row>
    <row r="23" ht="12.95" customHeight="1" spans="1:41" x14ac:dyDescent="0.25">
      <c r="A23" s="20" t="s">
        <v>46</v>
      </c>
      <c r="B23" s="20" t="s">
        <v>662</v>
      </c>
      <c r="C23" s="20" t="s">
        <v>75</v>
      </c>
      <c r="D23" s="21"/>
      <c r="E23" s="20" t="s">
        <v>691</v>
      </c>
      <c r="F23" s="22" t="s">
        <v>664</v>
      </c>
      <c r="G23" s="22" t="s">
        <v>51</v>
      </c>
      <c r="H23" s="22" t="s">
        <v>692</v>
      </c>
      <c r="I23" s="20" t="s">
        <v>641</v>
      </c>
      <c r="J23" s="23" t="s">
        <v>693</v>
      </c>
      <c r="K23" s="20" t="s">
        <v>694</v>
      </c>
      <c r="L23" s="21"/>
      <c r="M23" s="23" t="s">
        <v>46</v>
      </c>
      <c r="N23" s="24"/>
      <c r="O23" s="24"/>
      <c r="P23" s="22" t="s">
        <v>81</v>
      </c>
      <c r="Q23" s="25"/>
      <c r="R23" s="26">
        <v>8.69</v>
      </c>
      <c r="S23" s="25"/>
      <c r="T23" s="26">
        <v>0</v>
      </c>
      <c r="U23" s="25"/>
      <c r="V23" s="26">
        <v>8.69</v>
      </c>
      <c r="W23" s="26">
        <v>0</v>
      </c>
      <c r="X23" s="26">
        <v>8.69</v>
      </c>
      <c r="Y23" s="26">
        <v>0</v>
      </c>
      <c r="Z23" s="26">
        <v>1.3</v>
      </c>
      <c r="AA23" s="26">
        <v>0</v>
      </c>
      <c r="AB23" s="26">
        <v>0</v>
      </c>
      <c r="AC23" s="26">
        <v>0</v>
      </c>
      <c r="AD23" s="26">
        <v>9.99</v>
      </c>
      <c r="AE23" s="26">
        <v>0</v>
      </c>
      <c r="AF23" s="26">
        <v>0</v>
      </c>
      <c r="AG23" s="26">
        <v>5.028849507392346</v>
      </c>
      <c r="AH23" s="26">
        <v>3.66115</v>
      </c>
      <c r="AI23" s="26">
        <v>42.13061</v>
      </c>
      <c r="AJ23" s="26">
        <v>72.80293</v>
      </c>
      <c r="AK23" s="22" t="s">
        <v>631</v>
      </c>
      <c r="AL23" s="22" t="s">
        <v>669</v>
      </c>
      <c r="AM23" s="20" t="s">
        <v>670</v>
      </c>
      <c r="AN23" s="23" t="s">
        <v>58</v>
      </c>
      <c r="AO23" s="3"/>
    </row>
    <row r="24" ht="12.95" customHeight="1" spans="1:41" x14ac:dyDescent="0.25">
      <c r="A24" s="20" t="s">
        <v>46</v>
      </c>
      <c r="B24" s="20" t="s">
        <v>624</v>
      </c>
      <c r="C24" s="20" t="s">
        <v>75</v>
      </c>
      <c r="D24" s="21"/>
      <c r="E24" s="20" t="s">
        <v>695</v>
      </c>
      <c r="F24" s="22" t="s">
        <v>626</v>
      </c>
      <c r="G24" s="22" t="s">
        <v>51</v>
      </c>
      <c r="H24" s="22" t="s">
        <v>696</v>
      </c>
      <c r="I24" s="20" t="s">
        <v>217</v>
      </c>
      <c r="J24" s="23" t="s">
        <v>697</v>
      </c>
      <c r="K24" s="20" t="s">
        <v>698</v>
      </c>
      <c r="L24" s="21"/>
      <c r="M24" s="23" t="s">
        <v>46</v>
      </c>
      <c r="N24" s="24"/>
      <c r="O24" s="24"/>
      <c r="P24" s="22" t="s">
        <v>2</v>
      </c>
      <c r="Q24" s="25"/>
      <c r="R24" s="26">
        <v>12.5</v>
      </c>
      <c r="S24" s="25"/>
      <c r="T24" s="26">
        <v>0</v>
      </c>
      <c r="U24" s="25"/>
      <c r="V24" s="26">
        <v>12.5</v>
      </c>
      <c r="W24" s="26">
        <v>0</v>
      </c>
      <c r="X24" s="26">
        <v>12.5</v>
      </c>
      <c r="Y24" s="26">
        <v>0</v>
      </c>
      <c r="Z24" s="26">
        <v>1.88</v>
      </c>
      <c r="AA24" s="26">
        <v>0</v>
      </c>
      <c r="AB24" s="26">
        <v>0</v>
      </c>
      <c r="AC24" s="26">
        <v>0</v>
      </c>
      <c r="AD24" s="26">
        <v>14.38</v>
      </c>
      <c r="AE24" s="26">
        <v>0</v>
      </c>
      <c r="AF24" s="26">
        <v>0</v>
      </c>
      <c r="AG24" s="26">
        <v>11.531864406821747</v>
      </c>
      <c r="AH24" s="26">
        <v>0.96813583</v>
      </c>
      <c r="AI24" s="26">
        <v>7.745086</v>
      </c>
      <c r="AJ24" s="26">
        <v>8.39531</v>
      </c>
      <c r="AK24" s="22" t="s">
        <v>631</v>
      </c>
      <c r="AL24" s="22" t="s">
        <v>669</v>
      </c>
      <c r="AM24" s="20" t="s">
        <v>633</v>
      </c>
      <c r="AN24" s="23" t="s">
        <v>58</v>
      </c>
      <c r="AO24" s="3"/>
    </row>
    <row r="25" ht="12.95" customHeight="1" spans="1:41" x14ac:dyDescent="0.25">
      <c r="A25" s="20" t="s">
        <v>46</v>
      </c>
      <c r="B25" s="20" t="s">
        <v>624</v>
      </c>
      <c r="C25" s="20" t="s">
        <v>106</v>
      </c>
      <c r="D25" s="21"/>
      <c r="E25" s="20" t="s">
        <v>699</v>
      </c>
      <c r="F25" s="22" t="s">
        <v>626</v>
      </c>
      <c r="G25" s="22" t="s">
        <v>51</v>
      </c>
      <c r="H25" s="22" t="s">
        <v>700</v>
      </c>
      <c r="I25" s="20" t="s">
        <v>701</v>
      </c>
      <c r="J25" s="23" t="s">
        <v>702</v>
      </c>
      <c r="K25" s="20" t="s">
        <v>703</v>
      </c>
      <c r="L25" s="21"/>
      <c r="M25" s="23" t="s">
        <v>46</v>
      </c>
      <c r="N25" s="24"/>
      <c r="O25" s="24"/>
      <c r="P25" s="22" t="s">
        <v>2</v>
      </c>
      <c r="Q25" s="25"/>
      <c r="R25" s="26">
        <v>243.77</v>
      </c>
      <c r="S25" s="25"/>
      <c r="T25" s="26">
        <v>0</v>
      </c>
      <c r="U25" s="25"/>
      <c r="V25" s="26">
        <v>243.77</v>
      </c>
      <c r="W25" s="26">
        <v>0</v>
      </c>
      <c r="X25" s="26">
        <v>243.77</v>
      </c>
      <c r="Y25" s="26">
        <v>0</v>
      </c>
      <c r="Z25" s="26">
        <v>36.57</v>
      </c>
      <c r="AA25" s="26">
        <v>0</v>
      </c>
      <c r="AB25" s="26">
        <v>0</v>
      </c>
      <c r="AC25" s="26">
        <v>0</v>
      </c>
      <c r="AD25" s="26">
        <v>280.34</v>
      </c>
      <c r="AE25" s="26">
        <v>0</v>
      </c>
      <c r="AF25" s="26">
        <v>0</v>
      </c>
      <c r="AG25" s="26">
        <v>194.8254162326389</v>
      </c>
      <c r="AH25" s="26">
        <v>48.944595</v>
      </c>
      <c r="AI25" s="26">
        <v>20.078186</v>
      </c>
      <c r="AJ25" s="26">
        <v>25.122284</v>
      </c>
      <c r="AK25" s="22" t="s">
        <v>631</v>
      </c>
      <c r="AL25" s="22" t="s">
        <v>704</v>
      </c>
      <c r="AM25" s="20" t="s">
        <v>633</v>
      </c>
      <c r="AN25" s="23" t="s">
        <v>58</v>
      </c>
      <c r="AO25" s="3"/>
    </row>
    <row r="26" ht="12.95" customHeight="1" spans="1:41" x14ac:dyDescent="0.25">
      <c r="A26" s="20" t="s">
        <v>46</v>
      </c>
      <c r="B26" s="20" t="s">
        <v>624</v>
      </c>
      <c r="C26" s="20" t="s">
        <v>106</v>
      </c>
      <c r="D26" s="21"/>
      <c r="E26" s="20" t="s">
        <v>705</v>
      </c>
      <c r="F26" s="22" t="s">
        <v>626</v>
      </c>
      <c r="G26" s="22" t="s">
        <v>51</v>
      </c>
      <c r="H26" s="22" t="s">
        <v>706</v>
      </c>
      <c r="I26" s="20" t="s">
        <v>646</v>
      </c>
      <c r="J26" s="23" t="s">
        <v>707</v>
      </c>
      <c r="K26" s="20" t="s">
        <v>708</v>
      </c>
      <c r="L26" s="21"/>
      <c r="M26" s="23" t="s">
        <v>46</v>
      </c>
      <c r="N26" s="24"/>
      <c r="O26" s="24"/>
      <c r="P26" s="22" t="s">
        <v>88</v>
      </c>
      <c r="Q26" s="25"/>
      <c r="R26" s="26">
        <v>453.58</v>
      </c>
      <c r="S26" s="25"/>
      <c r="T26" s="26">
        <v>0</v>
      </c>
      <c r="U26" s="25"/>
      <c r="V26" s="26">
        <v>453.58</v>
      </c>
      <c r="W26" s="26">
        <v>0</v>
      </c>
      <c r="X26" s="26">
        <v>453.58</v>
      </c>
      <c r="Y26" s="26">
        <v>0</v>
      </c>
      <c r="Z26" s="26">
        <v>68.04</v>
      </c>
      <c r="AA26" s="26">
        <v>0</v>
      </c>
      <c r="AB26" s="26">
        <v>0</v>
      </c>
      <c r="AC26" s="26">
        <v>0</v>
      </c>
      <c r="AD26" s="26">
        <v>521.62</v>
      </c>
      <c r="AE26" s="26">
        <v>0</v>
      </c>
      <c r="AF26" s="26">
        <v>0</v>
      </c>
      <c r="AG26" s="26">
        <v>299.36</v>
      </c>
      <c r="AH26" s="26">
        <v>154.22</v>
      </c>
      <c r="AI26" s="26">
        <v>34.000618</v>
      </c>
      <c r="AJ26" s="26">
        <v>51.516567</v>
      </c>
      <c r="AK26" s="22" t="s">
        <v>631</v>
      </c>
      <c r="AL26" s="22" t="s">
        <v>704</v>
      </c>
      <c r="AM26" s="20" t="s">
        <v>633</v>
      </c>
      <c r="AN26" s="23" t="s">
        <v>58</v>
      </c>
      <c r="AO26" s="3"/>
    </row>
    <row r="27" ht="12.95" customHeight="1" spans="1:41" x14ac:dyDescent="0.25">
      <c r="A27" s="20" t="s">
        <v>46</v>
      </c>
      <c r="B27" s="20" t="s">
        <v>662</v>
      </c>
      <c r="C27" s="20" t="s">
        <v>137</v>
      </c>
      <c r="D27" s="21"/>
      <c r="E27" s="20" t="s">
        <v>709</v>
      </c>
      <c r="F27" s="22" t="s">
        <v>664</v>
      </c>
      <c r="G27" s="22" t="s">
        <v>51</v>
      </c>
      <c r="H27" s="22" t="s">
        <v>710</v>
      </c>
      <c r="I27" s="20" t="s">
        <v>711</v>
      </c>
      <c r="J27" s="23" t="s">
        <v>712</v>
      </c>
      <c r="K27" s="20" t="s">
        <v>713</v>
      </c>
      <c r="L27" s="21"/>
      <c r="M27" s="23" t="s">
        <v>46</v>
      </c>
      <c r="N27" s="24"/>
      <c r="O27" s="24"/>
      <c r="P27" s="22" t="s">
        <v>2</v>
      </c>
      <c r="Q27" s="25"/>
      <c r="R27" s="26">
        <v>20</v>
      </c>
      <c r="S27" s="25"/>
      <c r="T27" s="26">
        <v>0</v>
      </c>
      <c r="U27" s="25"/>
      <c r="V27" s="26">
        <v>20</v>
      </c>
      <c r="W27" s="26">
        <v>0</v>
      </c>
      <c r="X27" s="26">
        <v>20</v>
      </c>
      <c r="Y27" s="26">
        <v>0</v>
      </c>
      <c r="Z27" s="26">
        <v>3</v>
      </c>
      <c r="AA27" s="26">
        <v>0</v>
      </c>
      <c r="AB27" s="26">
        <v>0</v>
      </c>
      <c r="AC27" s="26">
        <v>0</v>
      </c>
      <c r="AD27" s="26">
        <v>23</v>
      </c>
      <c r="AE27" s="26">
        <v>0</v>
      </c>
      <c r="AF27" s="26">
        <v>0</v>
      </c>
      <c r="AG27" s="26">
        <v>12.75</v>
      </c>
      <c r="AH27" s="26">
        <v>7.25</v>
      </c>
      <c r="AI27" s="26">
        <v>36.25</v>
      </c>
      <c r="AJ27" s="26">
        <v>56.862747</v>
      </c>
      <c r="AK27" s="22" t="s">
        <v>631</v>
      </c>
      <c r="AL27" s="22" t="s">
        <v>714</v>
      </c>
      <c r="AM27" s="20" t="s">
        <v>670</v>
      </c>
      <c r="AN27" s="23" t="s">
        <v>58</v>
      </c>
      <c r="AO27" s="3"/>
    </row>
    <row r="28" ht="12.95" customHeight="1" spans="1:41" x14ac:dyDescent="0.25">
      <c r="A28" s="20" t="s">
        <v>46</v>
      </c>
      <c r="B28" s="20" t="s">
        <v>624</v>
      </c>
      <c r="C28" s="20" t="s">
        <v>144</v>
      </c>
      <c r="D28" s="21"/>
      <c r="E28" s="20" t="s">
        <v>715</v>
      </c>
      <c r="F28" s="22" t="s">
        <v>626</v>
      </c>
      <c r="G28" s="22" t="s">
        <v>51</v>
      </c>
      <c r="H28" s="22" t="s">
        <v>716</v>
      </c>
      <c r="I28" s="20" t="s">
        <v>291</v>
      </c>
      <c r="J28" s="23" t="s">
        <v>717</v>
      </c>
      <c r="K28" s="20" t="s">
        <v>718</v>
      </c>
      <c r="L28" s="21"/>
      <c r="M28" s="23" t="s">
        <v>46</v>
      </c>
      <c r="N28" s="24"/>
      <c r="O28" s="24"/>
      <c r="P28" s="22" t="s">
        <v>2</v>
      </c>
      <c r="Q28" s="25"/>
      <c r="R28" s="26">
        <v>26.52</v>
      </c>
      <c r="S28" s="25"/>
      <c r="T28" s="26">
        <v>0</v>
      </c>
      <c r="U28" s="25"/>
      <c r="V28" s="26">
        <v>26.52</v>
      </c>
      <c r="W28" s="26">
        <v>0</v>
      </c>
      <c r="X28" s="26">
        <v>26.52</v>
      </c>
      <c r="Y28" s="26">
        <v>0</v>
      </c>
      <c r="Z28" s="26">
        <v>3.98</v>
      </c>
      <c r="AA28" s="26">
        <v>0</v>
      </c>
      <c r="AB28" s="26">
        <v>0</v>
      </c>
      <c r="AC28" s="26">
        <v>0</v>
      </c>
      <c r="AD28" s="26">
        <v>30.5</v>
      </c>
      <c r="AE28" s="26">
        <v>30.5</v>
      </c>
      <c r="AF28" s="26">
        <v>0</v>
      </c>
      <c r="AG28" s="26">
        <v>23.063728813643493</v>
      </c>
      <c r="AH28" s="26">
        <v>3.4562721</v>
      </c>
      <c r="AI28" s="26">
        <v>13.032701</v>
      </c>
      <c r="AJ28" s="26">
        <v>14.985747</v>
      </c>
      <c r="AK28" s="22" t="s">
        <v>631</v>
      </c>
      <c r="AL28" s="22" t="s">
        <v>719</v>
      </c>
      <c r="AM28" s="20" t="s">
        <v>633</v>
      </c>
      <c r="AN28" s="23" t="s">
        <v>58</v>
      </c>
      <c r="AO28" s="3"/>
    </row>
    <row r="29" ht="12.95" customHeight="1" spans="1:41" x14ac:dyDescent="0.25">
      <c r="A29" s="20" t="s">
        <v>46</v>
      </c>
      <c r="B29" s="20" t="s">
        <v>624</v>
      </c>
      <c r="C29" s="20" t="s">
        <v>144</v>
      </c>
      <c r="D29" s="21"/>
      <c r="E29" s="20" t="s">
        <v>720</v>
      </c>
      <c r="F29" s="22" t="s">
        <v>626</v>
      </c>
      <c r="G29" s="22" t="s">
        <v>51</v>
      </c>
      <c r="H29" s="22" t="s">
        <v>721</v>
      </c>
      <c r="I29" s="20" t="s">
        <v>120</v>
      </c>
      <c r="J29" s="23" t="s">
        <v>722</v>
      </c>
      <c r="K29" s="20" t="s">
        <v>723</v>
      </c>
      <c r="L29" s="21"/>
      <c r="M29" s="23" t="s">
        <v>46</v>
      </c>
      <c r="N29" s="24"/>
      <c r="O29" s="24"/>
      <c r="P29" s="22" t="s">
        <v>2</v>
      </c>
      <c r="Q29" s="25"/>
      <c r="R29" s="26">
        <v>263.14</v>
      </c>
      <c r="S29" s="25"/>
      <c r="T29" s="26">
        <v>13.16</v>
      </c>
      <c r="U29" s="25"/>
      <c r="V29" s="26">
        <v>249.98</v>
      </c>
      <c r="W29" s="26">
        <v>0</v>
      </c>
      <c r="X29" s="26">
        <v>249.98</v>
      </c>
      <c r="Y29" s="26">
        <v>0</v>
      </c>
      <c r="Z29" s="26">
        <v>37.5</v>
      </c>
      <c r="AA29" s="26">
        <v>0</v>
      </c>
      <c r="AB29" s="26">
        <v>0</v>
      </c>
      <c r="AC29" s="26">
        <v>0</v>
      </c>
      <c r="AD29" s="26">
        <v>287.48</v>
      </c>
      <c r="AE29" s="26">
        <v>0</v>
      </c>
      <c r="AF29" s="26">
        <v>0</v>
      </c>
      <c r="AG29" s="26">
        <v>221</v>
      </c>
      <c r="AH29" s="26">
        <v>28.979996</v>
      </c>
      <c r="AI29" s="26">
        <v>11.592926</v>
      </c>
      <c r="AJ29" s="26">
        <v>13.11312</v>
      </c>
      <c r="AK29" s="22" t="s">
        <v>631</v>
      </c>
      <c r="AL29" s="22" t="s">
        <v>719</v>
      </c>
      <c r="AM29" s="20" t="s">
        <v>633</v>
      </c>
      <c r="AN29" s="23" t="s">
        <v>58</v>
      </c>
      <c r="AO29" s="3"/>
    </row>
    <row r="30" ht="12.95" customHeight="1" spans="1:41" x14ac:dyDescent="0.25">
      <c r="A30" s="20" t="s">
        <v>46</v>
      </c>
      <c r="B30" s="20" t="s">
        <v>662</v>
      </c>
      <c r="C30" s="20" t="s">
        <v>144</v>
      </c>
      <c r="D30" s="21"/>
      <c r="E30" s="20" t="s">
        <v>724</v>
      </c>
      <c r="F30" s="22" t="s">
        <v>664</v>
      </c>
      <c r="G30" s="22" t="s">
        <v>51</v>
      </c>
      <c r="H30" s="22" t="s">
        <v>725</v>
      </c>
      <c r="I30" s="20" t="s">
        <v>666</v>
      </c>
      <c r="J30" s="23" t="s">
        <v>726</v>
      </c>
      <c r="K30" s="20" t="s">
        <v>727</v>
      </c>
      <c r="L30" s="21"/>
      <c r="M30" s="23" t="s">
        <v>46</v>
      </c>
      <c r="N30" s="24"/>
      <c r="O30" s="24"/>
      <c r="P30" s="22" t="s">
        <v>2</v>
      </c>
      <c r="Q30" s="25"/>
      <c r="R30" s="26">
        <v>30.43</v>
      </c>
      <c r="S30" s="25"/>
      <c r="T30" s="26">
        <v>0</v>
      </c>
      <c r="U30" s="25"/>
      <c r="V30" s="26">
        <v>30.43</v>
      </c>
      <c r="W30" s="26">
        <v>0</v>
      </c>
      <c r="X30" s="26">
        <v>30.43</v>
      </c>
      <c r="Y30" s="26">
        <v>0</v>
      </c>
      <c r="Z30" s="26">
        <v>4.56</v>
      </c>
      <c r="AA30" s="26">
        <v>0</v>
      </c>
      <c r="AB30" s="26">
        <v>0</v>
      </c>
      <c r="AC30" s="26">
        <v>0</v>
      </c>
      <c r="AD30" s="26">
        <v>34.99</v>
      </c>
      <c r="AE30" s="26">
        <v>0</v>
      </c>
      <c r="AF30" s="26">
        <v>0</v>
      </c>
      <c r="AG30" s="26">
        <v>7.25</v>
      </c>
      <c r="AH30" s="26">
        <v>23.18</v>
      </c>
      <c r="AI30" s="26">
        <v>76.17483</v>
      </c>
      <c r="AJ30" s="26">
        <v>319.72412</v>
      </c>
      <c r="AK30" s="22" t="s">
        <v>631</v>
      </c>
      <c r="AL30" s="22" t="s">
        <v>719</v>
      </c>
      <c r="AM30" s="20" t="s">
        <v>670</v>
      </c>
      <c r="AN30" s="23" t="s">
        <v>58</v>
      </c>
      <c r="AO30" s="3"/>
    </row>
    <row r="31" ht="12.95" customHeight="1" spans="1:41" x14ac:dyDescent="0.25">
      <c r="A31" s="20" t="s">
        <v>46</v>
      </c>
      <c r="B31" s="20" t="s">
        <v>624</v>
      </c>
      <c r="C31" s="20" t="s">
        <v>151</v>
      </c>
      <c r="D31" s="21"/>
      <c r="E31" s="20" t="s">
        <v>728</v>
      </c>
      <c r="F31" s="22" t="s">
        <v>626</v>
      </c>
      <c r="G31" s="22" t="s">
        <v>51</v>
      </c>
      <c r="H31" s="22" t="s">
        <v>729</v>
      </c>
      <c r="I31" s="20" t="s">
        <v>129</v>
      </c>
      <c r="J31" s="23" t="s">
        <v>730</v>
      </c>
      <c r="K31" s="20" t="s">
        <v>731</v>
      </c>
      <c r="L31" s="21"/>
      <c r="M31" s="23" t="s">
        <v>46</v>
      </c>
      <c r="N31" s="24"/>
      <c r="O31" s="24"/>
      <c r="P31" s="22" t="s">
        <v>81</v>
      </c>
      <c r="Q31" s="25"/>
      <c r="R31" s="26">
        <v>37.02</v>
      </c>
      <c r="S31" s="25"/>
      <c r="T31" s="26">
        <v>3.71</v>
      </c>
      <c r="U31" s="25"/>
      <c r="V31" s="26">
        <v>33.31</v>
      </c>
      <c r="W31" s="26">
        <v>0</v>
      </c>
      <c r="X31" s="26">
        <v>33.31</v>
      </c>
      <c r="Y31" s="26">
        <v>0</v>
      </c>
      <c r="Z31" s="26">
        <v>5</v>
      </c>
      <c r="AA31" s="26">
        <v>0</v>
      </c>
      <c r="AB31" s="26">
        <v>0</v>
      </c>
      <c r="AC31" s="26">
        <v>0</v>
      </c>
      <c r="AD31" s="26">
        <v>38.31</v>
      </c>
      <c r="AE31" s="26">
        <v>0</v>
      </c>
      <c r="AF31" s="26">
        <v>0</v>
      </c>
      <c r="AG31" s="26">
        <v>24.43288118599822</v>
      </c>
      <c r="AH31" s="26">
        <v>8.877121</v>
      </c>
      <c r="AI31" s="26">
        <v>26.650017</v>
      </c>
      <c r="AJ31" s="26">
        <v>36.332684</v>
      </c>
      <c r="AK31" s="22" t="s">
        <v>631</v>
      </c>
      <c r="AL31" s="22" t="s">
        <v>732</v>
      </c>
      <c r="AM31" s="20" t="s">
        <v>633</v>
      </c>
      <c r="AN31" s="23" t="s">
        <v>58</v>
      </c>
      <c r="AO31" s="3"/>
    </row>
    <row r="32" ht="12.95" customHeight="1" spans="1:41" x14ac:dyDescent="0.25">
      <c r="A32" s="20" t="s">
        <v>46</v>
      </c>
      <c r="B32" s="20" t="s">
        <v>624</v>
      </c>
      <c r="C32" s="20" t="s">
        <v>151</v>
      </c>
      <c r="D32" s="21"/>
      <c r="E32" s="20" t="s">
        <v>733</v>
      </c>
      <c r="F32" s="22" t="s">
        <v>626</v>
      </c>
      <c r="G32" s="22" t="s">
        <v>51</v>
      </c>
      <c r="H32" s="22" t="s">
        <v>734</v>
      </c>
      <c r="I32" s="20" t="s">
        <v>147</v>
      </c>
      <c r="J32" s="23" t="s">
        <v>735</v>
      </c>
      <c r="K32" s="20" t="s">
        <v>736</v>
      </c>
      <c r="L32" s="21"/>
      <c r="M32" s="23" t="s">
        <v>46</v>
      </c>
      <c r="N32" s="24"/>
      <c r="O32" s="24"/>
      <c r="P32" s="22" t="s">
        <v>2</v>
      </c>
      <c r="Q32" s="25"/>
      <c r="R32" s="26">
        <v>82.59</v>
      </c>
      <c r="S32" s="25"/>
      <c r="T32" s="26">
        <v>4.13</v>
      </c>
      <c r="U32" s="25"/>
      <c r="V32" s="26">
        <v>78.46</v>
      </c>
      <c r="W32" s="26">
        <v>0</v>
      </c>
      <c r="X32" s="26">
        <v>78.46</v>
      </c>
      <c r="Y32" s="26">
        <v>0</v>
      </c>
      <c r="Z32" s="26">
        <v>11.77</v>
      </c>
      <c r="AA32" s="26">
        <v>0</v>
      </c>
      <c r="AB32" s="26">
        <v>0</v>
      </c>
      <c r="AC32" s="26">
        <v>0</v>
      </c>
      <c r="AD32" s="26">
        <v>90.23</v>
      </c>
      <c r="AE32" s="26">
        <v>0</v>
      </c>
      <c r="AF32" s="26">
        <v>0</v>
      </c>
      <c r="AG32" s="26">
        <v>54.509</v>
      </c>
      <c r="AH32" s="26">
        <v>23.951</v>
      </c>
      <c r="AI32" s="26">
        <v>30.526384</v>
      </c>
      <c r="AJ32" s="26">
        <v>43.939533</v>
      </c>
      <c r="AK32" s="22" t="s">
        <v>631</v>
      </c>
      <c r="AL32" s="22" t="s">
        <v>732</v>
      </c>
      <c r="AM32" s="20" t="s">
        <v>633</v>
      </c>
      <c r="AN32" s="23" t="s">
        <v>58</v>
      </c>
      <c r="AO32" s="3"/>
    </row>
    <row r="33" ht="12.95" customHeight="1" spans="1:41" x14ac:dyDescent="0.25">
      <c r="A33" s="20" t="s">
        <v>46</v>
      </c>
      <c r="B33" s="20" t="s">
        <v>624</v>
      </c>
      <c r="C33" s="20" t="s">
        <v>166</v>
      </c>
      <c r="D33" s="21"/>
      <c r="E33" s="20" t="s">
        <v>737</v>
      </c>
      <c r="F33" s="22" t="s">
        <v>626</v>
      </c>
      <c r="G33" s="22" t="s">
        <v>51</v>
      </c>
      <c r="H33" s="22" t="s">
        <v>738</v>
      </c>
      <c r="I33" s="20" t="s">
        <v>646</v>
      </c>
      <c r="J33" s="23" t="s">
        <v>739</v>
      </c>
      <c r="K33" s="20" t="s">
        <v>740</v>
      </c>
      <c r="L33" s="21"/>
      <c r="M33" s="23" t="s">
        <v>46</v>
      </c>
      <c r="N33" s="24"/>
      <c r="O33" s="24"/>
      <c r="P33" s="22" t="s">
        <v>2</v>
      </c>
      <c r="Q33" s="25"/>
      <c r="R33" s="26">
        <v>6.09</v>
      </c>
      <c r="S33" s="25"/>
      <c r="T33" s="26">
        <v>0</v>
      </c>
      <c r="U33" s="25"/>
      <c r="V33" s="26">
        <v>6.09</v>
      </c>
      <c r="W33" s="26">
        <v>0</v>
      </c>
      <c r="X33" s="26">
        <v>6.09</v>
      </c>
      <c r="Y33" s="26">
        <v>0</v>
      </c>
      <c r="Z33" s="26">
        <v>0.91</v>
      </c>
      <c r="AA33" s="26">
        <v>0</v>
      </c>
      <c r="AB33" s="26">
        <v>0</v>
      </c>
      <c r="AC33" s="26">
        <v>0</v>
      </c>
      <c r="AD33" s="26">
        <v>7</v>
      </c>
      <c r="AE33" s="26">
        <v>7</v>
      </c>
      <c r="AF33" s="26">
        <v>0</v>
      </c>
      <c r="AG33" s="26">
        <v>4.02</v>
      </c>
      <c r="AH33" s="26">
        <v>2.0700002</v>
      </c>
      <c r="AI33" s="26">
        <v>33.99015</v>
      </c>
      <c r="AJ33" s="26">
        <v>51.492542</v>
      </c>
      <c r="AK33" s="22" t="s">
        <v>631</v>
      </c>
      <c r="AL33" s="22" t="s">
        <v>741</v>
      </c>
      <c r="AM33" s="20" t="s">
        <v>633</v>
      </c>
      <c r="AN33" s="23" t="s">
        <v>58</v>
      </c>
      <c r="AO33" s="3"/>
    </row>
    <row r="34" ht="12.95" customHeight="1" spans="1:41" x14ac:dyDescent="0.25">
      <c r="A34" s="20" t="s">
        <v>46</v>
      </c>
      <c r="B34" s="20" t="s">
        <v>624</v>
      </c>
      <c r="C34" s="20" t="s">
        <v>176</v>
      </c>
      <c r="D34" s="21"/>
      <c r="E34" s="20" t="s">
        <v>742</v>
      </c>
      <c r="F34" s="22" t="s">
        <v>626</v>
      </c>
      <c r="G34" s="22" t="s">
        <v>51</v>
      </c>
      <c r="H34" s="22" t="s">
        <v>743</v>
      </c>
      <c r="I34" s="20" t="s">
        <v>85</v>
      </c>
      <c r="J34" s="23" t="s">
        <v>744</v>
      </c>
      <c r="K34" s="20" t="s">
        <v>745</v>
      </c>
      <c r="L34" s="21"/>
      <c r="M34" s="23" t="s">
        <v>46</v>
      </c>
      <c r="N34" s="24"/>
      <c r="O34" s="24"/>
      <c r="P34" s="22" t="s">
        <v>2</v>
      </c>
      <c r="Q34" s="25"/>
      <c r="R34" s="26">
        <v>28.59</v>
      </c>
      <c r="S34" s="25"/>
      <c r="T34" s="26">
        <v>2.86</v>
      </c>
      <c r="U34" s="25"/>
      <c r="V34" s="26">
        <v>25.73</v>
      </c>
      <c r="W34" s="26">
        <v>0</v>
      </c>
      <c r="X34" s="26">
        <v>25.73</v>
      </c>
      <c r="Y34" s="26">
        <v>0</v>
      </c>
      <c r="Z34" s="26">
        <v>3.86</v>
      </c>
      <c r="AA34" s="26">
        <v>0</v>
      </c>
      <c r="AB34" s="26">
        <v>0</v>
      </c>
      <c r="AC34" s="26">
        <v>0</v>
      </c>
      <c r="AD34" s="26">
        <v>29.59</v>
      </c>
      <c r="AE34" s="26">
        <v>0</v>
      </c>
      <c r="AF34" s="26">
        <v>0</v>
      </c>
      <c r="AG34" s="26">
        <v>3.685</v>
      </c>
      <c r="AH34" s="26">
        <v>22.045</v>
      </c>
      <c r="AI34" s="26">
        <v>85.67819</v>
      </c>
      <c r="AJ34" s="26">
        <v>598.2361</v>
      </c>
      <c r="AK34" s="22" t="s">
        <v>631</v>
      </c>
      <c r="AL34" s="22" t="s">
        <v>746</v>
      </c>
      <c r="AM34" s="20" t="s">
        <v>633</v>
      </c>
      <c r="AN34" s="23" t="s">
        <v>58</v>
      </c>
      <c r="AO34" s="3"/>
    </row>
    <row r="35" ht="12.95" customHeight="1" spans="1:41" x14ac:dyDescent="0.25">
      <c r="A35" s="20" t="s">
        <v>46</v>
      </c>
      <c r="B35" s="20" t="s">
        <v>624</v>
      </c>
      <c r="C35" s="20" t="s">
        <v>176</v>
      </c>
      <c r="D35" s="21"/>
      <c r="E35" s="20" t="s">
        <v>747</v>
      </c>
      <c r="F35" s="22" t="s">
        <v>626</v>
      </c>
      <c r="G35" s="22" t="s">
        <v>51</v>
      </c>
      <c r="H35" s="22" t="s">
        <v>748</v>
      </c>
      <c r="I35" s="20" t="s">
        <v>749</v>
      </c>
      <c r="J35" s="23" t="s">
        <v>750</v>
      </c>
      <c r="K35" s="20" t="s">
        <v>751</v>
      </c>
      <c r="L35" s="21"/>
      <c r="M35" s="23" t="s">
        <v>46</v>
      </c>
      <c r="N35" s="24"/>
      <c r="O35" s="24"/>
      <c r="P35" s="22" t="s">
        <v>2</v>
      </c>
      <c r="Q35" s="25"/>
      <c r="R35" s="26">
        <v>243.77</v>
      </c>
      <c r="S35" s="25"/>
      <c r="T35" s="26">
        <v>0</v>
      </c>
      <c r="U35" s="25"/>
      <c r="V35" s="26">
        <v>243.77</v>
      </c>
      <c r="W35" s="26">
        <v>0</v>
      </c>
      <c r="X35" s="26">
        <v>243.77</v>
      </c>
      <c r="Y35" s="26">
        <v>0</v>
      </c>
      <c r="Z35" s="26">
        <v>36.57</v>
      </c>
      <c r="AA35" s="26">
        <v>0</v>
      </c>
      <c r="AB35" s="26">
        <v>0</v>
      </c>
      <c r="AC35" s="26">
        <v>0</v>
      </c>
      <c r="AD35" s="26">
        <v>280.34</v>
      </c>
      <c r="AE35" s="26">
        <v>0</v>
      </c>
      <c r="AF35" s="26">
        <v>0</v>
      </c>
      <c r="AG35" s="26">
        <v>194.8254162326389</v>
      </c>
      <c r="AH35" s="26">
        <v>48.944595</v>
      </c>
      <c r="AI35" s="26">
        <v>20.078186</v>
      </c>
      <c r="AJ35" s="26">
        <v>25.122284</v>
      </c>
      <c r="AK35" s="22" t="s">
        <v>631</v>
      </c>
      <c r="AL35" s="22" t="s">
        <v>746</v>
      </c>
      <c r="AM35" s="20" t="s">
        <v>633</v>
      </c>
      <c r="AN35" s="23" t="s">
        <v>58</v>
      </c>
      <c r="AO35" s="3"/>
    </row>
    <row r="36" ht="12.95" customHeight="1" spans="1:41" x14ac:dyDescent="0.25">
      <c r="A36" s="20" t="s">
        <v>46</v>
      </c>
      <c r="B36" s="20" t="s">
        <v>624</v>
      </c>
      <c r="C36" s="20" t="s">
        <v>752</v>
      </c>
      <c r="D36" s="21"/>
      <c r="E36" s="20" t="s">
        <v>753</v>
      </c>
      <c r="F36" s="22" t="s">
        <v>626</v>
      </c>
      <c r="G36" s="22" t="s">
        <v>51</v>
      </c>
      <c r="H36" s="22" t="s">
        <v>754</v>
      </c>
      <c r="I36" s="20" t="s">
        <v>97</v>
      </c>
      <c r="J36" s="23" t="s">
        <v>755</v>
      </c>
      <c r="K36" s="20" t="s">
        <v>756</v>
      </c>
      <c r="L36" s="21"/>
      <c r="M36" s="23" t="s">
        <v>46</v>
      </c>
      <c r="N36" s="24"/>
      <c r="O36" s="24"/>
      <c r="P36" s="22" t="s">
        <v>88</v>
      </c>
      <c r="Q36" s="25"/>
      <c r="R36" s="26">
        <v>57.04</v>
      </c>
      <c r="S36" s="25"/>
      <c r="T36" s="26">
        <v>8.55</v>
      </c>
      <c r="U36" s="25"/>
      <c r="V36" s="26">
        <v>48.49</v>
      </c>
      <c r="W36" s="26">
        <v>0</v>
      </c>
      <c r="X36" s="26">
        <v>48.49</v>
      </c>
      <c r="Y36" s="26">
        <v>0</v>
      </c>
      <c r="Z36" s="26">
        <v>7.27</v>
      </c>
      <c r="AA36" s="26">
        <v>0</v>
      </c>
      <c r="AB36" s="26">
        <v>0</v>
      </c>
      <c r="AC36" s="26">
        <v>0</v>
      </c>
      <c r="AD36" s="26">
        <v>55.76</v>
      </c>
      <c r="AE36" s="26">
        <v>0</v>
      </c>
      <c r="AF36" s="26">
        <v>0</v>
      </c>
      <c r="AG36" s="26">
        <v>46.100760241301906</v>
      </c>
      <c r="AH36" s="26">
        <v>2.3892403</v>
      </c>
      <c r="AI36" s="26">
        <v>4.9272842</v>
      </c>
      <c r="AJ36" s="26">
        <v>5.182648</v>
      </c>
      <c r="AK36" s="22" t="s">
        <v>631</v>
      </c>
      <c r="AL36" s="22" t="s">
        <v>757</v>
      </c>
      <c r="AM36" s="20" t="s">
        <v>633</v>
      </c>
      <c r="AN36" s="23" t="s">
        <v>58</v>
      </c>
      <c r="AO36" s="3"/>
    </row>
    <row r="37" ht="12.95" customHeight="1" spans="1:41" x14ac:dyDescent="0.25">
      <c r="A37" s="20" t="s">
        <v>46</v>
      </c>
      <c r="B37" s="20" t="s">
        <v>624</v>
      </c>
      <c r="C37" s="20" t="s">
        <v>752</v>
      </c>
      <c r="D37" s="21"/>
      <c r="E37" s="20" t="s">
        <v>758</v>
      </c>
      <c r="F37" s="22" t="s">
        <v>626</v>
      </c>
      <c r="G37" s="22" t="s">
        <v>51</v>
      </c>
      <c r="H37" s="22" t="s">
        <v>759</v>
      </c>
      <c r="I37" s="20" t="s">
        <v>189</v>
      </c>
      <c r="J37" s="23" t="s">
        <v>760</v>
      </c>
      <c r="K37" s="20" t="s">
        <v>761</v>
      </c>
      <c r="L37" s="21"/>
      <c r="M37" s="23" t="s">
        <v>46</v>
      </c>
      <c r="N37" s="24"/>
      <c r="O37" s="24"/>
      <c r="P37" s="22" t="s">
        <v>2</v>
      </c>
      <c r="Q37" s="25"/>
      <c r="R37" s="26">
        <v>87.7</v>
      </c>
      <c r="S37" s="25"/>
      <c r="T37" s="26">
        <v>4.39</v>
      </c>
      <c r="U37" s="25"/>
      <c r="V37" s="26">
        <v>83.31</v>
      </c>
      <c r="W37" s="26">
        <v>0</v>
      </c>
      <c r="X37" s="26">
        <v>83.31</v>
      </c>
      <c r="Y37" s="26">
        <v>0</v>
      </c>
      <c r="Z37" s="26">
        <v>12.5</v>
      </c>
      <c r="AA37" s="26">
        <v>0</v>
      </c>
      <c r="AB37" s="26">
        <v>0</v>
      </c>
      <c r="AC37" s="26">
        <v>0</v>
      </c>
      <c r="AD37" s="26">
        <v>95.81</v>
      </c>
      <c r="AE37" s="26">
        <v>95.81</v>
      </c>
      <c r="AF37" s="26">
        <v>0</v>
      </c>
      <c r="AG37" s="26">
        <v>57.88</v>
      </c>
      <c r="AH37" s="26">
        <v>25.429996</v>
      </c>
      <c r="AI37" s="26">
        <v>30.524544</v>
      </c>
      <c r="AJ37" s="26">
        <v>43.935722</v>
      </c>
      <c r="AK37" s="22" t="s">
        <v>631</v>
      </c>
      <c r="AL37" s="22" t="s">
        <v>757</v>
      </c>
      <c r="AM37" s="20" t="s">
        <v>633</v>
      </c>
      <c r="AN37" s="23" t="s">
        <v>58</v>
      </c>
      <c r="AO37" s="3"/>
    </row>
    <row r="38" ht="12.95" customHeight="1" spans="1:41" x14ac:dyDescent="0.25">
      <c r="A38" s="20" t="s">
        <v>46</v>
      </c>
      <c r="B38" s="20" t="s">
        <v>662</v>
      </c>
      <c r="C38" s="20" t="s">
        <v>209</v>
      </c>
      <c r="D38" s="21"/>
      <c r="E38" s="20" t="s">
        <v>762</v>
      </c>
      <c r="F38" s="22" t="s">
        <v>664</v>
      </c>
      <c r="G38" s="22" t="s">
        <v>51</v>
      </c>
      <c r="H38" s="22" t="s">
        <v>763</v>
      </c>
      <c r="I38" s="20" t="s">
        <v>764</v>
      </c>
      <c r="J38" s="23" t="s">
        <v>765</v>
      </c>
      <c r="K38" s="20" t="s">
        <v>766</v>
      </c>
      <c r="L38" s="21"/>
      <c r="M38" s="23" t="s">
        <v>46</v>
      </c>
      <c r="N38" s="24"/>
      <c r="O38" s="24"/>
      <c r="P38" s="22" t="s">
        <v>767</v>
      </c>
      <c r="Q38" s="25"/>
      <c r="R38" s="26">
        <v>812.57</v>
      </c>
      <c r="S38" s="25"/>
      <c r="T38" s="26">
        <v>43.01</v>
      </c>
      <c r="U38" s="25"/>
      <c r="V38" s="26">
        <v>769.56</v>
      </c>
      <c r="W38" s="26">
        <v>0</v>
      </c>
      <c r="X38" s="26">
        <v>769.56</v>
      </c>
      <c r="Y38" s="26">
        <v>0</v>
      </c>
      <c r="Z38" s="26">
        <v>115.43</v>
      </c>
      <c r="AA38" s="26">
        <v>0</v>
      </c>
      <c r="AB38" s="26">
        <v>0</v>
      </c>
      <c r="AC38" s="26">
        <v>0</v>
      </c>
      <c r="AD38" s="26">
        <v>884.99</v>
      </c>
      <c r="AE38" s="26">
        <v>884.99</v>
      </c>
      <c r="AF38" s="26">
        <v>0</v>
      </c>
      <c r="AG38" s="26">
        <v>582.7774397413286</v>
      </c>
      <c r="AH38" s="26">
        <v>186.78253</v>
      </c>
      <c r="AI38" s="26">
        <v>24.271341</v>
      </c>
      <c r="AJ38" s="26">
        <v>32.050404</v>
      </c>
      <c r="AK38" s="22" t="s">
        <v>631</v>
      </c>
      <c r="AL38" s="22" t="s">
        <v>768</v>
      </c>
      <c r="AM38" s="20" t="s">
        <v>670</v>
      </c>
      <c r="AN38" s="23" t="s">
        <v>58</v>
      </c>
      <c r="AO38" s="3"/>
    </row>
    <row r="39" ht="12.95" customHeight="1" spans="1:41" x14ac:dyDescent="0.25">
      <c r="A39" s="20" t="s">
        <v>46</v>
      </c>
      <c r="B39" s="20" t="s">
        <v>662</v>
      </c>
      <c r="C39" s="20" t="s">
        <v>209</v>
      </c>
      <c r="D39" s="21"/>
      <c r="E39" s="20" t="s">
        <v>769</v>
      </c>
      <c r="F39" s="22" t="s">
        <v>664</v>
      </c>
      <c r="G39" s="22" t="s">
        <v>51</v>
      </c>
      <c r="H39" s="22" t="s">
        <v>770</v>
      </c>
      <c r="I39" s="20" t="s">
        <v>771</v>
      </c>
      <c r="J39" s="23" t="s">
        <v>772</v>
      </c>
      <c r="K39" s="20" t="s">
        <v>773</v>
      </c>
      <c r="L39" s="21"/>
      <c r="M39" s="23" t="s">
        <v>46</v>
      </c>
      <c r="N39" s="24"/>
      <c r="O39" s="24"/>
      <c r="P39" s="22" t="s">
        <v>774</v>
      </c>
      <c r="Q39" s="25"/>
      <c r="R39" s="26">
        <v>364.38</v>
      </c>
      <c r="S39" s="25"/>
      <c r="T39" s="26">
        <v>0</v>
      </c>
      <c r="U39" s="25"/>
      <c r="V39" s="26">
        <v>364.38</v>
      </c>
      <c r="W39" s="26">
        <v>0</v>
      </c>
      <c r="X39" s="26">
        <v>364.38</v>
      </c>
      <c r="Y39" s="26">
        <v>0</v>
      </c>
      <c r="Z39" s="26">
        <v>54.66</v>
      </c>
      <c r="AA39" s="26">
        <v>0</v>
      </c>
      <c r="AB39" s="26">
        <v>0</v>
      </c>
      <c r="AC39" s="26">
        <v>0</v>
      </c>
      <c r="AD39" s="26">
        <v>419.04</v>
      </c>
      <c r="AE39" s="26">
        <v>419.04</v>
      </c>
      <c r="AF39" s="26">
        <v>0</v>
      </c>
      <c r="AG39" s="26">
        <v>236.47</v>
      </c>
      <c r="AH39" s="26">
        <v>127.91</v>
      </c>
      <c r="AI39" s="26">
        <v>35.103462</v>
      </c>
      <c r="AJ39" s="26">
        <v>54.09143</v>
      </c>
      <c r="AK39" s="22" t="s">
        <v>631</v>
      </c>
      <c r="AL39" s="22" t="s">
        <v>768</v>
      </c>
      <c r="AM39" s="20" t="s">
        <v>670</v>
      </c>
      <c r="AN39" s="23" t="s">
        <v>58</v>
      </c>
      <c r="AO39" s="3"/>
    </row>
    <row r="40" ht="12.95" customHeight="1" spans="1:41" x14ac:dyDescent="0.25">
      <c r="A40" s="20" t="s">
        <v>46</v>
      </c>
      <c r="B40" s="20" t="s">
        <v>624</v>
      </c>
      <c r="C40" s="20" t="s">
        <v>209</v>
      </c>
      <c r="D40" s="21"/>
      <c r="E40" s="20" t="s">
        <v>775</v>
      </c>
      <c r="F40" s="22" t="s">
        <v>626</v>
      </c>
      <c r="G40" s="22" t="s">
        <v>51</v>
      </c>
      <c r="H40" s="22" t="s">
        <v>776</v>
      </c>
      <c r="I40" s="20" t="s">
        <v>777</v>
      </c>
      <c r="J40" s="23" t="s">
        <v>778</v>
      </c>
      <c r="K40" s="20" t="s">
        <v>779</v>
      </c>
      <c r="L40" s="21"/>
      <c r="M40" s="23" t="s">
        <v>46</v>
      </c>
      <c r="N40" s="24"/>
      <c r="O40" s="24"/>
      <c r="P40" s="22" t="s">
        <v>780</v>
      </c>
      <c r="Q40" s="25"/>
      <c r="R40" s="26">
        <v>58.88</v>
      </c>
      <c r="S40" s="25"/>
      <c r="T40" s="26">
        <v>0</v>
      </c>
      <c r="U40" s="25"/>
      <c r="V40" s="26">
        <v>58.88</v>
      </c>
      <c r="W40" s="26">
        <v>0</v>
      </c>
      <c r="X40" s="26">
        <v>58.88</v>
      </c>
      <c r="Y40" s="26">
        <v>0</v>
      </c>
      <c r="Z40" s="26">
        <v>8.83</v>
      </c>
      <c r="AA40" s="26">
        <v>0</v>
      </c>
      <c r="AB40" s="26">
        <v>0</v>
      </c>
      <c r="AC40" s="26">
        <v>0</v>
      </c>
      <c r="AD40" s="26">
        <v>67.71</v>
      </c>
      <c r="AE40" s="26">
        <v>0</v>
      </c>
      <c r="AF40" s="26">
        <v>0</v>
      </c>
      <c r="AG40" s="26">
        <v>40.78381643673968</v>
      </c>
      <c r="AH40" s="26">
        <v>18.096184</v>
      </c>
      <c r="AI40" s="26">
        <v>30.734009</v>
      </c>
      <c r="AJ40" s="26">
        <v>44.37099</v>
      </c>
      <c r="AK40" s="22" t="s">
        <v>631</v>
      </c>
      <c r="AL40" s="22" t="s">
        <v>768</v>
      </c>
      <c r="AM40" s="20" t="s">
        <v>633</v>
      </c>
      <c r="AN40" s="23" t="s">
        <v>58</v>
      </c>
      <c r="AO40" s="3"/>
    </row>
    <row r="41" ht="12.95" customHeight="1" spans="1:41" x14ac:dyDescent="0.25">
      <c r="A41" s="20" t="s">
        <v>46</v>
      </c>
      <c r="B41" s="20" t="s">
        <v>624</v>
      </c>
      <c r="C41" s="20" t="s">
        <v>209</v>
      </c>
      <c r="D41" s="21"/>
      <c r="E41" s="20" t="s">
        <v>781</v>
      </c>
      <c r="F41" s="22" t="s">
        <v>626</v>
      </c>
      <c r="G41" s="22" t="s">
        <v>51</v>
      </c>
      <c r="H41" s="22" t="s">
        <v>782</v>
      </c>
      <c r="I41" s="20" t="s">
        <v>78</v>
      </c>
      <c r="J41" s="23" t="s">
        <v>783</v>
      </c>
      <c r="K41" s="20" t="s">
        <v>784</v>
      </c>
      <c r="L41" s="21"/>
      <c r="M41" s="23" t="s">
        <v>46</v>
      </c>
      <c r="N41" s="24"/>
      <c r="O41" s="24"/>
      <c r="P41" s="22" t="s">
        <v>2</v>
      </c>
      <c r="Q41" s="25"/>
      <c r="R41" s="26">
        <v>21.7</v>
      </c>
      <c r="S41" s="25"/>
      <c r="T41" s="26">
        <v>2.17</v>
      </c>
      <c r="U41" s="25"/>
      <c r="V41" s="26">
        <v>19.53</v>
      </c>
      <c r="W41" s="26">
        <v>0</v>
      </c>
      <c r="X41" s="26">
        <v>19.53</v>
      </c>
      <c r="Y41" s="26">
        <v>0</v>
      </c>
      <c r="Z41" s="26">
        <v>2.93</v>
      </c>
      <c r="AA41" s="26">
        <v>0</v>
      </c>
      <c r="AB41" s="26">
        <v>0</v>
      </c>
      <c r="AC41" s="26">
        <v>0</v>
      </c>
      <c r="AD41" s="26">
        <v>22.46</v>
      </c>
      <c r="AE41" s="26">
        <v>0</v>
      </c>
      <c r="AF41" s="26">
        <v>0</v>
      </c>
      <c r="AG41" s="26">
        <v>14.318583161736223</v>
      </c>
      <c r="AH41" s="26">
        <v>5.211417</v>
      </c>
      <c r="AI41" s="26">
        <v>26.684162</v>
      </c>
      <c r="AJ41" s="26">
        <v>36.39618</v>
      </c>
      <c r="AK41" s="22" t="s">
        <v>631</v>
      </c>
      <c r="AL41" s="22" t="s">
        <v>768</v>
      </c>
      <c r="AM41" s="20" t="s">
        <v>633</v>
      </c>
      <c r="AN41" s="23" t="s">
        <v>58</v>
      </c>
      <c r="AO41" s="3"/>
    </row>
    <row r="42" ht="12.95" customHeight="1" spans="1:41" x14ac:dyDescent="0.25">
      <c r="A42" s="20" t="s">
        <v>46</v>
      </c>
      <c r="B42" s="20" t="s">
        <v>624</v>
      </c>
      <c r="C42" s="20" t="s">
        <v>246</v>
      </c>
      <c r="D42" s="21"/>
      <c r="E42" s="20" t="s">
        <v>785</v>
      </c>
      <c r="F42" s="22" t="s">
        <v>626</v>
      </c>
      <c r="G42" s="22" t="s">
        <v>51</v>
      </c>
      <c r="H42" s="22" t="s">
        <v>786</v>
      </c>
      <c r="I42" s="20" t="s">
        <v>120</v>
      </c>
      <c r="J42" s="23" t="s">
        <v>722</v>
      </c>
      <c r="K42" s="20" t="s">
        <v>787</v>
      </c>
      <c r="L42" s="21"/>
      <c r="M42" s="23" t="s">
        <v>46</v>
      </c>
      <c r="N42" s="24"/>
      <c r="O42" s="24"/>
      <c r="P42" s="22" t="s">
        <v>2</v>
      </c>
      <c r="Q42" s="25"/>
      <c r="R42" s="26">
        <v>260</v>
      </c>
      <c r="S42" s="25"/>
      <c r="T42" s="26">
        <v>13</v>
      </c>
      <c r="U42" s="25"/>
      <c r="V42" s="26">
        <v>247</v>
      </c>
      <c r="W42" s="26">
        <v>0</v>
      </c>
      <c r="X42" s="26">
        <v>247</v>
      </c>
      <c r="Y42" s="26">
        <v>0</v>
      </c>
      <c r="Z42" s="26">
        <v>37.05</v>
      </c>
      <c r="AA42" s="26">
        <v>0</v>
      </c>
      <c r="AB42" s="26">
        <v>0</v>
      </c>
      <c r="AC42" s="26">
        <v>0</v>
      </c>
      <c r="AD42" s="26">
        <v>284.05</v>
      </c>
      <c r="AE42" s="26">
        <v>284.05</v>
      </c>
      <c r="AF42" s="26">
        <v>0</v>
      </c>
      <c r="AG42" s="26">
        <v>221</v>
      </c>
      <c r="AH42" s="26">
        <v>26</v>
      </c>
      <c r="AI42" s="26">
        <v>10.526316</v>
      </c>
      <c r="AJ42" s="26">
        <v>11.764706</v>
      </c>
      <c r="AK42" s="22" t="s">
        <v>631</v>
      </c>
      <c r="AL42" s="22" t="s">
        <v>788</v>
      </c>
      <c r="AM42" s="20" t="s">
        <v>633</v>
      </c>
      <c r="AN42" s="23" t="s">
        <v>58</v>
      </c>
      <c r="AO42" s="3"/>
    </row>
    <row r="43" ht="12.95" customHeight="1" spans="1:41" x14ac:dyDescent="0.25">
      <c r="A43" s="20" t="s">
        <v>46</v>
      </c>
      <c r="B43" s="20" t="s">
        <v>624</v>
      </c>
      <c r="C43" s="20" t="s">
        <v>253</v>
      </c>
      <c r="D43" s="21"/>
      <c r="E43" s="20" t="s">
        <v>789</v>
      </c>
      <c r="F43" s="22" t="s">
        <v>626</v>
      </c>
      <c r="G43" s="22" t="s">
        <v>51</v>
      </c>
      <c r="H43" s="22" t="s">
        <v>790</v>
      </c>
      <c r="I43" s="20" t="s">
        <v>791</v>
      </c>
      <c r="J43" s="23" t="s">
        <v>792</v>
      </c>
      <c r="K43" s="20" t="s">
        <v>793</v>
      </c>
      <c r="L43" s="21"/>
      <c r="M43" s="23" t="s">
        <v>46</v>
      </c>
      <c r="N43" s="24"/>
      <c r="O43" s="24"/>
      <c r="P43" s="22" t="s">
        <v>2</v>
      </c>
      <c r="Q43" s="25"/>
      <c r="R43" s="26">
        <v>94.58</v>
      </c>
      <c r="S43" s="25"/>
      <c r="T43" s="26">
        <v>0</v>
      </c>
      <c r="U43" s="25"/>
      <c r="V43" s="26">
        <v>94.58</v>
      </c>
      <c r="W43" s="26">
        <v>0</v>
      </c>
      <c r="X43" s="26">
        <v>94.58</v>
      </c>
      <c r="Y43" s="26">
        <v>0</v>
      </c>
      <c r="Z43" s="26">
        <v>14.19</v>
      </c>
      <c r="AA43" s="26">
        <v>0</v>
      </c>
      <c r="AB43" s="26">
        <v>0</v>
      </c>
      <c r="AC43" s="26">
        <v>0</v>
      </c>
      <c r="AD43" s="26">
        <v>108.77</v>
      </c>
      <c r="AE43" s="26">
        <v>108.77</v>
      </c>
      <c r="AF43" s="26">
        <v>0</v>
      </c>
      <c r="AG43" s="26">
        <v>62.42</v>
      </c>
      <c r="AH43" s="26">
        <v>32.160004</v>
      </c>
      <c r="AI43" s="26">
        <v>34.002964</v>
      </c>
      <c r="AJ43" s="26">
        <v>51.521957</v>
      </c>
      <c r="AK43" s="22" t="s">
        <v>631</v>
      </c>
      <c r="AL43" s="22" t="s">
        <v>794</v>
      </c>
      <c r="AM43" s="20" t="s">
        <v>633</v>
      </c>
      <c r="AN43" s="23" t="s">
        <v>58</v>
      </c>
      <c r="AO43" s="3"/>
    </row>
    <row r="44" ht="12.95" customHeight="1" spans="1:41" x14ac:dyDescent="0.25">
      <c r="A44" s="20" t="s">
        <v>46</v>
      </c>
      <c r="B44" s="20" t="s">
        <v>624</v>
      </c>
      <c r="C44" s="20" t="s">
        <v>264</v>
      </c>
      <c r="D44" s="21"/>
      <c r="E44" s="20" t="s">
        <v>795</v>
      </c>
      <c r="F44" s="22" t="s">
        <v>626</v>
      </c>
      <c r="G44" s="22" t="s">
        <v>51</v>
      </c>
      <c r="H44" s="22" t="s">
        <v>796</v>
      </c>
      <c r="I44" s="20" t="s">
        <v>749</v>
      </c>
      <c r="J44" s="23" t="s">
        <v>750</v>
      </c>
      <c r="K44" s="20" t="s">
        <v>797</v>
      </c>
      <c r="L44" s="21"/>
      <c r="M44" s="23" t="s">
        <v>46</v>
      </c>
      <c r="N44" s="24"/>
      <c r="O44" s="24"/>
      <c r="P44" s="22" t="s">
        <v>81</v>
      </c>
      <c r="Q44" s="25"/>
      <c r="R44" s="26">
        <v>164.94</v>
      </c>
      <c r="S44" s="25"/>
      <c r="T44" s="26">
        <v>16.49</v>
      </c>
      <c r="U44" s="25"/>
      <c r="V44" s="26">
        <v>148.45</v>
      </c>
      <c r="W44" s="26">
        <v>0</v>
      </c>
      <c r="X44" s="26">
        <v>148.45</v>
      </c>
      <c r="Y44" s="26">
        <v>0</v>
      </c>
      <c r="Z44" s="26">
        <v>22.27</v>
      </c>
      <c r="AA44" s="26">
        <v>0</v>
      </c>
      <c r="AB44" s="26">
        <v>0</v>
      </c>
      <c r="AC44" s="26">
        <v>0</v>
      </c>
      <c r="AD44" s="26">
        <v>170.72</v>
      </c>
      <c r="AE44" s="26">
        <v>170.72</v>
      </c>
      <c r="AF44" s="26">
        <v>0</v>
      </c>
      <c r="AG44" s="26">
        <v>108.86169619750734</v>
      </c>
      <c r="AH44" s="26">
        <v>39.588303</v>
      </c>
      <c r="AI44" s="26">
        <v>26.667768</v>
      </c>
      <c r="AJ44" s="26">
        <v>36.36569</v>
      </c>
      <c r="AK44" s="22" t="s">
        <v>631</v>
      </c>
      <c r="AL44" s="22" t="s">
        <v>798</v>
      </c>
      <c r="AM44" s="20" t="s">
        <v>633</v>
      </c>
      <c r="AN44" s="23" t="s">
        <v>58</v>
      </c>
      <c r="AO44" s="3"/>
    </row>
    <row r="45" ht="12.95" customHeight="1" spans="1:41" x14ac:dyDescent="0.25">
      <c r="A45" s="20" t="s">
        <v>46</v>
      </c>
      <c r="B45" s="20" t="s">
        <v>624</v>
      </c>
      <c r="C45" s="20" t="s">
        <v>283</v>
      </c>
      <c r="D45" s="21"/>
      <c r="E45" s="20" t="s">
        <v>799</v>
      </c>
      <c r="F45" s="22" t="s">
        <v>626</v>
      </c>
      <c r="G45" s="22" t="s">
        <v>51</v>
      </c>
      <c r="H45" s="22" t="s">
        <v>800</v>
      </c>
      <c r="I45" s="20" t="s">
        <v>568</v>
      </c>
      <c r="J45" s="23" t="s">
        <v>801</v>
      </c>
      <c r="K45" s="20" t="s">
        <v>802</v>
      </c>
      <c r="L45" s="21"/>
      <c r="M45" s="23" t="s">
        <v>46</v>
      </c>
      <c r="N45" s="24"/>
      <c r="O45" s="24"/>
      <c r="P45" s="22" t="s">
        <v>2</v>
      </c>
      <c r="Q45" s="25"/>
      <c r="R45" s="26">
        <v>144.53</v>
      </c>
      <c r="S45" s="25"/>
      <c r="T45" s="26">
        <v>0</v>
      </c>
      <c r="U45" s="25"/>
      <c r="V45" s="26">
        <v>144.53</v>
      </c>
      <c r="W45" s="26">
        <v>0</v>
      </c>
      <c r="X45" s="26">
        <v>144.53</v>
      </c>
      <c r="Y45" s="26">
        <v>0</v>
      </c>
      <c r="Z45" s="26">
        <v>21.68</v>
      </c>
      <c r="AA45" s="26">
        <v>0</v>
      </c>
      <c r="AB45" s="26">
        <v>0</v>
      </c>
      <c r="AC45" s="26">
        <v>0</v>
      </c>
      <c r="AD45" s="26">
        <v>166.21</v>
      </c>
      <c r="AE45" s="26">
        <v>166.21</v>
      </c>
      <c r="AF45" s="26">
        <v>0</v>
      </c>
      <c r="AG45" s="26">
        <v>95.39</v>
      </c>
      <c r="AH45" s="26">
        <v>49.14</v>
      </c>
      <c r="AI45" s="26">
        <v>33.99986</v>
      </c>
      <c r="AJ45" s="26">
        <v>51.514835</v>
      </c>
      <c r="AK45" s="22" t="s">
        <v>631</v>
      </c>
      <c r="AL45" s="22" t="s">
        <v>803</v>
      </c>
      <c r="AM45" s="20" t="s">
        <v>633</v>
      </c>
      <c r="AN45" s="23" t="s">
        <v>58</v>
      </c>
      <c r="AO45" s="3"/>
    </row>
    <row r="46" ht="12.95" customHeight="1" spans="1:41" x14ac:dyDescent="0.25">
      <c r="A46" s="20" t="s">
        <v>46</v>
      </c>
      <c r="B46" s="20" t="s">
        <v>624</v>
      </c>
      <c r="C46" s="20" t="s">
        <v>298</v>
      </c>
      <c r="D46" s="21"/>
      <c r="E46" s="20" t="s">
        <v>804</v>
      </c>
      <c r="F46" s="22" t="s">
        <v>626</v>
      </c>
      <c r="G46" s="22" t="s">
        <v>51</v>
      </c>
      <c r="H46" s="22" t="s">
        <v>805</v>
      </c>
      <c r="I46" s="20" t="s">
        <v>109</v>
      </c>
      <c r="J46" s="23" t="s">
        <v>806</v>
      </c>
      <c r="K46" s="20" t="s">
        <v>807</v>
      </c>
      <c r="L46" s="21"/>
      <c r="M46" s="23" t="s">
        <v>46</v>
      </c>
      <c r="N46" s="24"/>
      <c r="O46" s="24"/>
      <c r="P46" s="22" t="s">
        <v>2</v>
      </c>
      <c r="Q46" s="25"/>
      <c r="R46" s="26">
        <v>75.89</v>
      </c>
      <c r="S46" s="25"/>
      <c r="T46" s="26">
        <v>0</v>
      </c>
      <c r="U46" s="25"/>
      <c r="V46" s="26">
        <v>75.89</v>
      </c>
      <c r="W46" s="26">
        <v>0</v>
      </c>
      <c r="X46" s="26">
        <v>75.89</v>
      </c>
      <c r="Y46" s="26">
        <v>0</v>
      </c>
      <c r="Z46" s="26">
        <v>11.38</v>
      </c>
      <c r="AA46" s="26">
        <v>0</v>
      </c>
      <c r="AB46" s="26">
        <v>0</v>
      </c>
      <c r="AC46" s="26">
        <v>0</v>
      </c>
      <c r="AD46" s="26">
        <v>87.27</v>
      </c>
      <c r="AE46" s="26">
        <v>0</v>
      </c>
      <c r="AF46" s="26">
        <v>0</v>
      </c>
      <c r="AG46" s="26">
        <v>50.08761224710213</v>
      </c>
      <c r="AH46" s="26">
        <v>25.802387</v>
      </c>
      <c r="AI46" s="26">
        <v>33.99972</v>
      </c>
      <c r="AJ46" s="26">
        <v>51.514507</v>
      </c>
      <c r="AK46" s="22" t="s">
        <v>631</v>
      </c>
      <c r="AL46" s="22" t="s">
        <v>808</v>
      </c>
      <c r="AM46" s="20" t="s">
        <v>633</v>
      </c>
      <c r="AN46" s="23" t="s">
        <v>58</v>
      </c>
      <c r="AO46" s="3"/>
    </row>
    <row r="47" ht="12.95" customHeight="1" spans="1:41" x14ac:dyDescent="0.25">
      <c r="A47" s="20" t="s">
        <v>46</v>
      </c>
      <c r="B47" s="20" t="s">
        <v>624</v>
      </c>
      <c r="C47" s="20" t="s">
        <v>298</v>
      </c>
      <c r="D47" s="21"/>
      <c r="E47" s="20" t="s">
        <v>809</v>
      </c>
      <c r="F47" s="22" t="s">
        <v>626</v>
      </c>
      <c r="G47" s="22" t="s">
        <v>51</v>
      </c>
      <c r="H47" s="22" t="s">
        <v>810</v>
      </c>
      <c r="I47" s="20" t="s">
        <v>777</v>
      </c>
      <c r="J47" s="23" t="s">
        <v>778</v>
      </c>
      <c r="K47" s="20" t="s">
        <v>811</v>
      </c>
      <c r="L47" s="21"/>
      <c r="M47" s="23" t="s">
        <v>46</v>
      </c>
      <c r="N47" s="24"/>
      <c r="O47" s="24"/>
      <c r="P47" s="22" t="s">
        <v>2</v>
      </c>
      <c r="Q47" s="25"/>
      <c r="R47" s="26">
        <v>86.88</v>
      </c>
      <c r="S47" s="25"/>
      <c r="T47" s="26">
        <v>0</v>
      </c>
      <c r="U47" s="25"/>
      <c r="V47" s="26">
        <v>86.88</v>
      </c>
      <c r="W47" s="26">
        <v>0</v>
      </c>
      <c r="X47" s="26">
        <v>86.88</v>
      </c>
      <c r="Y47" s="26">
        <v>0</v>
      </c>
      <c r="Z47" s="26">
        <v>13.03</v>
      </c>
      <c r="AA47" s="26">
        <v>0</v>
      </c>
      <c r="AB47" s="26">
        <v>0</v>
      </c>
      <c r="AC47" s="26">
        <v>0</v>
      </c>
      <c r="AD47" s="26">
        <v>99.91</v>
      </c>
      <c r="AE47" s="26">
        <v>0</v>
      </c>
      <c r="AF47" s="26">
        <v>0</v>
      </c>
      <c r="AG47" s="26">
        <v>60.98411067193676</v>
      </c>
      <c r="AH47" s="26">
        <v>25.895885</v>
      </c>
      <c r="AI47" s="26">
        <v>29.806498</v>
      </c>
      <c r="AJ47" s="26">
        <v>42.463333</v>
      </c>
      <c r="AK47" s="22" t="s">
        <v>631</v>
      </c>
      <c r="AL47" s="22" t="s">
        <v>808</v>
      </c>
      <c r="AM47" s="20" t="s">
        <v>633</v>
      </c>
      <c r="AN47" s="23" t="s">
        <v>58</v>
      </c>
      <c r="AO47" s="3"/>
    </row>
    <row r="48" ht="12.95" customHeight="1" spans="1:41" x14ac:dyDescent="0.25">
      <c r="A48" s="20" t="s">
        <v>46</v>
      </c>
      <c r="B48" s="20" t="s">
        <v>624</v>
      </c>
      <c r="C48" s="20" t="s">
        <v>298</v>
      </c>
      <c r="D48" s="21"/>
      <c r="E48" s="20" t="s">
        <v>812</v>
      </c>
      <c r="F48" s="22" t="s">
        <v>626</v>
      </c>
      <c r="G48" s="22" t="s">
        <v>51</v>
      </c>
      <c r="H48" s="22" t="s">
        <v>813</v>
      </c>
      <c r="I48" s="20" t="s">
        <v>140</v>
      </c>
      <c r="J48" s="23" t="s">
        <v>814</v>
      </c>
      <c r="K48" s="20" t="s">
        <v>815</v>
      </c>
      <c r="L48" s="21"/>
      <c r="M48" s="23" t="s">
        <v>46</v>
      </c>
      <c r="N48" s="24"/>
      <c r="O48" s="24"/>
      <c r="P48" s="22" t="s">
        <v>81</v>
      </c>
      <c r="Q48" s="25"/>
      <c r="R48" s="26">
        <v>49.24</v>
      </c>
      <c r="S48" s="25"/>
      <c r="T48" s="26">
        <v>0</v>
      </c>
      <c r="U48" s="25"/>
      <c r="V48" s="26">
        <v>49.24</v>
      </c>
      <c r="W48" s="26">
        <v>0</v>
      </c>
      <c r="X48" s="26">
        <v>49.24</v>
      </c>
      <c r="Y48" s="26">
        <v>0</v>
      </c>
      <c r="Z48" s="26">
        <v>7.39</v>
      </c>
      <c r="AA48" s="26">
        <v>0</v>
      </c>
      <c r="AB48" s="26">
        <v>0</v>
      </c>
      <c r="AC48" s="26">
        <v>0</v>
      </c>
      <c r="AD48" s="26">
        <v>56.63</v>
      </c>
      <c r="AE48" s="26">
        <v>56.63</v>
      </c>
      <c r="AF48" s="26">
        <v>0</v>
      </c>
      <c r="AG48" s="26">
        <v>32.52121811958375</v>
      </c>
      <c r="AH48" s="26">
        <v>16.718784</v>
      </c>
      <c r="AI48" s="26">
        <v>33.953663</v>
      </c>
      <c r="AJ48" s="26">
        <v>51.40885</v>
      </c>
      <c r="AK48" s="22" t="s">
        <v>631</v>
      </c>
      <c r="AL48" s="22" t="s">
        <v>808</v>
      </c>
      <c r="AM48" s="20" t="s">
        <v>633</v>
      </c>
      <c r="AN48" s="23" t="s">
        <v>58</v>
      </c>
      <c r="AO48" s="3"/>
    </row>
    <row r="49" ht="12.95" customHeight="1" spans="1:41" x14ac:dyDescent="0.25">
      <c r="A49" s="18" t="s">
        <v>14</v>
      </c>
      <c r="B49" s="18" t="s">
        <v>15</v>
      </c>
      <c r="C49" s="18" t="s">
        <v>16</v>
      </c>
      <c r="D49" s="19"/>
      <c r="E49" s="18" t="s">
        <v>17</v>
      </c>
      <c r="F49" s="18" t="s">
        <v>18</v>
      </c>
      <c r="G49" s="18" t="s">
        <v>19</v>
      </c>
      <c r="H49" s="18" t="s">
        <v>20</v>
      </c>
      <c r="I49" s="18" t="s">
        <v>21</v>
      </c>
      <c r="J49" s="18" t="s">
        <v>22</v>
      </c>
      <c r="K49" s="18" t="s">
        <v>23</v>
      </c>
      <c r="L49" s="19"/>
      <c r="M49" s="18" t="s">
        <v>24</v>
      </c>
      <c r="N49" s="19"/>
      <c r="O49" s="19"/>
      <c r="P49" s="18" t="s">
        <v>25</v>
      </c>
      <c r="Q49" s="19"/>
      <c r="R49" s="18" t="s">
        <v>26</v>
      </c>
      <c r="S49" s="19"/>
      <c r="T49" s="18" t="s">
        <v>27</v>
      </c>
      <c r="U49" s="19"/>
      <c r="V49" s="18" t="s">
        <v>28</v>
      </c>
      <c r="W49" s="18" t="s">
        <v>29</v>
      </c>
      <c r="X49" s="18" t="s">
        <v>30</v>
      </c>
      <c r="Y49" s="18" t="s">
        <v>31</v>
      </c>
      <c r="Z49" s="18" t="s">
        <v>32</v>
      </c>
      <c r="AA49" s="18" t="s">
        <v>33</v>
      </c>
      <c r="AB49" s="18" t="s">
        <v>34</v>
      </c>
      <c r="AC49" s="18" t="s">
        <v>35</v>
      </c>
      <c r="AD49" s="18" t="s">
        <v>36</v>
      </c>
      <c r="AE49" s="18" t="s">
        <v>37</v>
      </c>
      <c r="AF49" s="18" t="s">
        <v>38</v>
      </c>
      <c r="AG49" s="18" t="s">
        <v>39</v>
      </c>
      <c r="AH49" s="18" t="s">
        <v>40</v>
      </c>
      <c r="AI49" s="18" t="s">
        <v>41</v>
      </c>
      <c r="AJ49" s="18" t="s">
        <v>39</v>
      </c>
      <c r="AK49" s="18" t="s">
        <v>42</v>
      </c>
      <c r="AL49" s="18" t="s">
        <v>43</v>
      </c>
      <c r="AM49" s="18" t="s">
        <v>44</v>
      </c>
      <c r="AN49" s="18" t="s">
        <v>45</v>
      </c>
      <c r="AO49" s="3"/>
    </row>
    <row r="50" ht="0.95" customHeight="1" spans="1:41" x14ac:dyDescent="0.2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3"/>
    </row>
    <row r="51" ht="12.95" customHeight="1" spans="1:41" x14ac:dyDescent="0.25">
      <c r="A51" s="20" t="s">
        <v>46</v>
      </c>
      <c r="B51" s="20" t="s">
        <v>624</v>
      </c>
      <c r="C51" s="20" t="s">
        <v>326</v>
      </c>
      <c r="D51" s="21"/>
      <c r="E51" s="20" t="s">
        <v>816</v>
      </c>
      <c r="F51" s="22" t="s">
        <v>626</v>
      </c>
      <c r="G51" s="22" t="s">
        <v>51</v>
      </c>
      <c r="H51" s="22" t="s">
        <v>817</v>
      </c>
      <c r="I51" s="20" t="s">
        <v>85</v>
      </c>
      <c r="J51" s="23" t="s">
        <v>818</v>
      </c>
      <c r="K51" s="20" t="s">
        <v>819</v>
      </c>
      <c r="L51" s="21"/>
      <c r="M51" s="23" t="s">
        <v>46</v>
      </c>
      <c r="N51" s="24"/>
      <c r="O51" s="24"/>
      <c r="P51" s="22" t="s">
        <v>88</v>
      </c>
      <c r="Q51" s="25"/>
      <c r="R51" s="26">
        <v>52.46</v>
      </c>
      <c r="S51" s="25"/>
      <c r="T51" s="26">
        <v>0</v>
      </c>
      <c r="U51" s="25"/>
      <c r="V51" s="26">
        <v>52.46</v>
      </c>
      <c r="W51" s="26">
        <v>0</v>
      </c>
      <c r="X51" s="26">
        <v>52.46</v>
      </c>
      <c r="Y51" s="26">
        <v>0</v>
      </c>
      <c r="Z51" s="26">
        <v>7.87</v>
      </c>
      <c r="AA51" s="26">
        <v>0</v>
      </c>
      <c r="AB51" s="26">
        <v>0</v>
      </c>
      <c r="AC51" s="26">
        <v>0</v>
      </c>
      <c r="AD51" s="26">
        <v>60.33</v>
      </c>
      <c r="AE51" s="26">
        <v>0</v>
      </c>
      <c r="AF51" s="26">
        <v>0</v>
      </c>
      <c r="AG51" s="26">
        <v>34.6271671136184</v>
      </c>
      <c r="AH51" s="26">
        <v>17.832832</v>
      </c>
      <c r="AI51" s="26">
        <v>33.9932</v>
      </c>
      <c r="AJ51" s="26">
        <v>51.49954</v>
      </c>
      <c r="AK51" s="22" t="s">
        <v>631</v>
      </c>
      <c r="AL51" s="22" t="s">
        <v>820</v>
      </c>
      <c r="AM51" s="20" t="s">
        <v>633</v>
      </c>
      <c r="AN51" s="23" t="s">
        <v>58</v>
      </c>
      <c r="AO51" s="3"/>
    </row>
    <row r="52" ht="12.95" customHeight="1" spans="1:41" x14ac:dyDescent="0.25">
      <c r="A52" s="20" t="s">
        <v>46</v>
      </c>
      <c r="B52" s="20" t="s">
        <v>624</v>
      </c>
      <c r="C52" s="20" t="s">
        <v>326</v>
      </c>
      <c r="D52" s="21"/>
      <c r="E52" s="20" t="s">
        <v>821</v>
      </c>
      <c r="F52" s="22" t="s">
        <v>626</v>
      </c>
      <c r="G52" s="22" t="s">
        <v>51</v>
      </c>
      <c r="H52" s="22" t="s">
        <v>822</v>
      </c>
      <c r="I52" s="20" t="s">
        <v>823</v>
      </c>
      <c r="J52" s="23" t="s">
        <v>824</v>
      </c>
      <c r="K52" s="20" t="s">
        <v>825</v>
      </c>
      <c r="L52" s="21"/>
      <c r="M52" s="23" t="s">
        <v>46</v>
      </c>
      <c r="N52" s="24"/>
      <c r="O52" s="24"/>
      <c r="P52" s="22" t="s">
        <v>81</v>
      </c>
      <c r="Q52" s="25"/>
      <c r="R52" s="26">
        <v>5.49</v>
      </c>
      <c r="S52" s="25"/>
      <c r="T52" s="26">
        <v>0</v>
      </c>
      <c r="U52" s="25"/>
      <c r="V52" s="26">
        <v>5.49</v>
      </c>
      <c r="W52" s="26">
        <v>0</v>
      </c>
      <c r="X52" s="26">
        <v>5.49</v>
      </c>
      <c r="Y52" s="26">
        <v>0</v>
      </c>
      <c r="Z52" s="26">
        <v>0.82</v>
      </c>
      <c r="AA52" s="26">
        <v>0</v>
      </c>
      <c r="AB52" s="26">
        <v>0</v>
      </c>
      <c r="AC52" s="26">
        <v>0</v>
      </c>
      <c r="AD52" s="26">
        <v>6.31</v>
      </c>
      <c r="AE52" s="26">
        <v>0</v>
      </c>
      <c r="AF52" s="26">
        <v>0</v>
      </c>
      <c r="AG52" s="26">
        <v>3.623486195431434</v>
      </c>
      <c r="AH52" s="26">
        <v>1.8665135</v>
      </c>
      <c r="AI52" s="26">
        <v>33.99843</v>
      </c>
      <c r="AJ52" s="26">
        <v>51.51154</v>
      </c>
      <c r="AK52" s="22" t="s">
        <v>631</v>
      </c>
      <c r="AL52" s="22" t="s">
        <v>820</v>
      </c>
      <c r="AM52" s="20" t="s">
        <v>633</v>
      </c>
      <c r="AN52" s="23" t="s">
        <v>58</v>
      </c>
      <c r="AO52" s="3"/>
    </row>
    <row r="53" ht="12.95" customHeight="1" spans="1:41" x14ac:dyDescent="0.25">
      <c r="A53" s="20" t="s">
        <v>46</v>
      </c>
      <c r="B53" s="20" t="s">
        <v>662</v>
      </c>
      <c r="C53" s="20" t="s">
        <v>48</v>
      </c>
      <c r="D53" s="21"/>
      <c r="E53" s="20" t="s">
        <v>826</v>
      </c>
      <c r="F53" s="22" t="s">
        <v>664</v>
      </c>
      <c r="G53" s="22" t="s">
        <v>332</v>
      </c>
      <c r="H53" s="22" t="s">
        <v>827</v>
      </c>
      <c r="I53" s="20" t="s">
        <v>599</v>
      </c>
      <c r="J53" s="23" t="s">
        <v>828</v>
      </c>
      <c r="K53" s="20" t="s">
        <v>829</v>
      </c>
      <c r="L53" s="21"/>
      <c r="M53" s="23" t="s">
        <v>46</v>
      </c>
      <c r="N53" s="24"/>
      <c r="O53" s="24"/>
      <c r="P53" s="22" t="s">
        <v>81</v>
      </c>
      <c r="Q53" s="25"/>
      <c r="R53" s="26">
        <v>873.63</v>
      </c>
      <c r="S53" s="25"/>
      <c r="T53" s="26">
        <v>129.58</v>
      </c>
      <c r="U53" s="25"/>
      <c r="V53" s="26">
        <v>744.05</v>
      </c>
      <c r="W53" s="26">
        <v>0</v>
      </c>
      <c r="X53" s="26">
        <v>744.05</v>
      </c>
      <c r="Y53" s="26">
        <v>0</v>
      </c>
      <c r="Z53" s="26">
        <v>111.61</v>
      </c>
      <c r="AA53" s="26">
        <v>0</v>
      </c>
      <c r="AB53" s="26">
        <v>0</v>
      </c>
      <c r="AC53" s="26">
        <v>0</v>
      </c>
      <c r="AD53" s="26">
        <v>855.66</v>
      </c>
      <c r="AE53" s="26">
        <v>0</v>
      </c>
      <c r="AF53" s="26">
        <v>0</v>
      </c>
      <c r="AG53" s="26">
        <v>530.3</v>
      </c>
      <c r="AH53" s="26">
        <v>213.75</v>
      </c>
      <c r="AI53" s="26">
        <v>28.72791</v>
      </c>
      <c r="AJ53" s="26">
        <v>40.307373</v>
      </c>
      <c r="AK53" s="22" t="s">
        <v>631</v>
      </c>
      <c r="AL53" s="22" t="s">
        <v>632</v>
      </c>
      <c r="AM53" s="20" t="s">
        <v>670</v>
      </c>
      <c r="AN53" s="23" t="s">
        <v>336</v>
      </c>
      <c r="AO53" s="3"/>
    </row>
    <row r="54" ht="12.95" customHeight="1" spans="1:41" x14ac:dyDescent="0.25">
      <c r="A54" s="20" t="s">
        <v>46</v>
      </c>
      <c r="B54" s="20" t="s">
        <v>662</v>
      </c>
      <c r="C54" s="20" t="s">
        <v>64</v>
      </c>
      <c r="D54" s="21"/>
      <c r="E54" s="20" t="s">
        <v>830</v>
      </c>
      <c r="F54" s="22" t="s">
        <v>664</v>
      </c>
      <c r="G54" s="22" t="s">
        <v>332</v>
      </c>
      <c r="H54" s="22" t="s">
        <v>831</v>
      </c>
      <c r="I54" s="20" t="s">
        <v>103</v>
      </c>
      <c r="J54" s="23" t="s">
        <v>832</v>
      </c>
      <c r="K54" s="20" t="s">
        <v>833</v>
      </c>
      <c r="L54" s="21"/>
      <c r="M54" s="23" t="s">
        <v>46</v>
      </c>
      <c r="N54" s="24"/>
      <c r="O54" s="24"/>
      <c r="P54" s="22" t="s">
        <v>2</v>
      </c>
      <c r="Q54" s="25"/>
      <c r="R54" s="26">
        <v>250</v>
      </c>
      <c r="S54" s="25"/>
      <c r="T54" s="26">
        <v>0</v>
      </c>
      <c r="U54" s="25"/>
      <c r="V54" s="26">
        <v>250</v>
      </c>
      <c r="W54" s="26">
        <v>0</v>
      </c>
      <c r="X54" s="26">
        <v>250</v>
      </c>
      <c r="Y54" s="26">
        <v>0</v>
      </c>
      <c r="Z54" s="26">
        <v>37.5</v>
      </c>
      <c r="AA54" s="26">
        <v>0</v>
      </c>
      <c r="AB54" s="26">
        <v>0</v>
      </c>
      <c r="AC54" s="26">
        <v>0</v>
      </c>
      <c r="AD54" s="26">
        <v>287.5</v>
      </c>
      <c r="AE54" s="26">
        <v>0</v>
      </c>
      <c r="AF54" s="26">
        <v>0</v>
      </c>
      <c r="AG54" s="26">
        <v>173.9</v>
      </c>
      <c r="AH54" s="26">
        <v>76.100006</v>
      </c>
      <c r="AI54" s="26">
        <v>30.440002</v>
      </c>
      <c r="AJ54" s="26">
        <v>43.760788</v>
      </c>
      <c r="AK54" s="22" t="s">
        <v>631</v>
      </c>
      <c r="AL54" s="22" t="s">
        <v>638</v>
      </c>
      <c r="AM54" s="20" t="s">
        <v>670</v>
      </c>
      <c r="AN54" s="23" t="s">
        <v>336</v>
      </c>
      <c r="AO54" s="3"/>
    </row>
    <row r="55" ht="12.95" customHeight="1" spans="1:41" x14ac:dyDescent="0.25">
      <c r="A55" s="20" t="s">
        <v>46</v>
      </c>
      <c r="B55" s="20" t="s">
        <v>662</v>
      </c>
      <c r="C55" s="20" t="s">
        <v>75</v>
      </c>
      <c r="D55" s="21"/>
      <c r="E55" s="20" t="s">
        <v>834</v>
      </c>
      <c r="F55" s="22" t="s">
        <v>664</v>
      </c>
      <c r="G55" s="22" t="s">
        <v>332</v>
      </c>
      <c r="H55" s="22" t="s">
        <v>835</v>
      </c>
      <c r="I55" s="20" t="s">
        <v>103</v>
      </c>
      <c r="J55" s="23" t="s">
        <v>832</v>
      </c>
      <c r="K55" s="20" t="s">
        <v>836</v>
      </c>
      <c r="L55" s="21"/>
      <c r="M55" s="23" t="s">
        <v>46</v>
      </c>
      <c r="N55" s="24"/>
      <c r="O55" s="24"/>
      <c r="P55" s="22" t="s">
        <v>2</v>
      </c>
      <c r="Q55" s="25"/>
      <c r="R55" s="26">
        <v>243.48</v>
      </c>
      <c r="S55" s="25"/>
      <c r="T55" s="26">
        <v>0</v>
      </c>
      <c r="U55" s="25"/>
      <c r="V55" s="26">
        <v>243.48</v>
      </c>
      <c r="W55" s="26">
        <v>0</v>
      </c>
      <c r="X55" s="26">
        <v>243.48</v>
      </c>
      <c r="Y55" s="26">
        <v>0</v>
      </c>
      <c r="Z55" s="26">
        <v>36.52</v>
      </c>
      <c r="AA55" s="26">
        <v>0</v>
      </c>
      <c r="AB55" s="26">
        <v>0</v>
      </c>
      <c r="AC55" s="26">
        <v>0</v>
      </c>
      <c r="AD55" s="26">
        <v>280</v>
      </c>
      <c r="AE55" s="26">
        <v>0</v>
      </c>
      <c r="AF55" s="26">
        <v>0</v>
      </c>
      <c r="AG55" s="26">
        <v>194.92624869791666</v>
      </c>
      <c r="AH55" s="26">
        <v>48.55374</v>
      </c>
      <c r="AI55" s="26">
        <v>19.941572</v>
      </c>
      <c r="AJ55" s="26">
        <v>24.908775</v>
      </c>
      <c r="AK55" s="22" t="s">
        <v>631</v>
      </c>
      <c r="AL55" s="22" t="s">
        <v>669</v>
      </c>
      <c r="AM55" s="20" t="s">
        <v>670</v>
      </c>
      <c r="AN55" s="23" t="s">
        <v>336</v>
      </c>
      <c r="AO55" s="3"/>
    </row>
    <row r="56" ht="12.95" customHeight="1" spans="1:41" x14ac:dyDescent="0.25">
      <c r="A56" s="20" t="s">
        <v>46</v>
      </c>
      <c r="B56" s="20" t="s">
        <v>662</v>
      </c>
      <c r="C56" s="20" t="s">
        <v>166</v>
      </c>
      <c r="D56" s="21"/>
      <c r="E56" s="20" t="s">
        <v>837</v>
      </c>
      <c r="F56" s="22" t="s">
        <v>664</v>
      </c>
      <c r="G56" s="22" t="s">
        <v>332</v>
      </c>
      <c r="H56" s="22" t="s">
        <v>838</v>
      </c>
      <c r="I56" s="20" t="s">
        <v>599</v>
      </c>
      <c r="J56" s="23" t="s">
        <v>828</v>
      </c>
      <c r="K56" s="20" t="s">
        <v>839</v>
      </c>
      <c r="L56" s="21"/>
      <c r="M56" s="23" t="s">
        <v>46</v>
      </c>
      <c r="N56" s="24"/>
      <c r="O56" s="24"/>
      <c r="P56" s="22" t="s">
        <v>81</v>
      </c>
      <c r="Q56" s="25"/>
      <c r="R56" s="26">
        <v>873.63</v>
      </c>
      <c r="S56" s="25"/>
      <c r="T56" s="26">
        <v>129.58</v>
      </c>
      <c r="U56" s="25"/>
      <c r="V56" s="26">
        <v>744.05</v>
      </c>
      <c r="W56" s="26">
        <v>0</v>
      </c>
      <c r="X56" s="26">
        <v>744.05</v>
      </c>
      <c r="Y56" s="26">
        <v>0</v>
      </c>
      <c r="Z56" s="26">
        <v>111.61</v>
      </c>
      <c r="AA56" s="26">
        <v>0</v>
      </c>
      <c r="AB56" s="26">
        <v>0</v>
      </c>
      <c r="AC56" s="26">
        <v>0</v>
      </c>
      <c r="AD56" s="26">
        <v>855.66</v>
      </c>
      <c r="AE56" s="26">
        <v>0</v>
      </c>
      <c r="AF56" s="26">
        <v>0</v>
      </c>
      <c r="AG56" s="26">
        <v>530.3</v>
      </c>
      <c r="AH56" s="26">
        <v>213.75</v>
      </c>
      <c r="AI56" s="26">
        <v>28.72791</v>
      </c>
      <c r="AJ56" s="26">
        <v>40.307373</v>
      </c>
      <c r="AK56" s="22" t="s">
        <v>631</v>
      </c>
      <c r="AL56" s="22" t="s">
        <v>741</v>
      </c>
      <c r="AM56" s="20" t="s">
        <v>670</v>
      </c>
      <c r="AN56" s="23" t="s">
        <v>336</v>
      </c>
      <c r="AO56" s="3"/>
    </row>
    <row r="57" ht="12.95" customHeight="1" spans="1:41" x14ac:dyDescent="0.25">
      <c r="A57" s="20" t="s">
        <v>46</v>
      </c>
      <c r="B57" s="20" t="s">
        <v>624</v>
      </c>
      <c r="C57" s="20" t="s">
        <v>220</v>
      </c>
      <c r="D57" s="21"/>
      <c r="E57" s="20" t="s">
        <v>840</v>
      </c>
      <c r="F57" s="22" t="s">
        <v>626</v>
      </c>
      <c r="G57" s="22" t="s">
        <v>332</v>
      </c>
      <c r="H57" s="22" t="s">
        <v>841</v>
      </c>
      <c r="I57" s="20" t="s">
        <v>129</v>
      </c>
      <c r="J57" s="23" t="s">
        <v>842</v>
      </c>
      <c r="K57" s="20" t="s">
        <v>843</v>
      </c>
      <c r="L57" s="21"/>
      <c r="M57" s="23" t="s">
        <v>46</v>
      </c>
      <c r="N57" s="24"/>
      <c r="O57" s="24"/>
      <c r="P57" s="22" t="s">
        <v>844</v>
      </c>
      <c r="Q57" s="25"/>
      <c r="R57" s="26">
        <v>2387.75</v>
      </c>
      <c r="S57" s="25"/>
      <c r="T57" s="26">
        <v>238.78</v>
      </c>
      <c r="U57" s="25"/>
      <c r="V57" s="26">
        <v>2148.97</v>
      </c>
      <c r="W57" s="26">
        <v>0</v>
      </c>
      <c r="X57" s="26">
        <v>2148.97</v>
      </c>
      <c r="Y57" s="26">
        <v>0</v>
      </c>
      <c r="Z57" s="26">
        <v>322.35</v>
      </c>
      <c r="AA57" s="26">
        <v>0</v>
      </c>
      <c r="AB57" s="26">
        <v>0</v>
      </c>
      <c r="AC57" s="26">
        <v>0</v>
      </c>
      <c r="AD57" s="26">
        <v>2471.32</v>
      </c>
      <c r="AE57" s="26">
        <v>0</v>
      </c>
      <c r="AF57" s="26">
        <v>0</v>
      </c>
      <c r="AG57" s="26">
        <v>1560.7571412037037</v>
      </c>
      <c r="AH57" s="26">
        <v>588.21277</v>
      </c>
      <c r="AI57" s="26">
        <v>27.371847</v>
      </c>
      <c r="AJ57" s="26">
        <v>37.687653</v>
      </c>
      <c r="AK57" s="22" t="s">
        <v>631</v>
      </c>
      <c r="AL57" s="22" t="s">
        <v>845</v>
      </c>
      <c r="AM57" s="20" t="s">
        <v>633</v>
      </c>
      <c r="AN57" s="23" t="s">
        <v>336</v>
      </c>
      <c r="AO57" s="3"/>
    </row>
    <row r="58" ht="12.95" customHeight="1" spans="1:41" x14ac:dyDescent="0.25">
      <c r="A58" s="20" t="s">
        <v>46</v>
      </c>
      <c r="B58" s="20" t="s">
        <v>662</v>
      </c>
      <c r="C58" s="20" t="s">
        <v>264</v>
      </c>
      <c r="D58" s="21"/>
      <c r="E58" s="20" t="s">
        <v>846</v>
      </c>
      <c r="F58" s="22" t="s">
        <v>664</v>
      </c>
      <c r="G58" s="22" t="s">
        <v>332</v>
      </c>
      <c r="H58" s="22" t="s">
        <v>847</v>
      </c>
      <c r="I58" s="20" t="s">
        <v>103</v>
      </c>
      <c r="J58" s="23" t="s">
        <v>832</v>
      </c>
      <c r="K58" s="20" t="s">
        <v>848</v>
      </c>
      <c r="L58" s="21"/>
      <c r="M58" s="23" t="s">
        <v>46</v>
      </c>
      <c r="N58" s="24"/>
      <c r="O58" s="24"/>
      <c r="P58" s="22" t="s">
        <v>2</v>
      </c>
      <c r="Q58" s="25"/>
      <c r="R58" s="26">
        <v>39.13</v>
      </c>
      <c r="S58" s="25"/>
      <c r="T58" s="26">
        <v>0</v>
      </c>
      <c r="U58" s="25"/>
      <c r="V58" s="26">
        <v>39.13</v>
      </c>
      <c r="W58" s="26">
        <v>0</v>
      </c>
      <c r="X58" s="26">
        <v>39.13</v>
      </c>
      <c r="Y58" s="26">
        <v>0</v>
      </c>
      <c r="Z58" s="26">
        <v>5.87</v>
      </c>
      <c r="AA58" s="26">
        <v>0</v>
      </c>
      <c r="AB58" s="26">
        <v>0</v>
      </c>
      <c r="AC58" s="26">
        <v>0</v>
      </c>
      <c r="AD58" s="26">
        <v>45</v>
      </c>
      <c r="AE58" s="26">
        <v>0</v>
      </c>
      <c r="AF58" s="26">
        <v>0</v>
      </c>
      <c r="AG58" s="26">
        <v>20.92</v>
      </c>
      <c r="AH58" s="26">
        <v>18.210001</v>
      </c>
      <c r="AI58" s="26">
        <v>46.537186</v>
      </c>
      <c r="AJ58" s="26">
        <v>87.0459</v>
      </c>
      <c r="AK58" s="22" t="s">
        <v>631</v>
      </c>
      <c r="AL58" s="22" t="s">
        <v>798</v>
      </c>
      <c r="AM58" s="20" t="s">
        <v>670</v>
      </c>
      <c r="AN58" s="23" t="s">
        <v>336</v>
      </c>
      <c r="AO58" s="3"/>
    </row>
    <row r="59" ht="12.95" customHeight="1" spans="1:41" x14ac:dyDescent="0.25">
      <c r="A59" s="20" t="s">
        <v>46</v>
      </c>
      <c r="B59" s="20" t="s">
        <v>624</v>
      </c>
      <c r="C59" s="20" t="s">
        <v>264</v>
      </c>
      <c r="D59" s="21"/>
      <c r="E59" s="20" t="s">
        <v>849</v>
      </c>
      <c r="F59" s="22" t="s">
        <v>626</v>
      </c>
      <c r="G59" s="22" t="s">
        <v>332</v>
      </c>
      <c r="H59" s="22" t="s">
        <v>850</v>
      </c>
      <c r="I59" s="20" t="s">
        <v>129</v>
      </c>
      <c r="J59" s="23" t="s">
        <v>842</v>
      </c>
      <c r="K59" s="20" t="s">
        <v>851</v>
      </c>
      <c r="L59" s="21"/>
      <c r="M59" s="23" t="s">
        <v>46</v>
      </c>
      <c r="N59" s="24"/>
      <c r="O59" s="24"/>
      <c r="P59" s="22" t="s">
        <v>2</v>
      </c>
      <c r="Q59" s="25"/>
      <c r="R59" s="26">
        <v>181.11</v>
      </c>
      <c r="S59" s="25"/>
      <c r="T59" s="26">
        <v>9.06</v>
      </c>
      <c r="U59" s="25"/>
      <c r="V59" s="26">
        <v>172.05</v>
      </c>
      <c r="W59" s="26">
        <v>0</v>
      </c>
      <c r="X59" s="26">
        <v>172.05</v>
      </c>
      <c r="Y59" s="26">
        <v>0</v>
      </c>
      <c r="Z59" s="26">
        <v>25.81</v>
      </c>
      <c r="AA59" s="26">
        <v>0</v>
      </c>
      <c r="AB59" s="26">
        <v>0</v>
      </c>
      <c r="AC59" s="26">
        <v>0</v>
      </c>
      <c r="AD59" s="26">
        <v>197.86</v>
      </c>
      <c r="AE59" s="26">
        <v>0</v>
      </c>
      <c r="AF59" s="26">
        <v>0</v>
      </c>
      <c r="AG59" s="26">
        <v>119.53</v>
      </c>
      <c r="AH59" s="26">
        <v>52.520004</v>
      </c>
      <c r="AI59" s="26">
        <v>30.526012</v>
      </c>
      <c r="AJ59" s="26">
        <v>43.938766</v>
      </c>
      <c r="AK59" s="22" t="s">
        <v>631</v>
      </c>
      <c r="AL59" s="22" t="s">
        <v>798</v>
      </c>
      <c r="AM59" s="20" t="s">
        <v>633</v>
      </c>
      <c r="AN59" s="23" t="s">
        <v>336</v>
      </c>
      <c r="AO59" s="3"/>
    </row>
    <row r="60" ht="12.95" customHeight="1" spans="1:41" x14ac:dyDescent="0.25">
      <c r="A60" s="20" t="s">
        <v>46</v>
      </c>
      <c r="B60" s="20" t="s">
        <v>624</v>
      </c>
      <c r="C60" s="20" t="s">
        <v>298</v>
      </c>
      <c r="D60" s="21"/>
      <c r="E60" s="20" t="s">
        <v>852</v>
      </c>
      <c r="F60" s="22" t="s">
        <v>626</v>
      </c>
      <c r="G60" s="22" t="s">
        <v>332</v>
      </c>
      <c r="H60" s="22" t="s">
        <v>853</v>
      </c>
      <c r="I60" s="20" t="s">
        <v>103</v>
      </c>
      <c r="J60" s="23" t="s">
        <v>832</v>
      </c>
      <c r="K60" s="20" t="s">
        <v>854</v>
      </c>
      <c r="L60" s="21"/>
      <c r="M60" s="23" t="s">
        <v>46</v>
      </c>
      <c r="N60" s="24"/>
      <c r="O60" s="24"/>
      <c r="P60" s="22" t="s">
        <v>81</v>
      </c>
      <c r="Q60" s="25"/>
      <c r="R60" s="26">
        <v>148.36</v>
      </c>
      <c r="S60" s="25"/>
      <c r="T60" s="26">
        <v>0</v>
      </c>
      <c r="U60" s="25"/>
      <c r="V60" s="26">
        <v>148.36</v>
      </c>
      <c r="W60" s="26">
        <v>0</v>
      </c>
      <c r="X60" s="26">
        <v>148.36</v>
      </c>
      <c r="Y60" s="26">
        <v>0</v>
      </c>
      <c r="Z60" s="26">
        <v>22.25</v>
      </c>
      <c r="AA60" s="26">
        <v>0</v>
      </c>
      <c r="AB60" s="26">
        <v>0</v>
      </c>
      <c r="AC60" s="26">
        <v>0</v>
      </c>
      <c r="AD60" s="26">
        <v>170.61</v>
      </c>
      <c r="AE60" s="26">
        <v>0</v>
      </c>
      <c r="AF60" s="26">
        <v>0</v>
      </c>
      <c r="AG60" s="26">
        <v>97.46721224710213</v>
      </c>
      <c r="AH60" s="26">
        <v>50.89279</v>
      </c>
      <c r="AI60" s="26">
        <v>34.303577</v>
      </c>
      <c r="AJ60" s="26">
        <v>52.215298</v>
      </c>
      <c r="AK60" s="22" t="s">
        <v>631</v>
      </c>
      <c r="AL60" s="22" t="s">
        <v>808</v>
      </c>
      <c r="AM60" s="20" t="s">
        <v>633</v>
      </c>
      <c r="AN60" s="23" t="s">
        <v>336</v>
      </c>
      <c r="AO60" s="3"/>
    </row>
    <row r="61" ht="12.95" customHeight="1" spans="1:41" x14ac:dyDescent="0.25">
      <c r="A61" s="20" t="s">
        <v>46</v>
      </c>
      <c r="B61" s="20" t="s">
        <v>624</v>
      </c>
      <c r="C61" s="20" t="s">
        <v>311</v>
      </c>
      <c r="D61" s="21"/>
      <c r="E61" s="20" t="s">
        <v>855</v>
      </c>
      <c r="F61" s="22" t="s">
        <v>626</v>
      </c>
      <c r="G61" s="22" t="s">
        <v>332</v>
      </c>
      <c r="H61" s="22" t="s">
        <v>856</v>
      </c>
      <c r="I61" s="20" t="s">
        <v>103</v>
      </c>
      <c r="J61" s="23" t="s">
        <v>832</v>
      </c>
      <c r="K61" s="20" t="s">
        <v>857</v>
      </c>
      <c r="L61" s="21"/>
      <c r="M61" s="23" t="s">
        <v>46</v>
      </c>
      <c r="N61" s="24"/>
      <c r="O61" s="24"/>
      <c r="P61" s="22" t="s">
        <v>2</v>
      </c>
      <c r="Q61" s="25"/>
      <c r="R61" s="26">
        <v>25.65</v>
      </c>
      <c r="S61" s="25"/>
      <c r="T61" s="26">
        <v>0</v>
      </c>
      <c r="U61" s="25"/>
      <c r="V61" s="26">
        <v>25.65</v>
      </c>
      <c r="W61" s="26">
        <v>0</v>
      </c>
      <c r="X61" s="26">
        <v>25.65</v>
      </c>
      <c r="Y61" s="26">
        <v>0</v>
      </c>
      <c r="Z61" s="26">
        <v>3.85</v>
      </c>
      <c r="AA61" s="26">
        <v>0</v>
      </c>
      <c r="AB61" s="26">
        <v>0</v>
      </c>
      <c r="AC61" s="26">
        <v>0</v>
      </c>
      <c r="AD61" s="26">
        <v>29.5</v>
      </c>
      <c r="AE61" s="26">
        <v>0</v>
      </c>
      <c r="AF61" s="26">
        <v>0</v>
      </c>
      <c r="AG61" s="26">
        <v>17.014074074074074</v>
      </c>
      <c r="AH61" s="26">
        <v>8.635925</v>
      </c>
      <c r="AI61" s="26">
        <v>33.668324</v>
      </c>
      <c r="AJ61" s="26">
        <v>50.757538</v>
      </c>
      <c r="AK61" s="22" t="s">
        <v>631</v>
      </c>
      <c r="AL61" s="22" t="s">
        <v>858</v>
      </c>
      <c r="AM61" s="20" t="s">
        <v>633</v>
      </c>
      <c r="AN61" s="23" t="s">
        <v>336</v>
      </c>
      <c r="AO61" s="3"/>
    </row>
    <row r="62" ht="0.95" customHeight="1" spans="1:41" x14ac:dyDescent="0.25">
      <c r="A62" s="3"/>
      <c r="B62" s="3"/>
      <c r="C62" s="3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3"/>
      <c r="AL62" s="3"/>
      <c r="AM62" s="3"/>
      <c r="AN62" s="3"/>
      <c r="AO62" s="3"/>
    </row>
    <row r="63" ht="12" customHeight="1" spans="1:4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27" t="s">
        <v>400</v>
      </c>
      <c r="M63" s="27"/>
      <c r="N63" s="27"/>
      <c r="O63" s="3"/>
      <c r="P63" s="28" t="s">
        <v>859</v>
      </c>
      <c r="Q63" s="28"/>
      <c r="R63" s="28">
        <v>908.17</v>
      </c>
      <c r="S63" s="28"/>
      <c r="T63" s="28">
        <v>11466.78</v>
      </c>
      <c r="U63" s="28"/>
      <c r="V63" s="28">
        <v>0</v>
      </c>
      <c r="W63" s="28">
        <v>11466.78</v>
      </c>
      <c r="X63" s="28">
        <v>1720.05</v>
      </c>
      <c r="Y63" s="28">
        <v>0</v>
      </c>
      <c r="Z63" s="27" t="s">
        <v>4</v>
      </c>
      <c r="AA63" s="28">
        <v>0</v>
      </c>
      <c r="AB63" s="28">
        <v>13186.83</v>
      </c>
      <c r="AC63" s="28">
        <v>0</v>
      </c>
      <c r="AD63" s="28">
        <v>0</v>
      </c>
      <c r="AE63" s="26">
        <v>5823.28</v>
      </c>
      <c r="AF63" s="28">
        <v>8277.486</v>
      </c>
      <c r="AG63" s="22">
        <v>8277.486</v>
      </c>
      <c r="AH63" s="28">
        <v>3189.292</v>
      </c>
      <c r="AI63" s="28">
        <v>27.813334</v>
      </c>
      <c r="AJ63" s="28">
        <v>38.52974</v>
      </c>
      <c r="AK63" s="3"/>
      <c r="AL63" s="3"/>
      <c r="AM63" s="3"/>
      <c r="AN63" s="3"/>
      <c r="AO63" s="3"/>
    </row>
    <row r="64" spans="1:41" x14ac:dyDescent="0.25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 t="s">
        <v>402</v>
      </c>
      <c r="O64" s="31"/>
      <c r="P64" s="31">
        <f>+'MY REP SZK'!I31</f>
        <v>12374.95</v>
      </c>
      <c r="Q64" s="31"/>
      <c r="R64" s="31">
        <f>+'MY REP SZK'!H50</f>
        <v>908.17</v>
      </c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</row>
    <row r="65" spans="1:41" x14ac:dyDescent="0.2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50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</row>
    <row r="66" spans="1:41" x14ac:dyDescent="0.25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</row>
    <row r="67" spans="1:41" x14ac:dyDescent="0.25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</row>
    <row r="68" spans="1:41" x14ac:dyDescent="0.25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</row>
    <row r="69" spans="1:41" x14ac:dyDescent="0.25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</row>
    <row r="70" spans="1:41" x14ac:dyDescent="0.25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</row>
    <row r="71" spans="1:41" x14ac:dyDescent="0.25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</row>
    <row r="72" spans="1:41" x14ac:dyDescent="0.25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</row>
    <row r="73" spans="1:41" x14ac:dyDescent="0.25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</row>
  </sheetData>
  <mergeCells count="328">
    <mergeCell ref="A1:E1"/>
    <mergeCell ref="N1:O1"/>
    <mergeCell ref="Q1:R1"/>
    <mergeCell ref="S1:T1"/>
    <mergeCell ref="A2:E2"/>
    <mergeCell ref="F2:M2"/>
    <mergeCell ref="N2:O2"/>
    <mergeCell ref="P2:T2"/>
    <mergeCell ref="N3:T4"/>
    <mergeCell ref="A4:M4"/>
    <mergeCell ref="A5:M5"/>
    <mergeCell ref="P5:T5"/>
    <mergeCell ref="F6:M7"/>
    <mergeCell ref="A7:E7"/>
    <mergeCell ref="A8:AN8"/>
    <mergeCell ref="C9:D9"/>
    <mergeCell ref="K9:L9"/>
    <mergeCell ref="M9:O9"/>
    <mergeCell ref="P9:Q9"/>
    <mergeCell ref="R9:S9"/>
    <mergeCell ref="T9:U9"/>
    <mergeCell ref="A10:AN10"/>
    <mergeCell ref="C11:D11"/>
    <mergeCell ref="K11:L11"/>
    <mergeCell ref="M11:O11"/>
    <mergeCell ref="P11:Q11"/>
    <mergeCell ref="R11:S11"/>
    <mergeCell ref="T11:U11"/>
    <mergeCell ref="C12:D12"/>
    <mergeCell ref="K12:L12"/>
    <mergeCell ref="M12:O12"/>
    <mergeCell ref="P12:Q12"/>
    <mergeCell ref="R12:S12"/>
    <mergeCell ref="T12:U12"/>
    <mergeCell ref="C13:D13"/>
    <mergeCell ref="K13:L13"/>
    <mergeCell ref="M13:O13"/>
    <mergeCell ref="P13:Q13"/>
    <mergeCell ref="R13:S13"/>
    <mergeCell ref="T13:U13"/>
    <mergeCell ref="C14:D14"/>
    <mergeCell ref="K14:L14"/>
    <mergeCell ref="M14:O14"/>
    <mergeCell ref="P14:Q14"/>
    <mergeCell ref="R14:S14"/>
    <mergeCell ref="T14:U14"/>
    <mergeCell ref="C15:D15"/>
    <mergeCell ref="K15:L15"/>
    <mergeCell ref="M15:O15"/>
    <mergeCell ref="P15:Q15"/>
    <mergeCell ref="R15:S15"/>
    <mergeCell ref="T15:U15"/>
    <mergeCell ref="C16:D16"/>
    <mergeCell ref="K16:L16"/>
    <mergeCell ref="M16:O16"/>
    <mergeCell ref="P16:Q16"/>
    <mergeCell ref="R16:S16"/>
    <mergeCell ref="T16:U16"/>
    <mergeCell ref="C17:D17"/>
    <mergeCell ref="K17:L17"/>
    <mergeCell ref="M17:O17"/>
    <mergeCell ref="P17:Q17"/>
    <mergeCell ref="R17:S17"/>
    <mergeCell ref="T17:U17"/>
    <mergeCell ref="C18:D18"/>
    <mergeCell ref="K18:L18"/>
    <mergeCell ref="M18:O18"/>
    <mergeCell ref="P18:Q18"/>
    <mergeCell ref="R18:S18"/>
    <mergeCell ref="T18:U18"/>
    <mergeCell ref="C19:D19"/>
    <mergeCell ref="K19:L19"/>
    <mergeCell ref="M19:O19"/>
    <mergeCell ref="P19:Q19"/>
    <mergeCell ref="R19:S19"/>
    <mergeCell ref="T19:U19"/>
    <mergeCell ref="C20:D20"/>
    <mergeCell ref="K20:L20"/>
    <mergeCell ref="M20:O20"/>
    <mergeCell ref="P20:Q20"/>
    <mergeCell ref="R20:S20"/>
    <mergeCell ref="T20:U20"/>
    <mergeCell ref="C21:D21"/>
    <mergeCell ref="K21:L21"/>
    <mergeCell ref="M21:O21"/>
    <mergeCell ref="P21:Q21"/>
    <mergeCell ref="R21:S21"/>
    <mergeCell ref="T21:U21"/>
    <mergeCell ref="C22:D22"/>
    <mergeCell ref="K22:L22"/>
    <mergeCell ref="M22:O22"/>
    <mergeCell ref="P22:Q22"/>
    <mergeCell ref="R22:S22"/>
    <mergeCell ref="T22:U22"/>
    <mergeCell ref="C23:D23"/>
    <mergeCell ref="K23:L23"/>
    <mergeCell ref="M23:O23"/>
    <mergeCell ref="P23:Q23"/>
    <mergeCell ref="R23:S23"/>
    <mergeCell ref="T23:U23"/>
    <mergeCell ref="C24:D24"/>
    <mergeCell ref="K24:L24"/>
    <mergeCell ref="M24:O24"/>
    <mergeCell ref="P24:Q24"/>
    <mergeCell ref="R24:S24"/>
    <mergeCell ref="T24:U24"/>
    <mergeCell ref="C25:D25"/>
    <mergeCell ref="K25:L25"/>
    <mergeCell ref="M25:O25"/>
    <mergeCell ref="P25:Q25"/>
    <mergeCell ref="R25:S25"/>
    <mergeCell ref="T25:U25"/>
    <mergeCell ref="C26:D26"/>
    <mergeCell ref="K26:L26"/>
    <mergeCell ref="M26:O26"/>
    <mergeCell ref="P26:Q26"/>
    <mergeCell ref="R26:S26"/>
    <mergeCell ref="T26:U26"/>
    <mergeCell ref="C27:D27"/>
    <mergeCell ref="K27:L27"/>
    <mergeCell ref="M27:O27"/>
    <mergeCell ref="P27:Q27"/>
    <mergeCell ref="R27:S27"/>
    <mergeCell ref="T27:U27"/>
    <mergeCell ref="C28:D28"/>
    <mergeCell ref="K28:L28"/>
    <mergeCell ref="M28:O28"/>
    <mergeCell ref="P28:Q28"/>
    <mergeCell ref="R28:S28"/>
    <mergeCell ref="T28:U28"/>
    <mergeCell ref="C29:D29"/>
    <mergeCell ref="K29:L29"/>
    <mergeCell ref="M29:O29"/>
    <mergeCell ref="P29:Q29"/>
    <mergeCell ref="R29:S29"/>
    <mergeCell ref="T29:U29"/>
    <mergeCell ref="C30:D30"/>
    <mergeCell ref="K30:L30"/>
    <mergeCell ref="M30:O30"/>
    <mergeCell ref="P30:Q30"/>
    <mergeCell ref="R30:S30"/>
    <mergeCell ref="T30:U30"/>
    <mergeCell ref="C31:D31"/>
    <mergeCell ref="K31:L31"/>
    <mergeCell ref="M31:O31"/>
    <mergeCell ref="P31:Q31"/>
    <mergeCell ref="R31:S31"/>
    <mergeCell ref="T31:U31"/>
    <mergeCell ref="C32:D32"/>
    <mergeCell ref="K32:L32"/>
    <mergeCell ref="M32:O32"/>
    <mergeCell ref="P32:Q32"/>
    <mergeCell ref="R32:S32"/>
    <mergeCell ref="T32:U32"/>
    <mergeCell ref="C33:D33"/>
    <mergeCell ref="K33:L33"/>
    <mergeCell ref="M33:O33"/>
    <mergeCell ref="P33:Q33"/>
    <mergeCell ref="R33:S33"/>
    <mergeCell ref="T33:U33"/>
    <mergeCell ref="C34:D34"/>
    <mergeCell ref="K34:L34"/>
    <mergeCell ref="M34:O34"/>
    <mergeCell ref="P34:Q34"/>
    <mergeCell ref="R34:S34"/>
    <mergeCell ref="T34:U34"/>
    <mergeCell ref="C35:D35"/>
    <mergeCell ref="K35:L35"/>
    <mergeCell ref="M35:O35"/>
    <mergeCell ref="P35:Q35"/>
    <mergeCell ref="R35:S35"/>
    <mergeCell ref="T35:U35"/>
    <mergeCell ref="C36:D36"/>
    <mergeCell ref="K36:L36"/>
    <mergeCell ref="M36:O36"/>
    <mergeCell ref="P36:Q36"/>
    <mergeCell ref="R36:S36"/>
    <mergeCell ref="T36:U36"/>
    <mergeCell ref="C37:D37"/>
    <mergeCell ref="K37:L37"/>
    <mergeCell ref="M37:O37"/>
    <mergeCell ref="P37:Q37"/>
    <mergeCell ref="R37:S37"/>
    <mergeCell ref="T37:U37"/>
    <mergeCell ref="C38:D38"/>
    <mergeCell ref="K38:L38"/>
    <mergeCell ref="M38:O38"/>
    <mergeCell ref="P38:Q38"/>
    <mergeCell ref="R38:S38"/>
    <mergeCell ref="T38:U38"/>
    <mergeCell ref="C39:D39"/>
    <mergeCell ref="K39:L39"/>
    <mergeCell ref="M39:O39"/>
    <mergeCell ref="P39:Q39"/>
    <mergeCell ref="R39:S39"/>
    <mergeCell ref="T39:U39"/>
    <mergeCell ref="C40:D40"/>
    <mergeCell ref="K40:L40"/>
    <mergeCell ref="M40:O40"/>
    <mergeCell ref="P40:Q40"/>
    <mergeCell ref="R40:S40"/>
    <mergeCell ref="T40:U40"/>
    <mergeCell ref="C41:D41"/>
    <mergeCell ref="K41:L41"/>
    <mergeCell ref="M41:O41"/>
    <mergeCell ref="P41:Q41"/>
    <mergeCell ref="R41:S41"/>
    <mergeCell ref="T41:U41"/>
    <mergeCell ref="C42:D42"/>
    <mergeCell ref="K42:L42"/>
    <mergeCell ref="M42:O42"/>
    <mergeCell ref="P42:Q42"/>
    <mergeCell ref="R42:S42"/>
    <mergeCell ref="T42:U42"/>
    <mergeCell ref="C43:D43"/>
    <mergeCell ref="K43:L43"/>
    <mergeCell ref="M43:O43"/>
    <mergeCell ref="P43:Q43"/>
    <mergeCell ref="R43:S43"/>
    <mergeCell ref="T43:U43"/>
    <mergeCell ref="C44:D44"/>
    <mergeCell ref="K44:L44"/>
    <mergeCell ref="M44:O44"/>
    <mergeCell ref="P44:Q44"/>
    <mergeCell ref="R44:S44"/>
    <mergeCell ref="T44:U44"/>
    <mergeCell ref="C45:D45"/>
    <mergeCell ref="K45:L45"/>
    <mergeCell ref="M45:O45"/>
    <mergeCell ref="P45:Q45"/>
    <mergeCell ref="R45:S45"/>
    <mergeCell ref="T45:U45"/>
    <mergeCell ref="C46:D46"/>
    <mergeCell ref="K46:L46"/>
    <mergeCell ref="M46:O46"/>
    <mergeCell ref="P46:Q46"/>
    <mergeCell ref="R46:S46"/>
    <mergeCell ref="T46:U46"/>
    <mergeCell ref="C47:D47"/>
    <mergeCell ref="K47:L47"/>
    <mergeCell ref="M47:O47"/>
    <mergeCell ref="P47:Q47"/>
    <mergeCell ref="R47:S47"/>
    <mergeCell ref="T47:U47"/>
    <mergeCell ref="C48:D48"/>
    <mergeCell ref="K48:L48"/>
    <mergeCell ref="M48:O48"/>
    <mergeCell ref="P48:Q48"/>
    <mergeCell ref="R48:S48"/>
    <mergeCell ref="T48:U48"/>
    <mergeCell ref="C49:D49"/>
    <mergeCell ref="K49:L49"/>
    <mergeCell ref="M49:O49"/>
    <mergeCell ref="P49:Q49"/>
    <mergeCell ref="R49:S49"/>
    <mergeCell ref="T49:U49"/>
    <mergeCell ref="A50:AN50"/>
    <mergeCell ref="C51:D51"/>
    <mergeCell ref="K51:L51"/>
    <mergeCell ref="M51:O51"/>
    <mergeCell ref="P51:Q51"/>
    <mergeCell ref="R51:S51"/>
    <mergeCell ref="T51:U51"/>
    <mergeCell ref="C52:D52"/>
    <mergeCell ref="K52:L52"/>
    <mergeCell ref="M52:O52"/>
    <mergeCell ref="P52:Q52"/>
    <mergeCell ref="R52:S52"/>
    <mergeCell ref="T52:U52"/>
    <mergeCell ref="C53:D53"/>
    <mergeCell ref="K53:L53"/>
    <mergeCell ref="M53:O53"/>
    <mergeCell ref="P53:Q53"/>
    <mergeCell ref="R53:S53"/>
    <mergeCell ref="T53:U53"/>
    <mergeCell ref="C54:D54"/>
    <mergeCell ref="K54:L54"/>
    <mergeCell ref="M54:O54"/>
    <mergeCell ref="P54:Q54"/>
    <mergeCell ref="R54:S54"/>
    <mergeCell ref="T54:U54"/>
    <mergeCell ref="C55:D55"/>
    <mergeCell ref="K55:L55"/>
    <mergeCell ref="M55:O55"/>
    <mergeCell ref="P55:Q55"/>
    <mergeCell ref="R55:S55"/>
    <mergeCell ref="T55:U55"/>
    <mergeCell ref="C56:D56"/>
    <mergeCell ref="K56:L56"/>
    <mergeCell ref="M56:O56"/>
    <mergeCell ref="P56:Q56"/>
    <mergeCell ref="R56:S56"/>
    <mergeCell ref="T56:U56"/>
    <mergeCell ref="C57:D57"/>
    <mergeCell ref="K57:L57"/>
    <mergeCell ref="M57:O57"/>
    <mergeCell ref="P57:Q57"/>
    <mergeCell ref="R57:S57"/>
    <mergeCell ref="T57:U57"/>
    <mergeCell ref="C58:D58"/>
    <mergeCell ref="K58:L58"/>
    <mergeCell ref="M58:O58"/>
    <mergeCell ref="P58:Q58"/>
    <mergeCell ref="R58:S58"/>
    <mergeCell ref="T58:U58"/>
    <mergeCell ref="C59:D59"/>
    <mergeCell ref="K59:L59"/>
    <mergeCell ref="M59:O59"/>
    <mergeCell ref="P59:Q59"/>
    <mergeCell ref="R59:S59"/>
    <mergeCell ref="T59:U59"/>
    <mergeCell ref="C60:D60"/>
    <mergeCell ref="K60:L60"/>
    <mergeCell ref="M60:O60"/>
    <mergeCell ref="P60:Q60"/>
    <mergeCell ref="R60:S60"/>
    <mergeCell ref="T60:U60"/>
    <mergeCell ref="C61:D61"/>
    <mergeCell ref="K61:L61"/>
    <mergeCell ref="M61:O61"/>
    <mergeCell ref="P61:Q61"/>
    <mergeCell ref="R61:S61"/>
    <mergeCell ref="T61:U61"/>
    <mergeCell ref="D62:AJ62"/>
    <mergeCell ref="L63:N63"/>
    <mergeCell ref="P63:Q63"/>
    <mergeCell ref="R63:S63"/>
    <mergeCell ref="T63:U63"/>
  </mergeCells>
  <pageMargins left="0" right="0" top="0" bottom="0" header="0" footer="0"/>
  <pageSetup orientation="landscape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Q12"/>
  <sheetViews>
    <sheetView workbookViewId="0" zoomScale="130" zoomScaleNormal="130">
      <selection activeCell="Y10" sqref="Y10"/>
    </sheetView>
  </sheetViews>
  <sheetFormatPr defaultRowHeight="15" outlineLevelRow="0" outlineLevelCol="0" x14ac:dyDescent="0.25" defaultColWidth="9.140625"/>
  <cols>
    <col min="1" max="1" width="0.140625" style="31" customWidth="1"/>
    <col min="2" max="2" width="8.7109375" style="31" customWidth="1"/>
    <col min="3" max="3" width="6.7109375" style="31" customWidth="1"/>
    <col min="4" max="4" width="9.28515625" style="31" customWidth="1"/>
    <col min="5" max="5" width="10.140625" style="31" customWidth="1"/>
    <col min="6" max="6" width="0.140625" style="31" customWidth="1"/>
    <col min="7" max="7" width="35.28515625" style="31" customWidth="1"/>
    <col min="8" max="8" width="7.140625" style="31" customWidth="1"/>
    <col min="9" max="9" width="8.140625" style="31" customWidth="1"/>
    <col min="10" max="10" width="9" style="31" customWidth="1"/>
    <col min="11" max="11" width="22.42578125" style="31" customWidth="1"/>
    <col min="12" max="12" width="9.28515625" style="31" customWidth="1"/>
    <col min="13" max="13" width="30.140625" style="31" customWidth="1"/>
    <col min="14" max="14" width="8.42578125" style="31" customWidth="1"/>
    <col min="15" max="15" width="7.42578125" style="31" customWidth="1"/>
    <col min="16" max="16" width="8.42578125" style="31" customWidth="1"/>
    <col min="17" max="17" width="1.7109375" style="31" customWidth="1"/>
    <col min="18" max="18" width="6.28515625" style="31" customWidth="1"/>
    <col min="19" max="19" width="0.7109375" style="31" customWidth="1"/>
    <col min="20" max="20" width="29.42578125" style="31" customWidth="1"/>
    <col min="21" max="21" width="12.140625" style="31" customWidth="1"/>
    <col min="22" max="22" width="4.140625" style="31" customWidth="1"/>
    <col min="23" max="23" width="12.7109375" style="31" customWidth="1"/>
    <col min="24" max="24" width="7.28515625" style="31" customWidth="1"/>
    <col min="25" max="25" width="7.85546875" style="31" customWidth="1"/>
    <col min="26" max="26" width="7.28515625" style="31" customWidth="1"/>
    <col min="27" max="27" width="7.85546875" style="31" customWidth="1"/>
    <col min="28" max="28" width="3" style="31" customWidth="1"/>
    <col min="29" max="29" width="4.140625" style="31" customWidth="1"/>
    <col min="30" max="30" width="4.28515625" style="31" customWidth="1"/>
    <col min="31" max="31" width="3.42578125" style="31" customWidth="1"/>
    <col min="32" max="32" width="8.28515625" style="31" customWidth="1"/>
    <col min="33" max="33" width="8.7109375" style="31" customWidth="1"/>
    <col min="34" max="34" width="7.140625" style="31" customWidth="1"/>
    <col min="35" max="35" width="1.42578125" style="31" customWidth="1"/>
    <col min="36" max="36" width="8.28515625" style="31" customWidth="1"/>
    <col min="37" max="37" width="8.42578125" style="31" customWidth="1"/>
    <col min="38" max="38" width="11.140625" style="31" customWidth="1"/>
    <col min="39" max="39" width="8" style="31" customWidth="1"/>
    <col min="40" max="41" width="8.42578125" style="31" customWidth="1"/>
    <col min="42" max="42" width="13.42578125" style="31" customWidth="1"/>
    <col min="43" max="16384" width="9.140625" style="31" customWidth="1"/>
  </cols>
  <sheetData>
    <row r="1" ht="15" customHeight="1" spans="1:43" x14ac:dyDescent="0.25">
      <c r="A1" s="3"/>
      <c r="B1" s="32" t="s">
        <v>0</v>
      </c>
      <c r="C1" s="33"/>
      <c r="D1" s="33"/>
      <c r="E1" s="33"/>
      <c r="F1" s="34" t="s">
        <v>403</v>
      </c>
      <c r="G1" s="35"/>
      <c r="H1" s="35"/>
      <c r="I1" s="35"/>
      <c r="J1" s="35"/>
      <c r="K1" s="35"/>
      <c r="L1" s="35"/>
      <c r="M1" s="35"/>
      <c r="N1" s="35"/>
      <c r="O1" s="35"/>
      <c r="P1" s="35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</row>
    <row r="2" ht="15" customHeight="1" spans="1:43" x14ac:dyDescent="0.25">
      <c r="A2" s="3"/>
      <c r="B2" s="4" t="s">
        <v>5</v>
      </c>
      <c r="C2" s="5"/>
      <c r="D2" s="5"/>
      <c r="E2" s="5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4" t="s">
        <v>6</v>
      </c>
      <c r="AD2" s="5"/>
      <c r="AE2" s="11">
        <v>46099.84962962963</v>
      </c>
      <c r="AF2" s="12"/>
      <c r="AG2" s="12"/>
      <c r="AH2" s="12"/>
      <c r="AI2" s="3"/>
      <c r="AJ2" s="3"/>
      <c r="AK2" s="3"/>
      <c r="AL2" s="3"/>
      <c r="AM2" s="3"/>
      <c r="AN2" s="3"/>
      <c r="AO2" s="3"/>
      <c r="AP2" s="3"/>
      <c r="AQ2" s="3"/>
    </row>
    <row r="3" ht="14.1" customHeight="1" spans="1:43" x14ac:dyDescent="0.25">
      <c r="A3" s="3"/>
      <c r="B3" s="13" t="s">
        <v>13</v>
      </c>
      <c r="C3" s="14"/>
      <c r="D3" s="14"/>
      <c r="E3" s="14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</row>
    <row r="4" ht="0.95" customHeight="1" spans="1:43" x14ac:dyDescent="0.25">
      <c r="A4" s="3"/>
      <c r="B4" s="14"/>
      <c r="C4" s="14"/>
      <c r="D4" s="14"/>
      <c r="E4" s="14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13" t="s">
        <v>404</v>
      </c>
      <c r="AD4" s="14"/>
      <c r="AE4" s="14"/>
      <c r="AF4" s="14"/>
      <c r="AG4" s="14"/>
      <c r="AH4" s="14"/>
      <c r="AI4" s="3"/>
      <c r="AJ4" s="3"/>
      <c r="AK4" s="3"/>
      <c r="AL4" s="3"/>
      <c r="AM4" s="3"/>
      <c r="AN4" s="3"/>
      <c r="AO4" s="3"/>
      <c r="AP4" s="3"/>
      <c r="AQ4" s="3"/>
    </row>
    <row r="5" ht="14.1" customHeight="1" spans="1:43" x14ac:dyDescent="0.25">
      <c r="A5" s="13" t="s">
        <v>12</v>
      </c>
      <c r="B5" s="14"/>
      <c r="C5" s="14"/>
      <c r="D5" s="14"/>
      <c r="E5" s="14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14"/>
      <c r="AD5" s="14"/>
      <c r="AE5" s="14"/>
      <c r="AF5" s="14"/>
      <c r="AG5" s="14"/>
      <c r="AH5" s="14"/>
      <c r="AI5" s="3"/>
      <c r="AJ5" s="3"/>
      <c r="AK5" s="3"/>
      <c r="AL5" s="3"/>
      <c r="AM5" s="3"/>
      <c r="AN5" s="3"/>
      <c r="AO5" s="3"/>
      <c r="AP5" s="3"/>
      <c r="AQ5" s="3"/>
    </row>
    <row r="6" ht="0.95" customHeight="1" spans="1:43" x14ac:dyDescent="0.25">
      <c r="A6" s="14"/>
      <c r="B6" s="14"/>
      <c r="C6" s="14"/>
      <c r="D6" s="14"/>
      <c r="E6" s="14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</row>
    <row r="7" ht="14.1" customHeight="1" spans="1:43" x14ac:dyDescent="0.25">
      <c r="A7" s="18" t="s">
        <v>405</v>
      </c>
      <c r="B7" s="19"/>
      <c r="C7" s="18" t="s">
        <v>15</v>
      </c>
      <c r="D7" s="18" t="s">
        <v>406</v>
      </c>
      <c r="E7" s="18" t="s">
        <v>407</v>
      </c>
      <c r="F7" s="19"/>
      <c r="G7" s="36" t="s">
        <v>44</v>
      </c>
      <c r="H7" s="18" t="s">
        <v>18</v>
      </c>
      <c r="I7" s="18" t="s">
        <v>408</v>
      </c>
      <c r="J7" s="18" t="s">
        <v>409</v>
      </c>
      <c r="K7" s="18" t="s">
        <v>19</v>
      </c>
      <c r="L7" s="18" t="s">
        <v>20</v>
      </c>
      <c r="M7" s="19"/>
      <c r="N7" s="18" t="s">
        <v>410</v>
      </c>
      <c r="O7" s="18" t="s">
        <v>411</v>
      </c>
      <c r="P7" s="18" t="s">
        <v>412</v>
      </c>
      <c r="Q7" s="19"/>
      <c r="R7" s="18" t="s">
        <v>413</v>
      </c>
      <c r="S7" s="19"/>
      <c r="T7" s="18" t="s">
        <v>23</v>
      </c>
      <c r="U7" s="18" t="s">
        <v>24</v>
      </c>
      <c r="V7" s="18" t="s">
        <v>25</v>
      </c>
      <c r="W7" s="18" t="s">
        <v>26</v>
      </c>
      <c r="X7" s="18" t="s">
        <v>27</v>
      </c>
      <c r="Y7" s="18" t="s">
        <v>28</v>
      </c>
      <c r="Z7" s="18" t="s">
        <v>29</v>
      </c>
      <c r="AA7" s="18" t="s">
        <v>30</v>
      </c>
      <c r="AB7" s="18" t="s">
        <v>31</v>
      </c>
      <c r="AC7" s="19"/>
      <c r="AD7" s="18" t="s">
        <v>32</v>
      </c>
      <c r="AE7" s="19"/>
      <c r="AF7" s="18" t="s">
        <v>33</v>
      </c>
      <c r="AG7" s="18" t="s">
        <v>35</v>
      </c>
      <c r="AH7" s="18" t="s">
        <v>414</v>
      </c>
      <c r="AI7" s="19"/>
      <c r="AJ7" s="18" t="s">
        <v>415</v>
      </c>
      <c r="AK7" s="18" t="s">
        <v>37</v>
      </c>
      <c r="AL7" s="18" t="s">
        <v>416</v>
      </c>
      <c r="AM7" s="18" t="s">
        <v>39</v>
      </c>
      <c r="AN7" s="18" t="s">
        <v>40</v>
      </c>
      <c r="AO7" s="18" t="s">
        <v>43</v>
      </c>
      <c r="AP7" s="18" t="s">
        <v>45</v>
      </c>
      <c r="AQ7" s="3"/>
    </row>
    <row r="8" ht="12" customHeight="1" spans="1:43" x14ac:dyDescent="0.25">
      <c r="A8" s="3"/>
      <c r="B8" s="20" t="s">
        <v>46</v>
      </c>
      <c r="C8" s="20" t="s">
        <v>662</v>
      </c>
      <c r="D8" s="20" t="s">
        <v>860</v>
      </c>
      <c r="E8" s="20" t="s">
        <v>670</v>
      </c>
      <c r="F8" s="20" t="s">
        <v>861</v>
      </c>
      <c r="G8" s="20"/>
      <c r="H8" s="20" t="s">
        <v>664</v>
      </c>
      <c r="I8" s="20" t="s">
        <v>862</v>
      </c>
      <c r="J8" s="20" t="s">
        <v>826</v>
      </c>
      <c r="K8" s="20" t="s">
        <v>863</v>
      </c>
      <c r="L8" s="20" t="s">
        <v>864</v>
      </c>
      <c r="M8" s="20"/>
      <c r="N8" s="37">
        <v>46055.61</v>
      </c>
      <c r="O8" s="20">
        <v>855.66</v>
      </c>
      <c r="P8" s="20" t="s">
        <v>599</v>
      </c>
      <c r="Q8" s="20"/>
      <c r="R8" s="20" t="s">
        <v>828</v>
      </c>
      <c r="S8" s="20"/>
      <c r="T8" s="20" t="s">
        <v>865</v>
      </c>
      <c r="U8" s="23" t="s">
        <v>46</v>
      </c>
      <c r="V8" s="22" t="s">
        <v>81</v>
      </c>
      <c r="W8" s="38">
        <v>873.63</v>
      </c>
      <c r="X8" s="38">
        <v>129.58</v>
      </c>
      <c r="Y8" s="38">
        <v>744.05</v>
      </c>
      <c r="Z8" s="38">
        <v>0</v>
      </c>
      <c r="AA8" s="38">
        <v>744.05</v>
      </c>
      <c r="AB8" s="38">
        <v>0</v>
      </c>
      <c r="AC8" s="38"/>
      <c r="AD8" s="38">
        <v>111.61</v>
      </c>
      <c r="AE8" s="38"/>
      <c r="AF8" s="38">
        <v>0</v>
      </c>
      <c r="AG8" s="38">
        <v>0</v>
      </c>
      <c r="AH8" s="38">
        <v>0</v>
      </c>
      <c r="AI8" s="38"/>
      <c r="AJ8" s="38">
        <v>855.66</v>
      </c>
      <c r="AK8" s="38">
        <v>0</v>
      </c>
      <c r="AL8" s="39"/>
      <c r="AM8" s="38">
        <v>530.3</v>
      </c>
      <c r="AN8" s="38">
        <v>325.36</v>
      </c>
      <c r="AO8" s="20" t="s">
        <v>741</v>
      </c>
      <c r="AP8" s="23" t="s">
        <v>58</v>
      </c>
      <c r="AQ8" s="3"/>
    </row>
    <row r="9" ht="12" customHeight="1" spans="1:43" x14ac:dyDescent="0.25">
      <c r="A9" s="3"/>
      <c r="B9" s="20" t="s">
        <v>46</v>
      </c>
      <c r="C9" s="20" t="s">
        <v>624</v>
      </c>
      <c r="D9" s="20" t="s">
        <v>866</v>
      </c>
      <c r="E9" s="20" t="s">
        <v>633</v>
      </c>
      <c r="F9" s="20" t="s">
        <v>867</v>
      </c>
      <c r="G9" s="20"/>
      <c r="H9" s="20" t="s">
        <v>626</v>
      </c>
      <c r="I9" s="20" t="s">
        <v>868</v>
      </c>
      <c r="J9" s="20" t="s">
        <v>720</v>
      </c>
      <c r="K9" s="20" t="s">
        <v>420</v>
      </c>
      <c r="L9" s="20" t="s">
        <v>869</v>
      </c>
      <c r="M9" s="20"/>
      <c r="N9" s="37">
        <v>46062.88866898148</v>
      </c>
      <c r="O9" s="20">
        <v>287.48</v>
      </c>
      <c r="P9" s="20" t="s">
        <v>120</v>
      </c>
      <c r="Q9" s="20"/>
      <c r="R9" s="20" t="s">
        <v>722</v>
      </c>
      <c r="S9" s="20"/>
      <c r="T9" s="20" t="s">
        <v>870</v>
      </c>
      <c r="U9" s="23" t="s">
        <v>46</v>
      </c>
      <c r="V9" s="22" t="s">
        <v>2</v>
      </c>
      <c r="W9" s="38">
        <v>263.14</v>
      </c>
      <c r="X9" s="38">
        <v>13.16</v>
      </c>
      <c r="Y9" s="38">
        <v>249.98</v>
      </c>
      <c r="Z9" s="38">
        <v>0</v>
      </c>
      <c r="AA9" s="38">
        <v>249.98</v>
      </c>
      <c r="AB9" s="38">
        <v>0</v>
      </c>
      <c r="AC9" s="38"/>
      <c r="AD9" s="38">
        <v>37.5</v>
      </c>
      <c r="AE9" s="38"/>
      <c r="AF9" s="38">
        <v>0</v>
      </c>
      <c r="AG9" s="38">
        <v>0</v>
      </c>
      <c r="AH9" s="38">
        <v>0</v>
      </c>
      <c r="AI9" s="38"/>
      <c r="AJ9" s="38">
        <v>287.48</v>
      </c>
      <c r="AK9" s="38">
        <v>0</v>
      </c>
      <c r="AL9" s="39"/>
      <c r="AM9" s="38">
        <v>221</v>
      </c>
      <c r="AN9" s="38">
        <v>66.48</v>
      </c>
      <c r="AO9" s="20" t="s">
        <v>871</v>
      </c>
      <c r="AP9" s="23" t="s">
        <v>58</v>
      </c>
      <c r="AQ9" s="3"/>
    </row>
    <row r="10" ht="11.1" customHeight="1" spans="1:43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40" t="s">
        <v>400</v>
      </c>
      <c r="N10" s="41"/>
      <c r="O10" s="41"/>
      <c r="P10" s="41"/>
      <c r="Q10" s="41"/>
      <c r="R10" s="41"/>
      <c r="S10" s="3"/>
      <c r="T10" s="3"/>
      <c r="U10" s="3"/>
      <c r="V10" s="42">
        <f>SUM(V8:V9)</f>
        <v>3</v>
      </c>
      <c r="W10" s="43">
        <f>SUM(W8:W9)</f>
        <v>1136.77</v>
      </c>
      <c r="X10" s="44">
        <f>SUM(X8:X9)</f>
        <v>142.74</v>
      </c>
      <c r="Y10" s="43">
        <f>SUM(Y8:Y9)</f>
        <v>994.03</v>
      </c>
      <c r="Z10" s="43">
        <f>SUM(Z8:Z9)</f>
        <v>0</v>
      </c>
      <c r="AA10" s="43">
        <f>SUM(AA8:AA9)</f>
        <v>994.03</v>
      </c>
      <c r="AB10" s="43">
        <f>SUM(AB8:AB9)</f>
        <v>0</v>
      </c>
      <c r="AC10" s="45"/>
      <c r="AD10" s="43">
        <f>SUM(AD8:AD9)</f>
        <v>149.11</v>
      </c>
      <c r="AE10" s="45"/>
      <c r="AF10" s="46"/>
      <c r="AG10" s="43">
        <f>SUM(AG8:AG9)</f>
        <v>0</v>
      </c>
      <c r="AH10" s="47">
        <f>SUM(AH8:AH9)</f>
        <v>0</v>
      </c>
      <c r="AI10" s="48"/>
      <c r="AJ10" s="43">
        <f>SUM(AJ8:AJ9)</f>
        <v>1143.14</v>
      </c>
      <c r="AK10" s="43">
        <f>SUM(AK8:AK9)</f>
        <v>0</v>
      </c>
      <c r="AL10" s="42"/>
      <c r="AM10" s="43">
        <f>SUM(AM8:AM9)</f>
        <v>751.3</v>
      </c>
      <c r="AN10" s="43">
        <f>SUM(AN8:AN9)</f>
        <v>391.84</v>
      </c>
      <c r="AO10" s="3"/>
      <c r="AP10" s="3"/>
      <c r="AQ10" s="3"/>
    </row>
    <row r="11" spans="1:42" x14ac:dyDescent="0.25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 t="s">
        <v>402</v>
      </c>
      <c r="W11" s="31">
        <f>+'MY REP SZK'!H55</f>
        <v>1136.77</v>
      </c>
      <c r="X11" s="31">
        <f>+'MY REP SZK'!I50</f>
        <v>142.74</v>
      </c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</row>
    <row r="12" spans="1:14" x14ac:dyDescent="0.25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</row>
  </sheetData>
  <mergeCells count="34">
    <mergeCell ref="B1:E1"/>
    <mergeCell ref="F1:P1"/>
    <mergeCell ref="B2:E2"/>
    <mergeCell ref="AC2:AD2"/>
    <mergeCell ref="AE2:AH2"/>
    <mergeCell ref="B3:E4"/>
    <mergeCell ref="AC4:AH5"/>
    <mergeCell ref="A5:E6"/>
    <mergeCell ref="A7:B7"/>
    <mergeCell ref="E7:F7"/>
    <mergeCell ref="L7:M7"/>
    <mergeCell ref="P7:Q7"/>
    <mergeCell ref="R7:S7"/>
    <mergeCell ref="AB7:AC7"/>
    <mergeCell ref="AD7:AE7"/>
    <mergeCell ref="AH7:AI7"/>
    <mergeCell ref="F8:G8"/>
    <mergeCell ref="L8:M8"/>
    <mergeCell ref="P8:Q8"/>
    <mergeCell ref="R8:S8"/>
    <mergeCell ref="AB8:AC8"/>
    <mergeCell ref="AD8:AE8"/>
    <mergeCell ref="AH8:AI8"/>
    <mergeCell ref="F9:G9"/>
    <mergeCell ref="L9:M9"/>
    <mergeCell ref="P9:Q9"/>
    <mergeCell ref="R9:S9"/>
    <mergeCell ref="AB9:AC9"/>
    <mergeCell ref="AD9:AE9"/>
    <mergeCell ref="AH9:AI9"/>
    <mergeCell ref="M10:R10"/>
    <mergeCell ref="AB10:AC10"/>
    <mergeCell ref="AD10:AE10"/>
    <mergeCell ref="AH10:AI10"/>
  </mergeCells>
  <pageMargins left="0" right="0" top="0" bottom="0" header="0" footer="0"/>
  <pageSetup orientation="landscape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workbookViewId="0" zoomScale="100" zoomScaleNormal="100">
      <selection activeCell="H55" sqref="H55"/>
    </sheetView>
  </sheetViews>
  <sheetFormatPr defaultRowHeight="15" outlineLevelRow="0" outlineLevelCol="0" x14ac:dyDescent="0.25"/>
  <cols>
    <col min="1" max="1" width="15.28515625" customWidth="1"/>
    <col min="2" max="2" width="38.7109375" customWidth="1"/>
    <col min="3" max="3" width="4.7109375" customWidth="1"/>
    <col min="5" max="5" width="6.7109375" customWidth="1"/>
    <col min="6" max="6" width="4.42578125" customWidth="1"/>
  </cols>
  <sheetData>
    <row r="1" spans="1:10" x14ac:dyDescent="0.25">
      <c r="A1" t="s">
        <v>423</v>
      </c>
      <c r="B1" t="s">
        <v>424</v>
      </c>
      <c r="C1" t="s">
        <v>425</v>
      </c>
      <c r="D1" t="s">
        <v>16</v>
      </c>
      <c r="E1" t="s">
        <v>426</v>
      </c>
      <c r="F1" t="s">
        <v>427</v>
      </c>
      <c r="G1" t="s">
        <v>428</v>
      </c>
      <c r="H1" t="s">
        <v>429</v>
      </c>
      <c r="I1" t="s">
        <v>336</v>
      </c>
      <c r="J1" t="s">
        <v>38</v>
      </c>
    </row>
    <row r="2" spans="1:10" x14ac:dyDescent="0.25">
      <c r="A2" t="s">
        <v>872</v>
      </c>
      <c r="B2" t="s">
        <v>873</v>
      </c>
      <c r="C2" t="s">
        <v>432</v>
      </c>
      <c r="D2" s="49">
        <v>46055.20833333333</v>
      </c>
      <c r="E2" t="s">
        <v>433</v>
      </c>
      <c r="F2" t="s">
        <v>632</v>
      </c>
      <c r="G2" t="s">
        <v>874</v>
      </c>
      <c r="H2">
        <v>0</v>
      </c>
      <c r="I2">
        <v>27.86</v>
      </c>
      <c r="J2" s="50">
        <v>-9031.26</v>
      </c>
    </row>
    <row r="3" spans="1:10" x14ac:dyDescent="0.25">
      <c r="A3" t="s">
        <v>872</v>
      </c>
      <c r="B3" t="s">
        <v>873</v>
      </c>
      <c r="C3" t="s">
        <v>432</v>
      </c>
      <c r="D3" s="49">
        <v>46056.20833333333</v>
      </c>
      <c r="E3" t="s">
        <v>433</v>
      </c>
      <c r="F3" t="s">
        <v>638</v>
      </c>
      <c r="G3" t="s">
        <v>874</v>
      </c>
      <c r="H3">
        <v>0</v>
      </c>
      <c r="I3">
        <v>388.38</v>
      </c>
      <c r="J3" s="50">
        <v>-9419.64</v>
      </c>
    </row>
    <row r="4" spans="1:10" x14ac:dyDescent="0.25">
      <c r="A4" t="s">
        <v>872</v>
      </c>
      <c r="B4" t="s">
        <v>873</v>
      </c>
      <c r="C4" t="s">
        <v>432</v>
      </c>
      <c r="D4" s="49">
        <v>46057.20833333333</v>
      </c>
      <c r="E4" t="s">
        <v>433</v>
      </c>
      <c r="F4" t="s">
        <v>669</v>
      </c>
      <c r="G4" t="s">
        <v>874</v>
      </c>
      <c r="H4">
        <v>0</v>
      </c>
      <c r="I4" s="50">
        <v>3130.2</v>
      </c>
      <c r="J4" s="50">
        <v>-12549.84</v>
      </c>
    </row>
    <row r="5" spans="1:10" x14ac:dyDescent="0.25">
      <c r="A5" t="s">
        <v>872</v>
      </c>
      <c r="B5" t="s">
        <v>873</v>
      </c>
      <c r="C5" t="s">
        <v>432</v>
      </c>
      <c r="D5" s="49">
        <v>46057.20833333333</v>
      </c>
      <c r="E5" t="s">
        <v>433</v>
      </c>
      <c r="F5" t="s">
        <v>669</v>
      </c>
      <c r="G5" t="s">
        <v>875</v>
      </c>
      <c r="H5">
        <v>0</v>
      </c>
      <c r="I5">
        <v>33.99</v>
      </c>
      <c r="J5" s="50">
        <v>-12583.83</v>
      </c>
    </row>
    <row r="6" spans="1:10" x14ac:dyDescent="0.25">
      <c r="A6" t="s">
        <v>872</v>
      </c>
      <c r="B6" t="s">
        <v>873</v>
      </c>
      <c r="C6" t="s">
        <v>432</v>
      </c>
      <c r="D6" s="49">
        <v>46059.20833333333</v>
      </c>
      <c r="E6" t="s">
        <v>433</v>
      </c>
      <c r="F6" t="s">
        <v>704</v>
      </c>
      <c r="G6" t="s">
        <v>874</v>
      </c>
      <c r="H6">
        <v>0</v>
      </c>
      <c r="I6">
        <v>697.35</v>
      </c>
      <c r="J6" s="50">
        <v>-13281.18</v>
      </c>
    </row>
    <row r="7" spans="1:10" x14ac:dyDescent="0.25">
      <c r="A7" t="s">
        <v>872</v>
      </c>
      <c r="B7" t="s">
        <v>873</v>
      </c>
      <c r="C7" t="s">
        <v>432</v>
      </c>
      <c r="D7" s="49">
        <v>46060.20833333333</v>
      </c>
      <c r="E7" t="s">
        <v>433</v>
      </c>
      <c r="F7" t="s">
        <v>714</v>
      </c>
      <c r="G7" t="s">
        <v>875</v>
      </c>
      <c r="H7">
        <v>0</v>
      </c>
      <c r="I7">
        <v>20</v>
      </c>
      <c r="J7" s="50">
        <v>-13301.18</v>
      </c>
    </row>
    <row r="8" spans="1:10" x14ac:dyDescent="0.25">
      <c r="A8" t="s">
        <v>872</v>
      </c>
      <c r="B8" t="s">
        <v>873</v>
      </c>
      <c r="C8" t="s">
        <v>432</v>
      </c>
      <c r="D8" s="49">
        <v>46062.20833333333</v>
      </c>
      <c r="E8" t="s">
        <v>433</v>
      </c>
      <c r="F8" t="s">
        <v>719</v>
      </c>
      <c r="G8" t="s">
        <v>874</v>
      </c>
      <c r="H8">
        <v>0</v>
      </c>
      <c r="I8">
        <v>289.66</v>
      </c>
      <c r="J8" s="50">
        <v>-13590.84</v>
      </c>
    </row>
    <row r="9" spans="1:10" x14ac:dyDescent="0.25">
      <c r="A9" t="s">
        <v>872</v>
      </c>
      <c r="B9" t="s">
        <v>873</v>
      </c>
      <c r="C9" t="s">
        <v>432</v>
      </c>
      <c r="D9" s="49">
        <v>46062.20833333333</v>
      </c>
      <c r="E9" t="s">
        <v>433</v>
      </c>
      <c r="F9" t="s">
        <v>719</v>
      </c>
      <c r="G9" t="s">
        <v>875</v>
      </c>
      <c r="H9">
        <v>0</v>
      </c>
      <c r="I9">
        <v>30.43</v>
      </c>
      <c r="J9" s="50">
        <v>-13621.27</v>
      </c>
    </row>
    <row r="10" spans="1:10" x14ac:dyDescent="0.25">
      <c r="A10" t="s">
        <v>872</v>
      </c>
      <c r="B10" t="s">
        <v>873</v>
      </c>
      <c r="C10" t="s">
        <v>432</v>
      </c>
      <c r="D10" s="49">
        <v>46063.20833333333</v>
      </c>
      <c r="E10" t="s">
        <v>433</v>
      </c>
      <c r="F10" t="s">
        <v>732</v>
      </c>
      <c r="G10" t="s">
        <v>874</v>
      </c>
      <c r="H10">
        <v>0</v>
      </c>
      <c r="I10">
        <v>119.61</v>
      </c>
      <c r="J10" s="50">
        <v>-13740.88</v>
      </c>
    </row>
    <row r="11" spans="1:10" x14ac:dyDescent="0.25">
      <c r="A11" t="s">
        <v>872</v>
      </c>
      <c r="B11" t="s">
        <v>873</v>
      </c>
      <c r="C11" t="s">
        <v>432</v>
      </c>
      <c r="D11" s="49">
        <v>46064.20833333333</v>
      </c>
      <c r="E11" t="s">
        <v>433</v>
      </c>
      <c r="F11" t="s">
        <v>741</v>
      </c>
      <c r="G11" t="s">
        <v>874</v>
      </c>
      <c r="H11">
        <v>0</v>
      </c>
      <c r="I11">
        <v>6.09</v>
      </c>
      <c r="J11" s="50">
        <v>-13746.97</v>
      </c>
    </row>
    <row r="12" spans="1:10" x14ac:dyDescent="0.25">
      <c r="A12" t="s">
        <v>872</v>
      </c>
      <c r="B12" t="s">
        <v>873</v>
      </c>
      <c r="C12" t="s">
        <v>432</v>
      </c>
      <c r="D12" s="49">
        <v>46065.20833333333</v>
      </c>
      <c r="E12" t="s">
        <v>433</v>
      </c>
      <c r="F12" t="s">
        <v>746</v>
      </c>
      <c r="G12" t="s">
        <v>874</v>
      </c>
      <c r="H12">
        <v>0</v>
      </c>
      <c r="I12">
        <v>272.36</v>
      </c>
      <c r="J12" s="50">
        <v>-14019.33</v>
      </c>
    </row>
    <row r="13" spans="1:10" x14ac:dyDescent="0.25">
      <c r="A13" t="s">
        <v>872</v>
      </c>
      <c r="B13" t="s">
        <v>873</v>
      </c>
      <c r="C13" t="s">
        <v>432</v>
      </c>
      <c r="D13" s="49">
        <v>46067.20833333333</v>
      </c>
      <c r="E13" t="s">
        <v>433</v>
      </c>
      <c r="F13" t="s">
        <v>757</v>
      </c>
      <c r="G13" t="s">
        <v>874</v>
      </c>
      <c r="H13">
        <v>0</v>
      </c>
      <c r="I13">
        <v>144.74</v>
      </c>
      <c r="J13" s="50">
        <v>-14164.07</v>
      </c>
    </row>
    <row r="14" spans="1:10" x14ac:dyDescent="0.25">
      <c r="A14" t="s">
        <v>872</v>
      </c>
      <c r="B14" t="s">
        <v>873</v>
      </c>
      <c r="C14" t="s">
        <v>432</v>
      </c>
      <c r="D14" s="49">
        <v>46071.20833333333</v>
      </c>
      <c r="E14" t="s">
        <v>433</v>
      </c>
      <c r="F14" t="s">
        <v>768</v>
      </c>
      <c r="G14" t="s">
        <v>874</v>
      </c>
      <c r="H14">
        <v>0</v>
      </c>
      <c r="I14">
        <v>80.58</v>
      </c>
      <c r="J14" s="50">
        <v>-14244.65</v>
      </c>
    </row>
    <row r="15" spans="1:10" x14ac:dyDescent="0.25">
      <c r="A15" t="s">
        <v>872</v>
      </c>
      <c r="B15" t="s">
        <v>873</v>
      </c>
      <c r="C15" t="s">
        <v>432</v>
      </c>
      <c r="D15" s="49">
        <v>46071.20833333333</v>
      </c>
      <c r="E15" t="s">
        <v>433</v>
      </c>
      <c r="F15" t="s">
        <v>768</v>
      </c>
      <c r="G15" t="s">
        <v>875</v>
      </c>
      <c r="H15">
        <v>0</v>
      </c>
      <c r="I15" s="50">
        <v>1176.95</v>
      </c>
      <c r="J15" s="50">
        <v>-15421.6</v>
      </c>
    </row>
    <row r="16" spans="1:10" x14ac:dyDescent="0.25">
      <c r="A16" t="s">
        <v>872</v>
      </c>
      <c r="B16" t="s">
        <v>873</v>
      </c>
      <c r="C16" t="s">
        <v>432</v>
      </c>
      <c r="D16" s="49">
        <v>46074.20833333333</v>
      </c>
      <c r="E16" t="s">
        <v>433</v>
      </c>
      <c r="F16" t="s">
        <v>788</v>
      </c>
      <c r="G16" t="s">
        <v>874</v>
      </c>
      <c r="H16">
        <v>0</v>
      </c>
      <c r="I16">
        <v>260</v>
      </c>
      <c r="J16" s="50">
        <v>-15681.6</v>
      </c>
    </row>
    <row r="17" spans="1:10" x14ac:dyDescent="0.25">
      <c r="A17" t="s">
        <v>872</v>
      </c>
      <c r="B17" t="s">
        <v>873</v>
      </c>
      <c r="C17" t="s">
        <v>432</v>
      </c>
      <c r="D17" s="49">
        <v>46076.20833333333</v>
      </c>
      <c r="E17" t="s">
        <v>433</v>
      </c>
      <c r="F17" t="s">
        <v>794</v>
      </c>
      <c r="G17" t="s">
        <v>874</v>
      </c>
      <c r="H17">
        <v>0</v>
      </c>
      <c r="I17">
        <v>94.58</v>
      </c>
      <c r="J17" s="50">
        <v>-15776.18</v>
      </c>
    </row>
    <row r="18" spans="1:10" x14ac:dyDescent="0.25">
      <c r="A18" t="s">
        <v>872</v>
      </c>
      <c r="B18" t="s">
        <v>873</v>
      </c>
      <c r="C18" t="s">
        <v>432</v>
      </c>
      <c r="D18" s="49">
        <v>46077.20833333333</v>
      </c>
      <c r="E18" t="s">
        <v>433</v>
      </c>
      <c r="F18" t="s">
        <v>798</v>
      </c>
      <c r="G18" t="s">
        <v>874</v>
      </c>
      <c r="H18">
        <v>0</v>
      </c>
      <c r="I18">
        <v>164.94</v>
      </c>
      <c r="J18" s="50">
        <v>-15941.12</v>
      </c>
    </row>
    <row r="19" spans="1:10" x14ac:dyDescent="0.25">
      <c r="A19" t="s">
        <v>872</v>
      </c>
      <c r="B19" t="s">
        <v>873</v>
      </c>
      <c r="C19" t="s">
        <v>432</v>
      </c>
      <c r="D19" s="49">
        <v>46078.20833333333</v>
      </c>
      <c r="E19" t="s">
        <v>433</v>
      </c>
      <c r="F19" t="s">
        <v>803</v>
      </c>
      <c r="G19" t="s">
        <v>874</v>
      </c>
      <c r="H19">
        <v>0</v>
      </c>
      <c r="I19">
        <v>144.53</v>
      </c>
      <c r="J19" s="50">
        <v>-16085.65</v>
      </c>
    </row>
    <row r="20" spans="1:10" x14ac:dyDescent="0.25">
      <c r="A20" t="s">
        <v>872</v>
      </c>
      <c r="B20" t="s">
        <v>873</v>
      </c>
      <c r="C20" t="s">
        <v>432</v>
      </c>
      <c r="D20" s="49">
        <v>46079.20833333333</v>
      </c>
      <c r="E20" t="s">
        <v>433</v>
      </c>
      <c r="F20" t="s">
        <v>808</v>
      </c>
      <c r="G20" t="s">
        <v>874</v>
      </c>
      <c r="H20">
        <v>0</v>
      </c>
      <c r="I20">
        <v>212.01</v>
      </c>
      <c r="J20" s="50">
        <v>-16297.66</v>
      </c>
    </row>
    <row r="21" spans="1:10" x14ac:dyDescent="0.25">
      <c r="A21" t="s">
        <v>872</v>
      </c>
      <c r="B21" t="s">
        <v>873</v>
      </c>
      <c r="C21" t="s">
        <v>432</v>
      </c>
      <c r="D21" s="49">
        <v>46081.20833333333</v>
      </c>
      <c r="E21" t="s">
        <v>433</v>
      </c>
      <c r="F21" t="s">
        <v>820</v>
      </c>
      <c r="G21" t="s">
        <v>874</v>
      </c>
      <c r="H21">
        <v>0</v>
      </c>
      <c r="I21">
        <v>57.95</v>
      </c>
      <c r="J21" s="50">
        <v>-16355.61</v>
      </c>
    </row>
    <row r="22" spans="1:10" x14ac:dyDescent="0.25">
      <c r="A22" t="s">
        <v>876</v>
      </c>
      <c r="B22" t="s">
        <v>877</v>
      </c>
      <c r="C22" t="s">
        <v>432</v>
      </c>
      <c r="D22" s="49">
        <v>46055.20833333333</v>
      </c>
      <c r="E22" t="s">
        <v>433</v>
      </c>
      <c r="F22" t="s">
        <v>632</v>
      </c>
      <c r="G22" t="s">
        <v>875</v>
      </c>
      <c r="H22">
        <v>0</v>
      </c>
      <c r="I22">
        <v>873.63</v>
      </c>
      <c r="J22" s="50">
        <v>-2258.59</v>
      </c>
    </row>
    <row r="23" spans="1:10" x14ac:dyDescent="0.25">
      <c r="A23" t="s">
        <v>876</v>
      </c>
      <c r="B23" t="s">
        <v>877</v>
      </c>
      <c r="C23" t="s">
        <v>432</v>
      </c>
      <c r="D23" s="49">
        <v>46056.20833333333</v>
      </c>
      <c r="E23" t="s">
        <v>433</v>
      </c>
      <c r="F23" t="s">
        <v>638</v>
      </c>
      <c r="G23" t="s">
        <v>875</v>
      </c>
      <c r="H23">
        <v>0</v>
      </c>
      <c r="I23">
        <v>250</v>
      </c>
      <c r="J23" s="50">
        <v>-2508.59</v>
      </c>
    </row>
    <row r="24" spans="1:10" x14ac:dyDescent="0.25">
      <c r="A24" t="s">
        <v>876</v>
      </c>
      <c r="B24" t="s">
        <v>877</v>
      </c>
      <c r="C24" t="s">
        <v>432</v>
      </c>
      <c r="D24" s="49">
        <v>46057.20833333333</v>
      </c>
      <c r="E24" t="s">
        <v>433</v>
      </c>
      <c r="F24" t="s">
        <v>669</v>
      </c>
      <c r="G24" t="s">
        <v>875</v>
      </c>
      <c r="H24">
        <v>0</v>
      </c>
      <c r="I24">
        <v>243.48</v>
      </c>
      <c r="J24" s="50">
        <v>-2752.07</v>
      </c>
    </row>
    <row r="25" spans="1:10" x14ac:dyDescent="0.25">
      <c r="A25" t="s">
        <v>876</v>
      </c>
      <c r="B25" t="s">
        <v>877</v>
      </c>
      <c r="C25" t="s">
        <v>432</v>
      </c>
      <c r="D25" s="49">
        <v>46064.20833333333</v>
      </c>
      <c r="E25" t="s">
        <v>433</v>
      </c>
      <c r="F25" t="s">
        <v>741</v>
      </c>
      <c r="G25" t="s">
        <v>875</v>
      </c>
      <c r="H25">
        <v>0</v>
      </c>
      <c r="I25">
        <v>873.63</v>
      </c>
      <c r="J25" s="50">
        <v>-3625.7</v>
      </c>
    </row>
    <row r="26" spans="1:10" x14ac:dyDescent="0.25">
      <c r="A26" t="s">
        <v>876</v>
      </c>
      <c r="B26" t="s">
        <v>877</v>
      </c>
      <c r="C26" t="s">
        <v>432</v>
      </c>
      <c r="D26" s="49">
        <v>46072.20833333333</v>
      </c>
      <c r="E26" t="s">
        <v>433</v>
      </c>
      <c r="F26" t="s">
        <v>845</v>
      </c>
      <c r="G26" t="s">
        <v>874</v>
      </c>
      <c r="H26">
        <v>0</v>
      </c>
      <c r="I26" s="50">
        <v>2387.75</v>
      </c>
      <c r="J26" s="50">
        <v>-6013.45</v>
      </c>
    </row>
    <row r="27" spans="1:10" x14ac:dyDescent="0.25">
      <c r="A27" t="s">
        <v>876</v>
      </c>
      <c r="B27" t="s">
        <v>877</v>
      </c>
      <c r="C27" t="s">
        <v>432</v>
      </c>
      <c r="D27" s="49">
        <v>46077.20833333333</v>
      </c>
      <c r="E27" t="s">
        <v>433</v>
      </c>
      <c r="F27" t="s">
        <v>798</v>
      </c>
      <c r="G27" t="s">
        <v>874</v>
      </c>
      <c r="H27">
        <v>0</v>
      </c>
      <c r="I27">
        <v>181.11</v>
      </c>
      <c r="J27" s="50">
        <v>-6194.56</v>
      </c>
    </row>
    <row r="28" spans="1:10" x14ac:dyDescent="0.25">
      <c r="A28" t="s">
        <v>876</v>
      </c>
      <c r="B28" t="s">
        <v>877</v>
      </c>
      <c r="C28" t="s">
        <v>432</v>
      </c>
      <c r="D28" s="49">
        <v>46077.20833333333</v>
      </c>
      <c r="E28" t="s">
        <v>433</v>
      </c>
      <c r="F28" t="s">
        <v>798</v>
      </c>
      <c r="G28" t="s">
        <v>875</v>
      </c>
      <c r="H28">
        <v>0</v>
      </c>
      <c r="I28">
        <v>39.13</v>
      </c>
      <c r="J28" s="50">
        <v>-6233.69</v>
      </c>
    </row>
    <row r="29" spans="1:10" x14ac:dyDescent="0.25">
      <c r="A29" t="s">
        <v>876</v>
      </c>
      <c r="B29" t="s">
        <v>877</v>
      </c>
      <c r="C29" t="s">
        <v>432</v>
      </c>
      <c r="D29" s="49">
        <v>46079.20833333333</v>
      </c>
      <c r="E29" t="s">
        <v>433</v>
      </c>
      <c r="F29" t="s">
        <v>808</v>
      </c>
      <c r="G29" t="s">
        <v>874</v>
      </c>
      <c r="H29">
        <v>0</v>
      </c>
      <c r="I29">
        <v>148.36</v>
      </c>
      <c r="J29" s="50">
        <v>-6382.05</v>
      </c>
    </row>
    <row r="30" spans="1:10" x14ac:dyDescent="0.25">
      <c r="A30" t="s">
        <v>876</v>
      </c>
      <c r="B30" t="s">
        <v>877</v>
      </c>
      <c r="C30" t="s">
        <v>432</v>
      </c>
      <c r="D30" s="49">
        <v>46080.20833333333</v>
      </c>
      <c r="E30" t="s">
        <v>433</v>
      </c>
      <c r="F30" t="s">
        <v>858</v>
      </c>
      <c r="G30" t="s">
        <v>874</v>
      </c>
      <c r="H30">
        <v>0</v>
      </c>
      <c r="I30">
        <v>25.65</v>
      </c>
      <c r="J30" s="50">
        <v>-6407.7</v>
      </c>
    </row>
    <row r="31" spans="4:10" x14ac:dyDescent="0.25">
      <c r="D31" s="49"/>
      <c r="H31">
        <f>SUM(H2:H30)</f>
        <v>0</v>
      </c>
      <c r="I31" s="51">
        <f>SUM(I2:I30)</f>
        <v>12374.95</v>
      </c>
      <c r="J31" s="50"/>
    </row>
    <row r="32" spans="4:10" x14ac:dyDescent="0.25">
      <c r="D32" s="49"/>
      <c r="J32" s="50"/>
    </row>
    <row r="33" spans="4:10" x14ac:dyDescent="0.25">
      <c r="D33" s="49"/>
      <c r="J33" s="50"/>
    </row>
    <row r="34" spans="1:10" x14ac:dyDescent="0.25">
      <c r="A34" t="s">
        <v>878</v>
      </c>
      <c r="B34" t="s">
        <v>879</v>
      </c>
      <c r="C34" t="s">
        <v>432</v>
      </c>
      <c r="D34" s="49">
        <v>46056.20833333333</v>
      </c>
      <c r="E34" t="s">
        <v>433</v>
      </c>
      <c r="F34" t="s">
        <v>638</v>
      </c>
      <c r="G34" t="s">
        <v>874</v>
      </c>
      <c r="H34">
        <v>11.49</v>
      </c>
      <c r="I34">
        <v>0</v>
      </c>
      <c r="J34">
        <v>495.7</v>
      </c>
    </row>
    <row r="35" spans="1:10" x14ac:dyDescent="0.25">
      <c r="A35" t="s">
        <v>878</v>
      </c>
      <c r="B35" t="s">
        <v>879</v>
      </c>
      <c r="C35" t="s">
        <v>432</v>
      </c>
      <c r="D35" s="49">
        <v>46057.20833333333</v>
      </c>
      <c r="E35" t="s">
        <v>433</v>
      </c>
      <c r="F35" t="s">
        <v>669</v>
      </c>
      <c r="G35" t="s">
        <v>874</v>
      </c>
      <c r="H35">
        <v>278.21</v>
      </c>
      <c r="I35">
        <v>0</v>
      </c>
      <c r="J35">
        <v>773.91</v>
      </c>
    </row>
    <row r="36" spans="1:10" x14ac:dyDescent="0.25">
      <c r="A36" t="s">
        <v>878</v>
      </c>
      <c r="B36" t="s">
        <v>879</v>
      </c>
      <c r="C36" t="s">
        <v>432</v>
      </c>
      <c r="D36" s="49">
        <v>46062.20833333333</v>
      </c>
      <c r="E36" t="s">
        <v>433</v>
      </c>
      <c r="F36" t="s">
        <v>719</v>
      </c>
      <c r="G36" t="s">
        <v>874</v>
      </c>
      <c r="H36">
        <v>13.16</v>
      </c>
      <c r="I36">
        <v>0</v>
      </c>
      <c r="J36">
        <v>787.07</v>
      </c>
    </row>
    <row r="37" spans="1:10" x14ac:dyDescent="0.25">
      <c r="A37" t="s">
        <v>878</v>
      </c>
      <c r="B37" t="s">
        <v>879</v>
      </c>
      <c r="C37" t="s">
        <v>432</v>
      </c>
      <c r="D37" s="49">
        <v>46063.20833333333</v>
      </c>
      <c r="E37" t="s">
        <v>433</v>
      </c>
      <c r="F37" t="s">
        <v>732</v>
      </c>
      <c r="G37" t="s">
        <v>874</v>
      </c>
      <c r="H37">
        <v>7.84</v>
      </c>
      <c r="I37">
        <v>0</v>
      </c>
      <c r="J37">
        <v>794.91</v>
      </c>
    </row>
    <row r="38" spans="1:10" x14ac:dyDescent="0.25">
      <c r="A38" t="s">
        <v>878</v>
      </c>
      <c r="B38" t="s">
        <v>879</v>
      </c>
      <c r="C38" t="s">
        <v>432</v>
      </c>
      <c r="D38" s="49">
        <v>46065.20833333333</v>
      </c>
      <c r="E38" t="s">
        <v>433</v>
      </c>
      <c r="F38" t="s">
        <v>746</v>
      </c>
      <c r="G38" t="s">
        <v>874</v>
      </c>
      <c r="H38">
        <v>2.86</v>
      </c>
      <c r="I38">
        <v>0</v>
      </c>
      <c r="J38">
        <v>797.77</v>
      </c>
    </row>
    <row r="39" spans="1:10" x14ac:dyDescent="0.25">
      <c r="A39" t="s">
        <v>878</v>
      </c>
      <c r="B39" t="s">
        <v>879</v>
      </c>
      <c r="C39" t="s">
        <v>432</v>
      </c>
      <c r="D39" s="49">
        <v>46066.20833333333</v>
      </c>
      <c r="E39" t="s">
        <v>433</v>
      </c>
      <c r="F39" t="s">
        <v>871</v>
      </c>
      <c r="G39" t="s">
        <v>874</v>
      </c>
      <c r="H39">
        <v>0</v>
      </c>
      <c r="I39">
        <v>13.16</v>
      </c>
      <c r="J39">
        <v>784.61</v>
      </c>
    </row>
    <row r="40" spans="1:10" x14ac:dyDescent="0.25">
      <c r="A40" t="s">
        <v>878</v>
      </c>
      <c r="B40" t="s">
        <v>879</v>
      </c>
      <c r="C40" t="s">
        <v>432</v>
      </c>
      <c r="D40" s="49">
        <v>46067.20833333333</v>
      </c>
      <c r="E40" t="s">
        <v>433</v>
      </c>
      <c r="F40" t="s">
        <v>757</v>
      </c>
      <c r="G40" t="s">
        <v>874</v>
      </c>
      <c r="H40">
        <v>12.94</v>
      </c>
      <c r="I40">
        <v>0</v>
      </c>
      <c r="J40">
        <v>797.55</v>
      </c>
    </row>
    <row r="41" spans="1:10" x14ac:dyDescent="0.25">
      <c r="A41" t="s">
        <v>878</v>
      </c>
      <c r="B41" t="s">
        <v>879</v>
      </c>
      <c r="C41" t="s">
        <v>432</v>
      </c>
      <c r="D41" s="49">
        <v>46071.20833333333</v>
      </c>
      <c r="E41" t="s">
        <v>433</v>
      </c>
      <c r="F41" t="s">
        <v>768</v>
      </c>
      <c r="G41" t="s">
        <v>874</v>
      </c>
      <c r="H41">
        <v>2.17</v>
      </c>
      <c r="I41">
        <v>0</v>
      </c>
      <c r="J41">
        <v>799.72</v>
      </c>
    </row>
    <row r="42" spans="1:10" x14ac:dyDescent="0.25">
      <c r="A42" t="s">
        <v>878</v>
      </c>
      <c r="B42" t="s">
        <v>879</v>
      </c>
      <c r="C42" t="s">
        <v>432</v>
      </c>
      <c r="D42" s="49">
        <v>46071.20833333333</v>
      </c>
      <c r="E42" t="s">
        <v>433</v>
      </c>
      <c r="F42" t="s">
        <v>768</v>
      </c>
      <c r="G42" t="s">
        <v>875</v>
      </c>
      <c r="H42">
        <v>43.01</v>
      </c>
      <c r="I42">
        <v>0</v>
      </c>
      <c r="J42">
        <v>842.73</v>
      </c>
    </row>
    <row r="43" spans="1:10" x14ac:dyDescent="0.25">
      <c r="A43" t="s">
        <v>878</v>
      </c>
      <c r="B43" t="s">
        <v>879</v>
      </c>
      <c r="C43" t="s">
        <v>432</v>
      </c>
      <c r="D43" s="49">
        <v>46074.20833333333</v>
      </c>
      <c r="E43" t="s">
        <v>433</v>
      </c>
      <c r="F43" t="s">
        <v>788</v>
      </c>
      <c r="G43" t="s">
        <v>874</v>
      </c>
      <c r="H43">
        <v>13</v>
      </c>
      <c r="I43">
        <v>0</v>
      </c>
      <c r="J43">
        <v>855.73</v>
      </c>
    </row>
    <row r="44" spans="1:10" x14ac:dyDescent="0.25">
      <c r="A44" t="s">
        <v>878</v>
      </c>
      <c r="B44" t="s">
        <v>879</v>
      </c>
      <c r="C44" t="s">
        <v>432</v>
      </c>
      <c r="D44" s="49">
        <v>46077.20833333333</v>
      </c>
      <c r="E44" t="s">
        <v>433</v>
      </c>
      <c r="F44" t="s">
        <v>798</v>
      </c>
      <c r="G44" t="s">
        <v>874</v>
      </c>
      <c r="H44">
        <v>16.49</v>
      </c>
      <c r="I44">
        <v>0</v>
      </c>
      <c r="J44">
        <v>872.22</v>
      </c>
    </row>
    <row r="45" spans="1:10" x14ac:dyDescent="0.25">
      <c r="A45" t="s">
        <v>880</v>
      </c>
      <c r="B45" t="s">
        <v>881</v>
      </c>
      <c r="C45" t="s">
        <v>432</v>
      </c>
      <c r="D45" s="49">
        <v>46055.20833333333</v>
      </c>
      <c r="E45" t="s">
        <v>433</v>
      </c>
      <c r="F45" t="s">
        <v>632</v>
      </c>
      <c r="G45" t="s">
        <v>875</v>
      </c>
      <c r="H45">
        <v>129.58</v>
      </c>
      <c r="I45">
        <v>0</v>
      </c>
      <c r="J45">
        <v>184.91</v>
      </c>
    </row>
    <row r="46" spans="1:10" x14ac:dyDescent="0.25">
      <c r="A46" t="s">
        <v>880</v>
      </c>
      <c r="B46" t="s">
        <v>881</v>
      </c>
      <c r="C46" t="s">
        <v>432</v>
      </c>
      <c r="D46" s="49">
        <v>46064.20833333333</v>
      </c>
      <c r="E46" t="s">
        <v>433</v>
      </c>
      <c r="F46" t="s">
        <v>741</v>
      </c>
      <c r="G46" t="s">
        <v>875</v>
      </c>
      <c r="H46">
        <v>0</v>
      </c>
      <c r="I46">
        <v>129.58</v>
      </c>
      <c r="J46">
        <v>55.33</v>
      </c>
    </row>
    <row r="47" spans="1:10" x14ac:dyDescent="0.25">
      <c r="A47" t="s">
        <v>880</v>
      </c>
      <c r="B47" t="s">
        <v>881</v>
      </c>
      <c r="C47" t="s">
        <v>432</v>
      </c>
      <c r="D47" s="49">
        <v>46064.20833333333</v>
      </c>
      <c r="E47" t="s">
        <v>433</v>
      </c>
      <c r="F47" t="s">
        <v>741</v>
      </c>
      <c r="G47" t="s">
        <v>875</v>
      </c>
      <c r="H47">
        <v>129.58</v>
      </c>
      <c r="I47">
        <v>0</v>
      </c>
      <c r="J47">
        <v>184.91</v>
      </c>
    </row>
    <row r="48" spans="1:10" x14ac:dyDescent="0.25">
      <c r="A48" t="s">
        <v>880</v>
      </c>
      <c r="B48" t="s">
        <v>881</v>
      </c>
      <c r="C48" t="s">
        <v>432</v>
      </c>
      <c r="D48" s="49">
        <v>46072.20833333333</v>
      </c>
      <c r="E48" t="s">
        <v>433</v>
      </c>
      <c r="F48" t="s">
        <v>845</v>
      </c>
      <c r="G48" t="s">
        <v>874</v>
      </c>
      <c r="H48">
        <v>238.78</v>
      </c>
      <c r="I48">
        <v>0</v>
      </c>
      <c r="J48">
        <v>423.69</v>
      </c>
    </row>
    <row r="49" spans="1:10" x14ac:dyDescent="0.25">
      <c r="A49" t="s">
        <v>880</v>
      </c>
      <c r="B49" t="s">
        <v>881</v>
      </c>
      <c r="C49" t="s">
        <v>432</v>
      </c>
      <c r="D49" s="49">
        <v>46077.20833333333</v>
      </c>
      <c r="E49" t="s">
        <v>433</v>
      </c>
      <c r="F49" t="s">
        <v>798</v>
      </c>
      <c r="G49" t="s">
        <v>874</v>
      </c>
      <c r="H49">
        <v>9.06</v>
      </c>
      <c r="I49">
        <v>0</v>
      </c>
      <c r="J49">
        <v>432.75</v>
      </c>
    </row>
    <row r="50" spans="4:9" x14ac:dyDescent="0.25">
      <c r="D50" s="49"/>
      <c r="H50" s="51">
        <f>SUM(H34:H49)</f>
        <v>908.17</v>
      </c>
      <c r="I50" s="51">
        <f>SUM(I34:I49)</f>
        <v>142.74</v>
      </c>
    </row>
    <row r="51" spans="4:4" x14ac:dyDescent="0.25">
      <c r="D51" s="49"/>
    </row>
    <row r="52" spans="4:4" x14ac:dyDescent="0.25">
      <c r="D52" s="49"/>
    </row>
    <row r="53" spans="1:10" x14ac:dyDescent="0.25">
      <c r="A53" t="s">
        <v>882</v>
      </c>
      <c r="B53" t="s">
        <v>883</v>
      </c>
      <c r="C53" t="s">
        <v>432</v>
      </c>
      <c r="D53" s="49">
        <v>46066.20833333333</v>
      </c>
      <c r="E53" t="s">
        <v>433</v>
      </c>
      <c r="F53" t="s">
        <v>871</v>
      </c>
      <c r="G53" t="s">
        <v>874</v>
      </c>
      <c r="H53">
        <v>263.14</v>
      </c>
      <c r="I53">
        <v>0</v>
      </c>
      <c r="J53">
        <v>263.14</v>
      </c>
    </row>
    <row r="54" spans="1:10" x14ac:dyDescent="0.25">
      <c r="A54" t="s">
        <v>884</v>
      </c>
      <c r="B54" t="s">
        <v>885</v>
      </c>
      <c r="C54" t="s">
        <v>432</v>
      </c>
      <c r="D54" s="49">
        <v>46064.20833333333</v>
      </c>
      <c r="E54" t="s">
        <v>433</v>
      </c>
      <c r="F54" t="s">
        <v>741</v>
      </c>
      <c r="G54" t="s">
        <v>875</v>
      </c>
      <c r="H54">
        <v>873.63</v>
      </c>
      <c r="I54">
        <v>0</v>
      </c>
      <c r="J54">
        <v>962.63</v>
      </c>
    </row>
    <row r="55" spans="8:9" x14ac:dyDescent="0.25">
      <c r="H55" s="51">
        <f>SUM(H53:H54)</f>
        <v>1136.77</v>
      </c>
      <c r="I55">
        <f>SUM(I53:I54)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0"/>
  <sheetViews>
    <sheetView workbookViewId="0" zoomScale="100" zoomScaleNormal="100">
      <selection activeCell="G299" sqref="G299"/>
    </sheetView>
  </sheetViews>
  <sheetFormatPr defaultRowHeight="15" outlineLevelRow="0" outlineLevelCol="0" x14ac:dyDescent="0.25"/>
  <cols>
    <col min="1" max="1" width="15.28515625" style="31" customWidth="1"/>
    <col min="2" max="2" width="11.42578125" style="31" customWidth="1"/>
    <col min="3" max="3" width="7" style="31" customWidth="1"/>
    <col min="4" max="5" width="11.42578125" style="31" customWidth="1"/>
    <col min="6" max="6" width="7.28515625" style="31" customWidth="1"/>
    <col min="7" max="7" width="43.85546875" style="31" customWidth="1"/>
    <col min="8" max="16384" width="11.42578125" style="31" customWidth="1"/>
  </cols>
  <sheetData>
    <row r="1" spans="1:10" x14ac:dyDescent="0.25">
      <c r="A1" s="31" t="s">
        <v>423</v>
      </c>
      <c r="B1" s="31" t="s">
        <v>424</v>
      </c>
      <c r="C1" s="31" t="s">
        <v>425</v>
      </c>
      <c r="D1" s="31" t="s">
        <v>16</v>
      </c>
      <c r="E1" s="31" t="s">
        <v>426</v>
      </c>
      <c r="F1" s="31" t="s">
        <v>427</v>
      </c>
      <c r="G1" s="31" t="s">
        <v>428</v>
      </c>
      <c r="H1" s="31" t="s">
        <v>429</v>
      </c>
      <c r="I1" s="31" t="s">
        <v>336</v>
      </c>
      <c r="J1" s="31" t="s">
        <v>38</v>
      </c>
    </row>
    <row r="2" hidden="1" spans="1:10" x14ac:dyDescent="0.25">
      <c r="A2" s="31" t="s">
        <v>886</v>
      </c>
      <c r="B2" s="31" t="s">
        <v>887</v>
      </c>
      <c r="C2" s="31" t="s">
        <v>432</v>
      </c>
      <c r="D2" s="49">
        <v>46062</v>
      </c>
      <c r="E2" s="31" t="s">
        <v>888</v>
      </c>
      <c r="F2" s="31">
        <v>117</v>
      </c>
      <c r="G2" s="31" t="s">
        <v>889</v>
      </c>
      <c r="H2" s="31">
        <v>240.64</v>
      </c>
      <c r="I2" s="31">
        <v>0</v>
      </c>
      <c r="J2" s="31">
        <v>240.64</v>
      </c>
    </row>
    <row r="3" hidden="1" spans="1:10" x14ac:dyDescent="0.25">
      <c r="A3" s="31" t="s">
        <v>886</v>
      </c>
      <c r="B3" s="31" t="s">
        <v>887</v>
      </c>
      <c r="C3" s="31" t="s">
        <v>432</v>
      </c>
      <c r="D3" s="49">
        <v>46063</v>
      </c>
      <c r="E3" s="31" t="s">
        <v>888</v>
      </c>
      <c r="F3" s="31">
        <v>134</v>
      </c>
      <c r="G3" s="31" t="s">
        <v>890</v>
      </c>
      <c r="H3" s="31">
        <v>40.8</v>
      </c>
      <c r="I3" s="31">
        <v>0</v>
      </c>
      <c r="J3" s="31">
        <v>281.44</v>
      </c>
    </row>
    <row r="4" hidden="1" spans="1:10" x14ac:dyDescent="0.25">
      <c r="A4" s="31" t="s">
        <v>886</v>
      </c>
      <c r="B4" s="31" t="s">
        <v>887</v>
      </c>
      <c r="C4" s="31" t="s">
        <v>432</v>
      </c>
      <c r="D4" s="49">
        <v>46063</v>
      </c>
      <c r="E4" s="31" t="s">
        <v>888</v>
      </c>
      <c r="F4" s="31">
        <v>134</v>
      </c>
      <c r="G4" s="31" t="s">
        <v>891</v>
      </c>
      <c r="H4" s="31">
        <v>45.75</v>
      </c>
      <c r="I4" s="31">
        <v>0</v>
      </c>
      <c r="J4" s="31">
        <v>327.19</v>
      </c>
    </row>
    <row r="5" hidden="1" spans="1:10" x14ac:dyDescent="0.25">
      <c r="A5" s="31" t="s">
        <v>886</v>
      </c>
      <c r="B5" s="31" t="s">
        <v>887</v>
      </c>
      <c r="C5" s="31" t="s">
        <v>432</v>
      </c>
      <c r="D5" s="49">
        <v>46063</v>
      </c>
      <c r="E5" s="31" t="s">
        <v>888</v>
      </c>
      <c r="F5" s="31">
        <v>134</v>
      </c>
      <c r="G5" s="31" t="s">
        <v>892</v>
      </c>
      <c r="H5" s="31">
        <v>135</v>
      </c>
      <c r="I5" s="31">
        <v>0</v>
      </c>
      <c r="J5" s="31">
        <v>462.19</v>
      </c>
    </row>
    <row r="6" hidden="1" spans="1:10" x14ac:dyDescent="0.25">
      <c r="A6" s="31" t="s">
        <v>886</v>
      </c>
      <c r="B6" s="31" t="s">
        <v>887</v>
      </c>
      <c r="C6" s="31" t="s">
        <v>432</v>
      </c>
      <c r="D6" s="49">
        <v>46064</v>
      </c>
      <c r="E6" s="31" t="s">
        <v>888</v>
      </c>
      <c r="F6" s="31">
        <v>147</v>
      </c>
      <c r="G6" s="31" t="s">
        <v>893</v>
      </c>
      <c r="H6" s="31">
        <v>171.39</v>
      </c>
      <c r="I6" s="31">
        <v>0</v>
      </c>
      <c r="J6" s="31">
        <v>633.58</v>
      </c>
    </row>
    <row r="7" hidden="1" spans="1:10" x14ac:dyDescent="0.25">
      <c r="A7" s="31" t="s">
        <v>886</v>
      </c>
      <c r="B7" s="31" t="s">
        <v>887</v>
      </c>
      <c r="C7" s="31" t="s">
        <v>432</v>
      </c>
      <c r="D7" s="49">
        <v>46064</v>
      </c>
      <c r="E7" s="31" t="s">
        <v>888</v>
      </c>
      <c r="F7" s="31">
        <v>147</v>
      </c>
      <c r="G7" s="31" t="s">
        <v>894</v>
      </c>
      <c r="H7" s="31">
        <v>108.47</v>
      </c>
      <c r="I7" s="31">
        <v>0</v>
      </c>
      <c r="J7" s="31">
        <v>742.05</v>
      </c>
    </row>
    <row r="8" hidden="1" spans="1:10" x14ac:dyDescent="0.25">
      <c r="A8" s="31" t="s">
        <v>886</v>
      </c>
      <c r="B8" s="31" t="s">
        <v>887</v>
      </c>
      <c r="C8" s="31" t="s">
        <v>432</v>
      </c>
      <c r="D8" s="49">
        <v>46064</v>
      </c>
      <c r="E8" s="31" t="s">
        <v>888</v>
      </c>
      <c r="F8" s="31">
        <v>147</v>
      </c>
      <c r="G8" s="31" t="s">
        <v>895</v>
      </c>
      <c r="H8" s="31">
        <v>7.42</v>
      </c>
      <c r="I8" s="31">
        <v>0</v>
      </c>
      <c r="J8" s="31">
        <v>749.47</v>
      </c>
    </row>
    <row r="9" hidden="1" spans="1:10" x14ac:dyDescent="0.25">
      <c r="A9" s="31" t="s">
        <v>886</v>
      </c>
      <c r="B9" s="31" t="s">
        <v>887</v>
      </c>
      <c r="C9" s="31" t="s">
        <v>432</v>
      </c>
      <c r="D9" s="49">
        <v>46064</v>
      </c>
      <c r="E9" s="31" t="s">
        <v>888</v>
      </c>
      <c r="F9" s="31">
        <v>147</v>
      </c>
      <c r="G9" s="31" t="s">
        <v>896</v>
      </c>
      <c r="H9" s="31">
        <v>50.41</v>
      </c>
      <c r="I9" s="31">
        <v>0</v>
      </c>
      <c r="J9" s="31">
        <v>799.88</v>
      </c>
    </row>
    <row r="10" hidden="1" spans="1:10" x14ac:dyDescent="0.25">
      <c r="A10" s="31" t="s">
        <v>886</v>
      </c>
      <c r="B10" s="31" t="s">
        <v>887</v>
      </c>
      <c r="C10" s="31" t="s">
        <v>432</v>
      </c>
      <c r="D10" s="49">
        <v>46065</v>
      </c>
      <c r="E10" s="31" t="s">
        <v>888</v>
      </c>
      <c r="F10" s="31">
        <v>177</v>
      </c>
      <c r="G10" s="31" t="s">
        <v>897</v>
      </c>
      <c r="H10" s="31">
        <v>28.6</v>
      </c>
      <c r="I10" s="31">
        <v>0</v>
      </c>
      <c r="J10" s="31">
        <v>828.48</v>
      </c>
    </row>
    <row r="11" hidden="1" spans="1:10" x14ac:dyDescent="0.25">
      <c r="A11" s="31" t="s">
        <v>886</v>
      </c>
      <c r="B11" s="31" t="s">
        <v>887</v>
      </c>
      <c r="C11" s="31" t="s">
        <v>432</v>
      </c>
      <c r="D11" s="49">
        <v>46065</v>
      </c>
      <c r="E11" s="31" t="s">
        <v>888</v>
      </c>
      <c r="F11" s="31">
        <v>177</v>
      </c>
      <c r="G11" s="31" t="s">
        <v>898</v>
      </c>
      <c r="H11" s="31">
        <v>270</v>
      </c>
      <c r="I11" s="31">
        <v>0</v>
      </c>
      <c r="J11" s="50">
        <v>1098.48</v>
      </c>
    </row>
    <row r="12" hidden="1" spans="1:10" x14ac:dyDescent="0.25">
      <c r="A12" s="31" t="s">
        <v>886</v>
      </c>
      <c r="B12" s="31" t="s">
        <v>887</v>
      </c>
      <c r="C12" s="31" t="s">
        <v>432</v>
      </c>
      <c r="D12" s="49">
        <v>46065</v>
      </c>
      <c r="E12" s="31" t="s">
        <v>888</v>
      </c>
      <c r="F12" s="31">
        <v>177</v>
      </c>
      <c r="G12" s="31" t="s">
        <v>899</v>
      </c>
      <c r="H12" s="31">
        <v>22.5</v>
      </c>
      <c r="I12" s="31">
        <v>0</v>
      </c>
      <c r="J12" s="50">
        <v>1120.98</v>
      </c>
    </row>
    <row r="13" hidden="1" spans="1:10" x14ac:dyDescent="0.25">
      <c r="A13" s="31" t="s">
        <v>886</v>
      </c>
      <c r="B13" s="31" t="s">
        <v>887</v>
      </c>
      <c r="C13" s="31" t="s">
        <v>432</v>
      </c>
      <c r="D13" s="49">
        <v>46071</v>
      </c>
      <c r="E13" s="31" t="s">
        <v>888</v>
      </c>
      <c r="F13" s="31">
        <v>225</v>
      </c>
      <c r="G13" s="31" t="s">
        <v>900</v>
      </c>
      <c r="H13" s="31">
        <v>68.05</v>
      </c>
      <c r="I13" s="31">
        <v>0</v>
      </c>
      <c r="J13" s="50">
        <v>1189.03</v>
      </c>
    </row>
    <row r="14" hidden="1" spans="1:10" x14ac:dyDescent="0.25">
      <c r="A14" s="31" t="s">
        <v>886</v>
      </c>
      <c r="B14" s="31" t="s">
        <v>887</v>
      </c>
      <c r="C14" s="31" t="s">
        <v>432</v>
      </c>
      <c r="D14" s="49">
        <v>46071</v>
      </c>
      <c r="E14" s="31" t="s">
        <v>888</v>
      </c>
      <c r="F14" s="31">
        <v>225</v>
      </c>
      <c r="G14" s="31" t="s">
        <v>901</v>
      </c>
      <c r="H14" s="31">
        <v>35.53</v>
      </c>
      <c r="I14" s="31">
        <v>0</v>
      </c>
      <c r="J14" s="50">
        <v>1224.56</v>
      </c>
    </row>
    <row r="15" hidden="1" spans="1:10" x14ac:dyDescent="0.25">
      <c r="A15" s="31" t="s">
        <v>886</v>
      </c>
      <c r="B15" s="31" t="s">
        <v>887</v>
      </c>
      <c r="C15" s="31" t="s">
        <v>432</v>
      </c>
      <c r="D15" s="49">
        <v>46071</v>
      </c>
      <c r="E15" s="31" t="s">
        <v>888</v>
      </c>
      <c r="F15" s="31">
        <v>225</v>
      </c>
      <c r="G15" s="31" t="s">
        <v>902</v>
      </c>
      <c r="H15" s="31">
        <v>23.07</v>
      </c>
      <c r="I15" s="31">
        <v>0</v>
      </c>
      <c r="J15" s="50">
        <v>1247.63</v>
      </c>
    </row>
    <row r="16" hidden="1" spans="1:10" x14ac:dyDescent="0.25">
      <c r="A16" s="31" t="s">
        <v>886</v>
      </c>
      <c r="B16" s="31" t="s">
        <v>887</v>
      </c>
      <c r="C16" s="31" t="s">
        <v>432</v>
      </c>
      <c r="D16" s="49">
        <v>46073</v>
      </c>
      <c r="E16" s="31" t="s">
        <v>888</v>
      </c>
      <c r="F16" s="31">
        <v>243</v>
      </c>
      <c r="G16" s="31" t="s">
        <v>903</v>
      </c>
      <c r="H16" s="31">
        <v>5.22</v>
      </c>
      <c r="I16" s="31">
        <v>0</v>
      </c>
      <c r="J16" s="50">
        <v>1252.85</v>
      </c>
    </row>
    <row r="17" hidden="1" spans="1:10" x14ac:dyDescent="0.25">
      <c r="A17" s="31" t="s">
        <v>886</v>
      </c>
      <c r="B17" s="31" t="s">
        <v>887</v>
      </c>
      <c r="C17" s="31" t="s">
        <v>432</v>
      </c>
      <c r="D17" s="49">
        <v>46074</v>
      </c>
      <c r="E17" s="31" t="s">
        <v>888</v>
      </c>
      <c r="F17" s="31">
        <v>270</v>
      </c>
      <c r="G17" s="31" t="s">
        <v>904</v>
      </c>
      <c r="H17" s="31">
        <v>9</v>
      </c>
      <c r="I17" s="31">
        <v>0</v>
      </c>
      <c r="J17" s="50">
        <v>1261.85</v>
      </c>
    </row>
    <row r="18" hidden="1" spans="1:10" x14ac:dyDescent="0.25">
      <c r="A18" s="31" t="s">
        <v>886</v>
      </c>
      <c r="B18" s="31" t="s">
        <v>887</v>
      </c>
      <c r="C18" s="31" t="s">
        <v>432</v>
      </c>
      <c r="D18" s="49">
        <v>46074</v>
      </c>
      <c r="E18" s="31" t="s">
        <v>888</v>
      </c>
      <c r="F18" s="31">
        <v>270</v>
      </c>
      <c r="G18" s="31" t="s">
        <v>905</v>
      </c>
      <c r="H18" s="31">
        <v>366</v>
      </c>
      <c r="I18" s="31">
        <v>0</v>
      </c>
      <c r="J18" s="50">
        <v>1627.85</v>
      </c>
    </row>
    <row r="19" hidden="1" spans="1:10" x14ac:dyDescent="0.25">
      <c r="A19" s="31" t="s">
        <v>886</v>
      </c>
      <c r="B19" s="31" t="s">
        <v>887</v>
      </c>
      <c r="C19" s="31" t="s">
        <v>432</v>
      </c>
      <c r="D19" s="49">
        <v>46074</v>
      </c>
      <c r="E19" s="31" t="s">
        <v>888</v>
      </c>
      <c r="F19" s="31">
        <v>270</v>
      </c>
      <c r="G19" s="31" t="s">
        <v>906</v>
      </c>
      <c r="H19" s="31">
        <v>77.15</v>
      </c>
      <c r="I19" s="31">
        <v>0</v>
      </c>
      <c r="J19" s="50">
        <v>1705</v>
      </c>
    </row>
    <row r="20" hidden="1" spans="1:10" x14ac:dyDescent="0.25">
      <c r="A20" s="31" t="s">
        <v>886</v>
      </c>
      <c r="B20" s="31" t="s">
        <v>887</v>
      </c>
      <c r="C20" s="31" t="s">
        <v>432</v>
      </c>
      <c r="D20" s="49">
        <v>46074</v>
      </c>
      <c r="E20" s="31" t="s">
        <v>888</v>
      </c>
      <c r="F20" s="31">
        <v>270</v>
      </c>
      <c r="G20" s="31" t="s">
        <v>907</v>
      </c>
      <c r="H20" s="31">
        <v>24.46</v>
      </c>
      <c r="I20" s="31">
        <v>0</v>
      </c>
      <c r="J20" s="50">
        <v>1729.46</v>
      </c>
    </row>
    <row r="21" hidden="1" spans="1:10" x14ac:dyDescent="0.25">
      <c r="A21" s="31" t="s">
        <v>886</v>
      </c>
      <c r="B21" s="31" t="s">
        <v>887</v>
      </c>
      <c r="C21" s="31" t="s">
        <v>432</v>
      </c>
      <c r="D21" s="49">
        <v>46074</v>
      </c>
      <c r="E21" s="31" t="s">
        <v>888</v>
      </c>
      <c r="F21" s="31">
        <v>270</v>
      </c>
      <c r="G21" s="31" t="s">
        <v>908</v>
      </c>
      <c r="H21" s="31">
        <v>3.65</v>
      </c>
      <c r="I21" s="31">
        <v>0</v>
      </c>
      <c r="J21" s="50">
        <v>1733.11</v>
      </c>
    </row>
    <row r="22" hidden="1" spans="1:10" x14ac:dyDescent="0.25">
      <c r="A22" s="31" t="s">
        <v>886</v>
      </c>
      <c r="B22" s="31" t="s">
        <v>887</v>
      </c>
      <c r="C22" s="31" t="s">
        <v>432</v>
      </c>
      <c r="D22" s="49">
        <v>46074</v>
      </c>
      <c r="E22" s="31" t="s">
        <v>888</v>
      </c>
      <c r="F22" s="31">
        <v>270</v>
      </c>
      <c r="G22" s="31" t="s">
        <v>909</v>
      </c>
      <c r="H22" s="31">
        <v>14.83</v>
      </c>
      <c r="I22" s="31">
        <v>0</v>
      </c>
      <c r="J22" s="50">
        <v>1747.94</v>
      </c>
    </row>
    <row r="23" hidden="1" spans="1:10" x14ac:dyDescent="0.25">
      <c r="A23" s="31" t="s">
        <v>886</v>
      </c>
      <c r="B23" s="31" t="s">
        <v>887</v>
      </c>
      <c r="C23" s="31" t="s">
        <v>432</v>
      </c>
      <c r="D23" s="49">
        <v>46074</v>
      </c>
      <c r="E23" s="31" t="s">
        <v>888</v>
      </c>
      <c r="F23" s="31">
        <v>270</v>
      </c>
      <c r="G23" s="31" t="s">
        <v>910</v>
      </c>
      <c r="H23" s="31">
        <v>14.83</v>
      </c>
      <c r="I23" s="31">
        <v>0</v>
      </c>
      <c r="J23" s="50">
        <v>1762.77</v>
      </c>
    </row>
    <row r="24" hidden="1" spans="1:10" x14ac:dyDescent="0.25">
      <c r="A24" s="31" t="s">
        <v>886</v>
      </c>
      <c r="B24" s="31" t="s">
        <v>887</v>
      </c>
      <c r="C24" s="31" t="s">
        <v>432</v>
      </c>
      <c r="D24" s="49">
        <v>46074</v>
      </c>
      <c r="E24" s="31" t="s">
        <v>888</v>
      </c>
      <c r="F24" s="31">
        <v>270</v>
      </c>
      <c r="G24" s="31" t="s">
        <v>911</v>
      </c>
      <c r="H24" s="31">
        <v>5.96</v>
      </c>
      <c r="I24" s="31">
        <v>0</v>
      </c>
      <c r="J24" s="50">
        <v>1768.73</v>
      </c>
    </row>
    <row r="25" hidden="1" spans="1:10" x14ac:dyDescent="0.25">
      <c r="A25" s="31" t="s">
        <v>886</v>
      </c>
      <c r="B25" s="31" t="s">
        <v>887</v>
      </c>
      <c r="C25" s="31" t="s">
        <v>432</v>
      </c>
      <c r="D25" s="49">
        <v>46074</v>
      </c>
      <c r="E25" s="31" t="s">
        <v>888</v>
      </c>
      <c r="F25" s="31">
        <v>270</v>
      </c>
      <c r="G25" s="31" t="s">
        <v>912</v>
      </c>
      <c r="H25" s="31">
        <v>7.28</v>
      </c>
      <c r="I25" s="31">
        <v>0</v>
      </c>
      <c r="J25" s="50">
        <v>1776.01</v>
      </c>
    </row>
    <row r="26" hidden="1" spans="1:10" x14ac:dyDescent="0.25">
      <c r="A26" s="31" t="s">
        <v>886</v>
      </c>
      <c r="B26" s="31" t="s">
        <v>887</v>
      </c>
      <c r="C26" s="31" t="s">
        <v>432</v>
      </c>
      <c r="D26" s="49">
        <v>46074</v>
      </c>
      <c r="E26" s="31" t="s">
        <v>888</v>
      </c>
      <c r="F26" s="31">
        <v>270</v>
      </c>
      <c r="G26" s="31" t="s">
        <v>913</v>
      </c>
      <c r="H26" s="31">
        <v>6.08</v>
      </c>
      <c r="I26" s="31">
        <v>0</v>
      </c>
      <c r="J26" s="50">
        <v>1782.09</v>
      </c>
    </row>
    <row r="27" hidden="1" spans="1:10" x14ac:dyDescent="0.25">
      <c r="A27" s="31" t="s">
        <v>886</v>
      </c>
      <c r="B27" s="31" t="s">
        <v>887</v>
      </c>
      <c r="C27" s="31" t="s">
        <v>432</v>
      </c>
      <c r="D27" s="49">
        <v>46074</v>
      </c>
      <c r="E27" s="31" t="s">
        <v>888</v>
      </c>
      <c r="F27" s="31">
        <v>270</v>
      </c>
      <c r="G27" s="31" t="s">
        <v>914</v>
      </c>
      <c r="H27" s="31">
        <v>6.39</v>
      </c>
      <c r="I27" s="31">
        <v>0</v>
      </c>
      <c r="J27" s="50">
        <v>1788.48</v>
      </c>
    </row>
    <row r="28" hidden="1" spans="1:10" x14ac:dyDescent="0.25">
      <c r="A28" s="31" t="s">
        <v>886</v>
      </c>
      <c r="B28" s="31" t="s">
        <v>887</v>
      </c>
      <c r="C28" s="31" t="s">
        <v>432</v>
      </c>
      <c r="D28" s="49">
        <v>46076</v>
      </c>
      <c r="E28" s="31" t="s">
        <v>888</v>
      </c>
      <c r="F28" s="31">
        <v>278</v>
      </c>
      <c r="G28" s="31" t="s">
        <v>915</v>
      </c>
      <c r="H28" s="31">
        <v>1.8</v>
      </c>
      <c r="I28" s="31">
        <v>0</v>
      </c>
      <c r="J28" s="50">
        <v>1790.28</v>
      </c>
    </row>
    <row r="29" hidden="1" spans="1:10" x14ac:dyDescent="0.25">
      <c r="A29" s="31" t="s">
        <v>886</v>
      </c>
      <c r="B29" s="31" t="s">
        <v>887</v>
      </c>
      <c r="C29" s="31" t="s">
        <v>432</v>
      </c>
      <c r="D29" s="49">
        <v>46076</v>
      </c>
      <c r="E29" s="31" t="s">
        <v>888</v>
      </c>
      <c r="F29" s="31">
        <v>278</v>
      </c>
      <c r="G29" s="31" t="s">
        <v>916</v>
      </c>
      <c r="H29" s="31">
        <v>0.93</v>
      </c>
      <c r="I29" s="31">
        <v>0</v>
      </c>
      <c r="J29" s="50">
        <v>1791.21</v>
      </c>
    </row>
    <row r="30" hidden="1" spans="1:10" x14ac:dyDescent="0.25">
      <c r="A30" s="31" t="s">
        <v>886</v>
      </c>
      <c r="B30" s="31" t="s">
        <v>887</v>
      </c>
      <c r="C30" s="31" t="s">
        <v>432</v>
      </c>
      <c r="D30" s="49">
        <v>46076</v>
      </c>
      <c r="E30" s="31" t="s">
        <v>888</v>
      </c>
      <c r="F30" s="31">
        <v>278</v>
      </c>
      <c r="G30" s="31" t="s">
        <v>917</v>
      </c>
      <c r="H30" s="31">
        <v>7.5</v>
      </c>
      <c r="I30" s="31">
        <v>0</v>
      </c>
      <c r="J30" s="50">
        <v>1798.71</v>
      </c>
    </row>
    <row r="31" hidden="1" spans="1:10" x14ac:dyDescent="0.25">
      <c r="A31" s="31" t="s">
        <v>886</v>
      </c>
      <c r="B31" s="31" t="s">
        <v>887</v>
      </c>
      <c r="C31" s="31" t="s">
        <v>432</v>
      </c>
      <c r="D31" s="49">
        <v>46078</v>
      </c>
      <c r="E31" s="31" t="s">
        <v>888</v>
      </c>
      <c r="F31" s="31">
        <v>328</v>
      </c>
      <c r="G31" s="31" t="s">
        <v>918</v>
      </c>
      <c r="H31" s="31">
        <v>1.83</v>
      </c>
      <c r="I31" s="31">
        <v>0</v>
      </c>
      <c r="J31" s="50">
        <v>1800.54</v>
      </c>
    </row>
    <row r="32" hidden="1" spans="1:10" x14ac:dyDescent="0.25">
      <c r="A32" s="31" t="s">
        <v>886</v>
      </c>
      <c r="B32" s="31" t="s">
        <v>887</v>
      </c>
      <c r="C32" s="31" t="s">
        <v>432</v>
      </c>
      <c r="D32" s="49">
        <v>46078</v>
      </c>
      <c r="E32" s="31" t="s">
        <v>888</v>
      </c>
      <c r="F32" s="31">
        <v>328</v>
      </c>
      <c r="G32" s="31" t="s">
        <v>919</v>
      </c>
      <c r="H32" s="31">
        <v>1.83</v>
      </c>
      <c r="I32" s="31">
        <v>0</v>
      </c>
      <c r="J32" s="50">
        <v>1802.37</v>
      </c>
    </row>
    <row r="33" hidden="1" spans="1:10" x14ac:dyDescent="0.25">
      <c r="A33" s="31" t="s">
        <v>886</v>
      </c>
      <c r="B33" s="31" t="s">
        <v>887</v>
      </c>
      <c r="C33" s="31" t="s">
        <v>432</v>
      </c>
      <c r="D33" s="49">
        <v>46078</v>
      </c>
      <c r="E33" s="31" t="s">
        <v>888</v>
      </c>
      <c r="F33" s="31">
        <v>328</v>
      </c>
      <c r="G33" s="31" t="s">
        <v>920</v>
      </c>
      <c r="H33" s="31">
        <v>0.65</v>
      </c>
      <c r="I33" s="31">
        <v>0</v>
      </c>
      <c r="J33" s="50">
        <v>1803.02</v>
      </c>
    </row>
    <row r="34" hidden="1" spans="1:10" x14ac:dyDescent="0.25">
      <c r="A34" s="31" t="s">
        <v>886</v>
      </c>
      <c r="B34" s="31" t="s">
        <v>887</v>
      </c>
      <c r="C34" s="31" t="s">
        <v>432</v>
      </c>
      <c r="D34" s="49">
        <v>46078</v>
      </c>
      <c r="E34" s="31" t="s">
        <v>888</v>
      </c>
      <c r="F34" s="31">
        <v>328</v>
      </c>
      <c r="G34" s="31" t="s">
        <v>921</v>
      </c>
      <c r="H34" s="31">
        <v>1.83</v>
      </c>
      <c r="I34" s="31">
        <v>0</v>
      </c>
      <c r="J34" s="50">
        <v>1804.85</v>
      </c>
    </row>
    <row r="35" hidden="1" spans="1:10" x14ac:dyDescent="0.25">
      <c r="A35" s="31" t="s">
        <v>886</v>
      </c>
      <c r="B35" s="31" t="s">
        <v>887</v>
      </c>
      <c r="C35" s="31" t="s">
        <v>432</v>
      </c>
      <c r="D35" s="49">
        <v>46078</v>
      </c>
      <c r="E35" s="31" t="s">
        <v>888</v>
      </c>
      <c r="F35" s="31">
        <v>328</v>
      </c>
      <c r="G35" s="31" t="s">
        <v>922</v>
      </c>
      <c r="H35" s="31">
        <v>1.83</v>
      </c>
      <c r="I35" s="31">
        <v>0</v>
      </c>
      <c r="J35" s="50">
        <v>1806.68</v>
      </c>
    </row>
    <row r="36" hidden="1" spans="1:10" x14ac:dyDescent="0.25">
      <c r="A36" s="31" t="s">
        <v>886</v>
      </c>
      <c r="B36" s="31" t="s">
        <v>887</v>
      </c>
      <c r="C36" s="31" t="s">
        <v>432</v>
      </c>
      <c r="D36" s="49">
        <v>46078</v>
      </c>
      <c r="E36" s="31" t="s">
        <v>888</v>
      </c>
      <c r="F36" s="31">
        <v>328</v>
      </c>
      <c r="G36" s="31" t="s">
        <v>923</v>
      </c>
      <c r="H36" s="31">
        <v>1.31</v>
      </c>
      <c r="I36" s="31">
        <v>0</v>
      </c>
      <c r="J36" s="50">
        <v>1807.99</v>
      </c>
    </row>
    <row r="37" hidden="1" spans="1:10" x14ac:dyDescent="0.25">
      <c r="A37" s="31" t="s">
        <v>886</v>
      </c>
      <c r="B37" s="31" t="s">
        <v>887</v>
      </c>
      <c r="C37" s="31" t="s">
        <v>432</v>
      </c>
      <c r="D37" s="49">
        <v>46078</v>
      </c>
      <c r="E37" s="31" t="s">
        <v>888</v>
      </c>
      <c r="F37" s="31">
        <v>328</v>
      </c>
      <c r="G37" s="31" t="s">
        <v>924</v>
      </c>
      <c r="H37" s="31">
        <v>1.31</v>
      </c>
      <c r="I37" s="31">
        <v>0</v>
      </c>
      <c r="J37" s="50">
        <v>1809.3</v>
      </c>
    </row>
    <row r="38" hidden="1" spans="1:10" x14ac:dyDescent="0.25">
      <c r="A38" s="31" t="s">
        <v>886</v>
      </c>
      <c r="B38" s="31" t="s">
        <v>887</v>
      </c>
      <c r="C38" s="31" t="s">
        <v>432</v>
      </c>
      <c r="D38" s="49">
        <v>46078</v>
      </c>
      <c r="E38" s="31" t="s">
        <v>888</v>
      </c>
      <c r="F38" s="31">
        <v>328</v>
      </c>
      <c r="G38" s="31" t="s">
        <v>925</v>
      </c>
      <c r="H38" s="31">
        <v>1.31</v>
      </c>
      <c r="I38" s="31">
        <v>0</v>
      </c>
      <c r="J38" s="50">
        <v>1810.61</v>
      </c>
    </row>
    <row r="39" hidden="1" spans="1:10" x14ac:dyDescent="0.25">
      <c r="A39" s="31" t="s">
        <v>886</v>
      </c>
      <c r="B39" s="31" t="s">
        <v>887</v>
      </c>
      <c r="C39" s="31" t="s">
        <v>432</v>
      </c>
      <c r="D39" s="49">
        <v>46078</v>
      </c>
      <c r="E39" s="31" t="s">
        <v>888</v>
      </c>
      <c r="F39" s="31">
        <v>328</v>
      </c>
      <c r="G39" s="31" t="s">
        <v>926</v>
      </c>
      <c r="H39" s="31">
        <v>1.83</v>
      </c>
      <c r="I39" s="31">
        <v>0</v>
      </c>
      <c r="J39" s="50">
        <v>1812.44</v>
      </c>
    </row>
    <row r="40" hidden="1" spans="1:10" x14ac:dyDescent="0.25">
      <c r="A40" s="31" t="s">
        <v>886</v>
      </c>
      <c r="B40" s="31" t="s">
        <v>887</v>
      </c>
      <c r="C40" s="31" t="s">
        <v>432</v>
      </c>
      <c r="D40" s="49">
        <v>46078</v>
      </c>
      <c r="E40" s="31" t="s">
        <v>888</v>
      </c>
      <c r="F40" s="31">
        <v>328</v>
      </c>
      <c r="G40" s="31" t="s">
        <v>927</v>
      </c>
      <c r="H40" s="31">
        <v>1.83</v>
      </c>
      <c r="I40" s="31">
        <v>0</v>
      </c>
      <c r="J40" s="50">
        <v>1814.27</v>
      </c>
    </row>
    <row r="41" hidden="1" spans="1:10" x14ac:dyDescent="0.25">
      <c r="A41" s="31" t="s">
        <v>886</v>
      </c>
      <c r="B41" s="31" t="s">
        <v>887</v>
      </c>
      <c r="C41" s="31" t="s">
        <v>432</v>
      </c>
      <c r="D41" s="49">
        <v>46078</v>
      </c>
      <c r="E41" s="31" t="s">
        <v>888</v>
      </c>
      <c r="F41" s="31">
        <v>328</v>
      </c>
      <c r="G41" s="31" t="s">
        <v>928</v>
      </c>
      <c r="H41" s="31">
        <v>0.39</v>
      </c>
      <c r="I41" s="31">
        <v>0</v>
      </c>
      <c r="J41" s="50">
        <v>1814.66</v>
      </c>
    </row>
    <row r="42" hidden="1" spans="1:10" x14ac:dyDescent="0.25">
      <c r="A42" s="31" t="s">
        <v>886</v>
      </c>
      <c r="B42" s="31" t="s">
        <v>887</v>
      </c>
      <c r="C42" s="31" t="s">
        <v>432</v>
      </c>
      <c r="D42" s="49">
        <v>46078</v>
      </c>
      <c r="E42" s="31" t="s">
        <v>888</v>
      </c>
      <c r="F42" s="31">
        <v>328</v>
      </c>
      <c r="G42" s="31" t="s">
        <v>929</v>
      </c>
      <c r="H42" s="31">
        <v>1.83</v>
      </c>
      <c r="I42" s="31">
        <v>0</v>
      </c>
      <c r="J42" s="50">
        <v>1816.49</v>
      </c>
    </row>
    <row r="43" hidden="1" spans="1:10" x14ac:dyDescent="0.25">
      <c r="A43" s="31" t="s">
        <v>886</v>
      </c>
      <c r="B43" s="31" t="s">
        <v>887</v>
      </c>
      <c r="C43" s="31" t="s">
        <v>432</v>
      </c>
      <c r="D43" s="49">
        <v>46078</v>
      </c>
      <c r="E43" s="31" t="s">
        <v>888</v>
      </c>
      <c r="F43" s="31">
        <v>328</v>
      </c>
      <c r="G43" s="31" t="s">
        <v>930</v>
      </c>
      <c r="H43" s="31">
        <v>1.83</v>
      </c>
      <c r="I43" s="31">
        <v>0</v>
      </c>
      <c r="J43" s="50">
        <v>1818.32</v>
      </c>
    </row>
    <row r="44" hidden="1" spans="1:10" x14ac:dyDescent="0.25">
      <c r="A44" s="31" t="s">
        <v>886</v>
      </c>
      <c r="B44" s="31" t="s">
        <v>887</v>
      </c>
      <c r="C44" s="31" t="s">
        <v>432</v>
      </c>
      <c r="D44" s="49">
        <v>46078</v>
      </c>
      <c r="E44" s="31" t="s">
        <v>888</v>
      </c>
      <c r="F44" s="31">
        <v>328</v>
      </c>
      <c r="G44" s="31" t="s">
        <v>931</v>
      </c>
      <c r="H44" s="31">
        <v>2.61</v>
      </c>
      <c r="I44" s="31">
        <v>0</v>
      </c>
      <c r="J44" s="50">
        <v>1820.93</v>
      </c>
    </row>
    <row r="45" hidden="1" spans="1:10" x14ac:dyDescent="0.25">
      <c r="A45" s="31" t="s">
        <v>886</v>
      </c>
      <c r="B45" s="31" t="s">
        <v>887</v>
      </c>
      <c r="C45" s="31" t="s">
        <v>432</v>
      </c>
      <c r="D45" s="49">
        <v>46078</v>
      </c>
      <c r="E45" s="31" t="s">
        <v>888</v>
      </c>
      <c r="F45" s="31">
        <v>328</v>
      </c>
      <c r="G45" s="31" t="s">
        <v>932</v>
      </c>
      <c r="H45" s="31">
        <v>0.33</v>
      </c>
      <c r="I45" s="31">
        <v>0</v>
      </c>
      <c r="J45" s="50">
        <v>1821.26</v>
      </c>
    </row>
    <row r="46" hidden="1" spans="1:10" x14ac:dyDescent="0.25">
      <c r="A46" s="31" t="s">
        <v>886</v>
      </c>
      <c r="B46" s="31" t="s">
        <v>887</v>
      </c>
      <c r="C46" s="31" t="s">
        <v>432</v>
      </c>
      <c r="D46" s="49">
        <v>46078</v>
      </c>
      <c r="E46" s="31" t="s">
        <v>888</v>
      </c>
      <c r="F46" s="31">
        <v>328</v>
      </c>
      <c r="G46" s="31" t="s">
        <v>933</v>
      </c>
      <c r="H46" s="31">
        <v>3.9</v>
      </c>
      <c r="I46" s="31">
        <v>0</v>
      </c>
      <c r="J46" s="50">
        <v>1825.16</v>
      </c>
    </row>
    <row r="47" hidden="1" spans="1:10" x14ac:dyDescent="0.25">
      <c r="A47" s="31" t="s">
        <v>886</v>
      </c>
      <c r="B47" s="31" t="s">
        <v>887</v>
      </c>
      <c r="C47" s="31" t="s">
        <v>432</v>
      </c>
      <c r="D47" s="49">
        <v>46078</v>
      </c>
      <c r="E47" s="31" t="s">
        <v>888</v>
      </c>
      <c r="F47" s="31">
        <v>328</v>
      </c>
      <c r="G47" s="31" t="s">
        <v>934</v>
      </c>
      <c r="H47" s="31">
        <v>8.09</v>
      </c>
      <c r="I47" s="31">
        <v>0</v>
      </c>
      <c r="J47" s="50">
        <v>1833.25</v>
      </c>
    </row>
    <row r="48" hidden="1" spans="1:10" x14ac:dyDescent="0.25">
      <c r="A48" s="31" t="s">
        <v>886</v>
      </c>
      <c r="B48" s="31" t="s">
        <v>887</v>
      </c>
      <c r="C48" s="31" t="s">
        <v>432</v>
      </c>
      <c r="D48" s="49">
        <v>46078</v>
      </c>
      <c r="E48" s="31" t="s">
        <v>888</v>
      </c>
      <c r="F48" s="31">
        <v>328</v>
      </c>
      <c r="G48" s="31" t="s">
        <v>935</v>
      </c>
      <c r="H48" s="31">
        <v>2.67</v>
      </c>
      <c r="I48" s="31">
        <v>0</v>
      </c>
      <c r="J48" s="50">
        <v>1835.92</v>
      </c>
    </row>
    <row r="49" hidden="1" spans="1:10" x14ac:dyDescent="0.25">
      <c r="A49" s="31" t="s">
        <v>886</v>
      </c>
      <c r="B49" s="31" t="s">
        <v>887</v>
      </c>
      <c r="C49" s="31" t="s">
        <v>432</v>
      </c>
      <c r="D49" s="49">
        <v>46080</v>
      </c>
      <c r="E49" s="31" t="s">
        <v>888</v>
      </c>
      <c r="F49" s="31">
        <v>355</v>
      </c>
      <c r="G49" s="31" t="s">
        <v>936</v>
      </c>
      <c r="H49" s="31">
        <v>1.83</v>
      </c>
      <c r="I49" s="31">
        <v>0</v>
      </c>
      <c r="J49" s="50">
        <v>1837.75</v>
      </c>
    </row>
    <row r="50" hidden="1" spans="1:10" x14ac:dyDescent="0.25">
      <c r="A50" s="31" t="s">
        <v>886</v>
      </c>
      <c r="B50" s="31" t="s">
        <v>887</v>
      </c>
      <c r="C50" s="31" t="s">
        <v>432</v>
      </c>
      <c r="D50" s="49">
        <v>46080</v>
      </c>
      <c r="E50" s="31" t="s">
        <v>888</v>
      </c>
      <c r="F50" s="31">
        <v>355</v>
      </c>
      <c r="G50" s="31" t="s">
        <v>937</v>
      </c>
      <c r="H50" s="31">
        <v>1.83</v>
      </c>
      <c r="I50" s="31">
        <v>0</v>
      </c>
      <c r="J50" s="50">
        <v>1839.58</v>
      </c>
    </row>
    <row r="51" hidden="1" spans="1:10" x14ac:dyDescent="0.25">
      <c r="A51" s="31" t="s">
        <v>886</v>
      </c>
      <c r="B51" s="31" t="s">
        <v>887</v>
      </c>
      <c r="C51" s="31" t="s">
        <v>432</v>
      </c>
      <c r="D51" s="49">
        <v>46055</v>
      </c>
      <c r="E51" s="31" t="s">
        <v>888</v>
      </c>
      <c r="F51" s="31">
        <v>41</v>
      </c>
      <c r="G51" s="31" t="s">
        <v>938</v>
      </c>
      <c r="H51" s="31">
        <v>134.32</v>
      </c>
      <c r="I51" s="31">
        <v>0</v>
      </c>
      <c r="J51" s="50">
        <v>1973.9</v>
      </c>
    </row>
    <row r="52" hidden="1" spans="1:10" x14ac:dyDescent="0.25">
      <c r="A52" s="31" t="s">
        <v>886</v>
      </c>
      <c r="B52" s="31" t="s">
        <v>887</v>
      </c>
      <c r="C52" s="31" t="s">
        <v>432</v>
      </c>
      <c r="D52" s="49">
        <v>46055</v>
      </c>
      <c r="E52" s="31" t="s">
        <v>888</v>
      </c>
      <c r="F52" s="31">
        <v>41</v>
      </c>
      <c r="G52" s="31" t="s">
        <v>939</v>
      </c>
      <c r="H52" s="50">
        <v>1104.75</v>
      </c>
      <c r="I52" s="31">
        <v>0</v>
      </c>
      <c r="J52" s="50">
        <v>3078.65</v>
      </c>
    </row>
    <row r="53" hidden="1" spans="1:10" x14ac:dyDescent="0.25">
      <c r="A53" s="31" t="s">
        <v>886</v>
      </c>
      <c r="B53" s="31" t="s">
        <v>887</v>
      </c>
      <c r="C53" s="31" t="s">
        <v>432</v>
      </c>
      <c r="D53" s="49">
        <v>46081</v>
      </c>
      <c r="E53" s="31" t="s">
        <v>888</v>
      </c>
      <c r="F53" s="31">
        <v>429</v>
      </c>
      <c r="G53" s="31" t="s">
        <v>940</v>
      </c>
      <c r="H53" s="31">
        <v>0</v>
      </c>
      <c r="I53" s="31">
        <v>3.75</v>
      </c>
      <c r="J53" s="50">
        <v>3074.9</v>
      </c>
    </row>
    <row r="54" hidden="1" spans="1:10" x14ac:dyDescent="0.25">
      <c r="A54" s="31" t="s">
        <v>886</v>
      </c>
      <c r="B54" s="31" t="s">
        <v>887</v>
      </c>
      <c r="C54" s="31" t="s">
        <v>432</v>
      </c>
      <c r="D54" s="49">
        <v>46058</v>
      </c>
      <c r="E54" s="31" t="s">
        <v>888</v>
      </c>
      <c r="F54" s="31">
        <v>92</v>
      </c>
      <c r="G54" s="31" t="s">
        <v>941</v>
      </c>
      <c r="H54" s="50">
        <v>1251.03</v>
      </c>
      <c r="I54" s="31">
        <v>0</v>
      </c>
      <c r="J54" s="50">
        <v>4325.93</v>
      </c>
    </row>
    <row r="55" hidden="1" spans="1:10" x14ac:dyDescent="0.25">
      <c r="A55" s="31" t="s">
        <v>886</v>
      </c>
      <c r="B55" s="31" t="s">
        <v>887</v>
      </c>
      <c r="C55" s="31" t="s">
        <v>432</v>
      </c>
      <c r="D55" s="49">
        <v>46058</v>
      </c>
      <c r="E55" s="31" t="s">
        <v>888</v>
      </c>
      <c r="F55" s="31">
        <v>92</v>
      </c>
      <c r="G55" s="31" t="s">
        <v>942</v>
      </c>
      <c r="H55" s="31">
        <v>790.18</v>
      </c>
      <c r="I55" s="31">
        <v>0</v>
      </c>
      <c r="J55" s="50">
        <v>5116.11</v>
      </c>
    </row>
    <row r="56" hidden="1" spans="1:10" x14ac:dyDescent="0.25">
      <c r="A56" s="31" t="s">
        <v>886</v>
      </c>
      <c r="B56" s="31" t="s">
        <v>887</v>
      </c>
      <c r="C56" s="31" t="s">
        <v>432</v>
      </c>
      <c r="D56" s="49">
        <v>46058</v>
      </c>
      <c r="E56" s="31" t="s">
        <v>888</v>
      </c>
      <c r="F56" s="31">
        <v>92</v>
      </c>
      <c r="G56" s="31" t="s">
        <v>943</v>
      </c>
      <c r="H56" s="50">
        <v>1500</v>
      </c>
      <c r="I56" s="31">
        <v>0</v>
      </c>
      <c r="J56" s="50">
        <v>6616.11</v>
      </c>
    </row>
    <row r="57" hidden="1" spans="1:10" x14ac:dyDescent="0.25">
      <c r="A57" s="31" t="s">
        <v>886</v>
      </c>
      <c r="B57" s="31" t="s">
        <v>887</v>
      </c>
      <c r="C57" s="31" t="s">
        <v>432</v>
      </c>
      <c r="D57" s="49">
        <v>46058</v>
      </c>
      <c r="E57" s="31" t="s">
        <v>888</v>
      </c>
      <c r="F57" s="31">
        <v>92</v>
      </c>
      <c r="G57" s="31" t="s">
        <v>944</v>
      </c>
      <c r="H57" s="31">
        <v>22.74</v>
      </c>
      <c r="I57" s="31">
        <v>0</v>
      </c>
      <c r="J57" s="50">
        <v>6638.85</v>
      </c>
    </row>
    <row r="58" hidden="1" spans="1:10" x14ac:dyDescent="0.25">
      <c r="A58" s="31" t="s">
        <v>886</v>
      </c>
      <c r="B58" s="31" t="s">
        <v>887</v>
      </c>
      <c r="C58" s="31" t="s">
        <v>432</v>
      </c>
      <c r="D58" s="49">
        <v>46058</v>
      </c>
      <c r="E58" s="31" t="s">
        <v>888</v>
      </c>
      <c r="F58" s="31">
        <v>92</v>
      </c>
      <c r="G58" s="31" t="s">
        <v>945</v>
      </c>
      <c r="H58" s="31">
        <v>3</v>
      </c>
      <c r="I58" s="31">
        <v>0</v>
      </c>
      <c r="J58" s="50">
        <v>6641.85</v>
      </c>
    </row>
    <row r="59" hidden="1" spans="1:10" x14ac:dyDescent="0.25">
      <c r="A59" s="31" t="s">
        <v>886</v>
      </c>
      <c r="B59" s="31" t="s">
        <v>887</v>
      </c>
      <c r="C59" s="31" t="s">
        <v>432</v>
      </c>
      <c r="D59" s="49">
        <v>46058</v>
      </c>
      <c r="E59" s="31" t="s">
        <v>888</v>
      </c>
      <c r="F59" s="31">
        <v>92</v>
      </c>
      <c r="G59" s="31" t="s">
        <v>946</v>
      </c>
      <c r="H59" s="31">
        <v>31.5</v>
      </c>
      <c r="I59" s="31">
        <v>0</v>
      </c>
      <c r="J59" s="50">
        <v>6673.35</v>
      </c>
    </row>
    <row r="60" hidden="1" spans="1:10" x14ac:dyDescent="0.25">
      <c r="A60" s="31" t="s">
        <v>886</v>
      </c>
      <c r="B60" s="31" t="s">
        <v>887</v>
      </c>
      <c r="C60" s="31" t="s">
        <v>432</v>
      </c>
      <c r="D60" s="49">
        <v>46058</v>
      </c>
      <c r="E60" s="31" t="s">
        <v>888</v>
      </c>
      <c r="F60" s="31">
        <v>92</v>
      </c>
      <c r="G60" s="31" t="s">
        <v>947</v>
      </c>
      <c r="H60" s="31">
        <v>20.7</v>
      </c>
      <c r="I60" s="31">
        <v>0</v>
      </c>
      <c r="J60" s="50">
        <v>6694.05</v>
      </c>
    </row>
    <row r="61" hidden="1" spans="1:10" x14ac:dyDescent="0.25">
      <c r="A61" s="31" t="s">
        <v>886</v>
      </c>
      <c r="B61" s="31" t="s">
        <v>887</v>
      </c>
      <c r="C61" s="31" t="s">
        <v>432</v>
      </c>
      <c r="D61" s="49">
        <v>46058</v>
      </c>
      <c r="E61" s="31" t="s">
        <v>888</v>
      </c>
      <c r="F61" s="31">
        <v>92</v>
      </c>
      <c r="G61" s="31" t="s">
        <v>948</v>
      </c>
      <c r="H61" s="31">
        <v>9</v>
      </c>
      <c r="I61" s="31">
        <v>0</v>
      </c>
      <c r="J61" s="50">
        <v>6703.05</v>
      </c>
    </row>
    <row r="62" hidden="1" spans="1:10" x14ac:dyDescent="0.25">
      <c r="A62" s="31" t="s">
        <v>886</v>
      </c>
      <c r="B62" s="31" t="s">
        <v>887</v>
      </c>
      <c r="C62" s="31" t="s">
        <v>432</v>
      </c>
      <c r="D62" s="49">
        <v>46058</v>
      </c>
      <c r="E62" s="31" t="s">
        <v>888</v>
      </c>
      <c r="F62" s="31">
        <v>92</v>
      </c>
      <c r="G62" s="31" t="s">
        <v>949</v>
      </c>
      <c r="H62" s="31">
        <v>30</v>
      </c>
      <c r="I62" s="31">
        <v>0</v>
      </c>
      <c r="J62" s="50">
        <v>6733.05</v>
      </c>
    </row>
    <row r="63" hidden="1" spans="1:10" x14ac:dyDescent="0.25">
      <c r="A63" s="31" t="s">
        <v>886</v>
      </c>
      <c r="B63" s="31" t="s">
        <v>887</v>
      </c>
      <c r="C63" s="31" t="s">
        <v>432</v>
      </c>
      <c r="D63" s="49">
        <v>46060</v>
      </c>
      <c r="E63" s="31" t="s">
        <v>950</v>
      </c>
      <c r="F63" s="31">
        <v>100</v>
      </c>
      <c r="G63" s="31" t="s">
        <v>951</v>
      </c>
      <c r="H63" s="31">
        <v>26.09</v>
      </c>
      <c r="I63" s="31">
        <v>0</v>
      </c>
      <c r="J63" s="50">
        <v>6759.14</v>
      </c>
    </row>
    <row r="64" hidden="1" spans="1:10" x14ac:dyDescent="0.25">
      <c r="A64" s="31" t="s">
        <v>886</v>
      </c>
      <c r="B64" s="31" t="s">
        <v>887</v>
      </c>
      <c r="C64" s="31" t="s">
        <v>432</v>
      </c>
      <c r="D64" s="49">
        <v>46060</v>
      </c>
      <c r="E64" s="31" t="s">
        <v>950</v>
      </c>
      <c r="F64" s="31">
        <v>100</v>
      </c>
      <c r="G64" s="31" t="s">
        <v>952</v>
      </c>
      <c r="H64" s="31">
        <v>158.68</v>
      </c>
      <c r="I64" s="31">
        <v>0</v>
      </c>
      <c r="J64" s="50">
        <v>6917.82</v>
      </c>
    </row>
    <row r="65" hidden="1" spans="1:10" x14ac:dyDescent="0.25">
      <c r="A65" s="31" t="s">
        <v>886</v>
      </c>
      <c r="B65" s="31" t="s">
        <v>887</v>
      </c>
      <c r="C65" s="31" t="s">
        <v>432</v>
      </c>
      <c r="D65" s="49">
        <v>46060</v>
      </c>
      <c r="E65" s="31" t="s">
        <v>950</v>
      </c>
      <c r="F65" s="31">
        <v>100</v>
      </c>
      <c r="G65" s="31" t="s">
        <v>953</v>
      </c>
      <c r="H65" s="31">
        <v>36.07</v>
      </c>
      <c r="I65" s="31">
        <v>0</v>
      </c>
      <c r="J65" s="50">
        <v>6953.89</v>
      </c>
    </row>
    <row r="66" hidden="1" spans="1:10" x14ac:dyDescent="0.25">
      <c r="A66" s="31" t="s">
        <v>886</v>
      </c>
      <c r="B66" s="31" t="s">
        <v>887</v>
      </c>
      <c r="C66" s="31" t="s">
        <v>432</v>
      </c>
      <c r="D66" s="49">
        <v>46060</v>
      </c>
      <c r="E66" s="31" t="s">
        <v>950</v>
      </c>
      <c r="F66" s="31">
        <v>100</v>
      </c>
      <c r="G66" s="31" t="s">
        <v>954</v>
      </c>
      <c r="H66" s="31">
        <v>87.13</v>
      </c>
      <c r="I66" s="31">
        <v>0</v>
      </c>
      <c r="J66" s="50">
        <v>7041.02</v>
      </c>
    </row>
    <row r="67" hidden="1" spans="1:10" x14ac:dyDescent="0.25">
      <c r="A67" s="31" t="s">
        <v>886</v>
      </c>
      <c r="B67" s="31" t="s">
        <v>887</v>
      </c>
      <c r="C67" s="31" t="s">
        <v>432</v>
      </c>
      <c r="D67" s="49">
        <v>46060</v>
      </c>
      <c r="E67" s="31" t="s">
        <v>950</v>
      </c>
      <c r="F67" s="31">
        <v>100</v>
      </c>
      <c r="G67" s="31" t="s">
        <v>955</v>
      </c>
      <c r="H67" s="31">
        <v>1.91</v>
      </c>
      <c r="I67" s="31">
        <v>0</v>
      </c>
      <c r="J67" s="50">
        <v>7042.93</v>
      </c>
    </row>
    <row r="68" hidden="1" spans="1:10" x14ac:dyDescent="0.25">
      <c r="A68" s="31" t="s">
        <v>886</v>
      </c>
      <c r="B68" s="31" t="s">
        <v>887</v>
      </c>
      <c r="C68" s="31" t="s">
        <v>432</v>
      </c>
      <c r="D68" s="49">
        <v>46062</v>
      </c>
      <c r="E68" s="31" t="s">
        <v>950</v>
      </c>
      <c r="F68" s="31">
        <v>110</v>
      </c>
      <c r="G68" s="31" t="s">
        <v>956</v>
      </c>
      <c r="H68" s="31">
        <v>33.7</v>
      </c>
      <c r="I68" s="31">
        <v>0</v>
      </c>
      <c r="J68" s="50">
        <v>7076.63</v>
      </c>
    </row>
    <row r="69" hidden="1" spans="1:10" x14ac:dyDescent="0.25">
      <c r="A69" s="31" t="s">
        <v>886</v>
      </c>
      <c r="B69" s="31" t="s">
        <v>887</v>
      </c>
      <c r="C69" s="31" t="s">
        <v>432</v>
      </c>
      <c r="D69" s="49">
        <v>46062</v>
      </c>
      <c r="E69" s="31" t="s">
        <v>950</v>
      </c>
      <c r="F69" s="31">
        <v>111</v>
      </c>
      <c r="G69" s="31" t="s">
        <v>957</v>
      </c>
      <c r="H69" s="31">
        <v>0.25</v>
      </c>
      <c r="I69" s="31">
        <v>0</v>
      </c>
      <c r="J69" s="50">
        <v>7076.88</v>
      </c>
    </row>
    <row r="70" hidden="1" spans="1:10" x14ac:dyDescent="0.25">
      <c r="A70" s="31" t="s">
        <v>886</v>
      </c>
      <c r="B70" s="31" t="s">
        <v>887</v>
      </c>
      <c r="C70" s="31" t="s">
        <v>432</v>
      </c>
      <c r="D70" s="49">
        <v>46063</v>
      </c>
      <c r="E70" s="31" t="s">
        <v>950</v>
      </c>
      <c r="F70" s="31">
        <v>127</v>
      </c>
      <c r="G70" s="31" t="s">
        <v>958</v>
      </c>
      <c r="H70" s="31">
        <v>321.02</v>
      </c>
      <c r="I70" s="31">
        <v>0</v>
      </c>
      <c r="J70" s="50">
        <v>7397.9</v>
      </c>
    </row>
    <row r="71" hidden="1" spans="1:10" x14ac:dyDescent="0.25">
      <c r="A71" s="31" t="s">
        <v>886</v>
      </c>
      <c r="B71" s="31" t="s">
        <v>887</v>
      </c>
      <c r="C71" s="31" t="s">
        <v>432</v>
      </c>
      <c r="D71" s="49">
        <v>46063</v>
      </c>
      <c r="E71" s="31" t="s">
        <v>950</v>
      </c>
      <c r="F71" s="31">
        <v>127</v>
      </c>
      <c r="G71" s="31" t="s">
        <v>959</v>
      </c>
      <c r="H71" s="31">
        <v>274.31</v>
      </c>
      <c r="I71" s="31">
        <v>0</v>
      </c>
      <c r="J71" s="50">
        <v>7672.21</v>
      </c>
    </row>
    <row r="72" hidden="1" spans="1:10" x14ac:dyDescent="0.25">
      <c r="A72" s="31" t="s">
        <v>886</v>
      </c>
      <c r="B72" s="31" t="s">
        <v>887</v>
      </c>
      <c r="C72" s="31" t="s">
        <v>432</v>
      </c>
      <c r="D72" s="49">
        <v>46063</v>
      </c>
      <c r="E72" s="31" t="s">
        <v>950</v>
      </c>
      <c r="F72" s="31">
        <v>127</v>
      </c>
      <c r="G72" s="31" t="s">
        <v>960</v>
      </c>
      <c r="H72" s="31">
        <v>6</v>
      </c>
      <c r="I72" s="31">
        <v>0</v>
      </c>
      <c r="J72" s="50">
        <v>7678.21</v>
      </c>
    </row>
    <row r="73" hidden="1" spans="1:10" x14ac:dyDescent="0.25">
      <c r="A73" s="31" t="s">
        <v>886</v>
      </c>
      <c r="B73" s="31" t="s">
        <v>887</v>
      </c>
      <c r="C73" s="31" t="s">
        <v>432</v>
      </c>
      <c r="D73" s="49">
        <v>46063</v>
      </c>
      <c r="E73" s="31" t="s">
        <v>950</v>
      </c>
      <c r="F73" s="31">
        <v>127</v>
      </c>
      <c r="G73" s="31" t="s">
        <v>961</v>
      </c>
      <c r="H73" s="31">
        <v>180</v>
      </c>
      <c r="I73" s="31">
        <v>0</v>
      </c>
      <c r="J73" s="50">
        <v>7858.21</v>
      </c>
    </row>
    <row r="74" hidden="1" spans="1:10" x14ac:dyDescent="0.25">
      <c r="A74" s="31" t="s">
        <v>886</v>
      </c>
      <c r="B74" s="31" t="s">
        <v>887</v>
      </c>
      <c r="C74" s="31" t="s">
        <v>432</v>
      </c>
      <c r="D74" s="49">
        <v>46063</v>
      </c>
      <c r="E74" s="31" t="s">
        <v>950</v>
      </c>
      <c r="F74" s="31">
        <v>127</v>
      </c>
      <c r="G74" s="31" t="s">
        <v>962</v>
      </c>
      <c r="H74" s="31">
        <v>63</v>
      </c>
      <c r="I74" s="31">
        <v>0</v>
      </c>
      <c r="J74" s="50">
        <v>7921.21</v>
      </c>
    </row>
    <row r="75" hidden="1" spans="1:10" x14ac:dyDescent="0.25">
      <c r="A75" s="31" t="s">
        <v>886</v>
      </c>
      <c r="B75" s="31" t="s">
        <v>887</v>
      </c>
      <c r="C75" s="31" t="s">
        <v>432</v>
      </c>
      <c r="D75" s="49">
        <v>46063</v>
      </c>
      <c r="E75" s="31" t="s">
        <v>950</v>
      </c>
      <c r="F75" s="31">
        <v>128</v>
      </c>
      <c r="G75" s="31" t="s">
        <v>963</v>
      </c>
      <c r="H75" s="31">
        <v>11.88</v>
      </c>
      <c r="I75" s="31">
        <v>0</v>
      </c>
      <c r="J75" s="50">
        <v>7933.09</v>
      </c>
    </row>
    <row r="76" hidden="1" spans="1:10" x14ac:dyDescent="0.25">
      <c r="A76" s="31" t="s">
        <v>886</v>
      </c>
      <c r="B76" s="31" t="s">
        <v>887</v>
      </c>
      <c r="C76" s="31" t="s">
        <v>432</v>
      </c>
      <c r="D76" s="49">
        <v>46063</v>
      </c>
      <c r="E76" s="31" t="s">
        <v>950</v>
      </c>
      <c r="F76" s="31">
        <v>128</v>
      </c>
      <c r="G76" s="31" t="s">
        <v>964</v>
      </c>
      <c r="H76" s="31">
        <v>33.15</v>
      </c>
      <c r="I76" s="31">
        <v>0</v>
      </c>
      <c r="J76" s="50">
        <v>7966.24</v>
      </c>
    </row>
    <row r="77" hidden="1" spans="1:10" x14ac:dyDescent="0.25">
      <c r="A77" s="31" t="s">
        <v>886</v>
      </c>
      <c r="B77" s="31" t="s">
        <v>887</v>
      </c>
      <c r="C77" s="31" t="s">
        <v>432</v>
      </c>
      <c r="D77" s="49">
        <v>46063</v>
      </c>
      <c r="E77" s="31" t="s">
        <v>950</v>
      </c>
      <c r="F77" s="31">
        <v>128</v>
      </c>
      <c r="G77" s="31" t="s">
        <v>965</v>
      </c>
      <c r="H77" s="31">
        <v>2.83</v>
      </c>
      <c r="I77" s="31">
        <v>0</v>
      </c>
      <c r="J77" s="50">
        <v>7969.07</v>
      </c>
    </row>
    <row r="78" hidden="1" spans="1:10" x14ac:dyDescent="0.25">
      <c r="A78" s="31" t="s">
        <v>886</v>
      </c>
      <c r="B78" s="31" t="s">
        <v>887</v>
      </c>
      <c r="C78" s="31" t="s">
        <v>432</v>
      </c>
      <c r="D78" s="49">
        <v>46063</v>
      </c>
      <c r="E78" s="31" t="s">
        <v>950</v>
      </c>
      <c r="F78" s="31">
        <v>129</v>
      </c>
      <c r="G78" s="31" t="s">
        <v>966</v>
      </c>
      <c r="H78" s="31">
        <v>4.36</v>
      </c>
      <c r="I78" s="31">
        <v>0</v>
      </c>
      <c r="J78" s="50">
        <v>7973.43</v>
      </c>
    </row>
    <row r="79" hidden="1" spans="1:10" x14ac:dyDescent="0.25">
      <c r="A79" s="31" t="s">
        <v>886</v>
      </c>
      <c r="B79" s="31" t="s">
        <v>887</v>
      </c>
      <c r="C79" s="31" t="s">
        <v>432</v>
      </c>
      <c r="D79" s="49">
        <v>46063</v>
      </c>
      <c r="E79" s="31" t="s">
        <v>950</v>
      </c>
      <c r="F79" s="31">
        <v>129</v>
      </c>
      <c r="G79" s="31" t="s">
        <v>967</v>
      </c>
      <c r="H79" s="31">
        <v>8.3</v>
      </c>
      <c r="I79" s="31">
        <v>0</v>
      </c>
      <c r="J79" s="50">
        <v>7981.73</v>
      </c>
    </row>
    <row r="80" hidden="1" spans="1:10" x14ac:dyDescent="0.25">
      <c r="A80" s="31" t="s">
        <v>886</v>
      </c>
      <c r="B80" s="31" t="s">
        <v>887</v>
      </c>
      <c r="C80" s="31" t="s">
        <v>432</v>
      </c>
      <c r="D80" s="49">
        <v>46063</v>
      </c>
      <c r="E80" s="31" t="s">
        <v>950</v>
      </c>
      <c r="F80" s="31">
        <v>129</v>
      </c>
      <c r="G80" s="31" t="s">
        <v>968</v>
      </c>
      <c r="H80" s="31">
        <v>14.91</v>
      </c>
      <c r="I80" s="31">
        <v>0</v>
      </c>
      <c r="J80" s="50">
        <v>7996.64</v>
      </c>
    </row>
    <row r="81" hidden="1" spans="1:10" x14ac:dyDescent="0.25">
      <c r="A81" s="31" t="s">
        <v>886</v>
      </c>
      <c r="B81" s="31" t="s">
        <v>887</v>
      </c>
      <c r="C81" s="31" t="s">
        <v>432</v>
      </c>
      <c r="D81" s="49">
        <v>46063</v>
      </c>
      <c r="E81" s="31" t="s">
        <v>950</v>
      </c>
      <c r="F81" s="31">
        <v>129</v>
      </c>
      <c r="G81" s="31" t="s">
        <v>969</v>
      </c>
      <c r="H81" s="31">
        <v>11.7</v>
      </c>
      <c r="I81" s="31">
        <v>0</v>
      </c>
      <c r="J81" s="50">
        <v>8008.34</v>
      </c>
    </row>
    <row r="82" hidden="1" spans="1:10" x14ac:dyDescent="0.25">
      <c r="A82" s="31" t="s">
        <v>886</v>
      </c>
      <c r="B82" s="31" t="s">
        <v>887</v>
      </c>
      <c r="C82" s="31" t="s">
        <v>432</v>
      </c>
      <c r="D82" s="49">
        <v>46064</v>
      </c>
      <c r="E82" s="31" t="s">
        <v>950</v>
      </c>
      <c r="F82" s="31">
        <v>135</v>
      </c>
      <c r="G82" s="31" t="s">
        <v>970</v>
      </c>
      <c r="H82" s="31">
        <v>264.01</v>
      </c>
      <c r="I82" s="31">
        <v>0</v>
      </c>
      <c r="J82" s="50">
        <v>8272.35</v>
      </c>
    </row>
    <row r="83" hidden="1" spans="1:10" x14ac:dyDescent="0.25">
      <c r="A83" s="31" t="s">
        <v>886</v>
      </c>
      <c r="B83" s="31" t="s">
        <v>887</v>
      </c>
      <c r="C83" s="31" t="s">
        <v>432</v>
      </c>
      <c r="D83" s="49">
        <v>46064</v>
      </c>
      <c r="E83" s="31" t="s">
        <v>950</v>
      </c>
      <c r="F83" s="31">
        <v>135</v>
      </c>
      <c r="G83" s="31" t="s">
        <v>971</v>
      </c>
      <c r="H83" s="31">
        <v>2.61</v>
      </c>
      <c r="I83" s="31">
        <v>0</v>
      </c>
      <c r="J83" s="50">
        <v>8274.96</v>
      </c>
    </row>
    <row r="84" hidden="1" spans="1:10" x14ac:dyDescent="0.25">
      <c r="A84" s="31" t="s">
        <v>886</v>
      </c>
      <c r="B84" s="31" t="s">
        <v>887</v>
      </c>
      <c r="C84" s="31" t="s">
        <v>432</v>
      </c>
      <c r="D84" s="49">
        <v>46064</v>
      </c>
      <c r="E84" s="31" t="s">
        <v>950</v>
      </c>
      <c r="F84" s="31">
        <v>135</v>
      </c>
      <c r="G84" s="31" t="s">
        <v>972</v>
      </c>
      <c r="H84" s="31">
        <v>462</v>
      </c>
      <c r="I84" s="31">
        <v>0</v>
      </c>
      <c r="J84" s="50">
        <v>8736.96</v>
      </c>
    </row>
    <row r="85" hidden="1" spans="1:10" x14ac:dyDescent="0.25">
      <c r="A85" s="31" t="s">
        <v>886</v>
      </c>
      <c r="B85" s="31" t="s">
        <v>887</v>
      </c>
      <c r="C85" s="31" t="s">
        <v>432</v>
      </c>
      <c r="D85" s="49">
        <v>46064</v>
      </c>
      <c r="E85" s="31" t="s">
        <v>950</v>
      </c>
      <c r="F85" s="31">
        <v>136</v>
      </c>
      <c r="G85" s="31" t="s">
        <v>973</v>
      </c>
      <c r="H85" s="31">
        <v>33.47</v>
      </c>
      <c r="I85" s="31">
        <v>0</v>
      </c>
      <c r="J85" s="50">
        <v>8770.43</v>
      </c>
    </row>
    <row r="86" hidden="1" spans="1:10" x14ac:dyDescent="0.25">
      <c r="A86" s="31" t="s">
        <v>886</v>
      </c>
      <c r="B86" s="31" t="s">
        <v>887</v>
      </c>
      <c r="C86" s="31" t="s">
        <v>432</v>
      </c>
      <c r="D86" s="49">
        <v>46064</v>
      </c>
      <c r="E86" s="31" t="s">
        <v>950</v>
      </c>
      <c r="F86" s="31">
        <v>137</v>
      </c>
      <c r="G86" s="31" t="s">
        <v>974</v>
      </c>
      <c r="H86" s="31">
        <v>1.8</v>
      </c>
      <c r="I86" s="31">
        <v>0</v>
      </c>
      <c r="J86" s="50">
        <v>8772.23</v>
      </c>
    </row>
    <row r="87" hidden="1" spans="1:10" x14ac:dyDescent="0.25">
      <c r="A87" s="31" t="s">
        <v>886</v>
      </c>
      <c r="B87" s="31" t="s">
        <v>887</v>
      </c>
      <c r="C87" s="31" t="s">
        <v>432</v>
      </c>
      <c r="D87" s="49">
        <v>46064</v>
      </c>
      <c r="E87" s="31" t="s">
        <v>950</v>
      </c>
      <c r="F87" s="31">
        <v>137</v>
      </c>
      <c r="G87" s="31" t="s">
        <v>975</v>
      </c>
      <c r="H87" s="31">
        <v>53.57</v>
      </c>
      <c r="I87" s="31">
        <v>0</v>
      </c>
      <c r="J87" s="50">
        <v>8825.8</v>
      </c>
    </row>
    <row r="88" hidden="1" spans="1:10" x14ac:dyDescent="0.25">
      <c r="A88" s="31" t="s">
        <v>886</v>
      </c>
      <c r="B88" s="31" t="s">
        <v>887</v>
      </c>
      <c r="C88" s="31" t="s">
        <v>432</v>
      </c>
      <c r="D88" s="49">
        <v>46064</v>
      </c>
      <c r="E88" s="31" t="s">
        <v>950</v>
      </c>
      <c r="F88" s="31">
        <v>137</v>
      </c>
      <c r="G88" s="31" t="s">
        <v>976</v>
      </c>
      <c r="H88" s="31">
        <v>68.16</v>
      </c>
      <c r="I88" s="31">
        <v>0</v>
      </c>
      <c r="J88" s="50">
        <v>8893.96</v>
      </c>
    </row>
    <row r="89" hidden="1" spans="1:10" x14ac:dyDescent="0.25">
      <c r="A89" s="31" t="s">
        <v>886</v>
      </c>
      <c r="B89" s="31" t="s">
        <v>887</v>
      </c>
      <c r="C89" s="31" t="s">
        <v>432</v>
      </c>
      <c r="D89" s="49">
        <v>46064</v>
      </c>
      <c r="E89" s="31" t="s">
        <v>950</v>
      </c>
      <c r="F89" s="31">
        <v>138</v>
      </c>
      <c r="G89" s="31" t="s">
        <v>977</v>
      </c>
      <c r="H89" s="31">
        <v>52.37</v>
      </c>
      <c r="I89" s="31">
        <v>0</v>
      </c>
      <c r="J89" s="50">
        <v>8946.33</v>
      </c>
    </row>
    <row r="90" hidden="1" spans="1:10" x14ac:dyDescent="0.25">
      <c r="A90" s="31" t="s">
        <v>886</v>
      </c>
      <c r="B90" s="31" t="s">
        <v>887</v>
      </c>
      <c r="C90" s="31" t="s">
        <v>432</v>
      </c>
      <c r="D90" s="49">
        <v>46065</v>
      </c>
      <c r="E90" s="31" t="s">
        <v>950</v>
      </c>
      <c r="F90" s="31">
        <v>170</v>
      </c>
      <c r="G90" s="31" t="s">
        <v>978</v>
      </c>
      <c r="H90" s="31">
        <v>120.38</v>
      </c>
      <c r="I90" s="31">
        <v>0</v>
      </c>
      <c r="J90" s="50">
        <v>9066.71</v>
      </c>
    </row>
    <row r="91" hidden="1" spans="1:10" x14ac:dyDescent="0.25">
      <c r="A91" s="31" t="s">
        <v>886</v>
      </c>
      <c r="B91" s="31" t="s">
        <v>887</v>
      </c>
      <c r="C91" s="31" t="s">
        <v>432</v>
      </c>
      <c r="D91" s="49">
        <v>46065</v>
      </c>
      <c r="E91" s="31" t="s">
        <v>950</v>
      </c>
      <c r="F91" s="31">
        <v>170</v>
      </c>
      <c r="G91" s="31" t="s">
        <v>979</v>
      </c>
      <c r="H91" s="31">
        <v>366.84</v>
      </c>
      <c r="I91" s="31">
        <v>0</v>
      </c>
      <c r="J91" s="50">
        <v>9433.55</v>
      </c>
    </row>
    <row r="92" hidden="1" spans="1:10" x14ac:dyDescent="0.25">
      <c r="A92" s="31" t="s">
        <v>886</v>
      </c>
      <c r="B92" s="31" t="s">
        <v>887</v>
      </c>
      <c r="C92" s="31" t="s">
        <v>432</v>
      </c>
      <c r="D92" s="49">
        <v>46065</v>
      </c>
      <c r="E92" s="31" t="s">
        <v>950</v>
      </c>
      <c r="F92" s="31">
        <v>170</v>
      </c>
      <c r="G92" s="31" t="s">
        <v>980</v>
      </c>
      <c r="H92" s="31">
        <v>50.02</v>
      </c>
      <c r="I92" s="31">
        <v>0</v>
      </c>
      <c r="J92" s="50">
        <v>9483.57</v>
      </c>
    </row>
    <row r="93" hidden="1" spans="1:10" x14ac:dyDescent="0.25">
      <c r="A93" s="31" t="s">
        <v>886</v>
      </c>
      <c r="B93" s="31" t="s">
        <v>887</v>
      </c>
      <c r="C93" s="31" t="s">
        <v>432</v>
      </c>
      <c r="D93" s="49">
        <v>46065</v>
      </c>
      <c r="E93" s="31" t="s">
        <v>950</v>
      </c>
      <c r="F93" s="31">
        <v>171</v>
      </c>
      <c r="G93" s="31" t="s">
        <v>981</v>
      </c>
      <c r="H93" s="31">
        <v>263.71</v>
      </c>
      <c r="I93" s="31">
        <v>0</v>
      </c>
      <c r="J93" s="50">
        <v>9747.28</v>
      </c>
    </row>
    <row r="94" hidden="1" spans="1:10" x14ac:dyDescent="0.25">
      <c r="A94" s="31" t="s">
        <v>886</v>
      </c>
      <c r="B94" s="31" t="s">
        <v>887</v>
      </c>
      <c r="C94" s="31" t="s">
        <v>432</v>
      </c>
      <c r="D94" s="49">
        <v>46065</v>
      </c>
      <c r="E94" s="31" t="s">
        <v>950</v>
      </c>
      <c r="F94" s="31">
        <v>171</v>
      </c>
      <c r="G94" s="31" t="s">
        <v>982</v>
      </c>
      <c r="H94" s="31">
        <v>84.21</v>
      </c>
      <c r="I94" s="31">
        <v>0</v>
      </c>
      <c r="J94" s="50">
        <v>9831.49</v>
      </c>
    </row>
    <row r="95" hidden="1" spans="1:10" x14ac:dyDescent="0.25">
      <c r="A95" s="31" t="s">
        <v>886</v>
      </c>
      <c r="B95" s="31" t="s">
        <v>887</v>
      </c>
      <c r="C95" s="31" t="s">
        <v>432</v>
      </c>
      <c r="D95" s="49">
        <v>46066</v>
      </c>
      <c r="E95" s="31" t="s">
        <v>950</v>
      </c>
      <c r="F95" s="31">
        <v>178</v>
      </c>
      <c r="G95" s="31" t="s">
        <v>983</v>
      </c>
      <c r="H95" s="31">
        <v>172.12</v>
      </c>
      <c r="I95" s="31">
        <v>0</v>
      </c>
      <c r="J95" s="50">
        <v>10003.61</v>
      </c>
    </row>
    <row r="96" hidden="1" spans="1:10" x14ac:dyDescent="0.25">
      <c r="A96" s="31" t="s">
        <v>886</v>
      </c>
      <c r="B96" s="31" t="s">
        <v>887</v>
      </c>
      <c r="C96" s="31" t="s">
        <v>432</v>
      </c>
      <c r="D96" s="49">
        <v>46066</v>
      </c>
      <c r="E96" s="31" t="s">
        <v>950</v>
      </c>
      <c r="F96" s="31">
        <v>178</v>
      </c>
      <c r="G96" s="31" t="s">
        <v>984</v>
      </c>
      <c r="H96" s="31">
        <v>456.67</v>
      </c>
      <c r="I96" s="31">
        <v>0</v>
      </c>
      <c r="J96" s="50">
        <v>10460.28</v>
      </c>
    </row>
    <row r="97" hidden="1" spans="1:10" x14ac:dyDescent="0.25">
      <c r="A97" s="31" t="s">
        <v>886</v>
      </c>
      <c r="B97" s="31" t="s">
        <v>887</v>
      </c>
      <c r="C97" s="31" t="s">
        <v>432</v>
      </c>
      <c r="D97" s="49">
        <v>46066</v>
      </c>
      <c r="E97" s="31" t="s">
        <v>950</v>
      </c>
      <c r="F97" s="31">
        <v>178</v>
      </c>
      <c r="G97" s="31" t="s">
        <v>985</v>
      </c>
      <c r="H97" s="31">
        <v>626.02</v>
      </c>
      <c r="I97" s="31">
        <v>0</v>
      </c>
      <c r="J97" s="50">
        <v>11086.3</v>
      </c>
    </row>
    <row r="98" hidden="1" spans="1:10" x14ac:dyDescent="0.25">
      <c r="A98" s="31" t="s">
        <v>886</v>
      </c>
      <c r="B98" s="31" t="s">
        <v>887</v>
      </c>
      <c r="C98" s="31" t="s">
        <v>432</v>
      </c>
      <c r="D98" s="49">
        <v>46066</v>
      </c>
      <c r="E98" s="31" t="s">
        <v>950</v>
      </c>
      <c r="F98" s="31">
        <v>179</v>
      </c>
      <c r="G98" s="31" t="s">
        <v>986</v>
      </c>
      <c r="H98" s="31">
        <v>7.47</v>
      </c>
      <c r="I98" s="31">
        <v>0</v>
      </c>
      <c r="J98" s="50">
        <v>11093.77</v>
      </c>
    </row>
    <row r="99" hidden="1" spans="1:10" x14ac:dyDescent="0.25">
      <c r="A99" s="31" t="s">
        <v>886</v>
      </c>
      <c r="B99" s="31" t="s">
        <v>887</v>
      </c>
      <c r="C99" s="31" t="s">
        <v>432</v>
      </c>
      <c r="D99" s="49">
        <v>46066</v>
      </c>
      <c r="E99" s="31" t="s">
        <v>950</v>
      </c>
      <c r="F99" s="31">
        <v>179</v>
      </c>
      <c r="G99" s="31" t="s">
        <v>987</v>
      </c>
      <c r="H99" s="31">
        <v>14.79</v>
      </c>
      <c r="I99" s="31">
        <v>0</v>
      </c>
      <c r="J99" s="50">
        <v>11108.56</v>
      </c>
    </row>
    <row r="100" hidden="1" spans="1:10" x14ac:dyDescent="0.25">
      <c r="A100" s="31" t="s">
        <v>886</v>
      </c>
      <c r="B100" s="31" t="s">
        <v>887</v>
      </c>
      <c r="C100" s="31" t="s">
        <v>432</v>
      </c>
      <c r="D100" s="49">
        <v>46066</v>
      </c>
      <c r="E100" s="31" t="s">
        <v>950</v>
      </c>
      <c r="F100" s="31">
        <v>180</v>
      </c>
      <c r="G100" s="31" t="s">
        <v>988</v>
      </c>
      <c r="H100" s="31">
        <v>1.05</v>
      </c>
      <c r="I100" s="31">
        <v>0</v>
      </c>
      <c r="J100" s="50">
        <v>11109.61</v>
      </c>
    </row>
    <row r="101" hidden="1" spans="1:10" x14ac:dyDescent="0.25">
      <c r="A101" s="31" t="s">
        <v>886</v>
      </c>
      <c r="B101" s="31" t="s">
        <v>887</v>
      </c>
      <c r="C101" s="31" t="s">
        <v>432</v>
      </c>
      <c r="D101" s="49">
        <v>46066</v>
      </c>
      <c r="E101" s="31" t="s">
        <v>950</v>
      </c>
      <c r="F101" s="31">
        <v>181</v>
      </c>
      <c r="G101" s="31" t="s">
        <v>989</v>
      </c>
      <c r="H101" s="31">
        <v>18.23</v>
      </c>
      <c r="I101" s="31">
        <v>0</v>
      </c>
      <c r="J101" s="50">
        <v>11127.84</v>
      </c>
    </row>
    <row r="102" hidden="1" spans="1:10" x14ac:dyDescent="0.25">
      <c r="A102" s="31" t="s">
        <v>886</v>
      </c>
      <c r="B102" s="31" t="s">
        <v>887</v>
      </c>
      <c r="C102" s="31" t="s">
        <v>432</v>
      </c>
      <c r="D102" s="49">
        <v>46067</v>
      </c>
      <c r="E102" s="31" t="s">
        <v>950</v>
      </c>
      <c r="F102" s="31">
        <v>187</v>
      </c>
      <c r="G102" s="31" t="s">
        <v>990</v>
      </c>
      <c r="H102" s="31">
        <v>166.76</v>
      </c>
      <c r="I102" s="31">
        <v>0</v>
      </c>
      <c r="J102" s="50">
        <v>11294.6</v>
      </c>
    </row>
    <row r="103" hidden="1" spans="1:10" x14ac:dyDescent="0.25">
      <c r="A103" s="31" t="s">
        <v>886</v>
      </c>
      <c r="B103" s="31" t="s">
        <v>887</v>
      </c>
      <c r="C103" s="31" t="s">
        <v>432</v>
      </c>
      <c r="D103" s="49">
        <v>46067</v>
      </c>
      <c r="E103" s="31" t="s">
        <v>950</v>
      </c>
      <c r="F103" s="31">
        <v>187</v>
      </c>
      <c r="G103" s="31" t="s">
        <v>991</v>
      </c>
      <c r="H103" s="31">
        <v>5.28</v>
      </c>
      <c r="I103" s="31">
        <v>0</v>
      </c>
      <c r="J103" s="50">
        <v>11299.88</v>
      </c>
    </row>
    <row r="104" hidden="1" spans="1:10" x14ac:dyDescent="0.25">
      <c r="A104" s="31" t="s">
        <v>886</v>
      </c>
      <c r="B104" s="31" t="s">
        <v>887</v>
      </c>
      <c r="C104" s="31" t="s">
        <v>432</v>
      </c>
      <c r="D104" s="49">
        <v>46067</v>
      </c>
      <c r="E104" s="31" t="s">
        <v>950</v>
      </c>
      <c r="F104" s="31">
        <v>188</v>
      </c>
      <c r="G104" s="31" t="s">
        <v>992</v>
      </c>
      <c r="H104" s="31">
        <v>250.62</v>
      </c>
      <c r="I104" s="31">
        <v>0</v>
      </c>
      <c r="J104" s="50">
        <v>11550.5</v>
      </c>
    </row>
    <row r="105" hidden="1" spans="1:10" x14ac:dyDescent="0.25">
      <c r="A105" s="31" t="s">
        <v>886</v>
      </c>
      <c r="B105" s="31" t="s">
        <v>887</v>
      </c>
      <c r="C105" s="31" t="s">
        <v>432</v>
      </c>
      <c r="D105" s="49">
        <v>46067</v>
      </c>
      <c r="E105" s="31" t="s">
        <v>950</v>
      </c>
      <c r="F105" s="31">
        <v>188</v>
      </c>
      <c r="G105" s="31" t="s">
        <v>993</v>
      </c>
      <c r="H105" s="31">
        <v>17.36</v>
      </c>
      <c r="I105" s="31">
        <v>0</v>
      </c>
      <c r="J105" s="50">
        <v>11567.86</v>
      </c>
    </row>
    <row r="106" hidden="1" spans="1:10" x14ac:dyDescent="0.25">
      <c r="A106" s="31" t="s">
        <v>886</v>
      </c>
      <c r="B106" s="31" t="s">
        <v>887</v>
      </c>
      <c r="C106" s="31" t="s">
        <v>432</v>
      </c>
      <c r="D106" s="49">
        <v>46067</v>
      </c>
      <c r="E106" s="31" t="s">
        <v>950</v>
      </c>
      <c r="F106" s="31">
        <v>189</v>
      </c>
      <c r="G106" s="31" t="s">
        <v>994</v>
      </c>
      <c r="H106" s="31">
        <v>4.52</v>
      </c>
      <c r="I106" s="31">
        <v>0</v>
      </c>
      <c r="J106" s="50">
        <v>11572.38</v>
      </c>
    </row>
    <row r="107" hidden="1" spans="1:10" x14ac:dyDescent="0.25">
      <c r="A107" s="31" t="s">
        <v>886</v>
      </c>
      <c r="B107" s="31" t="s">
        <v>887</v>
      </c>
      <c r="C107" s="31" t="s">
        <v>432</v>
      </c>
      <c r="D107" s="49">
        <v>46071</v>
      </c>
      <c r="E107" s="31" t="s">
        <v>950</v>
      </c>
      <c r="F107" s="31">
        <v>220</v>
      </c>
      <c r="G107" s="31" t="s">
        <v>995</v>
      </c>
      <c r="H107" s="31">
        <v>6</v>
      </c>
      <c r="I107" s="31">
        <v>0</v>
      </c>
      <c r="J107" s="50">
        <v>11578.38</v>
      </c>
    </row>
    <row r="108" hidden="1" spans="1:10" x14ac:dyDescent="0.25">
      <c r="A108" s="31" t="s">
        <v>886</v>
      </c>
      <c r="B108" s="31" t="s">
        <v>887</v>
      </c>
      <c r="C108" s="31" t="s">
        <v>432</v>
      </c>
      <c r="D108" s="49">
        <v>46071</v>
      </c>
      <c r="E108" s="31" t="s">
        <v>950</v>
      </c>
      <c r="F108" s="31">
        <v>220</v>
      </c>
      <c r="G108" s="31" t="s">
        <v>996</v>
      </c>
      <c r="H108" s="31">
        <v>31.31</v>
      </c>
      <c r="I108" s="31">
        <v>0</v>
      </c>
      <c r="J108" s="50">
        <v>11609.69</v>
      </c>
    </row>
    <row r="109" hidden="1" spans="1:10" x14ac:dyDescent="0.25">
      <c r="A109" s="31" t="s">
        <v>886</v>
      </c>
      <c r="B109" s="31" t="s">
        <v>887</v>
      </c>
      <c r="C109" s="31" t="s">
        <v>432</v>
      </c>
      <c r="D109" s="49">
        <v>46071</v>
      </c>
      <c r="E109" s="31" t="s">
        <v>950</v>
      </c>
      <c r="F109" s="31">
        <v>220</v>
      </c>
      <c r="G109" s="31" t="s">
        <v>997</v>
      </c>
      <c r="H109" s="31">
        <v>63</v>
      </c>
      <c r="I109" s="31">
        <v>0</v>
      </c>
      <c r="J109" s="50">
        <v>11672.69</v>
      </c>
    </row>
    <row r="110" hidden="1" spans="1:10" x14ac:dyDescent="0.25">
      <c r="A110" s="31" t="s">
        <v>886</v>
      </c>
      <c r="B110" s="31" t="s">
        <v>887</v>
      </c>
      <c r="C110" s="31" t="s">
        <v>432</v>
      </c>
      <c r="D110" s="49">
        <v>46072</v>
      </c>
      <c r="E110" s="31" t="s">
        <v>950</v>
      </c>
      <c r="F110" s="31">
        <v>226</v>
      </c>
      <c r="G110" s="31" t="s">
        <v>998</v>
      </c>
      <c r="H110" s="31">
        <v>127.86</v>
      </c>
      <c r="I110" s="31">
        <v>0</v>
      </c>
      <c r="J110" s="50">
        <v>11800.55</v>
      </c>
    </row>
    <row r="111" hidden="1" spans="1:10" x14ac:dyDescent="0.25">
      <c r="A111" s="31" t="s">
        <v>886</v>
      </c>
      <c r="B111" s="31" t="s">
        <v>887</v>
      </c>
      <c r="C111" s="31" t="s">
        <v>432</v>
      </c>
      <c r="D111" s="49">
        <v>46072</v>
      </c>
      <c r="E111" s="31" t="s">
        <v>950</v>
      </c>
      <c r="F111" s="31">
        <v>227</v>
      </c>
      <c r="G111" s="31" t="s">
        <v>999</v>
      </c>
      <c r="H111" s="31">
        <v>104.18</v>
      </c>
      <c r="I111" s="31">
        <v>0</v>
      </c>
      <c r="J111" s="50">
        <v>11904.73</v>
      </c>
    </row>
    <row r="112" hidden="1" spans="1:10" x14ac:dyDescent="0.25">
      <c r="A112" s="31" t="s">
        <v>886</v>
      </c>
      <c r="B112" s="31" t="s">
        <v>887</v>
      </c>
      <c r="C112" s="31" t="s">
        <v>432</v>
      </c>
      <c r="D112" s="49">
        <v>46072</v>
      </c>
      <c r="E112" s="31" t="s">
        <v>950</v>
      </c>
      <c r="F112" s="31">
        <v>227</v>
      </c>
      <c r="G112" s="31" t="s">
        <v>1000</v>
      </c>
      <c r="H112" s="31">
        <v>239.56</v>
      </c>
      <c r="I112" s="31">
        <v>0</v>
      </c>
      <c r="J112" s="50">
        <v>12144.29</v>
      </c>
    </row>
    <row r="113" hidden="1" spans="1:10" x14ac:dyDescent="0.25">
      <c r="A113" s="31" t="s">
        <v>886</v>
      </c>
      <c r="B113" s="31" t="s">
        <v>887</v>
      </c>
      <c r="C113" s="31" t="s">
        <v>432</v>
      </c>
      <c r="D113" s="49">
        <v>46072</v>
      </c>
      <c r="E113" s="31" t="s">
        <v>950</v>
      </c>
      <c r="F113" s="31">
        <v>228</v>
      </c>
      <c r="G113" s="31" t="s">
        <v>1001</v>
      </c>
      <c r="H113" s="31">
        <v>16.38</v>
      </c>
      <c r="I113" s="31">
        <v>0</v>
      </c>
      <c r="J113" s="50">
        <v>12160.67</v>
      </c>
    </row>
    <row r="114" hidden="1" spans="1:10" x14ac:dyDescent="0.25">
      <c r="A114" s="31" t="s">
        <v>886</v>
      </c>
      <c r="B114" s="31" t="s">
        <v>887</v>
      </c>
      <c r="C114" s="31" t="s">
        <v>432</v>
      </c>
      <c r="D114" s="49">
        <v>46072</v>
      </c>
      <c r="E114" s="31" t="s">
        <v>950</v>
      </c>
      <c r="F114" s="31">
        <v>229</v>
      </c>
      <c r="G114" s="31" t="s">
        <v>1002</v>
      </c>
      <c r="H114" s="31">
        <v>150.22</v>
      </c>
      <c r="I114" s="31">
        <v>0</v>
      </c>
      <c r="J114" s="50">
        <v>12310.89</v>
      </c>
    </row>
    <row r="115" hidden="1" spans="1:10" x14ac:dyDescent="0.25">
      <c r="A115" s="31" t="s">
        <v>886</v>
      </c>
      <c r="B115" s="31" t="s">
        <v>887</v>
      </c>
      <c r="C115" s="31" t="s">
        <v>432</v>
      </c>
      <c r="D115" s="49">
        <v>46072</v>
      </c>
      <c r="E115" s="31" t="s">
        <v>950</v>
      </c>
      <c r="F115" s="31">
        <v>229</v>
      </c>
      <c r="G115" s="31" t="s">
        <v>1003</v>
      </c>
      <c r="H115" s="31">
        <v>218.65</v>
      </c>
      <c r="I115" s="31">
        <v>0</v>
      </c>
      <c r="J115" s="50">
        <v>12529.54</v>
      </c>
    </row>
    <row r="116" hidden="1" spans="1:10" x14ac:dyDescent="0.25">
      <c r="A116" s="31" t="s">
        <v>886</v>
      </c>
      <c r="B116" s="31" t="s">
        <v>887</v>
      </c>
      <c r="C116" s="31" t="s">
        <v>432</v>
      </c>
      <c r="D116" s="49">
        <v>46072</v>
      </c>
      <c r="E116" s="31" t="s">
        <v>950</v>
      </c>
      <c r="F116" s="31">
        <v>230</v>
      </c>
      <c r="G116" s="31" t="s">
        <v>1004</v>
      </c>
      <c r="H116" s="31">
        <v>83.33</v>
      </c>
      <c r="I116" s="31">
        <v>0</v>
      </c>
      <c r="J116" s="50">
        <v>12612.87</v>
      </c>
    </row>
    <row r="117" hidden="1" spans="1:10" x14ac:dyDescent="0.25">
      <c r="A117" s="31" t="s">
        <v>886</v>
      </c>
      <c r="B117" s="31" t="s">
        <v>887</v>
      </c>
      <c r="C117" s="31" t="s">
        <v>432</v>
      </c>
      <c r="D117" s="49">
        <v>46072</v>
      </c>
      <c r="E117" s="31" t="s">
        <v>950</v>
      </c>
      <c r="F117" s="31">
        <v>230</v>
      </c>
      <c r="G117" s="31" t="s">
        <v>1005</v>
      </c>
      <c r="H117" s="31">
        <v>39.62</v>
      </c>
      <c r="I117" s="31">
        <v>0</v>
      </c>
      <c r="J117" s="50">
        <v>12652.49</v>
      </c>
    </row>
    <row r="118" hidden="1" spans="1:10" x14ac:dyDescent="0.25">
      <c r="A118" s="31" t="s">
        <v>886</v>
      </c>
      <c r="B118" s="31" t="s">
        <v>887</v>
      </c>
      <c r="C118" s="31" t="s">
        <v>432</v>
      </c>
      <c r="D118" s="49">
        <v>46073</v>
      </c>
      <c r="E118" s="31" t="s">
        <v>950</v>
      </c>
      <c r="F118" s="31">
        <v>240</v>
      </c>
      <c r="G118" s="31" t="s">
        <v>1006</v>
      </c>
      <c r="H118" s="31">
        <v>205.56</v>
      </c>
      <c r="I118" s="31">
        <v>0</v>
      </c>
      <c r="J118" s="50">
        <v>12858.05</v>
      </c>
    </row>
    <row r="119" hidden="1" spans="1:10" x14ac:dyDescent="0.25">
      <c r="A119" s="31" t="s">
        <v>886</v>
      </c>
      <c r="B119" s="31" t="s">
        <v>887</v>
      </c>
      <c r="C119" s="31" t="s">
        <v>432</v>
      </c>
      <c r="D119" s="49">
        <v>46073</v>
      </c>
      <c r="E119" s="31" t="s">
        <v>950</v>
      </c>
      <c r="F119" s="31">
        <v>240</v>
      </c>
      <c r="G119" s="31" t="s">
        <v>1007</v>
      </c>
      <c r="H119" s="31">
        <v>164.54</v>
      </c>
      <c r="I119" s="31">
        <v>0</v>
      </c>
      <c r="J119" s="50">
        <v>13022.59</v>
      </c>
    </row>
    <row r="120" hidden="1" spans="1:10" x14ac:dyDescent="0.25">
      <c r="A120" s="31" t="s">
        <v>886</v>
      </c>
      <c r="B120" s="31" t="s">
        <v>887</v>
      </c>
      <c r="C120" s="31" t="s">
        <v>432</v>
      </c>
      <c r="D120" s="49">
        <v>46073</v>
      </c>
      <c r="E120" s="31" t="s">
        <v>950</v>
      </c>
      <c r="F120" s="31">
        <v>240</v>
      </c>
      <c r="G120" s="31" t="s">
        <v>1008</v>
      </c>
      <c r="H120" s="31">
        <v>37.5</v>
      </c>
      <c r="I120" s="31">
        <v>0</v>
      </c>
      <c r="J120" s="50">
        <v>13060.09</v>
      </c>
    </row>
    <row r="121" hidden="1" spans="1:10" x14ac:dyDescent="0.25">
      <c r="A121" s="31" t="s">
        <v>886</v>
      </c>
      <c r="B121" s="31" t="s">
        <v>887</v>
      </c>
      <c r="C121" s="31" t="s">
        <v>432</v>
      </c>
      <c r="D121" s="49">
        <v>46074</v>
      </c>
      <c r="E121" s="31" t="s">
        <v>950</v>
      </c>
      <c r="F121" s="31">
        <v>264</v>
      </c>
      <c r="G121" s="31" t="s">
        <v>1009</v>
      </c>
      <c r="H121" s="31">
        <v>15.31</v>
      </c>
      <c r="I121" s="31">
        <v>0</v>
      </c>
      <c r="J121" s="50">
        <v>13075.4</v>
      </c>
    </row>
    <row r="122" hidden="1" spans="1:10" x14ac:dyDescent="0.25">
      <c r="A122" s="31" t="s">
        <v>886</v>
      </c>
      <c r="B122" s="31" t="s">
        <v>887</v>
      </c>
      <c r="C122" s="31" t="s">
        <v>432</v>
      </c>
      <c r="D122" s="49">
        <v>46074</v>
      </c>
      <c r="E122" s="31" t="s">
        <v>950</v>
      </c>
      <c r="F122" s="31">
        <v>265</v>
      </c>
      <c r="G122" s="31" t="s">
        <v>1010</v>
      </c>
      <c r="H122" s="31">
        <v>124.78</v>
      </c>
      <c r="I122" s="31">
        <v>0</v>
      </c>
      <c r="J122" s="50">
        <v>13200.18</v>
      </c>
    </row>
    <row r="123" hidden="1" spans="1:10" x14ac:dyDescent="0.25">
      <c r="A123" s="31" t="s">
        <v>886</v>
      </c>
      <c r="B123" s="31" t="s">
        <v>887</v>
      </c>
      <c r="C123" s="31" t="s">
        <v>432</v>
      </c>
      <c r="D123" s="49">
        <v>46074</v>
      </c>
      <c r="E123" s="31" t="s">
        <v>950</v>
      </c>
      <c r="F123" s="31">
        <v>266</v>
      </c>
      <c r="G123" s="31" t="s">
        <v>1011</v>
      </c>
      <c r="H123" s="31">
        <v>23.16</v>
      </c>
      <c r="I123" s="31">
        <v>0</v>
      </c>
      <c r="J123" s="50">
        <v>13223.34</v>
      </c>
    </row>
    <row r="124" hidden="1" spans="1:10" x14ac:dyDescent="0.25">
      <c r="A124" s="31" t="s">
        <v>886</v>
      </c>
      <c r="B124" s="31" t="s">
        <v>887</v>
      </c>
      <c r="C124" s="31" t="s">
        <v>432</v>
      </c>
      <c r="D124" s="49">
        <v>46074</v>
      </c>
      <c r="E124" s="31" t="s">
        <v>950</v>
      </c>
      <c r="F124" s="31">
        <v>266</v>
      </c>
      <c r="G124" s="31" t="s">
        <v>1012</v>
      </c>
      <c r="H124" s="31">
        <v>3.55</v>
      </c>
      <c r="I124" s="31">
        <v>0</v>
      </c>
      <c r="J124" s="50">
        <v>13226.89</v>
      </c>
    </row>
    <row r="125" hidden="1" spans="1:10" x14ac:dyDescent="0.25">
      <c r="A125" s="31" t="s">
        <v>886</v>
      </c>
      <c r="B125" s="31" t="s">
        <v>887</v>
      </c>
      <c r="C125" s="31" t="s">
        <v>432</v>
      </c>
      <c r="D125" s="49">
        <v>46074</v>
      </c>
      <c r="E125" s="31" t="s">
        <v>950</v>
      </c>
      <c r="F125" s="31">
        <v>266</v>
      </c>
      <c r="G125" s="31" t="s">
        <v>1013</v>
      </c>
      <c r="H125" s="31">
        <v>91.09</v>
      </c>
      <c r="I125" s="31">
        <v>0</v>
      </c>
      <c r="J125" s="50">
        <v>13317.98</v>
      </c>
    </row>
    <row r="126" hidden="1" spans="1:10" x14ac:dyDescent="0.25">
      <c r="A126" s="31" t="s">
        <v>886</v>
      </c>
      <c r="B126" s="31" t="s">
        <v>887</v>
      </c>
      <c r="C126" s="31" t="s">
        <v>432</v>
      </c>
      <c r="D126" s="49">
        <v>46074</v>
      </c>
      <c r="E126" s="31" t="s">
        <v>950</v>
      </c>
      <c r="F126" s="31">
        <v>266</v>
      </c>
      <c r="G126" s="31" t="s">
        <v>1014</v>
      </c>
      <c r="H126" s="31">
        <v>86.29</v>
      </c>
      <c r="I126" s="31">
        <v>0</v>
      </c>
      <c r="J126" s="50">
        <v>13404.27</v>
      </c>
    </row>
    <row r="127" hidden="1" spans="1:10" x14ac:dyDescent="0.25">
      <c r="A127" s="31" t="s">
        <v>886</v>
      </c>
      <c r="B127" s="31" t="s">
        <v>887</v>
      </c>
      <c r="C127" s="31" t="s">
        <v>432</v>
      </c>
      <c r="D127" s="49">
        <v>46074</v>
      </c>
      <c r="E127" s="31" t="s">
        <v>950</v>
      </c>
      <c r="F127" s="31">
        <v>266</v>
      </c>
      <c r="G127" s="31" t="s">
        <v>1015</v>
      </c>
      <c r="H127" s="31">
        <v>10.87</v>
      </c>
      <c r="I127" s="31">
        <v>0</v>
      </c>
      <c r="J127" s="50">
        <v>13415.14</v>
      </c>
    </row>
    <row r="128" hidden="1" spans="1:10" x14ac:dyDescent="0.25">
      <c r="A128" s="31" t="s">
        <v>886</v>
      </c>
      <c r="B128" s="31" t="s">
        <v>887</v>
      </c>
      <c r="C128" s="31" t="s">
        <v>432</v>
      </c>
      <c r="D128" s="49">
        <v>46074</v>
      </c>
      <c r="E128" s="31" t="s">
        <v>950</v>
      </c>
      <c r="F128" s="31">
        <v>266</v>
      </c>
      <c r="G128" s="31" t="s">
        <v>1016</v>
      </c>
      <c r="H128" s="31">
        <v>9.36</v>
      </c>
      <c r="I128" s="31">
        <v>0</v>
      </c>
      <c r="J128" s="50">
        <v>13424.5</v>
      </c>
    </row>
    <row r="129" hidden="1" spans="1:10" x14ac:dyDescent="0.25">
      <c r="A129" s="31" t="s">
        <v>886</v>
      </c>
      <c r="B129" s="31" t="s">
        <v>887</v>
      </c>
      <c r="C129" s="31" t="s">
        <v>432</v>
      </c>
      <c r="D129" s="49">
        <v>46076</v>
      </c>
      <c r="E129" s="31" t="s">
        <v>950</v>
      </c>
      <c r="F129" s="31">
        <v>272</v>
      </c>
      <c r="G129" s="31" t="s">
        <v>1017</v>
      </c>
      <c r="H129" s="31">
        <v>31.31</v>
      </c>
      <c r="I129" s="31">
        <v>0</v>
      </c>
      <c r="J129" s="50">
        <v>13455.81</v>
      </c>
    </row>
    <row r="130" hidden="1" spans="1:10" x14ac:dyDescent="0.25">
      <c r="A130" s="31" t="s">
        <v>886</v>
      </c>
      <c r="B130" s="31" t="s">
        <v>887</v>
      </c>
      <c r="C130" s="31" t="s">
        <v>432</v>
      </c>
      <c r="D130" s="49">
        <v>46076</v>
      </c>
      <c r="E130" s="31" t="s">
        <v>950</v>
      </c>
      <c r="F130" s="31">
        <v>273</v>
      </c>
      <c r="G130" s="31" t="s">
        <v>1018</v>
      </c>
      <c r="H130" s="31">
        <v>42.75</v>
      </c>
      <c r="I130" s="31">
        <v>0</v>
      </c>
      <c r="J130" s="50">
        <v>13498.56</v>
      </c>
    </row>
    <row r="131" hidden="1" spans="1:10" x14ac:dyDescent="0.25">
      <c r="A131" s="31" t="s">
        <v>886</v>
      </c>
      <c r="B131" s="31" t="s">
        <v>887</v>
      </c>
      <c r="C131" s="31" t="s">
        <v>432</v>
      </c>
      <c r="D131" s="49">
        <v>46076</v>
      </c>
      <c r="E131" s="31" t="s">
        <v>950</v>
      </c>
      <c r="F131" s="31">
        <v>274</v>
      </c>
      <c r="G131" s="31" t="s">
        <v>1019</v>
      </c>
      <c r="H131" s="31">
        <v>1.44</v>
      </c>
      <c r="I131" s="31">
        <v>0</v>
      </c>
      <c r="J131" s="50">
        <v>13500</v>
      </c>
    </row>
    <row r="132" hidden="1" spans="1:10" x14ac:dyDescent="0.25">
      <c r="A132" s="31" t="s">
        <v>886</v>
      </c>
      <c r="B132" s="31" t="s">
        <v>887</v>
      </c>
      <c r="C132" s="31" t="s">
        <v>432</v>
      </c>
      <c r="D132" s="49">
        <v>46076</v>
      </c>
      <c r="E132" s="31" t="s">
        <v>950</v>
      </c>
      <c r="F132" s="31">
        <v>274</v>
      </c>
      <c r="G132" s="31" t="s">
        <v>1020</v>
      </c>
      <c r="H132" s="31">
        <v>3.14</v>
      </c>
      <c r="I132" s="31">
        <v>0</v>
      </c>
      <c r="J132" s="50">
        <v>13503.14</v>
      </c>
    </row>
    <row r="133" hidden="1" spans="1:10" x14ac:dyDescent="0.25">
      <c r="A133" s="31" t="s">
        <v>886</v>
      </c>
      <c r="B133" s="31" t="s">
        <v>887</v>
      </c>
      <c r="C133" s="31" t="s">
        <v>432</v>
      </c>
      <c r="D133" s="49">
        <v>46076</v>
      </c>
      <c r="E133" s="31" t="s">
        <v>950</v>
      </c>
      <c r="F133" s="31">
        <v>274</v>
      </c>
      <c r="G133" s="31" t="s">
        <v>1021</v>
      </c>
      <c r="H133" s="31">
        <v>1.44</v>
      </c>
      <c r="I133" s="31">
        <v>0</v>
      </c>
      <c r="J133" s="50">
        <v>13504.58</v>
      </c>
    </row>
    <row r="134" hidden="1" spans="1:10" x14ac:dyDescent="0.25">
      <c r="A134" s="31" t="s">
        <v>886</v>
      </c>
      <c r="B134" s="31" t="s">
        <v>887</v>
      </c>
      <c r="C134" s="31" t="s">
        <v>432</v>
      </c>
      <c r="D134" s="49">
        <v>46076</v>
      </c>
      <c r="E134" s="31" t="s">
        <v>950</v>
      </c>
      <c r="F134" s="31">
        <v>274</v>
      </c>
      <c r="G134" s="31" t="s">
        <v>1022</v>
      </c>
      <c r="H134" s="31">
        <v>1.5</v>
      </c>
      <c r="I134" s="31">
        <v>0</v>
      </c>
      <c r="J134" s="50">
        <v>13506.08</v>
      </c>
    </row>
    <row r="135" hidden="1" spans="1:10" x14ac:dyDescent="0.25">
      <c r="A135" s="31" t="s">
        <v>886</v>
      </c>
      <c r="B135" s="31" t="s">
        <v>887</v>
      </c>
      <c r="C135" s="31" t="s">
        <v>432</v>
      </c>
      <c r="D135" s="49">
        <v>46077</v>
      </c>
      <c r="E135" s="31" t="s">
        <v>950</v>
      </c>
      <c r="F135" s="31">
        <v>279</v>
      </c>
      <c r="G135" s="31" t="s">
        <v>1023</v>
      </c>
      <c r="H135" s="31">
        <v>16.86</v>
      </c>
      <c r="I135" s="31">
        <v>0</v>
      </c>
      <c r="J135" s="50">
        <v>13522.94</v>
      </c>
    </row>
    <row r="136" hidden="1" spans="1:10" x14ac:dyDescent="0.25">
      <c r="A136" s="31" t="s">
        <v>886</v>
      </c>
      <c r="B136" s="31" t="s">
        <v>887</v>
      </c>
      <c r="C136" s="31" t="s">
        <v>432</v>
      </c>
      <c r="D136" s="49">
        <v>46077</v>
      </c>
      <c r="E136" s="31" t="s">
        <v>950</v>
      </c>
      <c r="F136" s="31">
        <v>280</v>
      </c>
      <c r="G136" s="31" t="s">
        <v>1024</v>
      </c>
      <c r="H136" s="31">
        <v>522.05</v>
      </c>
      <c r="I136" s="31">
        <v>0</v>
      </c>
      <c r="J136" s="50">
        <v>14044.99</v>
      </c>
    </row>
    <row r="137" hidden="1" spans="1:10" x14ac:dyDescent="0.25">
      <c r="A137" s="31" t="s">
        <v>886</v>
      </c>
      <c r="B137" s="31" t="s">
        <v>887</v>
      </c>
      <c r="C137" s="31" t="s">
        <v>432</v>
      </c>
      <c r="D137" s="49">
        <v>46077</v>
      </c>
      <c r="E137" s="31" t="s">
        <v>950</v>
      </c>
      <c r="F137" s="31">
        <v>280</v>
      </c>
      <c r="G137" s="31" t="s">
        <v>1025</v>
      </c>
      <c r="H137" s="31">
        <v>19.5</v>
      </c>
      <c r="I137" s="31">
        <v>0</v>
      </c>
      <c r="J137" s="50">
        <v>14064.49</v>
      </c>
    </row>
    <row r="138" hidden="1" spans="1:10" x14ac:dyDescent="0.25">
      <c r="A138" s="31" t="s">
        <v>886</v>
      </c>
      <c r="B138" s="31" t="s">
        <v>887</v>
      </c>
      <c r="C138" s="31" t="s">
        <v>432</v>
      </c>
      <c r="D138" s="49">
        <v>46077</v>
      </c>
      <c r="E138" s="31" t="s">
        <v>950</v>
      </c>
      <c r="F138" s="31">
        <v>280</v>
      </c>
      <c r="G138" s="31" t="s">
        <v>1026</v>
      </c>
      <c r="H138" s="31">
        <v>18</v>
      </c>
      <c r="I138" s="31">
        <v>0</v>
      </c>
      <c r="J138" s="50">
        <v>14082.49</v>
      </c>
    </row>
    <row r="139" hidden="1" spans="1:10" x14ac:dyDescent="0.25">
      <c r="A139" s="31" t="s">
        <v>886</v>
      </c>
      <c r="B139" s="31" t="s">
        <v>887</v>
      </c>
      <c r="C139" s="31" t="s">
        <v>432</v>
      </c>
      <c r="D139" s="49">
        <v>46077</v>
      </c>
      <c r="E139" s="31" t="s">
        <v>950</v>
      </c>
      <c r="F139" s="31">
        <v>280</v>
      </c>
      <c r="G139" s="31" t="s">
        <v>1027</v>
      </c>
      <c r="H139" s="31">
        <v>6</v>
      </c>
      <c r="I139" s="31">
        <v>0</v>
      </c>
      <c r="J139" s="50">
        <v>14088.49</v>
      </c>
    </row>
    <row r="140" hidden="1" spans="1:10" x14ac:dyDescent="0.25">
      <c r="A140" s="31" t="s">
        <v>886</v>
      </c>
      <c r="B140" s="31" t="s">
        <v>887</v>
      </c>
      <c r="C140" s="31" t="s">
        <v>432</v>
      </c>
      <c r="D140" s="49">
        <v>46077</v>
      </c>
      <c r="E140" s="31" t="s">
        <v>950</v>
      </c>
      <c r="F140" s="31">
        <v>280</v>
      </c>
      <c r="G140" s="31" t="s">
        <v>1028</v>
      </c>
      <c r="H140" s="31">
        <v>6</v>
      </c>
      <c r="I140" s="31">
        <v>0</v>
      </c>
      <c r="J140" s="50">
        <v>14094.49</v>
      </c>
    </row>
    <row r="141" hidden="1" spans="1:10" x14ac:dyDescent="0.25">
      <c r="A141" s="31" t="s">
        <v>886</v>
      </c>
      <c r="B141" s="31" t="s">
        <v>887</v>
      </c>
      <c r="C141" s="31" t="s">
        <v>432</v>
      </c>
      <c r="D141" s="49">
        <v>46077</v>
      </c>
      <c r="E141" s="31" t="s">
        <v>950</v>
      </c>
      <c r="F141" s="31">
        <v>281</v>
      </c>
      <c r="G141" s="31" t="s">
        <v>1029</v>
      </c>
      <c r="H141" s="31">
        <v>41.99</v>
      </c>
      <c r="I141" s="31">
        <v>0</v>
      </c>
      <c r="J141" s="50">
        <v>14136.48</v>
      </c>
    </row>
    <row r="142" hidden="1" spans="1:10" x14ac:dyDescent="0.25">
      <c r="A142" s="31" t="s">
        <v>886</v>
      </c>
      <c r="B142" s="31" t="s">
        <v>887</v>
      </c>
      <c r="C142" s="31" t="s">
        <v>432</v>
      </c>
      <c r="D142" s="49">
        <v>46077</v>
      </c>
      <c r="E142" s="31" t="s">
        <v>950</v>
      </c>
      <c r="F142" s="31">
        <v>281</v>
      </c>
      <c r="G142" s="31" t="s">
        <v>1030</v>
      </c>
      <c r="H142" s="31">
        <v>13.72</v>
      </c>
      <c r="I142" s="31">
        <v>0</v>
      </c>
      <c r="J142" s="50">
        <v>14150.2</v>
      </c>
    </row>
    <row r="143" hidden="1" spans="1:10" x14ac:dyDescent="0.25">
      <c r="A143" s="31" t="s">
        <v>886</v>
      </c>
      <c r="B143" s="31" t="s">
        <v>887</v>
      </c>
      <c r="C143" s="31" t="s">
        <v>432</v>
      </c>
      <c r="D143" s="49">
        <v>46077</v>
      </c>
      <c r="E143" s="31" t="s">
        <v>950</v>
      </c>
      <c r="F143" s="31">
        <v>281</v>
      </c>
      <c r="G143" s="31" t="s">
        <v>1031</v>
      </c>
      <c r="H143" s="31">
        <v>58.94</v>
      </c>
      <c r="I143" s="31">
        <v>0</v>
      </c>
      <c r="J143" s="50">
        <v>14209.14</v>
      </c>
    </row>
    <row r="144" hidden="1" spans="1:10" x14ac:dyDescent="0.25">
      <c r="A144" s="31" t="s">
        <v>886</v>
      </c>
      <c r="B144" s="31" t="s">
        <v>887</v>
      </c>
      <c r="C144" s="31" t="s">
        <v>432</v>
      </c>
      <c r="D144" s="49">
        <v>46077</v>
      </c>
      <c r="E144" s="31" t="s">
        <v>950</v>
      </c>
      <c r="F144" s="31">
        <v>281</v>
      </c>
      <c r="G144" s="31" t="s">
        <v>1032</v>
      </c>
      <c r="H144" s="31">
        <v>17.93</v>
      </c>
      <c r="I144" s="31">
        <v>0</v>
      </c>
      <c r="J144" s="50">
        <v>14227.07</v>
      </c>
    </row>
    <row r="145" hidden="1" spans="1:10" x14ac:dyDescent="0.25">
      <c r="A145" s="31" t="s">
        <v>886</v>
      </c>
      <c r="B145" s="31" t="s">
        <v>887</v>
      </c>
      <c r="C145" s="31" t="s">
        <v>432</v>
      </c>
      <c r="D145" s="49">
        <v>46077</v>
      </c>
      <c r="E145" s="31" t="s">
        <v>950</v>
      </c>
      <c r="F145" s="31">
        <v>281</v>
      </c>
      <c r="G145" s="31" t="s">
        <v>1033</v>
      </c>
      <c r="H145" s="31">
        <v>44.4</v>
      </c>
      <c r="I145" s="31">
        <v>0</v>
      </c>
      <c r="J145" s="50">
        <v>14271.47</v>
      </c>
    </row>
    <row r="146" hidden="1" spans="1:10" x14ac:dyDescent="0.25">
      <c r="A146" s="31" t="s">
        <v>886</v>
      </c>
      <c r="B146" s="31" t="s">
        <v>887</v>
      </c>
      <c r="C146" s="31" t="s">
        <v>432</v>
      </c>
      <c r="D146" s="49">
        <v>46078</v>
      </c>
      <c r="E146" s="31" t="s">
        <v>950</v>
      </c>
      <c r="F146" s="31">
        <v>325</v>
      </c>
      <c r="G146" s="31" t="s">
        <v>1034</v>
      </c>
      <c r="H146" s="31">
        <v>185.6</v>
      </c>
      <c r="I146" s="31">
        <v>0</v>
      </c>
      <c r="J146" s="50">
        <v>14457.07</v>
      </c>
    </row>
    <row r="147" hidden="1" spans="1:10" x14ac:dyDescent="0.25">
      <c r="A147" s="31" t="s">
        <v>886</v>
      </c>
      <c r="B147" s="31" t="s">
        <v>887</v>
      </c>
      <c r="C147" s="31" t="s">
        <v>432</v>
      </c>
      <c r="D147" s="49">
        <v>46078</v>
      </c>
      <c r="E147" s="31" t="s">
        <v>950</v>
      </c>
      <c r="F147" s="31">
        <v>325</v>
      </c>
      <c r="G147" s="31" t="s">
        <v>1035</v>
      </c>
      <c r="H147" s="31">
        <v>117.86</v>
      </c>
      <c r="I147" s="31">
        <v>0</v>
      </c>
      <c r="J147" s="50">
        <v>14574.93</v>
      </c>
    </row>
    <row r="148" hidden="1" spans="1:10" x14ac:dyDescent="0.25">
      <c r="A148" s="31" t="s">
        <v>886</v>
      </c>
      <c r="B148" s="31" t="s">
        <v>887</v>
      </c>
      <c r="C148" s="31" t="s">
        <v>432</v>
      </c>
      <c r="D148" s="49">
        <v>46078</v>
      </c>
      <c r="E148" s="31" t="s">
        <v>950</v>
      </c>
      <c r="F148" s="31">
        <v>325</v>
      </c>
      <c r="G148" s="31" t="s">
        <v>1036</v>
      </c>
      <c r="H148" s="31">
        <v>197.2</v>
      </c>
      <c r="I148" s="31">
        <v>0</v>
      </c>
      <c r="J148" s="50">
        <v>14772.13</v>
      </c>
    </row>
    <row r="149" hidden="1" spans="1:10" x14ac:dyDescent="0.25">
      <c r="A149" s="31" t="s">
        <v>886</v>
      </c>
      <c r="B149" s="31" t="s">
        <v>887</v>
      </c>
      <c r="C149" s="31" t="s">
        <v>432</v>
      </c>
      <c r="D149" s="49">
        <v>46078</v>
      </c>
      <c r="E149" s="31" t="s">
        <v>950</v>
      </c>
      <c r="F149" s="31">
        <v>325</v>
      </c>
      <c r="G149" s="31" t="s">
        <v>1037</v>
      </c>
      <c r="H149" s="31">
        <v>12</v>
      </c>
      <c r="I149" s="31">
        <v>0</v>
      </c>
      <c r="J149" s="50">
        <v>14784.13</v>
      </c>
    </row>
    <row r="150" hidden="1" spans="1:10" x14ac:dyDescent="0.25">
      <c r="A150" s="31" t="s">
        <v>886</v>
      </c>
      <c r="B150" s="31" t="s">
        <v>887</v>
      </c>
      <c r="C150" s="31" t="s">
        <v>432</v>
      </c>
      <c r="D150" s="49">
        <v>46078</v>
      </c>
      <c r="E150" s="31" t="s">
        <v>950</v>
      </c>
      <c r="F150" s="31">
        <v>325</v>
      </c>
      <c r="G150" s="31" t="s">
        <v>1038</v>
      </c>
      <c r="H150" s="31">
        <v>18.78</v>
      </c>
      <c r="I150" s="31">
        <v>0</v>
      </c>
      <c r="J150" s="50">
        <v>14802.91</v>
      </c>
    </row>
    <row r="151" hidden="1" spans="1:10" x14ac:dyDescent="0.25">
      <c r="A151" s="31" t="s">
        <v>886</v>
      </c>
      <c r="B151" s="31" t="s">
        <v>887</v>
      </c>
      <c r="C151" s="31" t="s">
        <v>432</v>
      </c>
      <c r="D151" s="49">
        <v>46078</v>
      </c>
      <c r="E151" s="31" t="s">
        <v>950</v>
      </c>
      <c r="F151" s="31">
        <v>325</v>
      </c>
      <c r="G151" s="31" t="s">
        <v>1039</v>
      </c>
      <c r="H151" s="31">
        <v>143.55</v>
      </c>
      <c r="I151" s="31">
        <v>0</v>
      </c>
      <c r="J151" s="50">
        <v>14946.46</v>
      </c>
    </row>
    <row r="152" hidden="1" spans="1:10" x14ac:dyDescent="0.25">
      <c r="A152" s="31" t="s">
        <v>886</v>
      </c>
      <c r="B152" s="31" t="s">
        <v>887</v>
      </c>
      <c r="C152" s="31" t="s">
        <v>432</v>
      </c>
      <c r="D152" s="49">
        <v>46078</v>
      </c>
      <c r="E152" s="31" t="s">
        <v>950</v>
      </c>
      <c r="F152" s="31">
        <v>326</v>
      </c>
      <c r="G152" s="31" t="s">
        <v>1040</v>
      </c>
      <c r="H152" s="31">
        <v>17.72</v>
      </c>
      <c r="I152" s="31">
        <v>0</v>
      </c>
      <c r="J152" s="50">
        <v>14964.18</v>
      </c>
    </row>
    <row r="153" hidden="1" spans="1:10" x14ac:dyDescent="0.25">
      <c r="A153" s="31" t="s">
        <v>886</v>
      </c>
      <c r="B153" s="31" t="s">
        <v>887</v>
      </c>
      <c r="C153" s="31" t="s">
        <v>432</v>
      </c>
      <c r="D153" s="49">
        <v>46078</v>
      </c>
      <c r="E153" s="31" t="s">
        <v>950</v>
      </c>
      <c r="F153" s="31">
        <v>326</v>
      </c>
      <c r="G153" s="31" t="s">
        <v>1041</v>
      </c>
      <c r="H153" s="31">
        <v>14.31</v>
      </c>
      <c r="I153" s="31">
        <v>0</v>
      </c>
      <c r="J153" s="50">
        <v>14978.49</v>
      </c>
    </row>
    <row r="154" hidden="1" spans="1:10" x14ac:dyDescent="0.25">
      <c r="A154" s="31" t="s">
        <v>886</v>
      </c>
      <c r="B154" s="31" t="s">
        <v>887</v>
      </c>
      <c r="C154" s="31" t="s">
        <v>432</v>
      </c>
      <c r="D154" s="49">
        <v>46079</v>
      </c>
      <c r="E154" s="31" t="s">
        <v>950</v>
      </c>
      <c r="F154" s="31">
        <v>329</v>
      </c>
      <c r="G154" s="31" t="s">
        <v>1042</v>
      </c>
      <c r="H154" s="31">
        <v>95.07</v>
      </c>
      <c r="I154" s="31">
        <v>0</v>
      </c>
      <c r="J154" s="50">
        <v>15073.56</v>
      </c>
    </row>
    <row r="155" hidden="1" spans="1:10" x14ac:dyDescent="0.25">
      <c r="A155" s="31" t="s">
        <v>886</v>
      </c>
      <c r="B155" s="31" t="s">
        <v>887</v>
      </c>
      <c r="C155" s="31" t="s">
        <v>432</v>
      </c>
      <c r="D155" s="49">
        <v>46079</v>
      </c>
      <c r="E155" s="31" t="s">
        <v>950</v>
      </c>
      <c r="F155" s="31">
        <v>329</v>
      </c>
      <c r="G155" s="31" t="s">
        <v>1043</v>
      </c>
      <c r="H155" s="31">
        <v>82.6</v>
      </c>
      <c r="I155" s="31">
        <v>0</v>
      </c>
      <c r="J155" s="50">
        <v>15156.16</v>
      </c>
    </row>
    <row r="156" hidden="1" spans="1:10" x14ac:dyDescent="0.25">
      <c r="A156" s="31" t="s">
        <v>886</v>
      </c>
      <c r="B156" s="31" t="s">
        <v>887</v>
      </c>
      <c r="C156" s="31" t="s">
        <v>432</v>
      </c>
      <c r="D156" s="49">
        <v>46079</v>
      </c>
      <c r="E156" s="31" t="s">
        <v>950</v>
      </c>
      <c r="F156" s="31">
        <v>330</v>
      </c>
      <c r="G156" s="31" t="s">
        <v>1044</v>
      </c>
      <c r="H156" s="31">
        <v>17.63</v>
      </c>
      <c r="I156" s="31">
        <v>0</v>
      </c>
      <c r="J156" s="50">
        <v>15173.79</v>
      </c>
    </row>
    <row r="157" hidden="1" spans="1:10" x14ac:dyDescent="0.25">
      <c r="A157" s="31" t="s">
        <v>886</v>
      </c>
      <c r="B157" s="31" t="s">
        <v>887</v>
      </c>
      <c r="C157" s="31" t="s">
        <v>432</v>
      </c>
      <c r="D157" s="49">
        <v>46079</v>
      </c>
      <c r="E157" s="31" t="s">
        <v>950</v>
      </c>
      <c r="F157" s="31">
        <v>331</v>
      </c>
      <c r="G157" s="31" t="s">
        <v>1045</v>
      </c>
      <c r="H157" s="31">
        <v>6</v>
      </c>
      <c r="I157" s="31">
        <v>0</v>
      </c>
      <c r="J157" s="50">
        <v>15179.79</v>
      </c>
    </row>
    <row r="158" hidden="1" spans="1:10" x14ac:dyDescent="0.25">
      <c r="A158" s="31" t="s">
        <v>886</v>
      </c>
      <c r="B158" s="31" t="s">
        <v>887</v>
      </c>
      <c r="C158" s="31" t="s">
        <v>432</v>
      </c>
      <c r="D158" s="49">
        <v>46079</v>
      </c>
      <c r="E158" s="31" t="s">
        <v>950</v>
      </c>
      <c r="F158" s="31">
        <v>331</v>
      </c>
      <c r="G158" s="31" t="s">
        <v>1046</v>
      </c>
      <c r="H158" s="31">
        <v>105.54</v>
      </c>
      <c r="I158" s="31">
        <v>0</v>
      </c>
      <c r="J158" s="50">
        <v>15285.33</v>
      </c>
    </row>
    <row r="159" hidden="1" spans="1:10" x14ac:dyDescent="0.25">
      <c r="A159" s="31" t="s">
        <v>886</v>
      </c>
      <c r="B159" s="31" t="s">
        <v>887</v>
      </c>
      <c r="C159" s="31" t="s">
        <v>432</v>
      </c>
      <c r="D159" s="49">
        <v>46079</v>
      </c>
      <c r="E159" s="31" t="s">
        <v>950</v>
      </c>
      <c r="F159" s="31">
        <v>332</v>
      </c>
      <c r="G159" s="31" t="s">
        <v>1047</v>
      </c>
      <c r="H159" s="31">
        <v>50.4</v>
      </c>
      <c r="I159" s="31">
        <v>0</v>
      </c>
      <c r="J159" s="50">
        <v>15335.73</v>
      </c>
    </row>
    <row r="160" hidden="1" spans="1:10" x14ac:dyDescent="0.25">
      <c r="A160" s="31" t="s">
        <v>886</v>
      </c>
      <c r="B160" s="31" t="s">
        <v>887</v>
      </c>
      <c r="C160" s="31" t="s">
        <v>432</v>
      </c>
      <c r="D160" s="49">
        <v>46079</v>
      </c>
      <c r="E160" s="31" t="s">
        <v>950</v>
      </c>
      <c r="F160" s="31">
        <v>332</v>
      </c>
      <c r="G160" s="31" t="s">
        <v>1048</v>
      </c>
      <c r="H160" s="31">
        <v>31.14</v>
      </c>
      <c r="I160" s="31">
        <v>0</v>
      </c>
      <c r="J160" s="50">
        <v>15366.87</v>
      </c>
    </row>
    <row r="161" hidden="1" spans="1:10" x14ac:dyDescent="0.25">
      <c r="A161" s="31" t="s">
        <v>886</v>
      </c>
      <c r="B161" s="31" t="s">
        <v>887</v>
      </c>
      <c r="C161" s="31" t="s">
        <v>432</v>
      </c>
      <c r="D161" s="49">
        <v>46079</v>
      </c>
      <c r="E161" s="31" t="s">
        <v>950</v>
      </c>
      <c r="F161" s="31">
        <v>332</v>
      </c>
      <c r="G161" s="31" t="s">
        <v>1049</v>
      </c>
      <c r="H161" s="31">
        <v>9.99</v>
      </c>
      <c r="I161" s="31">
        <v>0</v>
      </c>
      <c r="J161" s="50">
        <v>15376.86</v>
      </c>
    </row>
    <row r="162" hidden="1" spans="1:10" x14ac:dyDescent="0.25">
      <c r="A162" s="31" t="s">
        <v>886</v>
      </c>
      <c r="B162" s="31" t="s">
        <v>887</v>
      </c>
      <c r="C162" s="31" t="s">
        <v>432</v>
      </c>
      <c r="D162" s="49">
        <v>46079</v>
      </c>
      <c r="E162" s="31" t="s">
        <v>950</v>
      </c>
      <c r="F162" s="31">
        <v>332</v>
      </c>
      <c r="G162" s="31" t="s">
        <v>1050</v>
      </c>
      <c r="H162" s="31">
        <v>89.27</v>
      </c>
      <c r="I162" s="31">
        <v>0</v>
      </c>
      <c r="J162" s="50">
        <v>15466.13</v>
      </c>
    </row>
    <row r="163" hidden="1" spans="1:10" x14ac:dyDescent="0.25">
      <c r="A163" s="31" t="s">
        <v>886</v>
      </c>
      <c r="B163" s="31" t="s">
        <v>887</v>
      </c>
      <c r="C163" s="31" t="s">
        <v>432</v>
      </c>
      <c r="D163" s="49">
        <v>46055</v>
      </c>
      <c r="E163" s="31" t="s">
        <v>950</v>
      </c>
      <c r="F163" s="31">
        <v>34</v>
      </c>
      <c r="G163" s="31" t="s">
        <v>1051</v>
      </c>
      <c r="H163" s="31">
        <v>9.39</v>
      </c>
      <c r="I163" s="31">
        <v>0</v>
      </c>
      <c r="J163" s="50">
        <v>15475.52</v>
      </c>
    </row>
    <row r="164" hidden="1" spans="1:10" x14ac:dyDescent="0.25">
      <c r="A164" s="31" t="s">
        <v>886</v>
      </c>
      <c r="B164" s="31" t="s">
        <v>887</v>
      </c>
      <c r="C164" s="31" t="s">
        <v>432</v>
      </c>
      <c r="D164" s="49">
        <v>46080</v>
      </c>
      <c r="E164" s="31" t="s">
        <v>950</v>
      </c>
      <c r="F164" s="31">
        <v>343</v>
      </c>
      <c r="G164" s="31" t="s">
        <v>1052</v>
      </c>
      <c r="H164" s="31">
        <v>15.67</v>
      </c>
      <c r="I164" s="31">
        <v>0</v>
      </c>
      <c r="J164" s="50">
        <v>15491.19</v>
      </c>
    </row>
    <row r="165" hidden="1" spans="1:10" x14ac:dyDescent="0.25">
      <c r="A165" s="31" t="s">
        <v>886</v>
      </c>
      <c r="B165" s="31" t="s">
        <v>887</v>
      </c>
      <c r="C165" s="31" t="s">
        <v>432</v>
      </c>
      <c r="D165" s="49">
        <v>46080</v>
      </c>
      <c r="E165" s="31" t="s">
        <v>950</v>
      </c>
      <c r="F165" s="31">
        <v>343</v>
      </c>
      <c r="G165" s="31" t="s">
        <v>1053</v>
      </c>
      <c r="H165" s="31">
        <v>166.33</v>
      </c>
      <c r="I165" s="31">
        <v>0</v>
      </c>
      <c r="J165" s="50">
        <v>15657.52</v>
      </c>
    </row>
    <row r="166" hidden="1" spans="1:10" x14ac:dyDescent="0.25">
      <c r="A166" s="31" t="s">
        <v>886</v>
      </c>
      <c r="B166" s="31" t="s">
        <v>887</v>
      </c>
      <c r="C166" s="31" t="s">
        <v>432</v>
      </c>
      <c r="D166" s="49">
        <v>46080</v>
      </c>
      <c r="E166" s="31" t="s">
        <v>950</v>
      </c>
      <c r="F166" s="31">
        <v>344</v>
      </c>
      <c r="G166" s="31" t="s">
        <v>1054</v>
      </c>
      <c r="H166" s="31">
        <v>628.04</v>
      </c>
      <c r="I166" s="31">
        <v>0</v>
      </c>
      <c r="J166" s="50">
        <v>16285.56</v>
      </c>
    </row>
    <row r="167" hidden="1" spans="1:10" x14ac:dyDescent="0.25">
      <c r="A167" s="31" t="s">
        <v>886</v>
      </c>
      <c r="B167" s="31" t="s">
        <v>887</v>
      </c>
      <c r="C167" s="31" t="s">
        <v>432</v>
      </c>
      <c r="D167" s="49">
        <v>46080</v>
      </c>
      <c r="E167" s="31" t="s">
        <v>950</v>
      </c>
      <c r="F167" s="31">
        <v>345</v>
      </c>
      <c r="G167" s="31" t="s">
        <v>1055</v>
      </c>
      <c r="H167" s="31">
        <v>41.69</v>
      </c>
      <c r="I167" s="31">
        <v>0</v>
      </c>
      <c r="J167" s="50">
        <v>16327.25</v>
      </c>
    </row>
    <row r="168" hidden="1" spans="1:10" x14ac:dyDescent="0.25">
      <c r="A168" s="31" t="s">
        <v>886</v>
      </c>
      <c r="B168" s="31" t="s">
        <v>887</v>
      </c>
      <c r="C168" s="31" t="s">
        <v>432</v>
      </c>
      <c r="D168" s="49">
        <v>46080</v>
      </c>
      <c r="E168" s="31" t="s">
        <v>950</v>
      </c>
      <c r="F168" s="31">
        <v>345</v>
      </c>
      <c r="G168" s="31" t="s">
        <v>1056</v>
      </c>
      <c r="H168" s="31">
        <v>150.81</v>
      </c>
      <c r="I168" s="31">
        <v>0</v>
      </c>
      <c r="J168" s="50">
        <v>16478.06</v>
      </c>
    </row>
    <row r="169" hidden="1" spans="1:10" x14ac:dyDescent="0.25">
      <c r="A169" s="31" t="s">
        <v>886</v>
      </c>
      <c r="B169" s="31" t="s">
        <v>887</v>
      </c>
      <c r="C169" s="31" t="s">
        <v>432</v>
      </c>
      <c r="D169" s="49">
        <v>46080</v>
      </c>
      <c r="E169" s="31" t="s">
        <v>950</v>
      </c>
      <c r="F169" s="31">
        <v>345</v>
      </c>
      <c r="G169" s="31" t="s">
        <v>1057</v>
      </c>
      <c r="H169" s="31">
        <v>97.92</v>
      </c>
      <c r="I169" s="31">
        <v>0</v>
      </c>
      <c r="J169" s="50">
        <v>16575.98</v>
      </c>
    </row>
    <row r="170" hidden="1" spans="1:10" x14ac:dyDescent="0.25">
      <c r="A170" s="31" t="s">
        <v>886</v>
      </c>
      <c r="B170" s="31" t="s">
        <v>887</v>
      </c>
      <c r="C170" s="31" t="s">
        <v>432</v>
      </c>
      <c r="D170" s="49">
        <v>46080</v>
      </c>
      <c r="E170" s="31" t="s">
        <v>950</v>
      </c>
      <c r="F170" s="31">
        <v>345</v>
      </c>
      <c r="G170" s="31" t="s">
        <v>1058</v>
      </c>
      <c r="H170" s="31">
        <v>8.29</v>
      </c>
      <c r="I170" s="31">
        <v>0</v>
      </c>
      <c r="J170" s="50">
        <v>16584.27</v>
      </c>
    </row>
    <row r="171" hidden="1" spans="1:10" x14ac:dyDescent="0.25">
      <c r="A171" s="31" t="s">
        <v>886</v>
      </c>
      <c r="B171" s="31" t="s">
        <v>887</v>
      </c>
      <c r="C171" s="31" t="s">
        <v>432</v>
      </c>
      <c r="D171" s="49">
        <v>46080</v>
      </c>
      <c r="E171" s="31" t="s">
        <v>950</v>
      </c>
      <c r="F171" s="31">
        <v>346</v>
      </c>
      <c r="G171" s="31" t="s">
        <v>1059</v>
      </c>
      <c r="H171" s="31">
        <v>6.75</v>
      </c>
      <c r="I171" s="31">
        <v>0</v>
      </c>
      <c r="J171" s="50">
        <v>16591.02</v>
      </c>
    </row>
    <row r="172" hidden="1" spans="1:10" x14ac:dyDescent="0.25">
      <c r="A172" s="31" t="s">
        <v>886</v>
      </c>
      <c r="B172" s="31" t="s">
        <v>887</v>
      </c>
      <c r="C172" s="31" t="s">
        <v>432</v>
      </c>
      <c r="D172" s="49">
        <v>46080</v>
      </c>
      <c r="E172" s="31" t="s">
        <v>950</v>
      </c>
      <c r="F172" s="31">
        <v>346</v>
      </c>
      <c r="G172" s="31" t="s">
        <v>1060</v>
      </c>
      <c r="H172" s="31">
        <v>2.82</v>
      </c>
      <c r="I172" s="31">
        <v>0</v>
      </c>
      <c r="J172" s="50">
        <v>16593.84</v>
      </c>
    </row>
    <row r="173" hidden="1" spans="1:10" x14ac:dyDescent="0.25">
      <c r="A173" s="31" t="s">
        <v>886</v>
      </c>
      <c r="B173" s="31" t="s">
        <v>887</v>
      </c>
      <c r="C173" s="31" t="s">
        <v>432</v>
      </c>
      <c r="D173" s="49">
        <v>46080</v>
      </c>
      <c r="E173" s="31" t="s">
        <v>950</v>
      </c>
      <c r="F173" s="31">
        <v>346</v>
      </c>
      <c r="G173" s="31" t="s">
        <v>1061</v>
      </c>
      <c r="H173" s="31">
        <v>9.6</v>
      </c>
      <c r="I173" s="31">
        <v>0</v>
      </c>
      <c r="J173" s="50">
        <v>16603.44</v>
      </c>
    </row>
    <row r="174" hidden="1" spans="1:10" x14ac:dyDescent="0.25">
      <c r="A174" s="31" t="s">
        <v>886</v>
      </c>
      <c r="B174" s="31" t="s">
        <v>887</v>
      </c>
      <c r="C174" s="31" t="s">
        <v>432</v>
      </c>
      <c r="D174" s="49">
        <v>46080</v>
      </c>
      <c r="E174" s="31" t="s">
        <v>950</v>
      </c>
      <c r="F174" s="31">
        <v>346</v>
      </c>
      <c r="G174" s="31" t="s">
        <v>1062</v>
      </c>
      <c r="H174" s="31">
        <v>21.6</v>
      </c>
      <c r="I174" s="31">
        <v>0</v>
      </c>
      <c r="J174" s="50">
        <v>16625.04</v>
      </c>
    </row>
    <row r="175" hidden="1" spans="1:10" x14ac:dyDescent="0.25">
      <c r="A175" s="31" t="s">
        <v>886</v>
      </c>
      <c r="B175" s="31" t="s">
        <v>887</v>
      </c>
      <c r="C175" s="31" t="s">
        <v>432</v>
      </c>
      <c r="D175" s="49">
        <v>46080</v>
      </c>
      <c r="E175" s="31" t="s">
        <v>950</v>
      </c>
      <c r="F175" s="31">
        <v>346</v>
      </c>
      <c r="G175" s="31" t="s">
        <v>1063</v>
      </c>
      <c r="H175" s="31">
        <v>68.91</v>
      </c>
      <c r="I175" s="31">
        <v>0</v>
      </c>
      <c r="J175" s="50">
        <v>16693.95</v>
      </c>
    </row>
    <row r="176" hidden="1" spans="1:10" x14ac:dyDescent="0.25">
      <c r="A176" s="31" t="s">
        <v>886</v>
      </c>
      <c r="B176" s="31" t="s">
        <v>887</v>
      </c>
      <c r="C176" s="31" t="s">
        <v>432</v>
      </c>
      <c r="D176" s="49">
        <v>46080</v>
      </c>
      <c r="E176" s="31" t="s">
        <v>950</v>
      </c>
      <c r="F176" s="31">
        <v>346</v>
      </c>
      <c r="G176" s="31" t="s">
        <v>1064</v>
      </c>
      <c r="H176" s="31">
        <v>76.51</v>
      </c>
      <c r="I176" s="31">
        <v>0</v>
      </c>
      <c r="J176" s="50">
        <v>16770.46</v>
      </c>
    </row>
    <row r="177" hidden="1" spans="1:10" x14ac:dyDescent="0.25">
      <c r="A177" s="31" t="s">
        <v>886</v>
      </c>
      <c r="B177" s="31" t="s">
        <v>887</v>
      </c>
      <c r="C177" s="31" t="s">
        <v>432</v>
      </c>
      <c r="D177" s="49">
        <v>46080</v>
      </c>
      <c r="E177" s="31" t="s">
        <v>950</v>
      </c>
      <c r="F177" s="31">
        <v>346</v>
      </c>
      <c r="G177" s="31" t="s">
        <v>1065</v>
      </c>
      <c r="H177" s="31">
        <v>34.25</v>
      </c>
      <c r="I177" s="31">
        <v>0</v>
      </c>
      <c r="J177" s="50">
        <v>16804.71</v>
      </c>
    </row>
    <row r="178" hidden="1" spans="1:10" x14ac:dyDescent="0.25">
      <c r="A178" s="31" t="s">
        <v>886</v>
      </c>
      <c r="B178" s="31" t="s">
        <v>887</v>
      </c>
      <c r="C178" s="31" t="s">
        <v>432</v>
      </c>
      <c r="D178" s="49">
        <v>46080</v>
      </c>
      <c r="E178" s="31" t="s">
        <v>950</v>
      </c>
      <c r="F178" s="31">
        <v>346</v>
      </c>
      <c r="G178" s="31" t="s">
        <v>1066</v>
      </c>
      <c r="H178" s="31">
        <v>97.92</v>
      </c>
      <c r="I178" s="31">
        <v>0</v>
      </c>
      <c r="J178" s="50">
        <v>16902.63</v>
      </c>
    </row>
    <row r="179" hidden="1" spans="1:10" x14ac:dyDescent="0.25">
      <c r="A179" s="31" t="s">
        <v>886</v>
      </c>
      <c r="B179" s="31" t="s">
        <v>887</v>
      </c>
      <c r="C179" s="31" t="s">
        <v>432</v>
      </c>
      <c r="D179" s="49">
        <v>46055</v>
      </c>
      <c r="E179" s="31" t="s">
        <v>950</v>
      </c>
      <c r="F179" s="31">
        <v>35</v>
      </c>
      <c r="G179" s="31" t="s">
        <v>1067</v>
      </c>
      <c r="H179" s="31">
        <v>122.28</v>
      </c>
      <c r="I179" s="31">
        <v>0</v>
      </c>
      <c r="J179" s="50">
        <v>17024.91</v>
      </c>
    </row>
    <row r="180" hidden="1" spans="1:10" x14ac:dyDescent="0.25">
      <c r="A180" s="31" t="s">
        <v>886</v>
      </c>
      <c r="B180" s="31" t="s">
        <v>887</v>
      </c>
      <c r="C180" s="31" t="s">
        <v>432</v>
      </c>
      <c r="D180" s="49">
        <v>46081</v>
      </c>
      <c r="E180" s="31" t="s">
        <v>950</v>
      </c>
      <c r="F180" s="31">
        <v>356</v>
      </c>
      <c r="G180" s="31" t="s">
        <v>1068</v>
      </c>
      <c r="H180" s="31">
        <v>662.23</v>
      </c>
      <c r="I180" s="31">
        <v>0</v>
      </c>
      <c r="J180" s="50">
        <v>17687.14</v>
      </c>
    </row>
    <row r="181" hidden="1" spans="1:10" x14ac:dyDescent="0.25">
      <c r="A181" s="31" t="s">
        <v>886</v>
      </c>
      <c r="B181" s="31" t="s">
        <v>887</v>
      </c>
      <c r="C181" s="31" t="s">
        <v>432</v>
      </c>
      <c r="D181" s="49">
        <v>46081</v>
      </c>
      <c r="E181" s="31" t="s">
        <v>950</v>
      </c>
      <c r="F181" s="31">
        <v>357</v>
      </c>
      <c r="G181" s="31" t="s">
        <v>1069</v>
      </c>
      <c r="H181" s="31">
        <v>11.8</v>
      </c>
      <c r="I181" s="31">
        <v>0</v>
      </c>
      <c r="J181" s="50">
        <v>17698.94</v>
      </c>
    </row>
    <row r="182" hidden="1" spans="1:10" x14ac:dyDescent="0.25">
      <c r="A182" s="31" t="s">
        <v>886</v>
      </c>
      <c r="B182" s="31" t="s">
        <v>887</v>
      </c>
      <c r="C182" s="31" t="s">
        <v>432</v>
      </c>
      <c r="D182" s="49">
        <v>46055</v>
      </c>
      <c r="E182" s="31" t="s">
        <v>950</v>
      </c>
      <c r="F182" s="31">
        <v>36</v>
      </c>
      <c r="G182" s="31" t="s">
        <v>1070</v>
      </c>
      <c r="H182" s="31">
        <v>295.08</v>
      </c>
      <c r="I182" s="31">
        <v>0</v>
      </c>
      <c r="J182" s="50">
        <v>17994.02</v>
      </c>
    </row>
    <row r="183" hidden="1" spans="1:10" x14ac:dyDescent="0.25">
      <c r="A183" s="31" t="s">
        <v>886</v>
      </c>
      <c r="B183" s="31" t="s">
        <v>887</v>
      </c>
      <c r="C183" s="31" t="s">
        <v>432</v>
      </c>
      <c r="D183" s="49">
        <v>46056</v>
      </c>
      <c r="E183" s="31" t="s">
        <v>950</v>
      </c>
      <c r="F183" s="31">
        <v>42</v>
      </c>
      <c r="G183" s="31" t="s">
        <v>1071</v>
      </c>
      <c r="H183" s="31">
        <v>20.99</v>
      </c>
      <c r="I183" s="31">
        <v>0</v>
      </c>
      <c r="J183" s="50">
        <v>18015.01</v>
      </c>
    </row>
    <row r="184" hidden="1" spans="1:10" x14ac:dyDescent="0.25">
      <c r="A184" s="31" t="s">
        <v>886</v>
      </c>
      <c r="B184" s="31" t="s">
        <v>887</v>
      </c>
      <c r="C184" s="31" t="s">
        <v>432</v>
      </c>
      <c r="D184" s="49">
        <v>46056</v>
      </c>
      <c r="E184" s="31" t="s">
        <v>950</v>
      </c>
      <c r="F184" s="31">
        <v>43</v>
      </c>
      <c r="G184" s="31" t="s">
        <v>1072</v>
      </c>
      <c r="H184" s="31">
        <v>246.15</v>
      </c>
      <c r="I184" s="31">
        <v>0</v>
      </c>
      <c r="J184" s="50">
        <v>18261.16</v>
      </c>
    </row>
    <row r="185" hidden="1" spans="1:10" x14ac:dyDescent="0.25">
      <c r="A185" s="31" t="s">
        <v>886</v>
      </c>
      <c r="B185" s="31" t="s">
        <v>887</v>
      </c>
      <c r="C185" s="31" t="s">
        <v>432</v>
      </c>
      <c r="D185" s="49">
        <v>46056</v>
      </c>
      <c r="E185" s="31" t="s">
        <v>950</v>
      </c>
      <c r="F185" s="31">
        <v>43</v>
      </c>
      <c r="G185" s="31" t="s">
        <v>1073</v>
      </c>
      <c r="H185" s="31">
        <v>9.12</v>
      </c>
      <c r="I185" s="31">
        <v>0</v>
      </c>
      <c r="J185" s="50">
        <v>18270.28</v>
      </c>
    </row>
    <row r="186" hidden="1" spans="1:10" x14ac:dyDescent="0.25">
      <c r="A186" s="31" t="s">
        <v>886</v>
      </c>
      <c r="B186" s="31" t="s">
        <v>887</v>
      </c>
      <c r="C186" s="31" t="s">
        <v>432</v>
      </c>
      <c r="D186" s="49">
        <v>46056</v>
      </c>
      <c r="E186" s="31" t="s">
        <v>950</v>
      </c>
      <c r="F186" s="31">
        <v>44</v>
      </c>
      <c r="G186" s="31" t="s">
        <v>1074</v>
      </c>
      <c r="H186" s="31">
        <v>277.47</v>
      </c>
      <c r="I186" s="31">
        <v>0</v>
      </c>
      <c r="J186" s="50">
        <v>18547.75</v>
      </c>
    </row>
    <row r="187" hidden="1" spans="1:10" x14ac:dyDescent="0.25">
      <c r="A187" s="31" t="s">
        <v>886</v>
      </c>
      <c r="B187" s="31" t="s">
        <v>887</v>
      </c>
      <c r="C187" s="31" t="s">
        <v>432</v>
      </c>
      <c r="D187" s="49">
        <v>46056</v>
      </c>
      <c r="E187" s="31" t="s">
        <v>950</v>
      </c>
      <c r="F187" s="31">
        <v>44</v>
      </c>
      <c r="G187" s="31" t="s">
        <v>1075</v>
      </c>
      <c r="H187" s="31">
        <v>13.84</v>
      </c>
      <c r="I187" s="31">
        <v>0</v>
      </c>
      <c r="J187" s="50">
        <v>18561.59</v>
      </c>
    </row>
    <row r="188" hidden="1" spans="1:10" x14ac:dyDescent="0.25">
      <c r="A188" s="31" t="s">
        <v>886</v>
      </c>
      <c r="B188" s="31" t="s">
        <v>887</v>
      </c>
      <c r="C188" s="31" t="s">
        <v>432</v>
      </c>
      <c r="D188" s="49">
        <v>46056</v>
      </c>
      <c r="E188" s="31" t="s">
        <v>950</v>
      </c>
      <c r="F188" s="31">
        <v>44</v>
      </c>
      <c r="G188" s="31" t="s">
        <v>1076</v>
      </c>
      <c r="H188" s="31">
        <v>7.43</v>
      </c>
      <c r="I188" s="31">
        <v>0</v>
      </c>
      <c r="J188" s="50">
        <v>18569.02</v>
      </c>
    </row>
    <row r="189" hidden="1" spans="1:10" x14ac:dyDescent="0.25">
      <c r="A189" s="31" t="s">
        <v>886</v>
      </c>
      <c r="B189" s="31" t="s">
        <v>887</v>
      </c>
      <c r="C189" s="31" t="s">
        <v>432</v>
      </c>
      <c r="D189" s="49">
        <v>46056</v>
      </c>
      <c r="E189" s="31" t="s">
        <v>950</v>
      </c>
      <c r="F189" s="31">
        <v>45</v>
      </c>
      <c r="G189" s="31" t="s">
        <v>1077</v>
      </c>
      <c r="H189" s="31">
        <v>62.2</v>
      </c>
      <c r="I189" s="31">
        <v>0</v>
      </c>
      <c r="J189" s="50">
        <v>18631.22</v>
      </c>
    </row>
    <row r="190" hidden="1" spans="1:10" x14ac:dyDescent="0.25">
      <c r="A190" s="31" t="s">
        <v>886</v>
      </c>
      <c r="B190" s="31" t="s">
        <v>887</v>
      </c>
      <c r="C190" s="31" t="s">
        <v>432</v>
      </c>
      <c r="D190" s="49">
        <v>46056</v>
      </c>
      <c r="E190" s="31" t="s">
        <v>950</v>
      </c>
      <c r="F190" s="31">
        <v>45</v>
      </c>
      <c r="G190" s="31" t="s">
        <v>1078</v>
      </c>
      <c r="H190" s="31">
        <v>530.4</v>
      </c>
      <c r="I190" s="31">
        <v>0</v>
      </c>
      <c r="J190" s="50">
        <v>19161.62</v>
      </c>
    </row>
    <row r="191" hidden="1" spans="1:10" x14ac:dyDescent="0.25">
      <c r="A191" s="31" t="s">
        <v>886</v>
      </c>
      <c r="B191" s="31" t="s">
        <v>887</v>
      </c>
      <c r="C191" s="31" t="s">
        <v>432</v>
      </c>
      <c r="D191" s="49">
        <v>46057</v>
      </c>
      <c r="E191" s="31" t="s">
        <v>950</v>
      </c>
      <c r="F191" s="31">
        <v>55</v>
      </c>
      <c r="G191" s="31" t="s">
        <v>1079</v>
      </c>
      <c r="H191" s="31">
        <v>3.56</v>
      </c>
      <c r="I191" s="31">
        <v>0</v>
      </c>
      <c r="J191" s="50">
        <v>19165.18</v>
      </c>
    </row>
    <row r="192" hidden="1" spans="1:10" x14ac:dyDescent="0.25">
      <c r="A192" s="31" t="s">
        <v>886</v>
      </c>
      <c r="B192" s="31" t="s">
        <v>887</v>
      </c>
      <c r="C192" s="31" t="s">
        <v>432</v>
      </c>
      <c r="D192" s="49">
        <v>46057</v>
      </c>
      <c r="E192" s="31" t="s">
        <v>950</v>
      </c>
      <c r="F192" s="31">
        <v>55</v>
      </c>
      <c r="G192" s="31" t="s">
        <v>1080</v>
      </c>
      <c r="H192" s="31">
        <v>16.46</v>
      </c>
      <c r="I192" s="31">
        <v>0</v>
      </c>
      <c r="J192" s="50">
        <v>19181.64</v>
      </c>
    </row>
    <row r="193" hidden="1" spans="1:10" x14ac:dyDescent="0.25">
      <c r="A193" s="31" t="s">
        <v>886</v>
      </c>
      <c r="B193" s="31" t="s">
        <v>887</v>
      </c>
      <c r="C193" s="31" t="s">
        <v>432</v>
      </c>
      <c r="D193" s="49">
        <v>46057</v>
      </c>
      <c r="E193" s="31" t="s">
        <v>950</v>
      </c>
      <c r="F193" s="31">
        <v>55</v>
      </c>
      <c r="G193" s="31" t="s">
        <v>1081</v>
      </c>
      <c r="H193" s="31">
        <v>335.72</v>
      </c>
      <c r="I193" s="31">
        <v>0</v>
      </c>
      <c r="J193" s="50">
        <v>19517.36</v>
      </c>
    </row>
    <row r="194" hidden="1" spans="1:10" x14ac:dyDescent="0.25">
      <c r="A194" s="31" t="s">
        <v>886</v>
      </c>
      <c r="B194" s="31" t="s">
        <v>887</v>
      </c>
      <c r="C194" s="31" t="s">
        <v>432</v>
      </c>
      <c r="D194" s="49">
        <v>46057</v>
      </c>
      <c r="E194" s="31" t="s">
        <v>950</v>
      </c>
      <c r="F194" s="31">
        <v>55</v>
      </c>
      <c r="G194" s="31" t="s">
        <v>1082</v>
      </c>
      <c r="H194" s="31">
        <v>5.37</v>
      </c>
      <c r="I194" s="31">
        <v>0</v>
      </c>
      <c r="J194" s="50">
        <v>19522.73</v>
      </c>
    </row>
    <row r="195" hidden="1" spans="1:10" x14ac:dyDescent="0.25">
      <c r="A195" s="31" t="s">
        <v>886</v>
      </c>
      <c r="B195" s="31" t="s">
        <v>887</v>
      </c>
      <c r="C195" s="31" t="s">
        <v>432</v>
      </c>
      <c r="D195" s="49">
        <v>46057</v>
      </c>
      <c r="E195" s="31" t="s">
        <v>950</v>
      </c>
      <c r="F195" s="31">
        <v>56</v>
      </c>
      <c r="G195" s="31" t="s">
        <v>1083</v>
      </c>
      <c r="H195" s="31">
        <v>50.49</v>
      </c>
      <c r="I195" s="31">
        <v>0</v>
      </c>
      <c r="J195" s="50">
        <v>19573.22</v>
      </c>
    </row>
    <row r="196" hidden="1" spans="1:10" x14ac:dyDescent="0.25">
      <c r="A196" s="31" t="s">
        <v>886</v>
      </c>
      <c r="B196" s="31" t="s">
        <v>887</v>
      </c>
      <c r="C196" s="31" t="s">
        <v>432</v>
      </c>
      <c r="D196" s="49">
        <v>46057</v>
      </c>
      <c r="E196" s="31" t="s">
        <v>950</v>
      </c>
      <c r="F196" s="31">
        <v>56</v>
      </c>
      <c r="G196" s="31" t="s">
        <v>1084</v>
      </c>
      <c r="H196" s="31">
        <v>207.38</v>
      </c>
      <c r="I196" s="31">
        <v>0</v>
      </c>
      <c r="J196" s="50">
        <v>19780.6</v>
      </c>
    </row>
    <row r="197" hidden="1" spans="1:10" x14ac:dyDescent="0.25">
      <c r="A197" s="31" t="s">
        <v>886</v>
      </c>
      <c r="B197" s="31" t="s">
        <v>887</v>
      </c>
      <c r="C197" s="31" t="s">
        <v>432</v>
      </c>
      <c r="D197" s="49">
        <v>46057</v>
      </c>
      <c r="E197" s="31" t="s">
        <v>950</v>
      </c>
      <c r="F197" s="31">
        <v>56</v>
      </c>
      <c r="G197" s="31" t="s">
        <v>1085</v>
      </c>
      <c r="H197" s="31">
        <v>25.54</v>
      </c>
      <c r="I197" s="31">
        <v>0</v>
      </c>
      <c r="J197" s="50">
        <v>19806.14</v>
      </c>
    </row>
    <row r="198" hidden="1" spans="1:10" x14ac:dyDescent="0.25">
      <c r="A198" s="31" t="s">
        <v>886</v>
      </c>
      <c r="B198" s="31" t="s">
        <v>887</v>
      </c>
      <c r="C198" s="31" t="s">
        <v>432</v>
      </c>
      <c r="D198" s="49">
        <v>46057</v>
      </c>
      <c r="E198" s="31" t="s">
        <v>950</v>
      </c>
      <c r="F198" s="31">
        <v>57</v>
      </c>
      <c r="G198" s="31" t="s">
        <v>1086</v>
      </c>
      <c r="H198" s="31">
        <v>37.58</v>
      </c>
      <c r="I198" s="31">
        <v>0</v>
      </c>
      <c r="J198" s="50">
        <v>19843.72</v>
      </c>
    </row>
    <row r="199" hidden="1" spans="1:10" x14ac:dyDescent="0.25">
      <c r="A199" s="31" t="s">
        <v>886</v>
      </c>
      <c r="B199" s="31" t="s">
        <v>887</v>
      </c>
      <c r="C199" s="31" t="s">
        <v>432</v>
      </c>
      <c r="D199" s="49">
        <v>46057</v>
      </c>
      <c r="E199" s="31" t="s">
        <v>950</v>
      </c>
      <c r="F199" s="31">
        <v>58</v>
      </c>
      <c r="G199" s="31" t="s">
        <v>1087</v>
      </c>
      <c r="H199" s="31">
        <v>3</v>
      </c>
      <c r="I199" s="31">
        <v>0</v>
      </c>
      <c r="J199" s="50">
        <v>19846.72</v>
      </c>
    </row>
    <row r="200" hidden="1" spans="1:10" x14ac:dyDescent="0.25">
      <c r="A200" s="31" t="s">
        <v>886</v>
      </c>
      <c r="B200" s="31" t="s">
        <v>887</v>
      </c>
      <c r="C200" s="31" t="s">
        <v>432</v>
      </c>
      <c r="D200" s="49">
        <v>46057</v>
      </c>
      <c r="E200" s="31" t="s">
        <v>950</v>
      </c>
      <c r="F200" s="31">
        <v>58</v>
      </c>
      <c r="G200" s="31" t="s">
        <v>1088</v>
      </c>
      <c r="H200" s="31">
        <v>11.84</v>
      </c>
      <c r="I200" s="31">
        <v>0</v>
      </c>
      <c r="J200" s="50">
        <v>19858.56</v>
      </c>
    </row>
    <row r="201" hidden="1" spans="1:10" x14ac:dyDescent="0.25">
      <c r="A201" s="31" t="s">
        <v>886</v>
      </c>
      <c r="B201" s="31" t="s">
        <v>887</v>
      </c>
      <c r="C201" s="31" t="s">
        <v>432</v>
      </c>
      <c r="D201" s="49">
        <v>46057</v>
      </c>
      <c r="E201" s="31" t="s">
        <v>950</v>
      </c>
      <c r="F201" s="31">
        <v>58</v>
      </c>
      <c r="G201" s="31" t="s">
        <v>1089</v>
      </c>
      <c r="H201" s="31">
        <v>71.9</v>
      </c>
      <c r="I201" s="31">
        <v>0</v>
      </c>
      <c r="J201" s="50">
        <v>19930.46</v>
      </c>
    </row>
    <row r="202" hidden="1" spans="1:10" x14ac:dyDescent="0.25">
      <c r="A202" s="31" t="s">
        <v>886</v>
      </c>
      <c r="B202" s="31" t="s">
        <v>887</v>
      </c>
      <c r="C202" s="31" t="s">
        <v>432</v>
      </c>
      <c r="D202" s="49">
        <v>46057</v>
      </c>
      <c r="E202" s="31" t="s">
        <v>950</v>
      </c>
      <c r="F202" s="31">
        <v>58</v>
      </c>
      <c r="G202" s="31" t="s">
        <v>1090</v>
      </c>
      <c r="H202" s="31">
        <v>88.22</v>
      </c>
      <c r="I202" s="31">
        <v>0</v>
      </c>
      <c r="J202" s="50">
        <v>20018.68</v>
      </c>
    </row>
    <row r="203" hidden="1" spans="1:10" x14ac:dyDescent="0.25">
      <c r="A203" s="31" t="s">
        <v>886</v>
      </c>
      <c r="B203" s="31" t="s">
        <v>887</v>
      </c>
      <c r="C203" s="31" t="s">
        <v>432</v>
      </c>
      <c r="D203" s="49">
        <v>46057</v>
      </c>
      <c r="E203" s="31" t="s">
        <v>950</v>
      </c>
      <c r="F203" s="31">
        <v>59</v>
      </c>
      <c r="G203" s="31" t="s">
        <v>1091</v>
      </c>
      <c r="H203" s="31">
        <v>62.98</v>
      </c>
      <c r="I203" s="31">
        <v>0</v>
      </c>
      <c r="J203" s="50">
        <v>20081.66</v>
      </c>
    </row>
    <row r="204" hidden="1" spans="1:10" x14ac:dyDescent="0.25">
      <c r="A204" s="31" t="s">
        <v>886</v>
      </c>
      <c r="B204" s="31" t="s">
        <v>887</v>
      </c>
      <c r="C204" s="31" t="s">
        <v>432</v>
      </c>
      <c r="D204" s="49">
        <v>46058</v>
      </c>
      <c r="E204" s="31" t="s">
        <v>950</v>
      </c>
      <c r="F204" s="31">
        <v>74</v>
      </c>
      <c r="G204" s="31" t="s">
        <v>1092</v>
      </c>
      <c r="H204" s="31">
        <v>8.4</v>
      </c>
      <c r="I204" s="31">
        <v>0</v>
      </c>
      <c r="J204" s="50">
        <v>20090.06</v>
      </c>
    </row>
    <row r="205" hidden="1" spans="1:10" x14ac:dyDescent="0.25">
      <c r="A205" s="31" t="s">
        <v>886</v>
      </c>
      <c r="B205" s="31" t="s">
        <v>887</v>
      </c>
      <c r="C205" s="31" t="s">
        <v>432</v>
      </c>
      <c r="D205" s="49">
        <v>46058</v>
      </c>
      <c r="E205" s="31" t="s">
        <v>950</v>
      </c>
      <c r="F205" s="31">
        <v>74</v>
      </c>
      <c r="G205" s="31" t="s">
        <v>1093</v>
      </c>
      <c r="H205" s="31">
        <v>122.61</v>
      </c>
      <c r="I205" s="31">
        <v>0</v>
      </c>
      <c r="J205" s="50">
        <v>20212.67</v>
      </c>
    </row>
    <row r="206" hidden="1" spans="1:10" x14ac:dyDescent="0.25">
      <c r="A206" s="31" t="s">
        <v>886</v>
      </c>
      <c r="B206" s="31" t="s">
        <v>887</v>
      </c>
      <c r="C206" s="31" t="s">
        <v>432</v>
      </c>
      <c r="D206" s="49">
        <v>46058</v>
      </c>
      <c r="E206" s="31" t="s">
        <v>950</v>
      </c>
      <c r="F206" s="31">
        <v>74</v>
      </c>
      <c r="G206" s="31" t="s">
        <v>1094</v>
      </c>
      <c r="H206" s="31">
        <v>8.12</v>
      </c>
      <c r="I206" s="31">
        <v>0</v>
      </c>
      <c r="J206" s="50">
        <v>20220.79</v>
      </c>
    </row>
    <row r="207" hidden="1" spans="1:10" x14ac:dyDescent="0.25">
      <c r="A207" s="31" t="s">
        <v>886</v>
      </c>
      <c r="B207" s="31" t="s">
        <v>887</v>
      </c>
      <c r="C207" s="31" t="s">
        <v>432</v>
      </c>
      <c r="D207" s="49">
        <v>46058</v>
      </c>
      <c r="E207" s="31" t="s">
        <v>950</v>
      </c>
      <c r="F207" s="31">
        <v>74</v>
      </c>
      <c r="G207" s="31" t="s">
        <v>1095</v>
      </c>
      <c r="H207" s="31">
        <v>23.26</v>
      </c>
      <c r="I207" s="31">
        <v>0</v>
      </c>
      <c r="J207" s="50">
        <v>20244.05</v>
      </c>
    </row>
    <row r="208" hidden="1" spans="1:10" x14ac:dyDescent="0.25">
      <c r="A208" s="31" t="s">
        <v>886</v>
      </c>
      <c r="B208" s="31" t="s">
        <v>887</v>
      </c>
      <c r="C208" s="31" t="s">
        <v>432</v>
      </c>
      <c r="D208" s="49">
        <v>46058</v>
      </c>
      <c r="E208" s="31" t="s">
        <v>950</v>
      </c>
      <c r="F208" s="31">
        <v>75</v>
      </c>
      <c r="G208" s="31" t="s">
        <v>1096</v>
      </c>
      <c r="H208" s="31">
        <v>284.71</v>
      </c>
      <c r="I208" s="31">
        <v>0</v>
      </c>
      <c r="J208" s="50">
        <v>20528.76</v>
      </c>
    </row>
    <row r="209" hidden="1" spans="1:10" x14ac:dyDescent="0.25">
      <c r="A209" s="31" t="s">
        <v>886</v>
      </c>
      <c r="B209" s="31" t="s">
        <v>887</v>
      </c>
      <c r="C209" s="31" t="s">
        <v>432</v>
      </c>
      <c r="D209" s="49">
        <v>46058</v>
      </c>
      <c r="E209" s="31" t="s">
        <v>950</v>
      </c>
      <c r="F209" s="31">
        <v>75</v>
      </c>
      <c r="G209" s="31" t="s">
        <v>1097</v>
      </c>
      <c r="H209" s="31">
        <v>155.36</v>
      </c>
      <c r="I209" s="31">
        <v>0</v>
      </c>
      <c r="J209" s="50">
        <v>20684.12</v>
      </c>
    </row>
    <row r="210" hidden="1" spans="1:10" x14ac:dyDescent="0.25">
      <c r="A210" s="31" t="s">
        <v>886</v>
      </c>
      <c r="B210" s="31" t="s">
        <v>887</v>
      </c>
      <c r="C210" s="31" t="s">
        <v>432</v>
      </c>
      <c r="D210" s="49">
        <v>46058</v>
      </c>
      <c r="E210" s="31" t="s">
        <v>950</v>
      </c>
      <c r="F210" s="31">
        <v>75</v>
      </c>
      <c r="G210" s="31" t="s">
        <v>1098</v>
      </c>
      <c r="H210" s="31">
        <v>6</v>
      </c>
      <c r="I210" s="31">
        <v>0</v>
      </c>
      <c r="J210" s="50">
        <v>20690.12</v>
      </c>
    </row>
    <row r="211" hidden="1" spans="1:10" x14ac:dyDescent="0.25">
      <c r="A211" s="31" t="s">
        <v>886</v>
      </c>
      <c r="B211" s="31" t="s">
        <v>887</v>
      </c>
      <c r="C211" s="31" t="s">
        <v>432</v>
      </c>
      <c r="D211" s="49">
        <v>46058</v>
      </c>
      <c r="E211" s="31" t="s">
        <v>950</v>
      </c>
      <c r="F211" s="31">
        <v>75</v>
      </c>
      <c r="G211" s="31" t="s">
        <v>1099</v>
      </c>
      <c r="H211" s="31">
        <v>6</v>
      </c>
      <c r="I211" s="31">
        <v>0</v>
      </c>
      <c r="J211" s="50">
        <v>20696.12</v>
      </c>
    </row>
    <row r="212" hidden="1" spans="1:10" x14ac:dyDescent="0.25">
      <c r="A212" s="31" t="s">
        <v>886</v>
      </c>
      <c r="B212" s="31" t="s">
        <v>887</v>
      </c>
      <c r="C212" s="31" t="s">
        <v>432</v>
      </c>
      <c r="D212" s="49">
        <v>46058</v>
      </c>
      <c r="E212" s="31" t="s">
        <v>950</v>
      </c>
      <c r="F212" s="31">
        <v>75</v>
      </c>
      <c r="G212" s="31" t="s">
        <v>1100</v>
      </c>
      <c r="H212" s="31">
        <v>142.01</v>
      </c>
      <c r="I212" s="31">
        <v>0</v>
      </c>
      <c r="J212" s="50">
        <v>20838.13</v>
      </c>
    </row>
    <row r="213" hidden="1" spans="1:10" x14ac:dyDescent="0.25">
      <c r="A213" s="31" t="s">
        <v>886</v>
      </c>
      <c r="B213" s="31" t="s">
        <v>887</v>
      </c>
      <c r="C213" s="31" t="s">
        <v>432</v>
      </c>
      <c r="D213" s="49">
        <v>46058</v>
      </c>
      <c r="E213" s="31" t="s">
        <v>950</v>
      </c>
      <c r="F213" s="31">
        <v>75</v>
      </c>
      <c r="G213" s="31" t="s">
        <v>1101</v>
      </c>
      <c r="H213" s="31">
        <v>63</v>
      </c>
      <c r="I213" s="31">
        <v>0</v>
      </c>
      <c r="J213" s="50">
        <v>20901.13</v>
      </c>
    </row>
    <row r="214" hidden="1" spans="1:10" x14ac:dyDescent="0.25">
      <c r="A214" s="31" t="s">
        <v>886</v>
      </c>
      <c r="B214" s="31" t="s">
        <v>887</v>
      </c>
      <c r="C214" s="31" t="s">
        <v>432</v>
      </c>
      <c r="D214" s="49">
        <v>46058</v>
      </c>
      <c r="E214" s="31" t="s">
        <v>950</v>
      </c>
      <c r="F214" s="31">
        <v>76</v>
      </c>
      <c r="G214" s="31" t="s">
        <v>1102</v>
      </c>
      <c r="H214" s="31">
        <v>15.7</v>
      </c>
      <c r="I214" s="31">
        <v>0</v>
      </c>
      <c r="J214" s="50">
        <v>20916.83</v>
      </c>
    </row>
    <row r="215" hidden="1" spans="1:10" x14ac:dyDescent="0.25">
      <c r="A215" s="31" t="s">
        <v>886</v>
      </c>
      <c r="B215" s="31" t="s">
        <v>887</v>
      </c>
      <c r="C215" s="31" t="s">
        <v>432</v>
      </c>
      <c r="D215" s="49">
        <v>46058</v>
      </c>
      <c r="E215" s="31" t="s">
        <v>950</v>
      </c>
      <c r="F215" s="31">
        <v>77</v>
      </c>
      <c r="G215" s="31" t="s">
        <v>1103</v>
      </c>
      <c r="H215" s="31">
        <v>71.66</v>
      </c>
      <c r="I215" s="31">
        <v>0</v>
      </c>
      <c r="J215" s="50">
        <v>20988.49</v>
      </c>
    </row>
    <row r="216" hidden="1" spans="1:10" x14ac:dyDescent="0.25">
      <c r="A216" s="31" t="s">
        <v>886</v>
      </c>
      <c r="B216" s="31" t="s">
        <v>887</v>
      </c>
      <c r="C216" s="31" t="s">
        <v>432</v>
      </c>
      <c r="D216" s="49">
        <v>46058</v>
      </c>
      <c r="E216" s="31" t="s">
        <v>950</v>
      </c>
      <c r="F216" s="31">
        <v>77</v>
      </c>
      <c r="G216" s="31" t="s">
        <v>1104</v>
      </c>
      <c r="H216" s="31">
        <v>4.04</v>
      </c>
      <c r="I216" s="31">
        <v>0</v>
      </c>
      <c r="J216" s="50">
        <v>20992.53</v>
      </c>
    </row>
    <row r="217" hidden="1" spans="1:10" x14ac:dyDescent="0.25">
      <c r="A217" s="31" t="s">
        <v>886</v>
      </c>
      <c r="B217" s="31" t="s">
        <v>887</v>
      </c>
      <c r="C217" s="31" t="s">
        <v>432</v>
      </c>
      <c r="D217" s="49">
        <v>46058</v>
      </c>
      <c r="E217" s="31" t="s">
        <v>950</v>
      </c>
      <c r="F217" s="31">
        <v>77</v>
      </c>
      <c r="G217" s="31" t="s">
        <v>1105</v>
      </c>
      <c r="H217" s="31">
        <v>83.46</v>
      </c>
      <c r="I217" s="31">
        <v>0</v>
      </c>
      <c r="J217" s="50">
        <v>21075.99</v>
      </c>
    </row>
    <row r="218" hidden="1" spans="1:10" x14ac:dyDescent="0.25">
      <c r="A218" s="31" t="s">
        <v>886</v>
      </c>
      <c r="B218" s="31" t="s">
        <v>887</v>
      </c>
      <c r="C218" s="31" t="s">
        <v>432</v>
      </c>
      <c r="D218" s="49">
        <v>46058</v>
      </c>
      <c r="E218" s="31" t="s">
        <v>950</v>
      </c>
      <c r="F218" s="31">
        <v>78</v>
      </c>
      <c r="G218" s="31" t="s">
        <v>1106</v>
      </c>
      <c r="H218" s="31">
        <v>26.91</v>
      </c>
      <c r="I218" s="31">
        <v>0</v>
      </c>
      <c r="J218" s="50">
        <v>21102.9</v>
      </c>
    </row>
    <row r="219" hidden="1" spans="1:10" x14ac:dyDescent="0.25">
      <c r="A219" s="31" t="s">
        <v>886</v>
      </c>
      <c r="B219" s="31" t="s">
        <v>887</v>
      </c>
      <c r="C219" s="31" t="s">
        <v>432</v>
      </c>
      <c r="D219" s="49">
        <v>46058</v>
      </c>
      <c r="E219" s="31" t="s">
        <v>950</v>
      </c>
      <c r="F219" s="31">
        <v>78</v>
      </c>
      <c r="G219" s="31" t="s">
        <v>1107</v>
      </c>
      <c r="H219" s="31">
        <v>55.96</v>
      </c>
      <c r="I219" s="31">
        <v>0</v>
      </c>
      <c r="J219" s="50">
        <v>21158.86</v>
      </c>
    </row>
    <row r="220" hidden="1" spans="1:10" x14ac:dyDescent="0.25">
      <c r="A220" s="31" t="s">
        <v>886</v>
      </c>
      <c r="B220" s="31" t="s">
        <v>887</v>
      </c>
      <c r="C220" s="31" t="s">
        <v>432</v>
      </c>
      <c r="D220" s="49">
        <v>46059</v>
      </c>
      <c r="E220" s="31" t="s">
        <v>950</v>
      </c>
      <c r="F220" s="31">
        <v>93</v>
      </c>
      <c r="G220" s="31" t="s">
        <v>1108</v>
      </c>
      <c r="H220" s="31">
        <v>129.49</v>
      </c>
      <c r="I220" s="31">
        <v>0</v>
      </c>
      <c r="J220" s="50">
        <v>21288.35</v>
      </c>
    </row>
    <row r="221" hidden="1" spans="1:10" x14ac:dyDescent="0.25">
      <c r="A221" s="31" t="s">
        <v>886</v>
      </c>
      <c r="B221" s="31" t="s">
        <v>887</v>
      </c>
      <c r="C221" s="31" t="s">
        <v>432</v>
      </c>
      <c r="D221" s="49">
        <v>46059</v>
      </c>
      <c r="E221" s="31" t="s">
        <v>950</v>
      </c>
      <c r="F221" s="31">
        <v>93</v>
      </c>
      <c r="G221" s="31" t="s">
        <v>1109</v>
      </c>
      <c r="H221" s="31">
        <v>240.57</v>
      </c>
      <c r="I221" s="31">
        <v>0</v>
      </c>
      <c r="J221" s="50">
        <v>21528.92</v>
      </c>
    </row>
    <row r="222" hidden="1" spans="1:10" x14ac:dyDescent="0.25">
      <c r="A222" s="31" t="s">
        <v>886</v>
      </c>
      <c r="B222" s="31" t="s">
        <v>887</v>
      </c>
      <c r="C222" s="31" t="s">
        <v>432</v>
      </c>
      <c r="D222" s="49">
        <v>46059</v>
      </c>
      <c r="E222" s="31" t="s">
        <v>950</v>
      </c>
      <c r="F222" s="31">
        <v>94</v>
      </c>
      <c r="G222" s="31" t="s">
        <v>1110</v>
      </c>
      <c r="H222" s="31">
        <v>58.43</v>
      </c>
      <c r="I222" s="31">
        <v>0</v>
      </c>
      <c r="J222" s="50">
        <v>21587.35</v>
      </c>
    </row>
    <row r="223" hidden="1" spans="1:10" x14ac:dyDescent="0.25">
      <c r="A223" s="31" t="s">
        <v>886</v>
      </c>
      <c r="B223" s="31" t="s">
        <v>887</v>
      </c>
      <c r="C223" s="31" t="s">
        <v>432</v>
      </c>
      <c r="D223" s="49">
        <v>46059</v>
      </c>
      <c r="E223" s="31" t="s">
        <v>950</v>
      </c>
      <c r="F223" s="31">
        <v>94</v>
      </c>
      <c r="G223" s="31" t="s">
        <v>1111</v>
      </c>
      <c r="H223" s="31">
        <v>0.21</v>
      </c>
      <c r="I223" s="31">
        <v>0</v>
      </c>
      <c r="J223" s="50">
        <v>21587.56</v>
      </c>
    </row>
    <row r="224" hidden="1" spans="1:10" x14ac:dyDescent="0.25">
      <c r="A224" s="31" t="s">
        <v>886</v>
      </c>
      <c r="B224" s="31" t="s">
        <v>887</v>
      </c>
      <c r="C224" s="31" t="s">
        <v>432</v>
      </c>
      <c r="D224" s="49">
        <v>46059</v>
      </c>
      <c r="E224" s="31" t="s">
        <v>950</v>
      </c>
      <c r="F224" s="31">
        <v>94</v>
      </c>
      <c r="G224" s="31" t="s">
        <v>1112</v>
      </c>
      <c r="H224" s="31">
        <v>3.55</v>
      </c>
      <c r="I224" s="31">
        <v>0</v>
      </c>
      <c r="J224" s="50">
        <v>21591.11</v>
      </c>
    </row>
    <row r="225" hidden="1" spans="1:10" x14ac:dyDescent="0.25">
      <c r="A225" s="31" t="s">
        <v>886</v>
      </c>
      <c r="B225" s="31" t="s">
        <v>887</v>
      </c>
      <c r="C225" s="31" t="s">
        <v>432</v>
      </c>
      <c r="D225" s="49">
        <v>46060</v>
      </c>
      <c r="E225" s="31" t="s">
        <v>950</v>
      </c>
      <c r="F225" s="31">
        <v>98</v>
      </c>
      <c r="G225" s="31" t="s">
        <v>1113</v>
      </c>
      <c r="H225" s="31">
        <v>245.8</v>
      </c>
      <c r="I225" s="31">
        <v>0</v>
      </c>
      <c r="J225" s="50">
        <v>21836.91</v>
      </c>
    </row>
    <row r="226" hidden="1" spans="1:10" x14ac:dyDescent="0.25">
      <c r="A226" s="31" t="s">
        <v>886</v>
      </c>
      <c r="B226" s="31" t="s">
        <v>887</v>
      </c>
      <c r="C226" s="31" t="s">
        <v>432</v>
      </c>
      <c r="D226" s="49">
        <v>46060</v>
      </c>
      <c r="E226" s="31" t="s">
        <v>950</v>
      </c>
      <c r="F226" s="31">
        <v>99</v>
      </c>
      <c r="G226" s="31" t="s">
        <v>1114</v>
      </c>
      <c r="H226" s="31">
        <v>44.64</v>
      </c>
      <c r="I226" s="31">
        <v>0</v>
      </c>
      <c r="J226" s="50">
        <v>21881.55</v>
      </c>
    </row>
    <row r="227" hidden="1" spans="1:10" x14ac:dyDescent="0.25">
      <c r="A227" s="31" t="s">
        <v>886</v>
      </c>
      <c r="B227" s="31" t="s">
        <v>887</v>
      </c>
      <c r="C227" s="31" t="s">
        <v>432</v>
      </c>
      <c r="D227" s="49">
        <v>46065</v>
      </c>
      <c r="E227" s="31" t="s">
        <v>1115</v>
      </c>
      <c r="F227" s="31">
        <v>175</v>
      </c>
      <c r="G227" s="31" t="s">
        <v>1116</v>
      </c>
      <c r="H227" s="31">
        <v>75.13</v>
      </c>
      <c r="I227" s="31">
        <v>0</v>
      </c>
      <c r="J227" s="50">
        <v>21956.68</v>
      </c>
    </row>
    <row r="228" hidden="1" spans="1:10" x14ac:dyDescent="0.25">
      <c r="A228" s="31" t="s">
        <v>886</v>
      </c>
      <c r="B228" s="31" t="s">
        <v>887</v>
      </c>
      <c r="C228" s="31" t="s">
        <v>432</v>
      </c>
      <c r="D228" s="49">
        <v>46066</v>
      </c>
      <c r="E228" s="31" t="s">
        <v>1115</v>
      </c>
      <c r="F228" s="31">
        <v>183</v>
      </c>
      <c r="G228" s="31" t="s">
        <v>1116</v>
      </c>
      <c r="H228" s="31">
        <v>4.56</v>
      </c>
      <c r="I228" s="31">
        <v>0</v>
      </c>
      <c r="J228" s="50">
        <v>21961.24</v>
      </c>
    </row>
    <row r="229" hidden="1" spans="1:10" x14ac:dyDescent="0.25">
      <c r="A229" s="31" t="s">
        <v>886</v>
      </c>
      <c r="B229" s="31" t="s">
        <v>887</v>
      </c>
      <c r="C229" s="31" t="s">
        <v>432</v>
      </c>
      <c r="D229" s="49">
        <v>46067</v>
      </c>
      <c r="E229" s="31" t="s">
        <v>1115</v>
      </c>
      <c r="F229" s="31">
        <v>192</v>
      </c>
      <c r="G229" s="31" t="s">
        <v>1116</v>
      </c>
      <c r="H229" s="31">
        <v>22.66</v>
      </c>
      <c r="I229" s="31">
        <v>0</v>
      </c>
      <c r="J229" s="50">
        <v>21983.9</v>
      </c>
    </row>
    <row r="230" hidden="1" spans="1:10" x14ac:dyDescent="0.25">
      <c r="A230" s="31" t="s">
        <v>886</v>
      </c>
      <c r="B230" s="31" t="s">
        <v>887</v>
      </c>
      <c r="C230" s="31" t="s">
        <v>432</v>
      </c>
      <c r="D230" s="49">
        <v>46072</v>
      </c>
      <c r="E230" s="31" t="s">
        <v>1115</v>
      </c>
      <c r="F230" s="31">
        <v>232</v>
      </c>
      <c r="G230" s="31" t="s">
        <v>1116</v>
      </c>
      <c r="H230" s="31">
        <v>457.24</v>
      </c>
      <c r="I230" s="31">
        <v>0</v>
      </c>
      <c r="J230" s="50">
        <v>22441.14</v>
      </c>
    </row>
    <row r="231" hidden="1" spans="1:10" x14ac:dyDescent="0.25">
      <c r="A231" s="31" t="s">
        <v>886</v>
      </c>
      <c r="B231" s="31" t="s">
        <v>887</v>
      </c>
      <c r="C231" s="31" t="s">
        <v>432</v>
      </c>
      <c r="D231" s="49">
        <v>46074</v>
      </c>
      <c r="E231" s="31" t="s">
        <v>1115</v>
      </c>
      <c r="F231" s="31">
        <v>269</v>
      </c>
      <c r="G231" s="31" t="s">
        <v>1116</v>
      </c>
      <c r="H231" s="31">
        <v>22.08</v>
      </c>
      <c r="I231" s="31">
        <v>0</v>
      </c>
      <c r="J231" s="50">
        <v>22463.22</v>
      </c>
    </row>
    <row r="232" hidden="1" spans="1:10" x14ac:dyDescent="0.25">
      <c r="A232" s="31" t="s">
        <v>886</v>
      </c>
      <c r="B232" s="31" t="s">
        <v>887</v>
      </c>
      <c r="C232" s="31" t="s">
        <v>432</v>
      </c>
      <c r="D232" s="49">
        <v>46077</v>
      </c>
      <c r="E232" s="31" t="s">
        <v>1115</v>
      </c>
      <c r="F232" s="31">
        <v>283</v>
      </c>
      <c r="G232" s="31" t="s">
        <v>1116</v>
      </c>
      <c r="H232" s="31">
        <v>77.54</v>
      </c>
      <c r="I232" s="31">
        <v>0</v>
      </c>
      <c r="J232" s="50">
        <v>22540.76</v>
      </c>
    </row>
    <row r="233" hidden="1" spans="1:10" x14ac:dyDescent="0.25">
      <c r="A233" s="31" t="s">
        <v>886</v>
      </c>
      <c r="B233" s="31" t="s">
        <v>887</v>
      </c>
      <c r="C233" s="31" t="s">
        <v>432</v>
      </c>
      <c r="D233" s="49">
        <v>46079</v>
      </c>
      <c r="E233" s="31" t="s">
        <v>1115</v>
      </c>
      <c r="F233" s="31">
        <v>335</v>
      </c>
      <c r="G233" s="31" t="s">
        <v>1116</v>
      </c>
      <c r="H233" s="31">
        <v>95.3</v>
      </c>
      <c r="I233" s="31">
        <v>0</v>
      </c>
      <c r="J233" s="50">
        <v>22636.06</v>
      </c>
    </row>
    <row r="234" hidden="1" spans="1:10" x14ac:dyDescent="0.25">
      <c r="A234" s="31" t="s">
        <v>886</v>
      </c>
      <c r="B234" s="31" t="s">
        <v>887</v>
      </c>
      <c r="C234" s="31" t="s">
        <v>432</v>
      </c>
      <c r="D234" s="49">
        <v>46080</v>
      </c>
      <c r="E234" s="31" t="s">
        <v>1115</v>
      </c>
      <c r="F234" s="31">
        <v>350</v>
      </c>
      <c r="G234" s="31" t="s">
        <v>1116</v>
      </c>
      <c r="H234" s="31">
        <v>39.62</v>
      </c>
      <c r="I234" s="31">
        <v>0</v>
      </c>
      <c r="J234" s="50">
        <v>22675.68</v>
      </c>
    </row>
    <row r="235" hidden="1" spans="1:10" x14ac:dyDescent="0.25">
      <c r="A235" s="31" t="s">
        <v>886</v>
      </c>
      <c r="B235" s="31" t="s">
        <v>887</v>
      </c>
      <c r="C235" s="31" t="s">
        <v>432</v>
      </c>
      <c r="D235" s="49">
        <v>46056</v>
      </c>
      <c r="E235" s="31" t="s">
        <v>1115</v>
      </c>
      <c r="F235" s="31">
        <v>49</v>
      </c>
      <c r="G235" s="31" t="s">
        <v>1116</v>
      </c>
      <c r="H235" s="31">
        <v>454.21</v>
      </c>
      <c r="I235" s="31">
        <v>0</v>
      </c>
      <c r="J235" s="50">
        <v>23129.89</v>
      </c>
    </row>
    <row r="236" hidden="1" spans="1:10" x14ac:dyDescent="0.25">
      <c r="A236" s="31" t="s">
        <v>886</v>
      </c>
      <c r="B236" s="31" t="s">
        <v>887</v>
      </c>
      <c r="C236" s="31" t="s">
        <v>432</v>
      </c>
      <c r="D236" s="49">
        <v>46057</v>
      </c>
      <c r="E236" s="31" t="s">
        <v>1115</v>
      </c>
      <c r="F236" s="31">
        <v>52</v>
      </c>
      <c r="G236" s="31" t="s">
        <v>1116</v>
      </c>
      <c r="H236" s="31">
        <v>2.61</v>
      </c>
      <c r="I236" s="31">
        <v>0</v>
      </c>
      <c r="J236" s="50">
        <v>23132.5</v>
      </c>
    </row>
    <row r="237" hidden="1" spans="1:10" x14ac:dyDescent="0.25">
      <c r="A237" s="31" t="s">
        <v>886</v>
      </c>
      <c r="B237" s="31" t="s">
        <v>887</v>
      </c>
      <c r="C237" s="31" t="s">
        <v>432</v>
      </c>
      <c r="D237" s="49">
        <v>46058</v>
      </c>
      <c r="E237" s="31" t="s">
        <v>1115</v>
      </c>
      <c r="F237" s="31">
        <v>80</v>
      </c>
      <c r="G237" s="31" t="s">
        <v>1116</v>
      </c>
      <c r="H237" s="31">
        <v>8</v>
      </c>
      <c r="I237" s="31">
        <v>0</v>
      </c>
      <c r="J237" s="50">
        <v>23140.5</v>
      </c>
    </row>
    <row r="238" hidden="1" spans="1:10" x14ac:dyDescent="0.25">
      <c r="A238" s="31" t="s">
        <v>886</v>
      </c>
      <c r="B238" s="31" t="s">
        <v>887</v>
      </c>
      <c r="C238" s="31" t="s">
        <v>432</v>
      </c>
      <c r="D238" s="49">
        <v>46060</v>
      </c>
      <c r="E238" s="31" t="s">
        <v>1117</v>
      </c>
      <c r="F238" s="31">
        <v>101</v>
      </c>
      <c r="G238" s="31" t="s">
        <v>1118</v>
      </c>
      <c r="H238" s="31">
        <v>6.9</v>
      </c>
      <c r="I238" s="31">
        <v>0</v>
      </c>
      <c r="J238" s="50">
        <v>16524.74</v>
      </c>
    </row>
    <row r="239" hidden="1" spans="1:10" x14ac:dyDescent="0.25">
      <c r="A239" s="31" t="s">
        <v>886</v>
      </c>
      <c r="B239" s="31" t="s">
        <v>887</v>
      </c>
      <c r="C239" s="31" t="s">
        <v>432</v>
      </c>
      <c r="D239" s="49">
        <v>46062</v>
      </c>
      <c r="E239" s="31" t="s">
        <v>1117</v>
      </c>
      <c r="F239" s="31">
        <v>115</v>
      </c>
      <c r="G239" s="31" t="s">
        <v>1118</v>
      </c>
      <c r="H239" s="31">
        <v>6</v>
      </c>
      <c r="I239" s="31">
        <v>0</v>
      </c>
      <c r="J239" s="50">
        <v>16530.74</v>
      </c>
    </row>
    <row r="240" hidden="1" spans="1:10" x14ac:dyDescent="0.25">
      <c r="A240" s="31" t="s">
        <v>886</v>
      </c>
      <c r="B240" s="31" t="s">
        <v>887</v>
      </c>
      <c r="C240" s="31" t="s">
        <v>432</v>
      </c>
      <c r="D240" s="49">
        <v>46062</v>
      </c>
      <c r="E240" s="31" t="s">
        <v>1117</v>
      </c>
      <c r="F240" s="31">
        <v>116</v>
      </c>
      <c r="G240" s="31" t="s">
        <v>1118</v>
      </c>
      <c r="H240" s="31">
        <v>2.68</v>
      </c>
      <c r="I240" s="31">
        <v>0</v>
      </c>
      <c r="J240" s="50">
        <v>16533.42</v>
      </c>
    </row>
    <row r="241" hidden="1" spans="1:10" x14ac:dyDescent="0.25">
      <c r="A241" s="31" t="s">
        <v>886</v>
      </c>
      <c r="B241" s="31" t="s">
        <v>887</v>
      </c>
      <c r="C241" s="31" t="s">
        <v>432</v>
      </c>
      <c r="D241" s="49">
        <v>46063</v>
      </c>
      <c r="E241" s="31" t="s">
        <v>1117</v>
      </c>
      <c r="F241" s="31">
        <v>132</v>
      </c>
      <c r="G241" s="31" t="s">
        <v>1118</v>
      </c>
      <c r="H241" s="31">
        <v>24</v>
      </c>
      <c r="I241" s="31">
        <v>0</v>
      </c>
      <c r="J241" s="50">
        <v>16557.42</v>
      </c>
    </row>
    <row r="242" hidden="1" spans="1:10" x14ac:dyDescent="0.25">
      <c r="A242" s="31" t="s">
        <v>886</v>
      </c>
      <c r="B242" s="31" t="s">
        <v>887</v>
      </c>
      <c r="C242" s="31" t="s">
        <v>432</v>
      </c>
      <c r="D242" s="49">
        <v>46063</v>
      </c>
      <c r="E242" s="31" t="s">
        <v>1117</v>
      </c>
      <c r="F242" s="31">
        <v>133</v>
      </c>
      <c r="G242" s="31" t="s">
        <v>1118</v>
      </c>
      <c r="H242" s="31">
        <v>24.06</v>
      </c>
      <c r="I242" s="31">
        <v>0</v>
      </c>
      <c r="J242" s="50">
        <v>16581.48</v>
      </c>
    </row>
    <row r="243" hidden="1" spans="1:10" x14ac:dyDescent="0.25">
      <c r="A243" s="31" t="s">
        <v>886</v>
      </c>
      <c r="B243" s="31" t="s">
        <v>887</v>
      </c>
      <c r="C243" s="31" t="s">
        <v>432</v>
      </c>
      <c r="D243" s="49">
        <v>46064</v>
      </c>
      <c r="E243" s="31" t="s">
        <v>1117</v>
      </c>
      <c r="F243" s="31">
        <v>139</v>
      </c>
      <c r="G243" s="31" t="s">
        <v>1118</v>
      </c>
      <c r="H243" s="31">
        <v>13.5</v>
      </c>
      <c r="I243" s="31">
        <v>0</v>
      </c>
      <c r="J243" s="50">
        <v>16594.98</v>
      </c>
    </row>
    <row r="244" hidden="1" spans="1:10" x14ac:dyDescent="0.25">
      <c r="A244" s="31" t="s">
        <v>886</v>
      </c>
      <c r="B244" s="31" t="s">
        <v>887</v>
      </c>
      <c r="C244" s="31" t="s">
        <v>432</v>
      </c>
      <c r="D244" s="49">
        <v>46064</v>
      </c>
      <c r="E244" s="31" t="s">
        <v>1117</v>
      </c>
      <c r="F244" s="31">
        <v>140</v>
      </c>
      <c r="G244" s="31" t="s">
        <v>1118</v>
      </c>
      <c r="H244" s="31">
        <v>1.96</v>
      </c>
      <c r="I244" s="31">
        <v>0</v>
      </c>
      <c r="J244" s="50">
        <v>16596.94</v>
      </c>
    </row>
    <row r="245" hidden="1" spans="1:10" x14ac:dyDescent="0.25">
      <c r="A245" s="31" t="s">
        <v>886</v>
      </c>
      <c r="B245" s="31" t="s">
        <v>887</v>
      </c>
      <c r="C245" s="31" t="s">
        <v>432</v>
      </c>
      <c r="D245" s="49">
        <v>46064</v>
      </c>
      <c r="E245" s="31" t="s">
        <v>1117</v>
      </c>
      <c r="F245" s="31">
        <v>141</v>
      </c>
      <c r="G245" s="31" t="s">
        <v>1118</v>
      </c>
      <c r="H245" s="31">
        <v>16.05</v>
      </c>
      <c r="I245" s="31">
        <v>0</v>
      </c>
      <c r="J245" s="50">
        <v>16612.99</v>
      </c>
    </row>
    <row r="246" hidden="1" spans="1:10" x14ac:dyDescent="0.25">
      <c r="A246" s="31" t="s">
        <v>886</v>
      </c>
      <c r="B246" s="31" t="s">
        <v>887</v>
      </c>
      <c r="C246" s="31" t="s">
        <v>432</v>
      </c>
      <c r="D246" s="49">
        <v>46064</v>
      </c>
      <c r="E246" s="31" t="s">
        <v>1117</v>
      </c>
      <c r="F246" s="31">
        <v>142</v>
      </c>
      <c r="G246" s="31" t="s">
        <v>1118</v>
      </c>
      <c r="H246" s="31">
        <v>2.68</v>
      </c>
      <c r="I246" s="31">
        <v>0</v>
      </c>
      <c r="J246" s="50">
        <v>16615.67</v>
      </c>
    </row>
    <row r="247" hidden="1" spans="1:10" x14ac:dyDescent="0.25">
      <c r="A247" s="31" t="s">
        <v>886</v>
      </c>
      <c r="B247" s="31" t="s">
        <v>887</v>
      </c>
      <c r="C247" s="31" t="s">
        <v>432</v>
      </c>
      <c r="D247" s="49">
        <v>46065</v>
      </c>
      <c r="E247" s="31" t="s">
        <v>1117</v>
      </c>
      <c r="F247" s="31">
        <v>174</v>
      </c>
      <c r="G247" s="31" t="s">
        <v>1118</v>
      </c>
      <c r="H247" s="31">
        <v>13.2</v>
      </c>
      <c r="I247" s="31">
        <v>0</v>
      </c>
      <c r="J247" s="50">
        <v>16628.87</v>
      </c>
    </row>
    <row r="248" hidden="1" spans="1:10" x14ac:dyDescent="0.25">
      <c r="A248" s="31" t="s">
        <v>886</v>
      </c>
      <c r="B248" s="31" t="s">
        <v>887</v>
      </c>
      <c r="C248" s="31" t="s">
        <v>432</v>
      </c>
      <c r="D248" s="49">
        <v>46065</v>
      </c>
      <c r="E248" s="31" t="s">
        <v>1117</v>
      </c>
      <c r="F248" s="31">
        <v>176</v>
      </c>
      <c r="G248" s="31" t="s">
        <v>1118</v>
      </c>
      <c r="H248" s="31">
        <v>5.36</v>
      </c>
      <c r="I248" s="31">
        <v>0</v>
      </c>
      <c r="J248" s="50">
        <v>16634.23</v>
      </c>
    </row>
    <row r="249" hidden="1" spans="1:10" x14ac:dyDescent="0.25">
      <c r="A249" s="31" t="s">
        <v>886</v>
      </c>
      <c r="B249" s="31" t="s">
        <v>887</v>
      </c>
      <c r="C249" s="31" t="s">
        <v>432</v>
      </c>
      <c r="D249" s="49">
        <v>46066</v>
      </c>
      <c r="E249" s="31" t="s">
        <v>1117</v>
      </c>
      <c r="F249" s="31">
        <v>185</v>
      </c>
      <c r="G249" s="31" t="s">
        <v>1118</v>
      </c>
      <c r="H249" s="31">
        <v>9.75</v>
      </c>
      <c r="I249" s="31">
        <v>0</v>
      </c>
      <c r="J249" s="50">
        <v>16643.98</v>
      </c>
    </row>
    <row r="250" hidden="1" spans="1:10" x14ac:dyDescent="0.25">
      <c r="A250" s="31" t="s">
        <v>886</v>
      </c>
      <c r="B250" s="31" t="s">
        <v>887</v>
      </c>
      <c r="C250" s="31" t="s">
        <v>432</v>
      </c>
      <c r="D250" s="49">
        <v>46066</v>
      </c>
      <c r="E250" s="31" t="s">
        <v>1117</v>
      </c>
      <c r="F250" s="31">
        <v>186</v>
      </c>
      <c r="G250" s="31" t="s">
        <v>1118</v>
      </c>
      <c r="H250" s="31">
        <v>2.68</v>
      </c>
      <c r="I250" s="31">
        <v>0</v>
      </c>
      <c r="J250" s="50">
        <v>16646.66</v>
      </c>
    </row>
    <row r="251" hidden="1" spans="1:10" x14ac:dyDescent="0.25">
      <c r="A251" s="31" t="s">
        <v>886</v>
      </c>
      <c r="B251" s="31" t="s">
        <v>887</v>
      </c>
      <c r="C251" s="31" t="s">
        <v>432</v>
      </c>
      <c r="D251" s="49">
        <v>46067</v>
      </c>
      <c r="E251" s="31" t="s">
        <v>1117</v>
      </c>
      <c r="F251" s="31">
        <v>190</v>
      </c>
      <c r="G251" s="31" t="s">
        <v>1118</v>
      </c>
      <c r="H251" s="31">
        <v>4.8</v>
      </c>
      <c r="I251" s="31">
        <v>0</v>
      </c>
      <c r="J251" s="50">
        <v>16651.46</v>
      </c>
    </row>
    <row r="252" hidden="1" spans="1:10" x14ac:dyDescent="0.25">
      <c r="A252" s="31" t="s">
        <v>886</v>
      </c>
      <c r="B252" s="31" t="s">
        <v>887</v>
      </c>
      <c r="C252" s="31" t="s">
        <v>432</v>
      </c>
      <c r="D252" s="49">
        <v>46067</v>
      </c>
      <c r="E252" s="31" t="s">
        <v>1117</v>
      </c>
      <c r="F252" s="31">
        <v>191</v>
      </c>
      <c r="G252" s="31" t="s">
        <v>1118</v>
      </c>
      <c r="H252" s="31">
        <v>10.5</v>
      </c>
      <c r="I252" s="31">
        <v>0</v>
      </c>
      <c r="J252" s="50">
        <v>16661.96</v>
      </c>
    </row>
    <row r="253" hidden="1" spans="1:10" x14ac:dyDescent="0.25">
      <c r="A253" s="31" t="s">
        <v>886</v>
      </c>
      <c r="B253" s="31" t="s">
        <v>887</v>
      </c>
      <c r="C253" s="31" t="s">
        <v>432</v>
      </c>
      <c r="D253" s="49">
        <v>46071</v>
      </c>
      <c r="E253" s="31" t="s">
        <v>1117</v>
      </c>
      <c r="F253" s="31">
        <v>221</v>
      </c>
      <c r="G253" s="31" t="s">
        <v>1118</v>
      </c>
      <c r="H253" s="31">
        <v>6.75</v>
      </c>
      <c r="I253" s="31">
        <v>0</v>
      </c>
      <c r="J253" s="50">
        <v>16668.71</v>
      </c>
    </row>
    <row r="254" hidden="1" spans="1:10" x14ac:dyDescent="0.25">
      <c r="A254" s="31" t="s">
        <v>886</v>
      </c>
      <c r="B254" s="31" t="s">
        <v>887</v>
      </c>
      <c r="C254" s="31" t="s">
        <v>432</v>
      </c>
      <c r="D254" s="49">
        <v>46071</v>
      </c>
      <c r="E254" s="31" t="s">
        <v>1117</v>
      </c>
      <c r="F254" s="31">
        <v>222</v>
      </c>
      <c r="G254" s="31" t="s">
        <v>1118</v>
      </c>
      <c r="H254" s="31">
        <v>5.25</v>
      </c>
      <c r="I254" s="31">
        <v>0</v>
      </c>
      <c r="J254" s="50">
        <v>16673.96</v>
      </c>
    </row>
    <row r="255" hidden="1" spans="1:10" x14ac:dyDescent="0.25">
      <c r="A255" s="31" t="s">
        <v>886</v>
      </c>
      <c r="B255" s="31" t="s">
        <v>887</v>
      </c>
      <c r="C255" s="31" t="s">
        <v>432</v>
      </c>
      <c r="D255" s="49">
        <v>46071</v>
      </c>
      <c r="E255" s="31" t="s">
        <v>1117</v>
      </c>
      <c r="F255" s="31">
        <v>223</v>
      </c>
      <c r="G255" s="31" t="s">
        <v>1118</v>
      </c>
      <c r="H255" s="31">
        <v>8.7</v>
      </c>
      <c r="I255" s="31">
        <v>0</v>
      </c>
      <c r="J255" s="50">
        <v>16682.66</v>
      </c>
    </row>
    <row r="256" hidden="1" spans="1:10" x14ac:dyDescent="0.25">
      <c r="A256" s="31" t="s">
        <v>886</v>
      </c>
      <c r="B256" s="31" t="s">
        <v>887</v>
      </c>
      <c r="C256" s="31" t="s">
        <v>432</v>
      </c>
      <c r="D256" s="49">
        <v>46071</v>
      </c>
      <c r="E256" s="31" t="s">
        <v>1117</v>
      </c>
      <c r="F256" s="31">
        <v>224</v>
      </c>
      <c r="G256" s="31" t="s">
        <v>1118</v>
      </c>
      <c r="H256" s="31">
        <v>8.04</v>
      </c>
      <c r="I256" s="31">
        <v>0</v>
      </c>
      <c r="J256" s="50">
        <v>16690.7</v>
      </c>
    </row>
    <row r="257" hidden="1" spans="1:10" x14ac:dyDescent="0.25">
      <c r="A257" s="31" t="s">
        <v>886</v>
      </c>
      <c r="B257" s="31" t="s">
        <v>887</v>
      </c>
      <c r="C257" s="31" t="s">
        <v>432</v>
      </c>
      <c r="D257" s="49">
        <v>46072</v>
      </c>
      <c r="E257" s="31" t="s">
        <v>1117</v>
      </c>
      <c r="F257" s="31">
        <v>233</v>
      </c>
      <c r="G257" s="31" t="s">
        <v>1118</v>
      </c>
      <c r="H257" s="31">
        <v>9.9</v>
      </c>
      <c r="I257" s="31">
        <v>0</v>
      </c>
      <c r="J257" s="50">
        <v>16700.6</v>
      </c>
    </row>
    <row r="258" hidden="1" spans="1:10" x14ac:dyDescent="0.25">
      <c r="A258" s="31" t="s">
        <v>886</v>
      </c>
      <c r="B258" s="31" t="s">
        <v>887</v>
      </c>
      <c r="C258" s="31" t="s">
        <v>432</v>
      </c>
      <c r="D258" s="49">
        <v>46072</v>
      </c>
      <c r="E258" s="31" t="s">
        <v>1117</v>
      </c>
      <c r="F258" s="31">
        <v>234</v>
      </c>
      <c r="G258" s="31" t="s">
        <v>1118</v>
      </c>
      <c r="H258" s="31">
        <v>8.04</v>
      </c>
      <c r="I258" s="31">
        <v>0</v>
      </c>
      <c r="J258" s="50">
        <v>16708.64</v>
      </c>
    </row>
    <row r="259" hidden="1" spans="1:10" x14ac:dyDescent="0.25">
      <c r="A259" s="31" t="s">
        <v>886</v>
      </c>
      <c r="B259" s="31" t="s">
        <v>887</v>
      </c>
      <c r="C259" s="31" t="s">
        <v>432</v>
      </c>
      <c r="D259" s="49">
        <v>46073</v>
      </c>
      <c r="E259" s="31" t="s">
        <v>1117</v>
      </c>
      <c r="F259" s="31">
        <v>242</v>
      </c>
      <c r="G259" s="31" t="s">
        <v>1118</v>
      </c>
      <c r="H259" s="31">
        <v>7.5</v>
      </c>
      <c r="I259" s="31">
        <v>0</v>
      </c>
      <c r="J259" s="50">
        <v>16716.14</v>
      </c>
    </row>
    <row r="260" hidden="1" spans="1:10" x14ac:dyDescent="0.25">
      <c r="A260" s="31" t="s">
        <v>886</v>
      </c>
      <c r="B260" s="31" t="s">
        <v>887</v>
      </c>
      <c r="C260" s="31" t="s">
        <v>432</v>
      </c>
      <c r="D260" s="49">
        <v>46074</v>
      </c>
      <c r="E260" s="31" t="s">
        <v>1117</v>
      </c>
      <c r="F260" s="31">
        <v>268</v>
      </c>
      <c r="G260" s="31" t="s">
        <v>1118</v>
      </c>
      <c r="H260" s="31">
        <v>8.1</v>
      </c>
      <c r="I260" s="31">
        <v>0</v>
      </c>
      <c r="J260" s="50">
        <v>16724.24</v>
      </c>
    </row>
    <row r="261" hidden="1" spans="1:10" x14ac:dyDescent="0.25">
      <c r="A261" s="31" t="s">
        <v>886</v>
      </c>
      <c r="B261" s="31" t="s">
        <v>887</v>
      </c>
      <c r="C261" s="31" t="s">
        <v>432</v>
      </c>
      <c r="D261" s="49">
        <v>46076</v>
      </c>
      <c r="E261" s="31" t="s">
        <v>1117</v>
      </c>
      <c r="F261" s="31">
        <v>276</v>
      </c>
      <c r="G261" s="31" t="s">
        <v>1118</v>
      </c>
      <c r="H261" s="31">
        <v>9</v>
      </c>
      <c r="I261" s="31">
        <v>0</v>
      </c>
      <c r="J261" s="50">
        <v>16733.24</v>
      </c>
    </row>
    <row r="262" hidden="1" spans="1:10" x14ac:dyDescent="0.25">
      <c r="A262" s="31" t="s">
        <v>886</v>
      </c>
      <c r="B262" s="31" t="s">
        <v>887</v>
      </c>
      <c r="C262" s="31" t="s">
        <v>432</v>
      </c>
      <c r="D262" s="49">
        <v>46076</v>
      </c>
      <c r="E262" s="31" t="s">
        <v>1117</v>
      </c>
      <c r="F262" s="31">
        <v>277</v>
      </c>
      <c r="G262" s="31" t="s">
        <v>1118</v>
      </c>
      <c r="H262" s="31">
        <v>8.04</v>
      </c>
      <c r="I262" s="31">
        <v>0</v>
      </c>
      <c r="J262" s="50">
        <v>16741.28</v>
      </c>
    </row>
    <row r="263" hidden="1" spans="1:10" x14ac:dyDescent="0.25">
      <c r="A263" s="31" t="s">
        <v>886</v>
      </c>
      <c r="B263" s="31" t="s">
        <v>887</v>
      </c>
      <c r="C263" s="31" t="s">
        <v>432</v>
      </c>
      <c r="D263" s="49">
        <v>46077</v>
      </c>
      <c r="E263" s="31" t="s">
        <v>1117</v>
      </c>
      <c r="F263" s="31">
        <v>284</v>
      </c>
      <c r="G263" s="31" t="s">
        <v>1118</v>
      </c>
      <c r="H263" s="31">
        <v>9</v>
      </c>
      <c r="I263" s="31">
        <v>0</v>
      </c>
      <c r="J263" s="50">
        <v>16750.28</v>
      </c>
    </row>
    <row r="264" hidden="1" spans="1:10" x14ac:dyDescent="0.25">
      <c r="A264" s="31" t="s">
        <v>886</v>
      </c>
      <c r="B264" s="31" t="s">
        <v>887</v>
      </c>
      <c r="C264" s="31" t="s">
        <v>432</v>
      </c>
      <c r="D264" s="49">
        <v>46077</v>
      </c>
      <c r="E264" s="31" t="s">
        <v>1117</v>
      </c>
      <c r="F264" s="31">
        <v>285</v>
      </c>
      <c r="G264" s="31" t="s">
        <v>1118</v>
      </c>
      <c r="H264" s="31">
        <v>1.96</v>
      </c>
      <c r="I264" s="31">
        <v>0</v>
      </c>
      <c r="J264" s="50">
        <v>16752.24</v>
      </c>
    </row>
    <row r="265" hidden="1" spans="1:10" x14ac:dyDescent="0.25">
      <c r="A265" s="31" t="s">
        <v>886</v>
      </c>
      <c r="B265" s="31" t="s">
        <v>887</v>
      </c>
      <c r="C265" s="31" t="s">
        <v>432</v>
      </c>
      <c r="D265" s="49">
        <v>46077</v>
      </c>
      <c r="E265" s="31" t="s">
        <v>1117</v>
      </c>
      <c r="F265" s="31">
        <v>286</v>
      </c>
      <c r="G265" s="31" t="s">
        <v>1118</v>
      </c>
      <c r="H265" s="31">
        <v>42.45</v>
      </c>
      <c r="I265" s="31">
        <v>0</v>
      </c>
      <c r="J265" s="50">
        <v>16794.69</v>
      </c>
    </row>
    <row r="266" hidden="1" spans="1:10" x14ac:dyDescent="0.25">
      <c r="A266" s="31" t="s">
        <v>886</v>
      </c>
      <c r="B266" s="31" t="s">
        <v>887</v>
      </c>
      <c r="C266" s="31" t="s">
        <v>432</v>
      </c>
      <c r="D266" s="49">
        <v>46077</v>
      </c>
      <c r="E266" s="31" t="s">
        <v>1117</v>
      </c>
      <c r="F266" s="31">
        <v>287</v>
      </c>
      <c r="G266" s="31" t="s">
        <v>1118</v>
      </c>
      <c r="H266" s="31">
        <v>2.68</v>
      </c>
      <c r="I266" s="31">
        <v>0</v>
      </c>
      <c r="J266" s="50">
        <v>16797.37</v>
      </c>
    </row>
    <row r="267" hidden="1" spans="1:10" x14ac:dyDescent="0.25">
      <c r="A267" s="31" t="s">
        <v>886</v>
      </c>
      <c r="B267" s="31" t="s">
        <v>887</v>
      </c>
      <c r="C267" s="31" t="s">
        <v>432</v>
      </c>
      <c r="D267" s="49">
        <v>46078</v>
      </c>
      <c r="E267" s="31" t="s">
        <v>1117</v>
      </c>
      <c r="F267" s="31">
        <v>327</v>
      </c>
      <c r="G267" s="31" t="s">
        <v>1118</v>
      </c>
      <c r="H267" s="31">
        <v>15.6</v>
      </c>
      <c r="I267" s="31">
        <v>0</v>
      </c>
      <c r="J267" s="50">
        <v>16812.97</v>
      </c>
    </row>
    <row r="268" hidden="1" spans="1:10" x14ac:dyDescent="0.25">
      <c r="A268" s="31" t="s">
        <v>886</v>
      </c>
      <c r="B268" s="31" t="s">
        <v>887</v>
      </c>
      <c r="C268" s="31" t="s">
        <v>432</v>
      </c>
      <c r="D268" s="49">
        <v>46079</v>
      </c>
      <c r="E268" s="31" t="s">
        <v>1117</v>
      </c>
      <c r="F268" s="31">
        <v>334</v>
      </c>
      <c r="G268" s="31" t="s">
        <v>1118</v>
      </c>
      <c r="H268" s="31">
        <v>16.2</v>
      </c>
      <c r="I268" s="31">
        <v>0</v>
      </c>
      <c r="J268" s="50">
        <v>16829.17</v>
      </c>
    </row>
    <row r="269" hidden="1" spans="1:10" x14ac:dyDescent="0.25">
      <c r="A269" s="31" t="s">
        <v>886</v>
      </c>
      <c r="B269" s="31" t="s">
        <v>887</v>
      </c>
      <c r="C269" s="31" t="s">
        <v>432</v>
      </c>
      <c r="D269" s="49">
        <v>46080</v>
      </c>
      <c r="E269" s="31" t="s">
        <v>1117</v>
      </c>
      <c r="F269" s="31">
        <v>347</v>
      </c>
      <c r="G269" s="31" t="s">
        <v>1118</v>
      </c>
      <c r="H269" s="31">
        <v>1.31</v>
      </c>
      <c r="I269" s="31">
        <v>0</v>
      </c>
      <c r="J269" s="50">
        <v>16830.48</v>
      </c>
    </row>
    <row r="270" hidden="1" spans="1:10" x14ac:dyDescent="0.25">
      <c r="A270" s="31" t="s">
        <v>886</v>
      </c>
      <c r="B270" s="31" t="s">
        <v>887</v>
      </c>
      <c r="C270" s="31" t="s">
        <v>432</v>
      </c>
      <c r="D270" s="49">
        <v>46080</v>
      </c>
      <c r="E270" s="31" t="s">
        <v>1117</v>
      </c>
      <c r="F270" s="31">
        <v>349</v>
      </c>
      <c r="G270" s="31" t="s">
        <v>1118</v>
      </c>
      <c r="H270" s="31">
        <v>5.4</v>
      </c>
      <c r="I270" s="31">
        <v>0</v>
      </c>
      <c r="J270" s="50">
        <v>16835.88</v>
      </c>
    </row>
    <row r="271" hidden="1" spans="1:10" x14ac:dyDescent="0.25">
      <c r="A271" s="31" t="s">
        <v>886</v>
      </c>
      <c r="B271" s="31" t="s">
        <v>887</v>
      </c>
      <c r="C271" s="31" t="s">
        <v>432</v>
      </c>
      <c r="D271" s="49">
        <v>46081</v>
      </c>
      <c r="E271" s="31" t="s">
        <v>1117</v>
      </c>
      <c r="F271" s="31">
        <v>353</v>
      </c>
      <c r="G271" s="31" t="s">
        <v>1118</v>
      </c>
      <c r="H271" s="31">
        <v>10.2</v>
      </c>
      <c r="I271" s="31">
        <v>0</v>
      </c>
      <c r="J271" s="50">
        <v>16846.08</v>
      </c>
    </row>
    <row r="272" hidden="1" spans="1:10" x14ac:dyDescent="0.25">
      <c r="A272" s="31" t="s">
        <v>886</v>
      </c>
      <c r="B272" s="31" t="s">
        <v>887</v>
      </c>
      <c r="C272" s="31" t="s">
        <v>432</v>
      </c>
      <c r="D272" s="49">
        <v>46081</v>
      </c>
      <c r="E272" s="31" t="s">
        <v>1117</v>
      </c>
      <c r="F272" s="31">
        <v>354</v>
      </c>
      <c r="G272" s="31" t="s">
        <v>1118</v>
      </c>
      <c r="H272" s="31">
        <v>5.36</v>
      </c>
      <c r="I272" s="31">
        <v>0</v>
      </c>
      <c r="J272" s="50">
        <v>16851.44</v>
      </c>
    </row>
    <row r="273" hidden="1" spans="1:10" x14ac:dyDescent="0.25">
      <c r="A273" s="31" t="s">
        <v>886</v>
      </c>
      <c r="B273" s="31" t="s">
        <v>887</v>
      </c>
      <c r="C273" s="31" t="s">
        <v>432</v>
      </c>
      <c r="D273" s="49">
        <v>46055</v>
      </c>
      <c r="E273" s="31" t="s">
        <v>1117</v>
      </c>
      <c r="F273" s="31">
        <v>39</v>
      </c>
      <c r="G273" s="31" t="s">
        <v>1118</v>
      </c>
      <c r="H273" s="31">
        <v>12.9</v>
      </c>
      <c r="I273" s="31">
        <v>0</v>
      </c>
      <c r="J273" s="50">
        <v>16864.34</v>
      </c>
    </row>
    <row r="274" hidden="1" spans="1:10" x14ac:dyDescent="0.25">
      <c r="A274" s="31" t="s">
        <v>886</v>
      </c>
      <c r="B274" s="31" t="s">
        <v>887</v>
      </c>
      <c r="C274" s="31" t="s">
        <v>432</v>
      </c>
      <c r="D274" s="49">
        <v>46055</v>
      </c>
      <c r="E274" s="31" t="s">
        <v>1117</v>
      </c>
      <c r="F274" s="31">
        <v>40</v>
      </c>
      <c r="G274" s="31" t="s">
        <v>1118</v>
      </c>
      <c r="H274" s="31">
        <v>2.68</v>
      </c>
      <c r="I274" s="31">
        <v>0</v>
      </c>
      <c r="J274" s="50">
        <v>16867.02</v>
      </c>
    </row>
    <row r="275" hidden="1" spans="1:10" x14ac:dyDescent="0.25">
      <c r="A275" s="31" t="s">
        <v>886</v>
      </c>
      <c r="B275" s="31" t="s">
        <v>887</v>
      </c>
      <c r="C275" s="31" t="s">
        <v>432</v>
      </c>
      <c r="D275" s="49">
        <v>46056</v>
      </c>
      <c r="E275" s="31" t="s">
        <v>1117</v>
      </c>
      <c r="F275" s="31">
        <v>48</v>
      </c>
      <c r="G275" s="31" t="s">
        <v>1118</v>
      </c>
      <c r="H275" s="31">
        <v>24.6</v>
      </c>
      <c r="I275" s="31">
        <v>0</v>
      </c>
      <c r="J275" s="50">
        <v>16891.62</v>
      </c>
    </row>
    <row r="276" hidden="1" spans="1:10" x14ac:dyDescent="0.25">
      <c r="A276" s="31" t="s">
        <v>886</v>
      </c>
      <c r="B276" s="31" t="s">
        <v>887</v>
      </c>
      <c r="C276" s="31" t="s">
        <v>432</v>
      </c>
      <c r="D276" s="49">
        <v>46057</v>
      </c>
      <c r="E276" s="31" t="s">
        <v>1117</v>
      </c>
      <c r="F276" s="31">
        <v>53</v>
      </c>
      <c r="G276" s="31" t="s">
        <v>1118</v>
      </c>
      <c r="H276" s="31">
        <v>23.4</v>
      </c>
      <c r="I276" s="31">
        <v>0</v>
      </c>
      <c r="J276" s="50">
        <v>16915.02</v>
      </c>
    </row>
    <row r="277" hidden="1" spans="1:10" x14ac:dyDescent="0.25">
      <c r="A277" s="31" t="s">
        <v>886</v>
      </c>
      <c r="B277" s="31" t="s">
        <v>887</v>
      </c>
      <c r="C277" s="31" t="s">
        <v>432</v>
      </c>
      <c r="D277" s="49">
        <v>46057</v>
      </c>
      <c r="E277" s="31" t="s">
        <v>1117</v>
      </c>
      <c r="F277" s="31">
        <v>54</v>
      </c>
      <c r="G277" s="31" t="s">
        <v>1118</v>
      </c>
      <c r="H277" s="31">
        <v>2.68</v>
      </c>
      <c r="I277" s="31">
        <v>0</v>
      </c>
      <c r="J277" s="50">
        <v>16917.7</v>
      </c>
    </row>
    <row r="278" hidden="1" spans="1:10" x14ac:dyDescent="0.25">
      <c r="A278" s="31" t="s">
        <v>886</v>
      </c>
      <c r="B278" s="31" t="s">
        <v>887</v>
      </c>
      <c r="C278" s="31" t="s">
        <v>432</v>
      </c>
      <c r="D278" s="49">
        <v>46058</v>
      </c>
      <c r="E278" s="31" t="s">
        <v>1117</v>
      </c>
      <c r="F278" s="31">
        <v>82</v>
      </c>
      <c r="G278" s="31" t="s">
        <v>1118</v>
      </c>
      <c r="H278" s="31">
        <v>17.1</v>
      </c>
      <c r="I278" s="31">
        <v>0</v>
      </c>
      <c r="J278" s="50">
        <v>16934.8</v>
      </c>
    </row>
    <row r="279" hidden="1" spans="1:10" x14ac:dyDescent="0.25">
      <c r="A279" s="31" t="s">
        <v>886</v>
      </c>
      <c r="B279" s="31" t="s">
        <v>887</v>
      </c>
      <c r="C279" s="31" t="s">
        <v>432</v>
      </c>
      <c r="D279" s="49">
        <v>46058</v>
      </c>
      <c r="E279" s="31" t="s">
        <v>1117</v>
      </c>
      <c r="F279" s="31">
        <v>83</v>
      </c>
      <c r="G279" s="31" t="s">
        <v>1118</v>
      </c>
      <c r="H279" s="31">
        <v>2.68</v>
      </c>
      <c r="I279" s="31">
        <v>0</v>
      </c>
      <c r="J279" s="50">
        <v>16937.48</v>
      </c>
    </row>
    <row r="280" hidden="1" spans="1:10" x14ac:dyDescent="0.25">
      <c r="A280" s="31" t="s">
        <v>886</v>
      </c>
      <c r="B280" s="31" t="s">
        <v>887</v>
      </c>
      <c r="C280" s="31" t="s">
        <v>432</v>
      </c>
      <c r="D280" s="49">
        <v>46059</v>
      </c>
      <c r="E280" s="31" t="s">
        <v>1117</v>
      </c>
      <c r="F280" s="31">
        <v>95</v>
      </c>
      <c r="G280" s="31" t="s">
        <v>1118</v>
      </c>
      <c r="H280" s="31">
        <v>1.96</v>
      </c>
      <c r="I280" s="31">
        <v>0</v>
      </c>
      <c r="J280" s="50">
        <v>16939.44</v>
      </c>
    </row>
    <row r="281" hidden="1" spans="1:10" x14ac:dyDescent="0.25">
      <c r="A281" s="31" t="s">
        <v>886</v>
      </c>
      <c r="B281" s="31" t="s">
        <v>887</v>
      </c>
      <c r="C281" s="31" t="s">
        <v>432</v>
      </c>
      <c r="D281" s="49">
        <v>46059</v>
      </c>
      <c r="E281" s="31" t="s">
        <v>1117</v>
      </c>
      <c r="F281" s="31">
        <v>96</v>
      </c>
      <c r="G281" s="31" t="s">
        <v>1118</v>
      </c>
      <c r="H281" s="31">
        <v>1.31</v>
      </c>
      <c r="I281" s="31">
        <v>0</v>
      </c>
      <c r="J281" s="50">
        <v>16940.75</v>
      </c>
    </row>
    <row r="282" hidden="1" spans="1:10" x14ac:dyDescent="0.25">
      <c r="A282" s="31" t="s">
        <v>886</v>
      </c>
      <c r="B282" s="31" t="s">
        <v>887</v>
      </c>
      <c r="C282" s="31" t="s">
        <v>432</v>
      </c>
      <c r="D282" s="49">
        <v>46059</v>
      </c>
      <c r="E282" s="31" t="s">
        <v>1117</v>
      </c>
      <c r="F282" s="31">
        <v>97</v>
      </c>
      <c r="G282" s="31" t="s">
        <v>1118</v>
      </c>
      <c r="H282" s="31">
        <v>15.15</v>
      </c>
      <c r="I282" s="31">
        <v>0</v>
      </c>
      <c r="J282" s="50">
        <v>16955.9</v>
      </c>
    </row>
    <row r="283" spans="1:10" x14ac:dyDescent="0.25">
      <c r="A283" s="31" t="s">
        <v>886</v>
      </c>
      <c r="B283" s="31" t="s">
        <v>887</v>
      </c>
      <c r="C283" s="31" t="s">
        <v>432</v>
      </c>
      <c r="D283" s="49">
        <v>46081</v>
      </c>
      <c r="E283" s="31" t="s">
        <v>1119</v>
      </c>
      <c r="F283" s="31">
        <v>341</v>
      </c>
      <c r="G283" s="31" t="s">
        <v>1120</v>
      </c>
      <c r="H283" s="31">
        <v>0</v>
      </c>
      <c r="I283" s="50">
        <v>10406.12</v>
      </c>
      <c r="J283" s="50">
        <v>6549.78</v>
      </c>
    </row>
    <row r="284" spans="1:10" x14ac:dyDescent="0.25">
      <c r="A284" s="31" t="s">
        <v>886</v>
      </c>
      <c r="B284" s="31" t="s">
        <v>887</v>
      </c>
      <c r="C284" s="31" t="s">
        <v>432</v>
      </c>
      <c r="D284" s="49">
        <v>46081</v>
      </c>
      <c r="E284" s="31" t="s">
        <v>1119</v>
      </c>
      <c r="F284" s="31">
        <v>341</v>
      </c>
      <c r="G284" s="31" t="s">
        <v>1120</v>
      </c>
      <c r="H284" s="31">
        <v>0</v>
      </c>
      <c r="I284" s="50">
        <v>4395.88</v>
      </c>
      <c r="J284" s="50">
        <v>2153.9</v>
      </c>
    </row>
    <row r="285" spans="1:10" x14ac:dyDescent="0.25">
      <c r="A285" s="31" t="s">
        <v>886</v>
      </c>
      <c r="B285" s="31" t="s">
        <v>887</v>
      </c>
      <c r="C285" s="31" t="s">
        <v>432</v>
      </c>
      <c r="D285" s="49">
        <v>46081</v>
      </c>
      <c r="E285" s="31" t="s">
        <v>1119</v>
      </c>
      <c r="F285" s="31">
        <v>342</v>
      </c>
      <c r="G285" s="31" t="s">
        <v>1121</v>
      </c>
      <c r="H285" s="31">
        <v>203.86</v>
      </c>
      <c r="I285" s="31">
        <v>0</v>
      </c>
      <c r="J285" s="50">
        <v>2357.76</v>
      </c>
    </row>
    <row r="286" spans="1:10" x14ac:dyDescent="0.25">
      <c r="A286" s="31" t="s">
        <v>886</v>
      </c>
      <c r="B286" s="31" t="s">
        <v>887</v>
      </c>
      <c r="C286" s="31" t="s">
        <v>432</v>
      </c>
      <c r="D286" s="49">
        <v>46081</v>
      </c>
      <c r="E286" s="31" t="s">
        <v>1119</v>
      </c>
      <c r="F286" s="31">
        <v>358</v>
      </c>
      <c r="G286" s="31" t="s">
        <v>1122</v>
      </c>
      <c r="H286" s="31">
        <v>0</v>
      </c>
      <c r="I286" s="50">
        <v>3240.2</v>
      </c>
      <c r="J286" s="31">
        <v>-882.44</v>
      </c>
    </row>
    <row r="287" spans="1:10" x14ac:dyDescent="0.25">
      <c r="A287" s="31" t="s">
        <v>886</v>
      </c>
      <c r="B287" s="31" t="s">
        <v>887</v>
      </c>
      <c r="C287" s="31" t="s">
        <v>432</v>
      </c>
      <c r="D287" s="49">
        <v>46081</v>
      </c>
      <c r="E287" s="31" t="s">
        <v>1119</v>
      </c>
      <c r="F287" s="31">
        <v>358</v>
      </c>
      <c r="G287" s="31" t="s">
        <v>1122</v>
      </c>
      <c r="H287" s="31">
        <v>0</v>
      </c>
      <c r="I287" s="50">
        <v>4188.1</v>
      </c>
      <c r="J287" s="50">
        <v>-5070.54</v>
      </c>
    </row>
    <row r="288" spans="1:10" x14ac:dyDescent="0.25">
      <c r="A288" s="31" t="s">
        <v>886</v>
      </c>
      <c r="B288" s="31" t="s">
        <v>887</v>
      </c>
      <c r="C288" s="31" t="s">
        <v>432</v>
      </c>
      <c r="D288" s="49">
        <v>46081</v>
      </c>
      <c r="E288" s="31" t="s">
        <v>1119</v>
      </c>
      <c r="F288" s="31">
        <v>359</v>
      </c>
      <c r="G288" s="31" t="s">
        <v>1123</v>
      </c>
      <c r="H288" s="50">
        <v>1065.41</v>
      </c>
      <c r="I288" s="31">
        <v>0</v>
      </c>
      <c r="J288" s="50">
        <v>-4005.13</v>
      </c>
    </row>
    <row r="289" spans="1:10" x14ac:dyDescent="0.25">
      <c r="A289" s="31" t="s">
        <v>886</v>
      </c>
      <c r="B289" s="31" t="s">
        <v>887</v>
      </c>
      <c r="C289" s="31" t="s">
        <v>432</v>
      </c>
      <c r="D289" s="49">
        <v>46081</v>
      </c>
      <c r="E289" s="31" t="s">
        <v>1119</v>
      </c>
      <c r="F289" s="31">
        <v>359</v>
      </c>
      <c r="G289" s="31" t="s">
        <v>1123</v>
      </c>
      <c r="H289" s="31">
        <v>7.91</v>
      </c>
      <c r="I289" s="31">
        <v>0</v>
      </c>
      <c r="J289" s="50">
        <v>-3997.22</v>
      </c>
    </row>
    <row r="290" spans="1:10" x14ac:dyDescent="0.25">
      <c r="A290" s="31" t="s">
        <v>886</v>
      </c>
      <c r="B290" s="31" t="s">
        <v>887</v>
      </c>
      <c r="C290" s="31" t="s">
        <v>432</v>
      </c>
      <c r="D290" s="49">
        <v>46081</v>
      </c>
      <c r="E290" s="31" t="s">
        <v>1119</v>
      </c>
      <c r="F290" s="31">
        <v>360</v>
      </c>
      <c r="G290" s="31" t="s">
        <v>1124</v>
      </c>
      <c r="H290" s="31">
        <v>0</v>
      </c>
      <c r="I290" s="50">
        <v>1178.46</v>
      </c>
      <c r="J290" s="50">
        <v>-5175.68</v>
      </c>
    </row>
    <row r="291" spans="1:10" x14ac:dyDescent="0.25">
      <c r="A291" s="31" t="s">
        <v>886</v>
      </c>
      <c r="B291" s="31" t="s">
        <v>887</v>
      </c>
      <c r="C291" s="31" t="s">
        <v>432</v>
      </c>
      <c r="D291" s="49">
        <v>46081</v>
      </c>
      <c r="E291" s="31" t="s">
        <v>1119</v>
      </c>
      <c r="F291" s="31">
        <v>360</v>
      </c>
      <c r="G291" s="31" t="s">
        <v>1124</v>
      </c>
      <c r="H291" s="31">
        <v>0</v>
      </c>
      <c r="I291" s="31">
        <v>739.8</v>
      </c>
      <c r="J291" s="50">
        <v>-5915.48</v>
      </c>
    </row>
    <row r="292" spans="1:10" x14ac:dyDescent="0.25">
      <c r="A292" s="31" t="s">
        <v>886</v>
      </c>
      <c r="B292" s="31" t="s">
        <v>887</v>
      </c>
      <c r="C292" s="31" t="s">
        <v>432</v>
      </c>
      <c r="D292" s="49">
        <v>46081</v>
      </c>
      <c r="E292" s="31" t="s">
        <v>1119</v>
      </c>
      <c r="F292" s="31">
        <v>420</v>
      </c>
      <c r="G292" s="31" t="s">
        <v>1125</v>
      </c>
      <c r="H292" s="31">
        <v>0</v>
      </c>
      <c r="I292" s="31">
        <v>400.1</v>
      </c>
      <c r="J292" s="50">
        <v>-6315.58</v>
      </c>
    </row>
    <row r="293" spans="1:10" x14ac:dyDescent="0.25">
      <c r="A293" s="31" t="s">
        <v>886</v>
      </c>
      <c r="B293" s="31" t="s">
        <v>887</v>
      </c>
      <c r="C293" s="31" t="s">
        <v>432</v>
      </c>
      <c r="D293" s="49">
        <v>46081</v>
      </c>
      <c r="E293" s="31" t="s">
        <v>1119</v>
      </c>
      <c r="F293" s="31">
        <v>420</v>
      </c>
      <c r="G293" s="31" t="s">
        <v>1125</v>
      </c>
      <c r="H293" s="31">
        <v>0</v>
      </c>
      <c r="I293" s="31">
        <v>276.92</v>
      </c>
      <c r="J293" s="50">
        <v>-6592.5</v>
      </c>
    </row>
    <row r="294" spans="1:10" x14ac:dyDescent="0.25">
      <c r="A294" s="31" t="s">
        <v>886</v>
      </c>
      <c r="B294" s="31" t="s">
        <v>887</v>
      </c>
      <c r="C294" s="31" t="s">
        <v>432</v>
      </c>
      <c r="D294" s="49">
        <v>46081</v>
      </c>
      <c r="E294" s="31" t="s">
        <v>1119</v>
      </c>
      <c r="F294" s="31">
        <v>421</v>
      </c>
      <c r="G294" s="31" t="s">
        <v>1126</v>
      </c>
      <c r="H294" s="31">
        <v>117.04</v>
      </c>
      <c r="I294" s="31">
        <v>0</v>
      </c>
      <c r="J294" s="50">
        <v>-6475.46</v>
      </c>
    </row>
    <row r="295" spans="1:10" x14ac:dyDescent="0.25">
      <c r="A295" s="31" t="s">
        <v>886</v>
      </c>
      <c r="B295" s="31" t="s">
        <v>887</v>
      </c>
      <c r="C295" s="31" t="s">
        <v>432</v>
      </c>
      <c r="D295" s="49">
        <v>46081</v>
      </c>
      <c r="E295" s="31" t="s">
        <v>1119</v>
      </c>
      <c r="F295" s="31">
        <v>422</v>
      </c>
      <c r="G295" s="31" t="s">
        <v>1127</v>
      </c>
      <c r="H295" s="31">
        <v>0</v>
      </c>
      <c r="I295" s="31">
        <v>885.38</v>
      </c>
      <c r="J295" s="50">
        <v>-7360.84</v>
      </c>
    </row>
    <row r="296" spans="1:10" x14ac:dyDescent="0.25">
      <c r="A296" s="31" t="s">
        <v>886</v>
      </c>
      <c r="B296" s="31" t="s">
        <v>887</v>
      </c>
      <c r="C296" s="31" t="s">
        <v>432</v>
      </c>
      <c r="D296" s="49">
        <v>46081</v>
      </c>
      <c r="E296" s="31" t="s">
        <v>1119</v>
      </c>
      <c r="F296" s="31">
        <v>422</v>
      </c>
      <c r="G296" s="31" t="s">
        <v>1127</v>
      </c>
      <c r="H296" s="31">
        <v>0</v>
      </c>
      <c r="I296" s="31">
        <v>994.05</v>
      </c>
      <c r="J296" s="50">
        <v>-8354.89</v>
      </c>
    </row>
    <row r="297" spans="1:10" x14ac:dyDescent="0.25">
      <c r="A297" s="31" t="s">
        <v>886</v>
      </c>
      <c r="B297" s="31" t="s">
        <v>887</v>
      </c>
      <c r="C297" s="31" t="s">
        <v>432</v>
      </c>
      <c r="D297" s="49">
        <v>46081</v>
      </c>
      <c r="E297" s="31" t="s">
        <v>1119</v>
      </c>
      <c r="F297" s="31">
        <v>423</v>
      </c>
      <c r="G297" s="31" t="s">
        <v>1124</v>
      </c>
      <c r="H297" s="31">
        <v>0</v>
      </c>
      <c r="I297" s="31">
        <v>177.58</v>
      </c>
      <c r="J297" s="50">
        <v>-8532.47</v>
      </c>
    </row>
    <row r="298" spans="1:10" x14ac:dyDescent="0.25">
      <c r="A298" s="31" t="s">
        <v>886</v>
      </c>
      <c r="B298" s="31" t="s">
        <v>887</v>
      </c>
      <c r="C298" s="31" t="s">
        <v>432</v>
      </c>
      <c r="D298" s="49">
        <v>46081</v>
      </c>
      <c r="E298" s="31" t="s">
        <v>1119</v>
      </c>
      <c r="F298" s="31">
        <v>423</v>
      </c>
      <c r="G298" s="31" t="s">
        <v>1124</v>
      </c>
      <c r="H298" s="31">
        <v>0</v>
      </c>
      <c r="I298" s="31">
        <v>14.82</v>
      </c>
      <c r="J298" s="50">
        <v>-8547.29</v>
      </c>
    </row>
    <row r="299" spans="1:10" x14ac:dyDescent="0.25">
      <c r="A299" s="31" t="s">
        <v>886</v>
      </c>
      <c r="B299" s="31" t="s">
        <v>887</v>
      </c>
      <c r="C299" s="31" t="s">
        <v>432</v>
      </c>
      <c r="D299" s="49">
        <v>46055.20833333333</v>
      </c>
      <c r="E299" s="31" t="s">
        <v>433</v>
      </c>
      <c r="F299" s="31" t="s">
        <v>56</v>
      </c>
      <c r="G299" s="31" t="s">
        <v>434</v>
      </c>
      <c r="H299" s="31">
        <v>0</v>
      </c>
      <c r="I299" s="31">
        <v>5.26</v>
      </c>
      <c r="J299" s="50">
        <v>23135.24</v>
      </c>
    </row>
    <row r="300" spans="1:10" x14ac:dyDescent="0.25">
      <c r="A300" s="31" t="s">
        <v>886</v>
      </c>
      <c r="B300" s="31" t="s">
        <v>887</v>
      </c>
      <c r="C300" s="31" t="s">
        <v>432</v>
      </c>
      <c r="D300" s="49">
        <v>46056.20833333333</v>
      </c>
      <c r="E300" s="31" t="s">
        <v>433</v>
      </c>
      <c r="F300" s="31" t="s">
        <v>69</v>
      </c>
      <c r="G300" s="31" t="s">
        <v>434</v>
      </c>
      <c r="H300" s="31">
        <v>0</v>
      </c>
      <c r="I300" s="31">
        <v>18.35</v>
      </c>
      <c r="J300" s="50">
        <v>23116.89</v>
      </c>
    </row>
    <row r="301" spans="1:10" x14ac:dyDescent="0.25">
      <c r="A301" s="31" t="s">
        <v>886</v>
      </c>
      <c r="B301" s="31" t="s">
        <v>887</v>
      </c>
      <c r="C301" s="31" t="s">
        <v>432</v>
      </c>
      <c r="D301" s="49">
        <v>46057.20833333333</v>
      </c>
      <c r="E301" s="31" t="s">
        <v>433</v>
      </c>
      <c r="F301" s="31" t="s">
        <v>82</v>
      </c>
      <c r="G301" s="31" t="s">
        <v>434</v>
      </c>
      <c r="H301" s="31">
        <v>0</v>
      </c>
      <c r="I301" s="31">
        <v>107.32</v>
      </c>
      <c r="J301" s="50">
        <v>23009.57</v>
      </c>
    </row>
    <row r="302" spans="1:10" x14ac:dyDescent="0.25">
      <c r="A302" s="31" t="s">
        <v>886</v>
      </c>
      <c r="B302" s="31" t="s">
        <v>887</v>
      </c>
      <c r="C302" s="31" t="s">
        <v>432</v>
      </c>
      <c r="D302" s="49">
        <v>46058.20833333333</v>
      </c>
      <c r="E302" s="31" t="s">
        <v>433</v>
      </c>
      <c r="F302" s="31" t="s">
        <v>100</v>
      </c>
      <c r="G302" s="31" t="s">
        <v>434</v>
      </c>
      <c r="H302" s="31">
        <v>0</v>
      </c>
      <c r="I302" s="31">
        <v>130.35</v>
      </c>
      <c r="J302" s="50">
        <v>22879.22</v>
      </c>
    </row>
    <row r="303" spans="1:10" x14ac:dyDescent="0.25">
      <c r="A303" s="31" t="s">
        <v>886</v>
      </c>
      <c r="B303" s="31" t="s">
        <v>887</v>
      </c>
      <c r="C303" s="31" t="s">
        <v>432</v>
      </c>
      <c r="D303" s="49">
        <v>46059.20833333333</v>
      </c>
      <c r="E303" s="31" t="s">
        <v>433</v>
      </c>
      <c r="F303" s="31" t="s">
        <v>112</v>
      </c>
      <c r="G303" s="31" t="s">
        <v>434</v>
      </c>
      <c r="H303" s="31">
        <v>0</v>
      </c>
      <c r="I303" s="31">
        <v>168.19</v>
      </c>
      <c r="J303" s="50">
        <v>22711.03</v>
      </c>
    </row>
    <row r="304" spans="1:10" x14ac:dyDescent="0.25">
      <c r="A304" s="31" t="s">
        <v>886</v>
      </c>
      <c r="B304" s="31" t="s">
        <v>887</v>
      </c>
      <c r="C304" s="31" t="s">
        <v>432</v>
      </c>
      <c r="D304" s="49">
        <v>46060.20833333333</v>
      </c>
      <c r="E304" s="31" t="s">
        <v>433</v>
      </c>
      <c r="F304" s="31" t="s">
        <v>143</v>
      </c>
      <c r="G304" s="31" t="s">
        <v>434</v>
      </c>
      <c r="H304" s="31">
        <v>0</v>
      </c>
      <c r="I304" s="31">
        <v>37.7</v>
      </c>
      <c r="J304" s="50">
        <v>22673.33</v>
      </c>
    </row>
    <row r="305" spans="1:10" x14ac:dyDescent="0.25">
      <c r="A305" s="31" t="s">
        <v>886</v>
      </c>
      <c r="B305" s="31" t="s">
        <v>887</v>
      </c>
      <c r="C305" s="31" t="s">
        <v>432</v>
      </c>
      <c r="D305" s="49">
        <v>46062.20833333333</v>
      </c>
      <c r="E305" s="31" t="s">
        <v>433</v>
      </c>
      <c r="F305" s="31" t="s">
        <v>150</v>
      </c>
      <c r="G305" s="31" t="s">
        <v>434</v>
      </c>
      <c r="H305" s="31">
        <v>0</v>
      </c>
      <c r="I305" s="31">
        <v>23.64</v>
      </c>
      <c r="J305" s="50">
        <v>22649.69</v>
      </c>
    </row>
    <row r="306" spans="1:10" x14ac:dyDescent="0.25">
      <c r="A306" s="31" t="s">
        <v>886</v>
      </c>
      <c r="B306" s="31" t="s">
        <v>887</v>
      </c>
      <c r="C306" s="31" t="s">
        <v>432</v>
      </c>
      <c r="D306" s="49">
        <v>46063.20833333333</v>
      </c>
      <c r="E306" s="31" t="s">
        <v>433</v>
      </c>
      <c r="F306" s="31" t="s">
        <v>156</v>
      </c>
      <c r="G306" s="31" t="s">
        <v>434</v>
      </c>
      <c r="H306" s="31">
        <v>0</v>
      </c>
      <c r="I306" s="31">
        <v>210.37</v>
      </c>
      <c r="J306" s="50">
        <v>22439.32</v>
      </c>
    </row>
    <row r="307" spans="1:10" x14ac:dyDescent="0.25">
      <c r="A307" s="31" t="s">
        <v>886</v>
      </c>
      <c r="B307" s="31" t="s">
        <v>887</v>
      </c>
      <c r="C307" s="31" t="s">
        <v>432</v>
      </c>
      <c r="D307" s="49">
        <v>46064.20833333333</v>
      </c>
      <c r="E307" s="31" t="s">
        <v>433</v>
      </c>
      <c r="F307" s="31" t="s">
        <v>171</v>
      </c>
      <c r="G307" s="31" t="s">
        <v>434</v>
      </c>
      <c r="H307" s="31">
        <v>0</v>
      </c>
      <c r="I307" s="31">
        <v>130.68</v>
      </c>
      <c r="J307" s="50">
        <v>22308.64</v>
      </c>
    </row>
    <row r="308" spans="1:10" x14ac:dyDescent="0.25">
      <c r="A308" s="31" t="s">
        <v>886</v>
      </c>
      <c r="B308" s="31" t="s">
        <v>887</v>
      </c>
      <c r="C308" s="31" t="s">
        <v>432</v>
      </c>
      <c r="D308" s="49">
        <v>46065.20833333333</v>
      </c>
      <c r="E308" s="31" t="s">
        <v>433</v>
      </c>
      <c r="F308" s="31" t="s">
        <v>181</v>
      </c>
      <c r="G308" s="31" t="s">
        <v>434</v>
      </c>
      <c r="H308" s="31">
        <v>0</v>
      </c>
      <c r="I308" s="31">
        <v>7.43</v>
      </c>
      <c r="J308" s="50">
        <v>22301.21</v>
      </c>
    </row>
    <row r="309" spans="1:10" x14ac:dyDescent="0.25">
      <c r="A309" s="31" t="s">
        <v>886</v>
      </c>
      <c r="B309" s="31" t="s">
        <v>887</v>
      </c>
      <c r="C309" s="31" t="s">
        <v>432</v>
      </c>
      <c r="D309" s="49">
        <v>46066.20833333333</v>
      </c>
      <c r="E309" s="31" t="s">
        <v>433</v>
      </c>
      <c r="F309" s="31" t="s">
        <v>193</v>
      </c>
      <c r="G309" s="31" t="s">
        <v>434</v>
      </c>
      <c r="H309" s="31">
        <v>0</v>
      </c>
      <c r="I309" s="31">
        <v>154.36</v>
      </c>
      <c r="J309" s="50">
        <v>22146.85</v>
      </c>
    </row>
    <row r="310" spans="1:10" x14ac:dyDescent="0.25">
      <c r="A310" s="31" t="s">
        <v>886</v>
      </c>
      <c r="B310" s="31" t="s">
        <v>887</v>
      </c>
      <c r="C310" s="31" t="s">
        <v>432</v>
      </c>
      <c r="D310" s="49">
        <v>46071.20833333333</v>
      </c>
      <c r="E310" s="31" t="s">
        <v>433</v>
      </c>
      <c r="F310" s="31" t="s">
        <v>214</v>
      </c>
      <c r="G310" s="31" t="s">
        <v>434</v>
      </c>
      <c r="H310" s="31">
        <v>0</v>
      </c>
      <c r="I310" s="31">
        <v>288.32</v>
      </c>
      <c r="J310" s="50">
        <v>21858.53</v>
      </c>
    </row>
    <row r="311" spans="1:10" x14ac:dyDescent="0.25">
      <c r="A311" s="31" t="s">
        <v>886</v>
      </c>
      <c r="B311" s="31" t="s">
        <v>887</v>
      </c>
      <c r="C311" s="31" t="s">
        <v>432</v>
      </c>
      <c r="D311" s="49">
        <v>46071.20833333333</v>
      </c>
      <c r="E311" s="31" t="s">
        <v>433</v>
      </c>
      <c r="F311" s="31" t="s">
        <v>214</v>
      </c>
      <c r="G311" s="31" t="s">
        <v>434</v>
      </c>
      <c r="H311" s="31">
        <v>126.23</v>
      </c>
      <c r="I311" s="31">
        <v>0</v>
      </c>
      <c r="J311" s="50">
        <v>21984.76</v>
      </c>
    </row>
    <row r="312" spans="1:10" x14ac:dyDescent="0.25">
      <c r="A312" s="31" t="s">
        <v>886</v>
      </c>
      <c r="B312" s="31" t="s">
        <v>887</v>
      </c>
      <c r="C312" s="31" t="s">
        <v>432</v>
      </c>
      <c r="D312" s="49">
        <v>46072.20833333333</v>
      </c>
      <c r="E312" s="31" t="s">
        <v>433</v>
      </c>
      <c r="F312" s="31" t="s">
        <v>225</v>
      </c>
      <c r="G312" s="31" t="s">
        <v>434</v>
      </c>
      <c r="H312" s="31">
        <v>0</v>
      </c>
      <c r="I312" s="31">
        <v>24.48</v>
      </c>
      <c r="J312" s="50">
        <v>21960.28</v>
      </c>
    </row>
    <row r="313" spans="1:10" x14ac:dyDescent="0.25">
      <c r="A313" s="31" t="s">
        <v>886</v>
      </c>
      <c r="B313" s="31" t="s">
        <v>887</v>
      </c>
      <c r="C313" s="31" t="s">
        <v>432</v>
      </c>
      <c r="D313" s="49">
        <v>46073.20833333333</v>
      </c>
      <c r="E313" s="31" t="s">
        <v>433</v>
      </c>
      <c r="F313" s="31" t="s">
        <v>236</v>
      </c>
      <c r="G313" s="31" t="s">
        <v>434</v>
      </c>
      <c r="H313" s="31">
        <v>0</v>
      </c>
      <c r="I313" s="31">
        <v>46.81</v>
      </c>
      <c r="J313" s="50">
        <v>21913.47</v>
      </c>
    </row>
    <row r="314" spans="1:10" x14ac:dyDescent="0.25">
      <c r="A314" s="31" t="s">
        <v>886</v>
      </c>
      <c r="B314" s="31" t="s">
        <v>887</v>
      </c>
      <c r="C314" s="31" t="s">
        <v>432</v>
      </c>
      <c r="D314" s="49">
        <v>46074.20833333333</v>
      </c>
      <c r="E314" s="31" t="s">
        <v>433</v>
      </c>
      <c r="F314" s="31" t="s">
        <v>252</v>
      </c>
      <c r="G314" s="31" t="s">
        <v>434</v>
      </c>
      <c r="H314" s="31">
        <v>0</v>
      </c>
      <c r="I314" s="31">
        <v>8.06</v>
      </c>
      <c r="J314" s="50">
        <v>21905.41</v>
      </c>
    </row>
    <row r="315" spans="1:10" x14ac:dyDescent="0.25">
      <c r="A315" s="31" t="s">
        <v>886</v>
      </c>
      <c r="B315" s="31" t="s">
        <v>887</v>
      </c>
      <c r="C315" s="31" t="s">
        <v>432</v>
      </c>
      <c r="D315" s="49">
        <v>46076.20833333333</v>
      </c>
      <c r="E315" s="31" t="s">
        <v>433</v>
      </c>
      <c r="F315" s="31" t="s">
        <v>258</v>
      </c>
      <c r="G315" s="31" t="s">
        <v>434</v>
      </c>
      <c r="H315" s="31">
        <v>0</v>
      </c>
      <c r="I315" s="31">
        <v>50.39</v>
      </c>
      <c r="J315" s="50">
        <v>21855.02</v>
      </c>
    </row>
    <row r="316" spans="1:10" x14ac:dyDescent="0.25">
      <c r="A316" s="31" t="s">
        <v>886</v>
      </c>
      <c r="B316" s="31" t="s">
        <v>887</v>
      </c>
      <c r="C316" s="31" t="s">
        <v>432</v>
      </c>
      <c r="D316" s="49">
        <v>46077.20833333333</v>
      </c>
      <c r="E316" s="31" t="s">
        <v>433</v>
      </c>
      <c r="F316" s="31" t="s">
        <v>269</v>
      </c>
      <c r="G316" s="31" t="s">
        <v>434</v>
      </c>
      <c r="H316" s="31">
        <v>0</v>
      </c>
      <c r="I316" s="31">
        <v>125.38</v>
      </c>
      <c r="J316" s="50">
        <v>21729.64</v>
      </c>
    </row>
    <row r="317" spans="1:10" x14ac:dyDescent="0.25">
      <c r="A317" s="31" t="s">
        <v>886</v>
      </c>
      <c r="B317" s="31" t="s">
        <v>887</v>
      </c>
      <c r="C317" s="31" t="s">
        <v>432</v>
      </c>
      <c r="D317" s="49">
        <v>46078.20833333333</v>
      </c>
      <c r="E317" s="31" t="s">
        <v>433</v>
      </c>
      <c r="F317" s="31" t="s">
        <v>288</v>
      </c>
      <c r="G317" s="31" t="s">
        <v>434</v>
      </c>
      <c r="H317" s="31">
        <v>0</v>
      </c>
      <c r="I317" s="31">
        <v>338.7</v>
      </c>
      <c r="J317" s="50">
        <v>21390.94</v>
      </c>
    </row>
    <row r="318" spans="1:10" x14ac:dyDescent="0.25">
      <c r="A318" s="31" t="s">
        <v>886</v>
      </c>
      <c r="B318" s="31" t="s">
        <v>887</v>
      </c>
      <c r="C318" s="31" t="s">
        <v>432</v>
      </c>
      <c r="D318" s="49">
        <v>46079.20833333333</v>
      </c>
      <c r="E318" s="31" t="s">
        <v>433</v>
      </c>
      <c r="F318" s="31" t="s">
        <v>304</v>
      </c>
      <c r="G318" s="31" t="s">
        <v>434</v>
      </c>
      <c r="H318" s="31">
        <v>0</v>
      </c>
      <c r="I318" s="31">
        <v>43.28</v>
      </c>
      <c r="J318" s="50">
        <v>21347.66</v>
      </c>
    </row>
    <row r="319" spans="1:10" x14ac:dyDescent="0.25">
      <c r="A319" s="31" t="s">
        <v>886</v>
      </c>
      <c r="B319" s="31" t="s">
        <v>887</v>
      </c>
      <c r="C319" s="31" t="s">
        <v>432</v>
      </c>
      <c r="D319" s="49">
        <v>46080.20833333333</v>
      </c>
      <c r="E319" s="31" t="s">
        <v>433</v>
      </c>
      <c r="F319" s="31" t="s">
        <v>317</v>
      </c>
      <c r="G319" s="31" t="s">
        <v>434</v>
      </c>
      <c r="H319" s="31">
        <v>0</v>
      </c>
      <c r="I319" s="31">
        <v>675.81</v>
      </c>
      <c r="J319" s="50">
        <v>20671.85</v>
      </c>
    </row>
    <row r="320" spans="1:10" x14ac:dyDescent="0.25">
      <c r="A320" s="31" t="s">
        <v>886</v>
      </c>
      <c r="B320" s="31" t="s">
        <v>887</v>
      </c>
      <c r="C320" s="31" t="s">
        <v>432</v>
      </c>
      <c r="D320" s="49">
        <v>46081.20833333333</v>
      </c>
      <c r="E320" s="31" t="s">
        <v>433</v>
      </c>
      <c r="F320" s="31" t="s">
        <v>330</v>
      </c>
      <c r="G320" s="31" t="s">
        <v>434</v>
      </c>
      <c r="H320" s="31">
        <v>0</v>
      </c>
      <c r="I320" s="31">
        <v>7.95</v>
      </c>
      <c r="J320" s="50">
        <v>20663.9</v>
      </c>
    </row>
    <row r="321" spans="1:10" x14ac:dyDescent="0.25">
      <c r="A321" s="31" t="s">
        <v>886</v>
      </c>
      <c r="B321" s="31" t="s">
        <v>887</v>
      </c>
      <c r="C321" s="31" t="s">
        <v>432</v>
      </c>
      <c r="D321" s="49">
        <v>46055.20833333333</v>
      </c>
      <c r="E321" s="31" t="s">
        <v>433</v>
      </c>
      <c r="F321" s="31" t="s">
        <v>632</v>
      </c>
      <c r="G321" s="31" t="s">
        <v>874</v>
      </c>
      <c r="H321" s="31">
        <v>0</v>
      </c>
      <c r="I321" s="31">
        <v>4.18</v>
      </c>
      <c r="J321" s="50">
        <v>20659.72</v>
      </c>
    </row>
    <row r="322" spans="1:10" x14ac:dyDescent="0.25">
      <c r="A322" s="31" t="s">
        <v>886</v>
      </c>
      <c r="B322" s="31" t="s">
        <v>887</v>
      </c>
      <c r="C322" s="31" t="s">
        <v>432</v>
      </c>
      <c r="D322" s="49">
        <v>46055.20833333333</v>
      </c>
      <c r="E322" s="31" t="s">
        <v>433</v>
      </c>
      <c r="F322" s="31" t="s">
        <v>632</v>
      </c>
      <c r="G322" s="31" t="s">
        <v>875</v>
      </c>
      <c r="H322" s="31">
        <v>0</v>
      </c>
      <c r="I322" s="31">
        <v>111.61</v>
      </c>
      <c r="J322" s="50">
        <v>20548.11</v>
      </c>
    </row>
    <row r="323" spans="1:10" x14ac:dyDescent="0.25">
      <c r="A323" s="31" t="s">
        <v>886</v>
      </c>
      <c r="B323" s="31" t="s">
        <v>887</v>
      </c>
      <c r="C323" s="31" t="s">
        <v>432</v>
      </c>
      <c r="D323" s="49">
        <v>46056.20833333333</v>
      </c>
      <c r="E323" s="31" t="s">
        <v>433</v>
      </c>
      <c r="F323" s="31" t="s">
        <v>638</v>
      </c>
      <c r="G323" s="31" t="s">
        <v>874</v>
      </c>
      <c r="H323" s="31">
        <v>0</v>
      </c>
      <c r="I323" s="31">
        <v>56.53</v>
      </c>
      <c r="J323" s="50">
        <v>20491.58</v>
      </c>
    </row>
    <row r="324" spans="1:10" x14ac:dyDescent="0.25">
      <c r="A324" s="31" t="s">
        <v>886</v>
      </c>
      <c r="B324" s="31" t="s">
        <v>887</v>
      </c>
      <c r="C324" s="31" t="s">
        <v>432</v>
      </c>
      <c r="D324" s="49">
        <v>46056.20833333333</v>
      </c>
      <c r="E324" s="31" t="s">
        <v>433</v>
      </c>
      <c r="F324" s="31" t="s">
        <v>638</v>
      </c>
      <c r="G324" s="31" t="s">
        <v>875</v>
      </c>
      <c r="H324" s="31">
        <v>0</v>
      </c>
      <c r="I324" s="31">
        <v>37.5</v>
      </c>
      <c r="J324" s="50">
        <v>20454.08</v>
      </c>
    </row>
    <row r="325" spans="1:10" x14ac:dyDescent="0.25">
      <c r="A325" s="31" t="s">
        <v>886</v>
      </c>
      <c r="B325" s="31" t="s">
        <v>887</v>
      </c>
      <c r="C325" s="31" t="s">
        <v>432</v>
      </c>
      <c r="D325" s="49">
        <v>46057.20833333333</v>
      </c>
      <c r="E325" s="31" t="s">
        <v>433</v>
      </c>
      <c r="F325" s="31" t="s">
        <v>669</v>
      </c>
      <c r="G325" s="31" t="s">
        <v>874</v>
      </c>
      <c r="H325" s="31">
        <v>0</v>
      </c>
      <c r="I325" s="31">
        <v>427.81</v>
      </c>
      <c r="J325" s="50">
        <v>20026.27</v>
      </c>
    </row>
    <row r="326" spans="1:10" x14ac:dyDescent="0.25">
      <c r="A326" s="31" t="s">
        <v>886</v>
      </c>
      <c r="B326" s="31" t="s">
        <v>887</v>
      </c>
      <c r="C326" s="31" t="s">
        <v>432</v>
      </c>
      <c r="D326" s="49">
        <v>46057.20833333333</v>
      </c>
      <c r="E326" s="31" t="s">
        <v>433</v>
      </c>
      <c r="F326" s="31" t="s">
        <v>669</v>
      </c>
      <c r="G326" s="31" t="s">
        <v>875</v>
      </c>
      <c r="H326" s="31">
        <v>0</v>
      </c>
      <c r="I326" s="31">
        <v>41.62</v>
      </c>
      <c r="J326" s="50">
        <v>19984.65</v>
      </c>
    </row>
    <row r="327" spans="1:10" x14ac:dyDescent="0.25">
      <c r="A327" s="31" t="s">
        <v>886</v>
      </c>
      <c r="B327" s="31" t="s">
        <v>887</v>
      </c>
      <c r="C327" s="31" t="s">
        <v>432</v>
      </c>
      <c r="D327" s="49">
        <v>46059.20833333333</v>
      </c>
      <c r="E327" s="31" t="s">
        <v>433</v>
      </c>
      <c r="F327" s="31" t="s">
        <v>704</v>
      </c>
      <c r="G327" s="31" t="s">
        <v>874</v>
      </c>
      <c r="H327" s="31">
        <v>0</v>
      </c>
      <c r="I327" s="31">
        <v>104.61</v>
      </c>
      <c r="J327" s="50">
        <v>19880.04</v>
      </c>
    </row>
    <row r="328" spans="1:10" x14ac:dyDescent="0.25">
      <c r="A328" s="31" t="s">
        <v>886</v>
      </c>
      <c r="B328" s="31" t="s">
        <v>887</v>
      </c>
      <c r="C328" s="31" t="s">
        <v>432</v>
      </c>
      <c r="D328" s="49">
        <v>46060.20833333333</v>
      </c>
      <c r="E328" s="31" t="s">
        <v>433</v>
      </c>
      <c r="F328" s="31" t="s">
        <v>714</v>
      </c>
      <c r="G328" s="31" t="s">
        <v>875</v>
      </c>
      <c r="H328" s="31">
        <v>0</v>
      </c>
      <c r="I328" s="31">
        <v>3</v>
      </c>
      <c r="J328" s="50">
        <v>19877.04</v>
      </c>
    </row>
    <row r="329" spans="1:10" x14ac:dyDescent="0.25">
      <c r="A329" s="31" t="s">
        <v>886</v>
      </c>
      <c r="B329" s="31" t="s">
        <v>887</v>
      </c>
      <c r="C329" s="31" t="s">
        <v>432</v>
      </c>
      <c r="D329" s="49">
        <v>46062.20833333333</v>
      </c>
      <c r="E329" s="31" t="s">
        <v>433</v>
      </c>
      <c r="F329" s="31" t="s">
        <v>719</v>
      </c>
      <c r="G329" s="31" t="s">
        <v>874</v>
      </c>
      <c r="H329" s="31">
        <v>0</v>
      </c>
      <c r="I329" s="31">
        <v>41.48</v>
      </c>
      <c r="J329" s="50">
        <v>19835.56</v>
      </c>
    </row>
    <row r="330" spans="1:10" x14ac:dyDescent="0.25">
      <c r="A330" s="31" t="s">
        <v>886</v>
      </c>
      <c r="B330" s="31" t="s">
        <v>887</v>
      </c>
      <c r="C330" s="31" t="s">
        <v>432</v>
      </c>
      <c r="D330" s="49">
        <v>46062.20833333333</v>
      </c>
      <c r="E330" s="31" t="s">
        <v>433</v>
      </c>
      <c r="F330" s="31" t="s">
        <v>719</v>
      </c>
      <c r="G330" s="31" t="s">
        <v>875</v>
      </c>
      <c r="H330" s="31">
        <v>0</v>
      </c>
      <c r="I330" s="31">
        <v>4.56</v>
      </c>
      <c r="J330" s="50">
        <v>19831</v>
      </c>
    </row>
    <row r="331" spans="1:10" x14ac:dyDescent="0.25">
      <c r="A331" s="31" t="s">
        <v>886</v>
      </c>
      <c r="B331" s="31" t="s">
        <v>887</v>
      </c>
      <c r="C331" s="31" t="s">
        <v>432</v>
      </c>
      <c r="D331" s="49">
        <v>46063.20833333333</v>
      </c>
      <c r="E331" s="31" t="s">
        <v>433</v>
      </c>
      <c r="F331" s="31" t="s">
        <v>732</v>
      </c>
      <c r="G331" s="31" t="s">
        <v>874</v>
      </c>
      <c r="H331" s="31">
        <v>0</v>
      </c>
      <c r="I331" s="31">
        <v>16.77</v>
      </c>
      <c r="J331" s="50">
        <v>19814.23</v>
      </c>
    </row>
    <row r="332" spans="1:10" x14ac:dyDescent="0.25">
      <c r="A332" s="31" t="s">
        <v>886</v>
      </c>
      <c r="B332" s="31" t="s">
        <v>887</v>
      </c>
      <c r="C332" s="31" t="s">
        <v>432</v>
      </c>
      <c r="D332" s="49">
        <v>46064.20833333333</v>
      </c>
      <c r="E332" s="31" t="s">
        <v>433</v>
      </c>
      <c r="F332" s="31" t="s">
        <v>741</v>
      </c>
      <c r="G332" s="31" t="s">
        <v>874</v>
      </c>
      <c r="H332" s="31">
        <v>0</v>
      </c>
      <c r="I332" s="31">
        <v>0.91</v>
      </c>
      <c r="J332" s="50">
        <v>19813.32</v>
      </c>
    </row>
    <row r="333" spans="1:10" x14ac:dyDescent="0.25">
      <c r="A333" s="31" t="s">
        <v>886</v>
      </c>
      <c r="B333" s="31" t="s">
        <v>887</v>
      </c>
      <c r="C333" s="31" t="s">
        <v>432</v>
      </c>
      <c r="D333" s="49">
        <v>46064.20833333333</v>
      </c>
      <c r="E333" s="31" t="s">
        <v>433</v>
      </c>
      <c r="F333" s="31" t="s">
        <v>741</v>
      </c>
      <c r="G333" s="31" t="s">
        <v>875</v>
      </c>
      <c r="H333" s="31">
        <v>0</v>
      </c>
      <c r="I333" s="31">
        <v>111.61</v>
      </c>
      <c r="J333" s="50">
        <v>19701.71</v>
      </c>
    </row>
    <row r="334" spans="1:10" x14ac:dyDescent="0.25">
      <c r="A334" s="31" t="s">
        <v>886</v>
      </c>
      <c r="B334" s="31" t="s">
        <v>887</v>
      </c>
      <c r="C334" s="31" t="s">
        <v>432</v>
      </c>
      <c r="D334" s="49">
        <v>46064.20833333333</v>
      </c>
      <c r="E334" s="31" t="s">
        <v>433</v>
      </c>
      <c r="F334" s="31" t="s">
        <v>741</v>
      </c>
      <c r="G334" s="31" t="s">
        <v>875</v>
      </c>
      <c r="H334" s="31">
        <v>111.61</v>
      </c>
      <c r="I334" s="31">
        <v>0</v>
      </c>
      <c r="J334" s="50">
        <v>19813.32</v>
      </c>
    </row>
    <row r="335" spans="1:10" x14ac:dyDescent="0.25">
      <c r="A335" s="31" t="s">
        <v>886</v>
      </c>
      <c r="B335" s="31" t="s">
        <v>887</v>
      </c>
      <c r="C335" s="31" t="s">
        <v>432</v>
      </c>
      <c r="D335" s="49">
        <v>46065.20833333333</v>
      </c>
      <c r="E335" s="31" t="s">
        <v>433</v>
      </c>
      <c r="F335" s="31" t="s">
        <v>746</v>
      </c>
      <c r="G335" s="31" t="s">
        <v>874</v>
      </c>
      <c r="H335" s="31">
        <v>0</v>
      </c>
      <c r="I335" s="31">
        <v>40.43</v>
      </c>
      <c r="J335" s="50">
        <v>19772.89</v>
      </c>
    </row>
    <row r="336" spans="1:10" x14ac:dyDescent="0.25">
      <c r="A336" s="31" t="s">
        <v>886</v>
      </c>
      <c r="B336" s="31" t="s">
        <v>887</v>
      </c>
      <c r="C336" s="31" t="s">
        <v>432</v>
      </c>
      <c r="D336" s="49">
        <v>46066.20833333333</v>
      </c>
      <c r="E336" s="31" t="s">
        <v>433</v>
      </c>
      <c r="F336" s="31" t="s">
        <v>871</v>
      </c>
      <c r="G336" s="31" t="s">
        <v>874</v>
      </c>
      <c r="H336" s="31">
        <v>37.5</v>
      </c>
      <c r="I336" s="31">
        <v>0</v>
      </c>
      <c r="J336" s="50">
        <v>19810.39</v>
      </c>
    </row>
    <row r="337" spans="1:10" x14ac:dyDescent="0.25">
      <c r="A337" s="31" t="s">
        <v>886</v>
      </c>
      <c r="B337" s="31" t="s">
        <v>887</v>
      </c>
      <c r="C337" s="31" t="s">
        <v>432</v>
      </c>
      <c r="D337" s="49">
        <v>46067.20833333333</v>
      </c>
      <c r="E337" s="31" t="s">
        <v>433</v>
      </c>
      <c r="F337" s="31" t="s">
        <v>757</v>
      </c>
      <c r="G337" s="31" t="s">
        <v>874</v>
      </c>
      <c r="H337" s="31">
        <v>0</v>
      </c>
      <c r="I337" s="31">
        <v>19.77</v>
      </c>
      <c r="J337" s="50">
        <v>19790.62</v>
      </c>
    </row>
    <row r="338" spans="1:10" x14ac:dyDescent="0.25">
      <c r="A338" s="31" t="s">
        <v>886</v>
      </c>
      <c r="B338" s="31" t="s">
        <v>887</v>
      </c>
      <c r="C338" s="31" t="s">
        <v>432</v>
      </c>
      <c r="D338" s="49">
        <v>46071.20833333333</v>
      </c>
      <c r="E338" s="31" t="s">
        <v>433</v>
      </c>
      <c r="F338" s="31" t="s">
        <v>768</v>
      </c>
      <c r="G338" s="31" t="s">
        <v>874</v>
      </c>
      <c r="H338" s="31">
        <v>0</v>
      </c>
      <c r="I338" s="31">
        <v>11.76</v>
      </c>
      <c r="J338" s="50">
        <v>19778.86</v>
      </c>
    </row>
    <row r="339" spans="1:10" x14ac:dyDescent="0.25">
      <c r="A339" s="31" t="s">
        <v>886</v>
      </c>
      <c r="B339" s="31" t="s">
        <v>887</v>
      </c>
      <c r="C339" s="31" t="s">
        <v>432</v>
      </c>
      <c r="D339" s="49">
        <v>46071.20833333333</v>
      </c>
      <c r="E339" s="31" t="s">
        <v>433</v>
      </c>
      <c r="F339" s="31" t="s">
        <v>768</v>
      </c>
      <c r="G339" s="31" t="s">
        <v>875</v>
      </c>
      <c r="H339" s="31">
        <v>0</v>
      </c>
      <c r="I339" s="31">
        <v>170.09</v>
      </c>
      <c r="J339" s="50">
        <v>19608.77</v>
      </c>
    </row>
    <row r="340" spans="1:10" x14ac:dyDescent="0.25">
      <c r="A340" s="31" t="s">
        <v>886</v>
      </c>
      <c r="B340" s="31" t="s">
        <v>887</v>
      </c>
      <c r="C340" s="31" t="s">
        <v>432</v>
      </c>
      <c r="D340" s="49">
        <v>46072.20833333333</v>
      </c>
      <c r="E340" s="31" t="s">
        <v>433</v>
      </c>
      <c r="F340" s="31" t="s">
        <v>845</v>
      </c>
      <c r="G340" s="31" t="s">
        <v>874</v>
      </c>
      <c r="H340" s="31">
        <v>0</v>
      </c>
      <c r="I340" s="31">
        <v>322.35</v>
      </c>
      <c r="J340" s="50">
        <v>19286.42</v>
      </c>
    </row>
    <row r="341" spans="1:10" x14ac:dyDescent="0.25">
      <c r="A341" s="31" t="s">
        <v>886</v>
      </c>
      <c r="B341" s="31" t="s">
        <v>887</v>
      </c>
      <c r="C341" s="31" t="s">
        <v>432</v>
      </c>
      <c r="D341" s="49">
        <v>46074.20833333333</v>
      </c>
      <c r="E341" s="31" t="s">
        <v>433</v>
      </c>
      <c r="F341" s="31" t="s">
        <v>788</v>
      </c>
      <c r="G341" s="31" t="s">
        <v>874</v>
      </c>
      <c r="H341" s="31">
        <v>0</v>
      </c>
      <c r="I341" s="31">
        <v>37.05</v>
      </c>
      <c r="J341" s="50">
        <v>19249.37</v>
      </c>
    </row>
    <row r="342" spans="1:10" x14ac:dyDescent="0.25">
      <c r="A342" s="31" t="s">
        <v>886</v>
      </c>
      <c r="B342" s="31" t="s">
        <v>887</v>
      </c>
      <c r="C342" s="31" t="s">
        <v>432</v>
      </c>
      <c r="D342" s="49">
        <v>46076.20833333333</v>
      </c>
      <c r="E342" s="31" t="s">
        <v>433</v>
      </c>
      <c r="F342" s="31" t="s">
        <v>794</v>
      </c>
      <c r="G342" s="31" t="s">
        <v>874</v>
      </c>
      <c r="H342" s="31">
        <v>0</v>
      </c>
      <c r="I342" s="31">
        <v>14.19</v>
      </c>
      <c r="J342" s="50">
        <v>19235.18</v>
      </c>
    </row>
    <row r="343" spans="1:10" x14ac:dyDescent="0.25">
      <c r="A343" s="31" t="s">
        <v>886</v>
      </c>
      <c r="B343" s="31" t="s">
        <v>887</v>
      </c>
      <c r="C343" s="31" t="s">
        <v>432</v>
      </c>
      <c r="D343" s="49">
        <v>46077.20833333333</v>
      </c>
      <c r="E343" s="31" t="s">
        <v>433</v>
      </c>
      <c r="F343" s="31" t="s">
        <v>798</v>
      </c>
      <c r="G343" s="31" t="s">
        <v>874</v>
      </c>
      <c r="H343" s="31">
        <v>0</v>
      </c>
      <c r="I343" s="31">
        <v>48.08</v>
      </c>
      <c r="J343" s="50">
        <v>19187.1</v>
      </c>
    </row>
    <row r="344" spans="1:10" x14ac:dyDescent="0.25">
      <c r="A344" s="31" t="s">
        <v>886</v>
      </c>
      <c r="B344" s="31" t="s">
        <v>887</v>
      </c>
      <c r="C344" s="31" t="s">
        <v>432</v>
      </c>
      <c r="D344" s="49">
        <v>46077.20833333333</v>
      </c>
      <c r="E344" s="31" t="s">
        <v>433</v>
      </c>
      <c r="F344" s="31" t="s">
        <v>798</v>
      </c>
      <c r="G344" s="31" t="s">
        <v>875</v>
      </c>
      <c r="H344" s="31">
        <v>0</v>
      </c>
      <c r="I344" s="31">
        <v>5.87</v>
      </c>
      <c r="J344" s="50">
        <v>19181.23</v>
      </c>
    </row>
    <row r="345" spans="1:10" x14ac:dyDescent="0.25">
      <c r="A345" s="31" t="s">
        <v>886</v>
      </c>
      <c r="B345" s="31" t="s">
        <v>887</v>
      </c>
      <c r="C345" s="31" t="s">
        <v>432</v>
      </c>
      <c r="D345" s="49">
        <v>46078.20833333333</v>
      </c>
      <c r="E345" s="31" t="s">
        <v>433</v>
      </c>
      <c r="F345" s="31" t="s">
        <v>803</v>
      </c>
      <c r="G345" s="31" t="s">
        <v>874</v>
      </c>
      <c r="H345" s="31">
        <v>0</v>
      </c>
      <c r="I345" s="31">
        <v>21.68</v>
      </c>
      <c r="J345" s="50">
        <v>19159.55</v>
      </c>
    </row>
    <row r="346" spans="1:10" x14ac:dyDescent="0.25">
      <c r="A346" s="31" t="s">
        <v>886</v>
      </c>
      <c r="B346" s="31" t="s">
        <v>887</v>
      </c>
      <c r="C346" s="31" t="s">
        <v>432</v>
      </c>
      <c r="D346" s="49">
        <v>46079.20833333333</v>
      </c>
      <c r="E346" s="31" t="s">
        <v>433</v>
      </c>
      <c r="F346" s="31" t="s">
        <v>808</v>
      </c>
      <c r="G346" s="31" t="s">
        <v>874</v>
      </c>
      <c r="H346" s="31">
        <v>0</v>
      </c>
      <c r="I346" s="31">
        <v>54.05</v>
      </c>
      <c r="J346" s="50">
        <v>19105.5</v>
      </c>
    </row>
    <row r="347" spans="1:10" x14ac:dyDescent="0.25">
      <c r="A347" s="31" t="s">
        <v>886</v>
      </c>
      <c r="B347" s="31" t="s">
        <v>887</v>
      </c>
      <c r="C347" s="31" t="s">
        <v>432</v>
      </c>
      <c r="D347" s="49">
        <v>46080.20833333333</v>
      </c>
      <c r="E347" s="31" t="s">
        <v>433</v>
      </c>
      <c r="F347" s="31" t="s">
        <v>858</v>
      </c>
      <c r="G347" s="31" t="s">
        <v>874</v>
      </c>
      <c r="H347" s="31">
        <v>0</v>
      </c>
      <c r="I347" s="31">
        <v>3.85</v>
      </c>
      <c r="J347" s="50">
        <v>19101.65</v>
      </c>
    </row>
    <row r="348" spans="1:10" x14ac:dyDescent="0.25">
      <c r="A348" s="31" t="s">
        <v>886</v>
      </c>
      <c r="B348" s="31" t="s">
        <v>887</v>
      </c>
      <c r="C348" s="31" t="s">
        <v>432</v>
      </c>
      <c r="D348" s="49">
        <v>46081.20833333333</v>
      </c>
      <c r="E348" s="31" t="s">
        <v>433</v>
      </c>
      <c r="F348" s="31" t="s">
        <v>820</v>
      </c>
      <c r="G348" s="31" t="s">
        <v>874</v>
      </c>
      <c r="H348" s="31">
        <v>0</v>
      </c>
      <c r="I348" s="31">
        <v>8.69</v>
      </c>
      <c r="J348" s="50">
        <v>19092.96</v>
      </c>
    </row>
    <row r="349" spans="1:10" x14ac:dyDescent="0.25">
      <c r="A349" s="31" t="s">
        <v>886</v>
      </c>
      <c r="B349" s="31" t="s">
        <v>887</v>
      </c>
      <c r="C349" s="31" t="s">
        <v>432</v>
      </c>
      <c r="D349" s="49">
        <v>46057.20833333333</v>
      </c>
      <c r="E349" s="31" t="s">
        <v>433</v>
      </c>
      <c r="F349" s="31" t="s">
        <v>544</v>
      </c>
      <c r="G349" s="31" t="s">
        <v>547</v>
      </c>
      <c r="H349" s="31">
        <v>3</v>
      </c>
      <c r="I349" s="31">
        <v>0</v>
      </c>
      <c r="J349" s="50">
        <v>19095.96</v>
      </c>
    </row>
    <row r="350" spans="1:10" x14ac:dyDescent="0.25">
      <c r="A350" s="31" t="s">
        <v>886</v>
      </c>
      <c r="B350" s="31" t="s">
        <v>887</v>
      </c>
      <c r="C350" s="31" t="s">
        <v>432</v>
      </c>
      <c r="D350" s="49">
        <v>46059.20833333333</v>
      </c>
      <c r="E350" s="31" t="s">
        <v>433</v>
      </c>
      <c r="F350" s="31" t="s">
        <v>451</v>
      </c>
      <c r="G350" s="31" t="s">
        <v>547</v>
      </c>
      <c r="H350" s="31">
        <v>0</v>
      </c>
      <c r="I350" s="31">
        <v>3</v>
      </c>
      <c r="J350" s="50">
        <v>19092.96</v>
      </c>
    </row>
    <row r="351" spans="1:10" x14ac:dyDescent="0.25">
      <c r="A351" s="31" t="s">
        <v>886</v>
      </c>
      <c r="B351" s="31" t="s">
        <v>887</v>
      </c>
      <c r="C351" s="31" t="s">
        <v>432</v>
      </c>
      <c r="D351" s="49">
        <v>46063.20833333333</v>
      </c>
      <c r="E351" s="31" t="s">
        <v>433</v>
      </c>
      <c r="F351" s="31" t="s">
        <v>501</v>
      </c>
      <c r="G351" s="31" t="s">
        <v>547</v>
      </c>
      <c r="H351" s="31">
        <v>0</v>
      </c>
      <c r="I351" s="31">
        <v>473.25</v>
      </c>
      <c r="J351" s="50">
        <v>18619.71</v>
      </c>
    </row>
    <row r="352" spans="1:10" x14ac:dyDescent="0.25">
      <c r="A352" s="31" t="s">
        <v>886</v>
      </c>
      <c r="B352" s="31" t="s">
        <v>887</v>
      </c>
      <c r="C352" s="31" t="s">
        <v>432</v>
      </c>
      <c r="D352" s="49">
        <v>46064.20833333333</v>
      </c>
      <c r="E352" s="31" t="s">
        <v>433</v>
      </c>
      <c r="F352" s="31" t="s">
        <v>458</v>
      </c>
      <c r="G352" s="31" t="s">
        <v>547</v>
      </c>
      <c r="H352" s="31">
        <v>0</v>
      </c>
      <c r="I352" s="31">
        <v>40.44</v>
      </c>
      <c r="J352" s="50">
        <v>18579.27</v>
      </c>
    </row>
    <row r="353" spans="1:10" x14ac:dyDescent="0.25">
      <c r="A353" s="31" t="s">
        <v>886</v>
      </c>
      <c r="B353" s="31" t="s">
        <v>887</v>
      </c>
      <c r="C353" s="31" t="s">
        <v>432</v>
      </c>
      <c r="D353" s="49">
        <v>46065.20833333333</v>
      </c>
      <c r="E353" s="31" t="s">
        <v>433</v>
      </c>
      <c r="F353" s="31" t="s">
        <v>511</v>
      </c>
      <c r="G353" s="31" t="s">
        <v>547</v>
      </c>
      <c r="H353" s="31">
        <v>0</v>
      </c>
      <c r="I353" s="31">
        <v>81.07</v>
      </c>
      <c r="J353" s="50">
        <v>18498.2</v>
      </c>
    </row>
    <row r="354" spans="1:10" x14ac:dyDescent="0.25">
      <c r="A354" s="31" t="s">
        <v>886</v>
      </c>
      <c r="B354" s="31" t="s">
        <v>887</v>
      </c>
      <c r="C354" s="31" t="s">
        <v>432</v>
      </c>
      <c r="D354" s="49">
        <v>46066.20833333333</v>
      </c>
      <c r="E354" s="31" t="s">
        <v>433</v>
      </c>
      <c r="F354" s="31" t="s">
        <v>464</v>
      </c>
      <c r="G354" s="31" t="s">
        <v>547</v>
      </c>
      <c r="H354" s="31">
        <v>0</v>
      </c>
      <c r="I354" s="31">
        <v>194.93</v>
      </c>
      <c r="J354" s="50">
        <v>18303.27</v>
      </c>
    </row>
    <row r="355" spans="1:10" x14ac:dyDescent="0.25">
      <c r="A355" s="31" t="s">
        <v>886</v>
      </c>
      <c r="B355" s="31" t="s">
        <v>887</v>
      </c>
      <c r="C355" s="31" t="s">
        <v>432</v>
      </c>
      <c r="D355" s="49">
        <v>46071.20833333333</v>
      </c>
      <c r="E355" s="31" t="s">
        <v>433</v>
      </c>
      <c r="F355" s="31" t="s">
        <v>515</v>
      </c>
      <c r="G355" s="31" t="s">
        <v>547</v>
      </c>
      <c r="H355" s="31">
        <v>0</v>
      </c>
      <c r="I355" s="31">
        <v>247.67</v>
      </c>
      <c r="J355" s="50">
        <v>18055.6</v>
      </c>
    </row>
    <row r="356" spans="1:10" x14ac:dyDescent="0.25">
      <c r="A356" s="31" t="s">
        <v>886</v>
      </c>
      <c r="B356" s="31" t="s">
        <v>887</v>
      </c>
      <c r="C356" s="31" t="s">
        <v>432</v>
      </c>
      <c r="D356" s="49">
        <v>46072.20833333333</v>
      </c>
      <c r="E356" s="31" t="s">
        <v>433</v>
      </c>
      <c r="F356" s="31" t="s">
        <v>475</v>
      </c>
      <c r="G356" s="31" t="s">
        <v>547</v>
      </c>
      <c r="H356" s="31">
        <v>0</v>
      </c>
      <c r="I356" s="31">
        <v>54.13</v>
      </c>
      <c r="J356" s="50">
        <v>18001.47</v>
      </c>
    </row>
    <row r="357" spans="1:10" x14ac:dyDescent="0.25">
      <c r="A357" s="31" t="s">
        <v>886</v>
      </c>
      <c r="B357" s="31" t="s">
        <v>887</v>
      </c>
      <c r="C357" s="31" t="s">
        <v>432</v>
      </c>
      <c r="D357" s="49">
        <v>46076.20833333333</v>
      </c>
      <c r="E357" s="31" t="s">
        <v>433</v>
      </c>
      <c r="F357" s="31" t="s">
        <v>520</v>
      </c>
      <c r="G357" s="31" t="s">
        <v>547</v>
      </c>
      <c r="H357" s="31">
        <v>0</v>
      </c>
      <c r="I357" s="31">
        <v>7.05</v>
      </c>
      <c r="J357" s="50">
        <v>17994.42</v>
      </c>
    </row>
    <row r="358" spans="1:10" x14ac:dyDescent="0.25">
      <c r="A358" s="31" t="s">
        <v>886</v>
      </c>
      <c r="B358" s="31" t="s">
        <v>887</v>
      </c>
      <c r="C358" s="31" t="s">
        <v>432</v>
      </c>
      <c r="D358" s="49">
        <v>46077.20833333333</v>
      </c>
      <c r="E358" s="31" t="s">
        <v>433</v>
      </c>
      <c r="F358" s="31" t="s">
        <v>480</v>
      </c>
      <c r="G358" s="31" t="s">
        <v>547</v>
      </c>
      <c r="H358" s="31">
        <v>0</v>
      </c>
      <c r="I358" s="31">
        <v>30.2</v>
      </c>
      <c r="J358" s="50">
        <v>17964.22</v>
      </c>
    </row>
    <row r="359" spans="1:10" x14ac:dyDescent="0.25">
      <c r="A359" s="31" t="s">
        <v>886</v>
      </c>
      <c r="B359" s="31" t="s">
        <v>887</v>
      </c>
      <c r="C359" s="31" t="s">
        <v>432</v>
      </c>
      <c r="D359" s="49">
        <v>46078.20833333333</v>
      </c>
      <c r="E359" s="31" t="s">
        <v>433</v>
      </c>
      <c r="F359" s="31" t="s">
        <v>526</v>
      </c>
      <c r="G359" s="31" t="s">
        <v>547</v>
      </c>
      <c r="H359" s="31">
        <v>0</v>
      </c>
      <c r="I359" s="31">
        <v>211.31</v>
      </c>
      <c r="J359" s="50">
        <v>17752.91</v>
      </c>
    </row>
    <row r="360" spans="1:10" x14ac:dyDescent="0.25">
      <c r="A360" s="31" t="s">
        <v>886</v>
      </c>
      <c r="B360" s="31" t="s">
        <v>887</v>
      </c>
      <c r="C360" s="31" t="s">
        <v>432</v>
      </c>
      <c r="D360" s="49">
        <v>46079.20833333333</v>
      </c>
      <c r="E360" s="31" t="s">
        <v>433</v>
      </c>
      <c r="F360" s="31" t="s">
        <v>485</v>
      </c>
      <c r="G360" s="31" t="s">
        <v>547</v>
      </c>
      <c r="H360" s="31">
        <v>0</v>
      </c>
      <c r="I360" s="31">
        <v>26.6</v>
      </c>
      <c r="J360" s="50">
        <v>17726.31</v>
      </c>
    </row>
    <row r="361" spans="1:10" x14ac:dyDescent="0.25">
      <c r="A361" s="31" t="s">
        <v>886</v>
      </c>
      <c r="B361" s="31" t="s">
        <v>887</v>
      </c>
      <c r="C361" s="31" t="s">
        <v>432</v>
      </c>
      <c r="D361" s="49">
        <v>46080.20833333333</v>
      </c>
      <c r="E361" s="31" t="s">
        <v>433</v>
      </c>
      <c r="F361" s="31" t="s">
        <v>495</v>
      </c>
      <c r="G361" s="31" t="s">
        <v>547</v>
      </c>
      <c r="H361" s="31">
        <v>0</v>
      </c>
      <c r="I361" s="31">
        <v>943.05</v>
      </c>
      <c r="J361" s="50">
        <v>16783.26</v>
      </c>
    </row>
    <row r="362" spans="1:10" x14ac:dyDescent="0.25">
      <c r="A362" s="31" t="s">
        <v>886</v>
      </c>
      <c r="B362" s="31" t="s">
        <v>887</v>
      </c>
      <c r="C362" s="31" t="s">
        <v>432</v>
      </c>
      <c r="D362" s="49">
        <v>46056.20833333333</v>
      </c>
      <c r="E362" s="31" t="s">
        <v>433</v>
      </c>
      <c r="F362" s="31" t="s">
        <v>564</v>
      </c>
      <c r="G362" s="31" t="s">
        <v>618</v>
      </c>
      <c r="H362" s="31">
        <v>0</v>
      </c>
      <c r="I362" s="31">
        <v>169.87</v>
      </c>
      <c r="J362" s="50">
        <v>16613.39</v>
      </c>
    </row>
    <row r="363" spans="1:10" x14ac:dyDescent="0.25">
      <c r="A363" s="31" t="s">
        <v>886</v>
      </c>
      <c r="B363" s="31" t="s">
        <v>887</v>
      </c>
      <c r="C363" s="31" t="s">
        <v>432</v>
      </c>
      <c r="D363" s="49">
        <v>46058.20833333333</v>
      </c>
      <c r="E363" s="31" t="s">
        <v>433</v>
      </c>
      <c r="F363" s="31" t="s">
        <v>585</v>
      </c>
      <c r="G363" s="31" t="s">
        <v>618</v>
      </c>
      <c r="H363" s="31">
        <v>0</v>
      </c>
      <c r="I363" s="31">
        <v>42.37</v>
      </c>
      <c r="J363" s="50">
        <v>16571.02</v>
      </c>
    </row>
    <row r="364" spans="1:10" x14ac:dyDescent="0.25">
      <c r="A364" s="31" t="s">
        <v>886</v>
      </c>
      <c r="B364" s="31" t="s">
        <v>887</v>
      </c>
      <c r="C364" s="31" t="s">
        <v>432</v>
      </c>
      <c r="D364" s="49">
        <v>46059.20833333333</v>
      </c>
      <c r="E364" s="31" t="s">
        <v>433</v>
      </c>
      <c r="F364" s="31" t="s">
        <v>591</v>
      </c>
      <c r="G364" s="31" t="s">
        <v>618</v>
      </c>
      <c r="H364" s="31">
        <v>0</v>
      </c>
      <c r="I364" s="31">
        <v>28.31</v>
      </c>
      <c r="J364" s="50">
        <v>16542.71</v>
      </c>
    </row>
    <row r="365" spans="1:10" x14ac:dyDescent="0.25">
      <c r="A365" s="31" t="s">
        <v>886</v>
      </c>
      <c r="B365" s="31" t="s">
        <v>887</v>
      </c>
      <c r="C365" s="31" t="s">
        <v>432</v>
      </c>
      <c r="D365" s="49">
        <v>46064.20833333333</v>
      </c>
      <c r="E365" s="31" t="s">
        <v>433</v>
      </c>
      <c r="F365" s="31" t="s">
        <v>602</v>
      </c>
      <c r="G365" s="31" t="s">
        <v>618</v>
      </c>
      <c r="H365" s="31">
        <v>0</v>
      </c>
      <c r="I365" s="31">
        <v>22.72</v>
      </c>
      <c r="J365" s="50">
        <v>16519.99</v>
      </c>
    </row>
    <row r="366" spans="1:10" x14ac:dyDescent="0.25">
      <c r="A366" s="31" t="s">
        <v>886</v>
      </c>
      <c r="B366" s="31" t="s">
        <v>887</v>
      </c>
      <c r="C366" s="31" t="s">
        <v>432</v>
      </c>
      <c r="D366" s="49">
        <v>46071.20833333333</v>
      </c>
      <c r="E366" s="31" t="s">
        <v>433</v>
      </c>
      <c r="F366" s="31" t="s">
        <v>607</v>
      </c>
      <c r="G366" s="31" t="s">
        <v>618</v>
      </c>
      <c r="H366" s="31">
        <v>0</v>
      </c>
      <c r="I366" s="31">
        <v>2.15</v>
      </c>
      <c r="J366" s="50">
        <v>16517.84</v>
      </c>
    </row>
    <row r="367" hidden="1" spans="8:9" x14ac:dyDescent="0.25">
      <c r="H367" s="31">
        <f>SUBTOTAL(9,H2:H366)</f>
        <v>25254.87</v>
      </c>
      <c r="I367" s="31">
        <f>SUBTOTAL(9,I2:I366)</f>
        <v>33802.16</v>
      </c>
    </row>
    <row r="368" hidden="1" spans="9:9" x14ac:dyDescent="0.25">
      <c r="I368" s="31">
        <f>+I367-H367</f>
        <v>8547.29</v>
      </c>
    </row>
    <row r="369" spans="8:9" x14ac:dyDescent="0.25">
      <c r="H369" s="29">
        <f>SUBTOTAL(9,H283:H366)</f>
        <v>1672.56</v>
      </c>
      <c r="I369" s="29">
        <f>SUBTOTAL(9,I283:I366)</f>
        <v>33798.41</v>
      </c>
    </row>
    <row r="370" spans="9:9" x14ac:dyDescent="0.25">
      <c r="I370" s="29">
        <f>+I369-H369</f>
        <v>32125.85</v>
      </c>
    </row>
  </sheetData>
  <autoFilter ref="A1:J36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REP TYT</vt:lpstr>
      <vt:lpstr>NC REP TYT</vt:lpstr>
      <vt:lpstr>MY REP TYT</vt:lpstr>
      <vt:lpstr>REP PEUGT</vt:lpstr>
      <vt:lpstr>NC REP PEUG</vt:lpstr>
      <vt:lpstr>MY REP PEUG</vt:lpstr>
      <vt:lpstr>REP CHGN</vt:lpstr>
      <vt:lpstr>MY REP CHGN</vt:lpstr>
      <vt:lpstr>REP SZK</vt:lpstr>
      <vt:lpstr>NC REP SZK</vt:lpstr>
      <vt:lpstr>MY REP SZK</vt:lpstr>
      <vt:lpstr>MAYOR IVA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2026-03-04T22:31:27Z</dcterms:created>
  <dcterms:modified xsi:type="dcterms:W3CDTF">2026-03-12T14:10:55Z</dcterms:modified>
</cp:coreProperties>
</file>