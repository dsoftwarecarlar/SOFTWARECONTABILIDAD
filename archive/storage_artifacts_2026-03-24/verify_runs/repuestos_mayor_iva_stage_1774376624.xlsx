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n">
        <v>1</v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inlineStr"/>
      <c r="N2" s="45" t="inlineStr">
        <is>
          <t>Fecha:</t>
        </is>
      </c>
      <c r="P2" s="105" t="n">
        <v>46085.72940972223</v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AVELEZ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1802691905001</t>
        </is>
      </c>
      <c r="J11" s="56" t="n">
        <v>112549</v>
      </c>
      <c r="K11" s="54" t="inlineStr">
        <is>
          <t>VARGAS MIRANDA NELSON RODRIGO</t>
        </is>
      </c>
      <c r="M11" s="56" t="inlineStr">
        <is>
          <t>NO</t>
        </is>
      </c>
      <c r="P11" s="58" t="n">
        <v>1</v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1804833307</t>
        </is>
      </c>
      <c r="J12" s="56" t="n">
        <v>102770</v>
      </c>
      <c r="K12" s="54" t="inlineStr">
        <is>
          <t>MOLINA BONETE ANA CRISTINA</t>
        </is>
      </c>
      <c r="M12" s="56" t="inlineStr">
        <is>
          <t>NO</t>
        </is>
      </c>
      <c r="P12" s="58" t="n">
        <v>1</v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1801023555001</t>
        </is>
      </c>
      <c r="J13" s="56" t="n">
        <v>151828</v>
      </c>
      <c r="K13" s="54" t="inlineStr">
        <is>
          <t>GUERRERO VILLACRES MARCOS</t>
        </is>
      </c>
      <c r="M13" s="56" t="inlineStr">
        <is>
          <t>NO</t>
        </is>
      </c>
      <c r="P13" s="58" t="n">
        <v>1</v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1802404705</t>
        </is>
      </c>
      <c r="J14" s="56" t="n">
        <v>151790</v>
      </c>
      <c r="K14" s="54" t="inlineStr">
        <is>
          <t>QUISPE COCA LUIS DAVID</t>
        </is>
      </c>
      <c r="M14" s="56" t="inlineStr">
        <is>
          <t>NO</t>
        </is>
      </c>
      <c r="P14" s="58" t="n">
        <v>1</v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1801673912</t>
        </is>
      </c>
      <c r="J15" s="56" t="n">
        <v>101712</v>
      </c>
      <c r="K15" s="54" t="inlineStr">
        <is>
          <t>JEREZ PILATAXI MARCELO IVAN</t>
        </is>
      </c>
      <c r="M15" s="56" t="inlineStr">
        <is>
          <t>NO</t>
        </is>
      </c>
      <c r="P15" s="58" t="n">
        <v>2</v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1804264214</t>
        </is>
      </c>
      <c r="J16" s="56" t="n">
        <v>134569</v>
      </c>
      <c r="K16" s="54" t="inlineStr">
        <is>
          <t>CAIZA PILLA FREDY GEOVANNY</t>
        </is>
      </c>
      <c r="M16" s="56" t="inlineStr">
        <is>
          <t>NO</t>
        </is>
      </c>
      <c r="P16" s="58" t="n">
        <v>3</v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0201121613</t>
        </is>
      </c>
      <c r="J17" s="56" t="n">
        <v>151867</v>
      </c>
      <c r="K17" s="54" t="inlineStr">
        <is>
          <t>TIÑE COLES MIGUEL ANGEL</t>
        </is>
      </c>
      <c r="M17" s="56" t="inlineStr">
        <is>
          <t>NO</t>
        </is>
      </c>
      <c r="P17" s="58" t="n">
        <v>2</v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1801914241</t>
        </is>
      </c>
      <c r="J18" s="56" t="n">
        <v>151888</v>
      </c>
      <c r="K18" s="54" t="inlineStr">
        <is>
          <t>REINOSO CONSTANTE NEPTALI FRAN</t>
        </is>
      </c>
      <c r="M18" s="56" t="inlineStr">
        <is>
          <t>NO</t>
        </is>
      </c>
      <c r="P18" s="58" t="n">
        <v>1</v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1803251600001</t>
        </is>
      </c>
      <c r="J19" s="56" t="n">
        <v>151311</v>
      </c>
      <c r="K19" s="54" t="inlineStr">
        <is>
          <t>GARZON LARA ROBER HUMERTO</t>
        </is>
      </c>
      <c r="M19" s="56" t="inlineStr">
        <is>
          <t>NO</t>
        </is>
      </c>
      <c r="P19" s="58" t="n">
        <v>1</v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1801865880</t>
        </is>
      </c>
      <c r="J20" s="56" t="n">
        <v>1561</v>
      </c>
      <c r="K20" s="54" t="inlineStr">
        <is>
          <t>RODRIGUEZ ZURITA VICTOR HUGO</t>
        </is>
      </c>
      <c r="M20" s="56" t="inlineStr">
        <is>
          <t>NO</t>
        </is>
      </c>
      <c r="P20" s="58" t="n">
        <v>2</v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1600318859</t>
        </is>
      </c>
      <c r="J21" s="56" t="n">
        <v>151896</v>
      </c>
      <c r="K21" s="54" t="inlineStr">
        <is>
          <t>MUÑOZ SILVA MONICA YADIRA</t>
        </is>
      </c>
      <c r="M21" s="56" t="inlineStr">
        <is>
          <t>NO</t>
        </is>
      </c>
      <c r="P21" s="58" t="n">
        <v>2</v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0503996183001</t>
        </is>
      </c>
      <c r="J22" s="56" t="n">
        <v>151894</v>
      </c>
      <c r="K22" s="54" t="inlineStr">
        <is>
          <t>PALLO MASABANDA EDISON LEONEL</t>
        </is>
      </c>
      <c r="M22" s="56" t="inlineStr">
        <is>
          <t>NO</t>
        </is>
      </c>
      <c r="P22" s="58" t="n">
        <v>1</v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1801942200001</t>
        </is>
      </c>
      <c r="J23" s="56" t="n">
        <v>56636</v>
      </c>
      <c r="K23" s="54" t="inlineStr">
        <is>
          <t>MONTAGUANO FIALLOS CESAR IVAN</t>
        </is>
      </c>
      <c r="M23" s="56" t="inlineStr">
        <is>
          <t>NO</t>
        </is>
      </c>
      <c r="P23" s="58" t="n">
        <v>1</v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1802841526001</t>
        </is>
      </c>
      <c r="J24" s="56" t="n">
        <v>118909</v>
      </c>
      <c r="K24" s="54" t="inlineStr">
        <is>
          <t>VILLEGAS ZUÑIGA SANDRA CARMEN</t>
        </is>
      </c>
      <c r="M24" s="56" t="inlineStr">
        <is>
          <t>NO</t>
        </is>
      </c>
      <c r="P24" s="58" t="n">
        <v>1</v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1801774058001</t>
        </is>
      </c>
      <c r="J25" s="56" t="n">
        <v>151876</v>
      </c>
      <c r="K25" s="54" t="inlineStr">
        <is>
          <t>AVILA LEON MONICA CECILIA</t>
        </is>
      </c>
      <c r="M25" s="56" t="inlineStr">
        <is>
          <t>NO</t>
        </is>
      </c>
      <c r="P25" s="58" t="n">
        <v>2</v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0503006926</t>
        </is>
      </c>
      <c r="J26" s="56" t="n">
        <v>151914</v>
      </c>
      <c r="K26" s="54" t="inlineStr">
        <is>
          <t>VEGA CHILUISA MARIA BELEN</t>
        </is>
      </c>
      <c r="M26" s="56" t="inlineStr">
        <is>
          <t>NO</t>
        </is>
      </c>
      <c r="P26" s="58" t="n">
        <v>2</v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1801753144001</t>
        </is>
      </c>
      <c r="J27" s="56" t="n">
        <v>121324</v>
      </c>
      <c r="K27" s="54" t="inlineStr">
        <is>
          <t>MIRANDA COPO JHON ORLAN</t>
        </is>
      </c>
      <c r="M27" s="56" t="inlineStr">
        <is>
          <t>NO</t>
        </is>
      </c>
      <c r="P27" s="58" t="n">
        <v>1</v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1800833095001</t>
        </is>
      </c>
      <c r="J28" s="56" t="n">
        <v>888</v>
      </c>
      <c r="K28" s="54" t="inlineStr">
        <is>
          <t>LARREA TORRES CARLOS ENRIQUE P</t>
        </is>
      </c>
      <c r="M28" s="56" t="inlineStr">
        <is>
          <t>NO</t>
        </is>
      </c>
      <c r="P28" s="58" t="n">
        <v>1</v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0200512515</t>
        </is>
      </c>
      <c r="J29" s="56" t="n">
        <v>54374</v>
      </c>
      <c r="K29" s="54" t="inlineStr">
        <is>
          <t>GUERRERO ZAPATA MILTON ISAIAS</t>
        </is>
      </c>
      <c r="M29" s="56" t="inlineStr">
        <is>
          <t>NO</t>
        </is>
      </c>
      <c r="P29" s="58" t="n">
        <v>2</v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1803607892</t>
        </is>
      </c>
      <c r="J30" s="56" t="n">
        <v>103446</v>
      </c>
      <c r="K30" s="54" t="inlineStr">
        <is>
          <t>SOLIS CASTRO ROBERTO CARLOS</t>
        </is>
      </c>
      <c r="M30" s="56" t="inlineStr">
        <is>
          <t>NO</t>
        </is>
      </c>
      <c r="P30" s="58" t="n">
        <v>1</v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1804726030001</t>
        </is>
      </c>
      <c r="J31" s="56" t="n">
        <v>138986</v>
      </c>
      <c r="K31" s="54" t="inlineStr">
        <is>
          <t>LLUGLLA LLERENA LUIS MIGUEL</t>
        </is>
      </c>
      <c r="M31" s="56" t="inlineStr">
        <is>
          <t>NO</t>
        </is>
      </c>
      <c r="P31" s="58" t="n">
        <v>3</v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1801051481</t>
        </is>
      </c>
      <c r="J32" s="56" t="n">
        <v>105998</v>
      </c>
      <c r="K32" s="54" t="inlineStr">
        <is>
          <t>ROBAYO PEREZ ALIRIO JUSTINIANO</t>
        </is>
      </c>
      <c r="M32" s="56" t="inlineStr">
        <is>
          <t>NO</t>
        </is>
      </c>
      <c r="P32" s="58" t="n">
        <v>1</v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1805333570</t>
        </is>
      </c>
      <c r="J33" s="56" t="n">
        <v>151991</v>
      </c>
      <c r="K33" s="54" t="inlineStr">
        <is>
          <t>BASTIDAS CORTEZ JONATHAN DAVID</t>
        </is>
      </c>
      <c r="M33" s="56" t="inlineStr">
        <is>
          <t>NO</t>
        </is>
      </c>
      <c r="P33" s="58" t="n">
        <v>1</v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1802691905</t>
        </is>
      </c>
      <c r="J34" s="56" t="n">
        <v>59939</v>
      </c>
      <c r="K34" s="54" t="inlineStr">
        <is>
          <t>VARGAS MIRANDA NELSON RODRIGO</t>
        </is>
      </c>
      <c r="M34" s="56" t="inlineStr">
        <is>
          <t>NO</t>
        </is>
      </c>
      <c r="P34" s="58" t="n">
        <v>1</v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1804372769</t>
        </is>
      </c>
      <c r="J35" s="56" t="n">
        <v>152004</v>
      </c>
      <c r="K35" s="54" t="inlineStr">
        <is>
          <t>PILATASIG SANGUIL ALEX JAVIER</t>
        </is>
      </c>
      <c r="M35" s="56" t="inlineStr">
        <is>
          <t>NO</t>
        </is>
      </c>
      <c r="P35" s="58" t="n">
        <v>4</v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0500984232</t>
        </is>
      </c>
      <c r="J36" s="56" t="n">
        <v>46151</v>
      </c>
      <c r="K36" s="54" t="inlineStr">
        <is>
          <t>PANOLUISA PANCHI JOSE FLORESMI</t>
        </is>
      </c>
      <c r="M36" s="56" t="inlineStr">
        <is>
          <t>NO</t>
        </is>
      </c>
      <c r="P36" s="58" t="n">
        <v>1</v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0605742097001</t>
        </is>
      </c>
      <c r="J37" s="56" t="n">
        <v>151776</v>
      </c>
      <c r="K37" s="54" t="inlineStr">
        <is>
          <t>CALI PARCO WILMER EDUARDO</t>
        </is>
      </c>
      <c r="M37" s="56" t="inlineStr">
        <is>
          <t>NO</t>
        </is>
      </c>
      <c r="P37" s="58" t="n">
        <v>2</v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0501987218</t>
        </is>
      </c>
      <c r="J38" s="56" t="n">
        <v>151998</v>
      </c>
      <c r="K38" s="54" t="inlineStr">
        <is>
          <t>JIMENEZ MOGRO ERMEL RAMON</t>
        </is>
      </c>
      <c r="M38" s="56" t="inlineStr">
        <is>
          <t>NO</t>
        </is>
      </c>
      <c r="P38" s="58" t="n">
        <v>1</v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1802416204</t>
        </is>
      </c>
      <c r="J39" s="56" t="n">
        <v>55529</v>
      </c>
      <c r="K39" s="54" t="inlineStr">
        <is>
          <t>ALVAREZ TOMARIMA OLIVO GERMAN</t>
        </is>
      </c>
      <c r="M39" s="56" t="inlineStr">
        <is>
          <t>NO</t>
        </is>
      </c>
      <c r="P39" s="58" t="n">
        <v>1</v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1803809373</t>
        </is>
      </c>
      <c r="J40" s="56" t="n">
        <v>116500</v>
      </c>
      <c r="K40" s="54" t="inlineStr">
        <is>
          <t>SANCHEZ RIOS FERNANDA MARICELA</t>
        </is>
      </c>
      <c r="M40" s="56" t="inlineStr">
        <is>
          <t>NO</t>
        </is>
      </c>
      <c r="P40" s="58" t="n">
        <v>4</v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1801415165</t>
        </is>
      </c>
      <c r="J41" s="56" t="n">
        <v>152072</v>
      </c>
      <c r="K41" s="54" t="inlineStr">
        <is>
          <t>VILLAFUERTE MARIÑO MARIA DOLOR</t>
        </is>
      </c>
      <c r="M41" s="56" t="inlineStr">
        <is>
          <t>NO</t>
        </is>
      </c>
      <c r="P41" s="58" t="n">
        <v>1</v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1804372769001</t>
        </is>
      </c>
      <c r="J42" s="56" t="n">
        <v>152005</v>
      </c>
      <c r="K42" s="54" t="inlineStr">
        <is>
          <t>PILATASIG SANGUIL ALEX JAVIER</t>
        </is>
      </c>
      <c r="M42" s="56" t="inlineStr">
        <is>
          <t>NO</t>
        </is>
      </c>
      <c r="P42" s="58" t="n">
        <v>1</v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1802715795</t>
        </is>
      </c>
      <c r="J43" s="56" t="n">
        <v>47493</v>
      </c>
      <c r="K43" s="54" t="inlineStr">
        <is>
          <t>CORTEZ OCAÑA JOSE LORENZO</t>
        </is>
      </c>
      <c r="M43" s="56" t="inlineStr">
        <is>
          <t>NO</t>
        </is>
      </c>
      <c r="P43" s="58" t="n">
        <v>1</v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1802859908001</t>
        </is>
      </c>
      <c r="J44" s="56" t="n">
        <v>6065</v>
      </c>
      <c r="K44" s="54" t="inlineStr">
        <is>
          <t>SILVA TIRADO  EFREN XAVIER</t>
        </is>
      </c>
      <c r="M44" s="56" t="inlineStr">
        <is>
          <t>NO</t>
        </is>
      </c>
      <c r="P44" s="58" t="n">
        <v>1</v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0501355853</t>
        </is>
      </c>
      <c r="J45" s="56" t="n">
        <v>39593</v>
      </c>
      <c r="K45" s="54" t="inlineStr">
        <is>
          <t>LOGROÑO CASTILLO EDMUNDO FILIB</t>
        </is>
      </c>
      <c r="M45" s="56" t="inlineStr">
        <is>
          <t>NO</t>
        </is>
      </c>
      <c r="P45" s="58" t="n">
        <v>1</v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0926422809</t>
        </is>
      </c>
      <c r="J46" s="56" t="n">
        <v>137427</v>
      </c>
      <c r="K46" s="54" t="inlineStr">
        <is>
          <t>ASOMA CUJILEMA LUIS WILFRIDO</t>
        </is>
      </c>
      <c r="M46" s="56" t="inlineStr">
        <is>
          <t>NO</t>
        </is>
      </c>
      <c r="P46" s="58" t="n">
        <v>1</v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1804130605</t>
        </is>
      </c>
      <c r="J47" s="56" t="n">
        <v>48789</v>
      </c>
      <c r="K47" s="54" t="inlineStr">
        <is>
          <t>SOLIS ZAMBRANO LETTY VIVIANA</t>
        </is>
      </c>
      <c r="M47" s="56" t="inlineStr">
        <is>
          <t>NO</t>
        </is>
      </c>
      <c r="P47" s="58" t="n">
        <v>2</v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1713965414001</t>
        </is>
      </c>
      <c r="J48" s="56" t="n">
        <v>37438</v>
      </c>
      <c r="K48" s="54" t="inlineStr">
        <is>
          <t xml:space="preserve"> QUICALIQUIN TIBAN SEGUNDO AGU</t>
        </is>
      </c>
      <c r="M48" s="56" t="inlineStr">
        <is>
          <t>NO</t>
        </is>
      </c>
      <c r="P48" s="58" t="n">
        <v>2</v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1804256665001</t>
        </is>
      </c>
      <c r="J51" s="56" t="n">
        <v>152048</v>
      </c>
      <c r="K51" s="54" t="inlineStr">
        <is>
          <t>TOAPANTA GUANGASI NELLY PAULIN</t>
        </is>
      </c>
      <c r="M51" s="56" t="inlineStr">
        <is>
          <t>NO</t>
        </is>
      </c>
      <c r="P51" s="58" t="n">
        <v>1</v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1802574465</t>
        </is>
      </c>
      <c r="J52" s="56" t="n">
        <v>152185</v>
      </c>
      <c r="K52" s="54" t="inlineStr">
        <is>
          <t>SURITA SILVA LUIS HERMOGENES</t>
        </is>
      </c>
      <c r="M52" s="56" t="inlineStr">
        <is>
          <t>NO</t>
        </is>
      </c>
      <c r="P52" s="58" t="n">
        <v>2</v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1891811401001</t>
        </is>
      </c>
      <c r="J53" s="56" t="n">
        <v>144071</v>
      </c>
      <c r="K53" s="54" t="inlineStr">
        <is>
          <t>TITANIUMACHINE SERVICE S.A.S.</t>
        </is>
      </c>
      <c r="M53" s="56" t="inlineStr">
        <is>
          <t>NO</t>
        </is>
      </c>
      <c r="P53" s="58" t="n">
        <v>2</v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1803346186001</t>
        </is>
      </c>
      <c r="J54" s="56" t="n">
        <v>50358</v>
      </c>
      <c r="K54" s="54" t="inlineStr">
        <is>
          <t>TONATO TUQUINGA MARIO RUBEN</t>
        </is>
      </c>
      <c r="M54" s="56" t="inlineStr">
        <is>
          <t>NO</t>
        </is>
      </c>
      <c r="P54" s="58" t="n">
        <v>3</v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1802832327</t>
        </is>
      </c>
      <c r="J55" s="56" t="n">
        <v>43329</v>
      </c>
      <c r="K55" s="54" t="inlineStr">
        <is>
          <t>TIPANTASI VERDESOTO CARLOS ANI</t>
        </is>
      </c>
      <c r="M55" s="56" t="inlineStr">
        <is>
          <t>NO</t>
        </is>
      </c>
      <c r="P55" s="58" t="n">
        <v>1</v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1803721438</t>
        </is>
      </c>
      <c r="J56" s="56" t="n">
        <v>152169</v>
      </c>
      <c r="K56" s="54" t="inlineStr">
        <is>
          <t>GAVILANEZ SANCHEZ LEONARDO JAV</t>
        </is>
      </c>
      <c r="M56" s="56" t="inlineStr">
        <is>
          <t>NO</t>
        </is>
      </c>
      <c r="P56" s="58" t="n">
        <v>3</v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1800163972</t>
        </is>
      </c>
      <c r="J57" s="56" t="n">
        <v>5738</v>
      </c>
      <c r="K57" s="54" t="inlineStr">
        <is>
          <t>VELA COBO FERNANDO</t>
        </is>
      </c>
      <c r="M57" s="56" t="inlineStr">
        <is>
          <t>NO</t>
        </is>
      </c>
      <c r="P57" s="58" t="n">
        <v>1</v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0201992237</t>
        </is>
      </c>
      <c r="J58" s="56" t="n">
        <v>124727</v>
      </c>
      <c r="K58" s="54" t="inlineStr">
        <is>
          <t>BAEZ ZUÑIGA JUAN CARLOS</t>
        </is>
      </c>
      <c r="M58" s="56" t="inlineStr">
        <is>
          <t>NO</t>
        </is>
      </c>
      <c r="P58" s="58" t="n">
        <v>1</v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1804130605</t>
        </is>
      </c>
      <c r="J59" s="56" t="n">
        <v>48789</v>
      </c>
      <c r="K59" s="54" t="inlineStr">
        <is>
          <t>SOLIS ZAMBRANO LETTY VIVIANA</t>
        </is>
      </c>
      <c r="M59" s="56" t="inlineStr">
        <is>
          <t>NO</t>
        </is>
      </c>
      <c r="P59" s="58" t="n">
        <v>1</v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0501355853</t>
        </is>
      </c>
      <c r="J60" s="56" t="n">
        <v>39593</v>
      </c>
      <c r="K60" s="54" t="inlineStr">
        <is>
          <t>LOGROÑO CASTILLO EDMUNDO FILIB</t>
        </is>
      </c>
      <c r="M60" s="56" t="inlineStr">
        <is>
          <t>NO</t>
        </is>
      </c>
      <c r="P60" s="58" t="n">
        <v>1</v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1707190409001</t>
        </is>
      </c>
      <c r="J61" s="56" t="n">
        <v>152218</v>
      </c>
      <c r="K61" s="54" t="inlineStr">
        <is>
          <t>HOTEL AMBATEÑITO</t>
        </is>
      </c>
      <c r="M61" s="56" t="inlineStr">
        <is>
          <t>NO</t>
        </is>
      </c>
      <c r="P61" s="58" t="n">
        <v>1</v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1803598851001</t>
        </is>
      </c>
      <c r="J62" s="56" t="n">
        <v>148183</v>
      </c>
      <c r="K62" s="54" t="inlineStr">
        <is>
          <t>BANDA SEGARRA TATIANA PILAR</t>
        </is>
      </c>
      <c r="M62" s="56" t="inlineStr">
        <is>
          <t>NO</t>
        </is>
      </c>
      <c r="P62" s="58" t="n">
        <v>1</v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1850439009</t>
        </is>
      </c>
      <c r="J63" s="56" t="n">
        <v>151396</v>
      </c>
      <c r="K63" s="54" t="inlineStr">
        <is>
          <t>GARZON FREIRE SARA RAQUEL</t>
        </is>
      </c>
      <c r="M63" s="56" t="inlineStr">
        <is>
          <t>NO</t>
        </is>
      </c>
      <c r="P63" s="58" t="n">
        <v>1</v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1803809373</t>
        </is>
      </c>
      <c r="J64" s="56" t="n">
        <v>116500</v>
      </c>
      <c r="K64" s="54" t="inlineStr">
        <is>
          <t>SANCHEZ RIOS FERNANDA MARICELA</t>
        </is>
      </c>
      <c r="M64" s="56" t="inlineStr">
        <is>
          <t>NO</t>
        </is>
      </c>
      <c r="P64" s="58" t="n">
        <v>2</v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1891709478001</t>
        </is>
      </c>
      <c r="J65" s="56" t="n">
        <v>906</v>
      </c>
      <c r="K65" s="54" t="inlineStr">
        <is>
          <t>AUTOMOTORES CARLOS LARREA T. C</t>
        </is>
      </c>
      <c r="M65" s="56" t="inlineStr">
        <is>
          <t>NO</t>
        </is>
      </c>
      <c r="P65" s="58" t="n">
        <v>4</v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1891709478001</t>
        </is>
      </c>
      <c r="J66" s="56" t="n">
        <v>906</v>
      </c>
      <c r="K66" s="54" t="inlineStr">
        <is>
          <t>AUTOMOTORES CARLOS LARREA T. C</t>
        </is>
      </c>
      <c r="M66" s="56" t="inlineStr">
        <is>
          <t>NO</t>
        </is>
      </c>
      <c r="P66" s="58" t="n">
        <v>3</v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1891709478001</t>
        </is>
      </c>
      <c r="J67" s="56" t="n">
        <v>906</v>
      </c>
      <c r="K67" s="54" t="inlineStr">
        <is>
          <t>AUTOMOTORES CARLOS LARREA T. C</t>
        </is>
      </c>
      <c r="M67" s="56" t="inlineStr">
        <is>
          <t>NO</t>
        </is>
      </c>
      <c r="P67" s="58" t="n">
        <v>4</v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1891709478001</t>
        </is>
      </c>
      <c r="J68" s="56" t="n">
        <v>906</v>
      </c>
      <c r="K68" s="54" t="inlineStr">
        <is>
          <t>AUTOMOTORES CARLOS LARREA T. C</t>
        </is>
      </c>
      <c r="M68" s="56" t="inlineStr">
        <is>
          <t>NO</t>
        </is>
      </c>
      <c r="P68" s="58" t="n">
        <v>1</v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1804372769001</t>
        </is>
      </c>
      <c r="J69" s="56" t="n">
        <v>152005</v>
      </c>
      <c r="K69" s="54" t="inlineStr">
        <is>
          <t>PILATASIG SANGUIL ALEX JAVIER</t>
        </is>
      </c>
      <c r="M69" s="56" t="inlineStr">
        <is>
          <t>NO</t>
        </is>
      </c>
      <c r="P69" s="58" t="n">
        <v>4</v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1891709478001</t>
        </is>
      </c>
      <c r="J70" s="56" t="n">
        <v>906</v>
      </c>
      <c r="K70" s="54" t="inlineStr">
        <is>
          <t>AUTOMOTORES CARLOS LARREA T. C</t>
        </is>
      </c>
      <c r="M70" s="56" t="inlineStr">
        <is>
          <t>NO</t>
        </is>
      </c>
      <c r="P70" s="58" t="n">
        <v>4</v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1891709478001</t>
        </is>
      </c>
      <c r="J71" s="56" t="n">
        <v>906</v>
      </c>
      <c r="K71" s="54" t="inlineStr">
        <is>
          <t>AUTOMOTORES CARLOS LARREA T. C</t>
        </is>
      </c>
      <c r="M71" s="56" t="inlineStr">
        <is>
          <t>NO</t>
        </is>
      </c>
      <c r="P71" s="58" t="n">
        <v>1</v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1891709478001</t>
        </is>
      </c>
      <c r="J72" s="56" t="n">
        <v>906</v>
      </c>
      <c r="K72" s="54" t="inlineStr">
        <is>
          <t>AUTOMOTORES CARLOS LARREA T. C</t>
        </is>
      </c>
      <c r="M72" s="56" t="inlineStr">
        <is>
          <t>NO</t>
        </is>
      </c>
      <c r="P72" s="58" t="n">
        <v>1</v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1891709478001</t>
        </is>
      </c>
      <c r="J73" s="56" t="n">
        <v>906</v>
      </c>
      <c r="K73" s="54" t="inlineStr">
        <is>
          <t>AUTOMOTORES CARLOS LARREA T. C</t>
        </is>
      </c>
      <c r="M73" s="56" t="inlineStr">
        <is>
          <t>NO</t>
        </is>
      </c>
      <c r="P73" s="58" t="n">
        <v>2</v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1891709478001</t>
        </is>
      </c>
      <c r="J74" s="56" t="n">
        <v>906</v>
      </c>
      <c r="K74" s="54" t="inlineStr">
        <is>
          <t>AUTOMOTORES CARLOS LARREA T. C</t>
        </is>
      </c>
      <c r="M74" s="56" t="inlineStr">
        <is>
          <t>NO</t>
        </is>
      </c>
      <c r="P74" s="58" t="n">
        <v>2</v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1891745121001</t>
        </is>
      </c>
      <c r="J75" s="56" t="n">
        <v>46677</v>
      </c>
      <c r="K75" s="54" t="inlineStr">
        <is>
          <t>CHECKENGINE S.A</t>
        </is>
      </c>
      <c r="M75" s="56" t="inlineStr">
        <is>
          <t>NO</t>
        </is>
      </c>
      <c r="P75" s="58" t="n">
        <v>1</v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1801696517001</t>
        </is>
      </c>
      <c r="J76" s="56" t="n">
        <v>6678</v>
      </c>
      <c r="K76" s="54" t="inlineStr">
        <is>
          <t>CARVAJAL LARENAS RODRIGO  HERN</t>
        </is>
      </c>
      <c r="M76" s="56" t="inlineStr">
        <is>
          <t>NO</t>
        </is>
      </c>
      <c r="P76" s="58" t="n">
        <v>2</v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1891709478001</t>
        </is>
      </c>
      <c r="J77" s="56" t="n">
        <v>906</v>
      </c>
      <c r="K77" s="54" t="inlineStr">
        <is>
          <t>AUTOMOTORES CARLOS LARREA T. C</t>
        </is>
      </c>
      <c r="M77" s="56" t="inlineStr">
        <is>
          <t>NO</t>
        </is>
      </c>
      <c r="P77" s="58" t="n">
        <v>4</v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1891709478001</t>
        </is>
      </c>
      <c r="J78" s="56" t="n">
        <v>906</v>
      </c>
      <c r="K78" s="54" t="inlineStr">
        <is>
          <t>AUTOMOTORES CARLOS LARREA T. C</t>
        </is>
      </c>
      <c r="M78" s="56" t="inlineStr">
        <is>
          <t>NO</t>
        </is>
      </c>
      <c r="P78" s="58" t="n">
        <v>3</v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1891709478001</t>
        </is>
      </c>
      <c r="J79" s="56" t="n">
        <v>906</v>
      </c>
      <c r="K79" s="54" t="inlineStr">
        <is>
          <t>AUTOMOTORES CARLOS LARREA T. C</t>
        </is>
      </c>
      <c r="M79" s="56" t="inlineStr">
        <is>
          <t>NO</t>
        </is>
      </c>
      <c r="P79" s="58" t="n">
        <v>2</v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1891709478001</t>
        </is>
      </c>
      <c r="J80" s="56" t="n">
        <v>906</v>
      </c>
      <c r="K80" s="54" t="inlineStr">
        <is>
          <t>AUTOMOTORES CARLOS LARREA T. C</t>
        </is>
      </c>
      <c r="M80" s="56" t="inlineStr">
        <is>
          <t>NO</t>
        </is>
      </c>
      <c r="P80" s="58" t="n">
        <v>2</v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1891709478001</t>
        </is>
      </c>
      <c r="J81" s="56" t="n">
        <v>906</v>
      </c>
      <c r="K81" s="54" t="inlineStr">
        <is>
          <t>AUTOMOTORES CARLOS LARREA T. C</t>
        </is>
      </c>
      <c r="M81" s="56" t="inlineStr">
        <is>
          <t>NO</t>
        </is>
      </c>
      <c r="P81" s="58" t="n">
        <v>2</v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1891709478001</t>
        </is>
      </c>
      <c r="J82" s="56" t="n">
        <v>906</v>
      </c>
      <c r="K82" s="54" t="inlineStr">
        <is>
          <t>AUTOMOTORES CARLOS LARREA T. C</t>
        </is>
      </c>
      <c r="M82" s="56" t="inlineStr">
        <is>
          <t>NO</t>
        </is>
      </c>
      <c r="P82" s="58" t="n">
        <v>2</v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1891709478001</t>
        </is>
      </c>
      <c r="J83" s="56" t="n">
        <v>906</v>
      </c>
      <c r="K83" s="54" t="inlineStr">
        <is>
          <t>AUTOMOTORES CARLOS LARREA T. C</t>
        </is>
      </c>
      <c r="M83" s="56" t="inlineStr">
        <is>
          <t>NO</t>
        </is>
      </c>
      <c r="P83" s="58" t="n">
        <v>2</v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1891709478001</t>
        </is>
      </c>
      <c r="J84" s="56" t="n">
        <v>906</v>
      </c>
      <c r="K84" s="54" t="inlineStr">
        <is>
          <t>AUTOMOTORES CARLOS LARREA T. C</t>
        </is>
      </c>
      <c r="M84" s="56" t="inlineStr">
        <is>
          <t>NO</t>
        </is>
      </c>
      <c r="P84" s="58" t="n">
        <v>2</v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1891709478001</t>
        </is>
      </c>
      <c r="J85" s="56" t="n">
        <v>906</v>
      </c>
      <c r="K85" s="54" t="inlineStr">
        <is>
          <t>AUTOMOTORES CARLOS LARREA T. C</t>
        </is>
      </c>
      <c r="M85" s="56" t="inlineStr">
        <is>
          <t>NO</t>
        </is>
      </c>
      <c r="P85" s="58" t="n">
        <v>2</v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n">
        <v>17626.15</v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46085.7304050926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1804372769</t>
        </is>
      </c>
      <c r="R8" s="76" t="n">
        <v>152004</v>
      </c>
      <c r="T8" s="76" t="inlineStr">
        <is>
          <t>PILATASIG SANGUIL ALEX JAVIER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inlineStr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inlineStr"/>
      <c r="AG9" s="68" t="n">
        <v>0</v>
      </c>
      <c r="AH9" s="70" t="n">
        <v>0</v>
      </c>
      <c r="AJ9" s="68" t="n">
        <v>967.79</v>
      </c>
      <c r="AK9" s="68" t="n">
        <v>0</v>
      </c>
      <c r="AL9" s="13" t="inlineStr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361</v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362</v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363</v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n">
        <v>364</v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365</v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366</v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367</v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368</v>
      </c>
      <c r="G9" t="inlineStr">
        <is>
          <t>MOD. REPUESTOS REP01</t>
        </is>
      </c>
      <c r="H9" t="n">
        <v>0</v>
      </c>
      <c r="I9" t="n">
        <v>13.21</v>
      </c>
      <c r="J9" s="25" t="n">
        <v>-11441.04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368</v>
      </c>
      <c r="G10" t="inlineStr">
        <is>
          <t>MOD. REPUESTOS REP01</t>
        </is>
      </c>
      <c r="H10" t="n">
        <v>0</v>
      </c>
      <c r="I10" t="n">
        <v>583.1799999999999</v>
      </c>
      <c r="J10" s="25" t="n">
        <v>-12024.22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369</v>
      </c>
      <c r="G11" t="inlineStr">
        <is>
          <t>MOD. REPUESTOS REP01</t>
        </is>
      </c>
      <c r="H11" t="n">
        <v>0</v>
      </c>
      <c r="I11" t="n">
        <v>871.15</v>
      </c>
      <c r="J11" s="25" t="n">
        <v>-12895.37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370</v>
      </c>
      <c r="G12" t="inlineStr">
        <is>
          <t>MOD. REPUESTOS REP01</t>
        </is>
      </c>
      <c r="H12" t="n">
        <v>0</v>
      </c>
      <c r="I12" t="n">
        <v>49.54</v>
      </c>
      <c r="J12" s="25" t="n">
        <v>-12944.91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46066</v>
      </c>
      <c r="E13" t="inlineStr">
        <is>
          <t>REPTO</t>
        </is>
      </c>
      <c r="F13" t="n">
        <v>371</v>
      </c>
      <c r="G13" t="inlineStr">
        <is>
          <t>MOD. REPUESTOS REP01</t>
        </is>
      </c>
      <c r="H13" t="n">
        <v>0</v>
      </c>
      <c r="I13" t="n">
        <v>74.34</v>
      </c>
      <c r="J13" s="25" t="n">
        <v>-13019.25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46066</v>
      </c>
      <c r="E14" t="inlineStr">
        <is>
          <t>REPTO</t>
        </is>
      </c>
      <c r="F14" t="n">
        <v>371</v>
      </c>
      <c r="G14" t="inlineStr">
        <is>
          <t>MOD. REPUESTOS REP01</t>
        </is>
      </c>
      <c r="H14" t="n">
        <v>0</v>
      </c>
      <c r="I14" t="n">
        <v>999.09</v>
      </c>
      <c r="J14" s="25" t="n">
        <v>-14018.34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372</v>
      </c>
      <c r="G15" t="inlineStr">
        <is>
          <t>MOD. REPUESTOS REP01</t>
        </is>
      </c>
      <c r="H15" t="n">
        <v>0</v>
      </c>
      <c r="I15" t="n">
        <v>208.44</v>
      </c>
      <c r="J15" s="25" t="n">
        <v>-14226.78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46072</v>
      </c>
      <c r="E16" t="inlineStr">
        <is>
          <t>REPTO</t>
        </is>
      </c>
      <c r="F16" t="n">
        <v>373</v>
      </c>
      <c r="G16" t="inlineStr">
        <is>
          <t>MOD. REPUESTOS REP01</t>
        </is>
      </c>
      <c r="H16" t="n">
        <v>0</v>
      </c>
      <c r="I16" t="n">
        <v>170.62</v>
      </c>
      <c r="J16" s="25" t="n">
        <v>-14397.4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46073</v>
      </c>
      <c r="E17" t="inlineStr">
        <is>
          <t>REPTO</t>
        </is>
      </c>
      <c r="F17" t="n">
        <v>374</v>
      </c>
      <c r="G17" t="inlineStr">
        <is>
          <t>MOD. REPUESTOS REP01</t>
        </is>
      </c>
      <c r="H17" t="n">
        <v>0</v>
      </c>
      <c r="I17" t="n">
        <v>3.48</v>
      </c>
      <c r="J17" s="25" t="n">
        <v>-14400.88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46073</v>
      </c>
      <c r="E18" t="inlineStr">
        <is>
          <t>REPTO</t>
        </is>
      </c>
      <c r="F18" t="n">
        <v>374</v>
      </c>
      <c r="G18" t="inlineStr">
        <is>
          <t>MOD. REPUESTOS REP01</t>
        </is>
      </c>
      <c r="H18" t="n">
        <v>0</v>
      </c>
      <c r="I18" t="n">
        <v>308.63</v>
      </c>
      <c r="J18" s="25" t="n">
        <v>-14709.51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46074</v>
      </c>
      <c r="E19" t="inlineStr">
        <is>
          <t>REPTO</t>
        </is>
      </c>
      <c r="F19" t="n">
        <v>375</v>
      </c>
      <c r="G19" t="inlineStr">
        <is>
          <t>MOD. REPUESTOS REP01</t>
        </is>
      </c>
      <c r="H19" t="n">
        <v>0</v>
      </c>
      <c r="I19" t="n">
        <v>53.76</v>
      </c>
      <c r="J19" s="25" t="n">
        <v>-14763.27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46076</v>
      </c>
      <c r="E20" t="inlineStr">
        <is>
          <t>REPTO</t>
        </is>
      </c>
      <c r="F20" t="n">
        <v>376</v>
      </c>
      <c r="G20" t="inlineStr">
        <is>
          <t>MOD. REPUESTOS REP01</t>
        </is>
      </c>
      <c r="H20" t="n">
        <v>0</v>
      </c>
      <c r="I20" t="n">
        <v>136.34</v>
      </c>
      <c r="J20" s="25" t="n">
        <v>-14899.61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46077</v>
      </c>
      <c r="E21" t="inlineStr">
        <is>
          <t>REPTO</t>
        </is>
      </c>
      <c r="F21" t="n">
        <v>377</v>
      </c>
      <c r="G21" t="inlineStr">
        <is>
          <t>MOD. REPUESTOS REP01</t>
        </is>
      </c>
      <c r="H21" t="n">
        <v>0</v>
      </c>
      <c r="I21" t="n">
        <v>130.43</v>
      </c>
      <c r="J21" s="25" t="n">
        <v>-15030.04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46077</v>
      </c>
      <c r="E22" t="inlineStr">
        <is>
          <t>REPTO</t>
        </is>
      </c>
      <c r="F22" t="n">
        <v>377</v>
      </c>
      <c r="G22" t="inlineStr">
        <is>
          <t>MOD. REPUESTOS REP01</t>
        </is>
      </c>
      <c r="H22" t="n">
        <v>0</v>
      </c>
      <c r="I22" t="n">
        <v>634.17</v>
      </c>
      <c r="J22" s="25" t="n">
        <v>-15664.21</v>
      </c>
    </row>
    <row r="23">
      <c r="A23" t="inlineStr">
        <is>
          <t>04.01.01.01.0001</t>
        </is>
      </c>
      <c r="B23" t="inlineStr">
        <is>
          <t>VTAS RPTOS TOYOTA - CONTADO CON IVA</t>
        </is>
      </c>
      <c r="C23" t="inlineStr">
        <is>
          <t>N</t>
        </is>
      </c>
      <c r="D23" s="24" t="n">
        <v>46078</v>
      </c>
      <c r="E23" t="inlineStr">
        <is>
          <t>REPTO</t>
        </is>
      </c>
      <c r="F23" t="n">
        <v>378</v>
      </c>
      <c r="G23" t="inlineStr">
        <is>
          <t>MOD. REPUESTOS REP01</t>
        </is>
      </c>
      <c r="H23" t="n">
        <v>0</v>
      </c>
      <c r="I23" t="n">
        <v>314.36</v>
      </c>
      <c r="J23" s="25" t="n">
        <v>-15978.57</v>
      </c>
    </row>
    <row r="24">
      <c r="A24" t="inlineStr">
        <is>
          <t>04.01.01.01.0001</t>
        </is>
      </c>
      <c r="B24" t="inlineStr">
        <is>
          <t>VTAS RPTOS TOYOTA - CONTADO CON IVA</t>
        </is>
      </c>
      <c r="C24" t="inlineStr">
        <is>
          <t>N</t>
        </is>
      </c>
      <c r="D24" s="24" t="n">
        <v>46079</v>
      </c>
      <c r="E24" t="inlineStr">
        <is>
          <t>REPTO</t>
        </is>
      </c>
      <c r="F24" t="n">
        <v>379</v>
      </c>
      <c r="G24" t="inlineStr">
        <is>
          <t>MOD. REPUESTOS REP01</t>
        </is>
      </c>
      <c r="H24" t="n">
        <v>0</v>
      </c>
      <c r="I24" t="n">
        <v>15</v>
      </c>
      <c r="J24" s="25" t="n">
        <v>-15993.57</v>
      </c>
    </row>
    <row r="25">
      <c r="A25" t="inlineStr">
        <is>
          <t>04.01.01.01.0001</t>
        </is>
      </c>
      <c r="B25" t="inlineStr">
        <is>
          <t>VTAS RPTOS TOYOTA - CONTADO CON IVA</t>
        </is>
      </c>
      <c r="C25" t="inlineStr">
        <is>
          <t>N</t>
        </is>
      </c>
      <c r="D25" s="24" t="n">
        <v>46079</v>
      </c>
      <c r="E25" t="inlineStr">
        <is>
          <t>REPTO</t>
        </is>
      </c>
      <c r="F25" t="n">
        <v>379</v>
      </c>
      <c r="G25" t="inlineStr">
        <is>
          <t>MOD. REPUESTOS REP01</t>
        </is>
      </c>
      <c r="H25" t="n">
        <v>0</v>
      </c>
      <c r="I25" t="n">
        <v>277.14</v>
      </c>
      <c r="J25" s="25" t="n">
        <v>-16270.71</v>
      </c>
    </row>
    <row r="26">
      <c r="A26" t="inlineStr">
        <is>
          <t>04.01.01.01.0001</t>
        </is>
      </c>
      <c r="B26" t="inlineStr">
        <is>
          <t>VTAS RPTOS TOYOTA - CONTADO CON IVA</t>
        </is>
      </c>
      <c r="C26" t="inlineStr">
        <is>
          <t>N</t>
        </is>
      </c>
      <c r="D26" s="24" t="n">
        <v>46080</v>
      </c>
      <c r="E26" t="inlineStr">
        <is>
          <t>REPTO</t>
        </is>
      </c>
      <c r="F26" t="n">
        <v>380</v>
      </c>
      <c r="G26" t="inlineStr">
        <is>
          <t>MOD. REPUESTOS REP01</t>
        </is>
      </c>
      <c r="H26" t="n">
        <v>0</v>
      </c>
      <c r="I26" t="n">
        <v>157.45</v>
      </c>
      <c r="J26" s="25" t="n">
        <v>-16428.16</v>
      </c>
    </row>
    <row r="27">
      <c r="A27" t="inlineStr">
        <is>
          <t>04.01.01.01.0001</t>
        </is>
      </c>
      <c r="B27" t="inlineStr">
        <is>
          <t>VTAS RPTOS TOYOTA - CONTADO CON IVA</t>
        </is>
      </c>
      <c r="C27" t="inlineStr">
        <is>
          <t>N</t>
        </is>
      </c>
      <c r="D27" s="24" t="n">
        <v>46081</v>
      </c>
      <c r="E27" t="inlineStr">
        <is>
          <t>REPTO</t>
        </is>
      </c>
      <c r="F27" t="n">
        <v>381</v>
      </c>
      <c r="G27" t="inlineStr">
        <is>
          <t>MOD. REPUESTOS REP01</t>
        </is>
      </c>
      <c r="H27" t="n">
        <v>0</v>
      </c>
      <c r="I27" t="n">
        <v>62.37</v>
      </c>
      <c r="J27" s="25" t="n">
        <v>-16490.53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46058</v>
      </c>
      <c r="E28" t="inlineStr">
        <is>
          <t>REPTO</t>
        </is>
      </c>
      <c r="F28" t="n">
        <v>364</v>
      </c>
      <c r="G28" t="inlineStr">
        <is>
          <t>MOD. REPUESTOS REP01</t>
        </is>
      </c>
      <c r="H28" t="n">
        <v>0</v>
      </c>
      <c r="I28" t="n">
        <v>680.6</v>
      </c>
      <c r="J28" s="25" t="n">
        <v>-10804.18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46059</v>
      </c>
      <c r="E29" t="inlineStr">
        <is>
          <t>REPTO</t>
        </is>
      </c>
      <c r="F29" t="n">
        <v>365</v>
      </c>
      <c r="G29" t="inlineStr">
        <is>
          <t>MOD. REPUESTOS REP01</t>
        </is>
      </c>
      <c r="H29" t="n">
        <v>0</v>
      </c>
      <c r="I29" t="n">
        <v>204.63</v>
      </c>
      <c r="J29" s="25" t="n">
        <v>-11008.81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46063</v>
      </c>
      <c r="E30" t="inlineStr">
        <is>
          <t>REPTO</t>
        </is>
      </c>
      <c r="F30" t="n">
        <v>368</v>
      </c>
      <c r="G30" t="inlineStr">
        <is>
          <t>MOD. REPUESTOS REP01</t>
        </is>
      </c>
      <c r="H30" t="n">
        <v>0</v>
      </c>
      <c r="I30" t="n">
        <v>806.11</v>
      </c>
      <c r="J30" s="25" t="n">
        <v>-11814.92</v>
      </c>
    </row>
    <row r="31">
      <c r="A31" t="inlineStr">
        <is>
          <t>04.01.01.01.0003</t>
        </is>
      </c>
      <c r="B31" t="inlineStr">
        <is>
          <t>VTAS RPTOS TOYOTA - CREDITO CON IVA</t>
        </is>
      </c>
      <c r="C31" t="inlineStr">
        <is>
          <t>N</t>
        </is>
      </c>
      <c r="D31" s="24" t="n">
        <v>46071</v>
      </c>
      <c r="E31" t="inlineStr">
        <is>
          <t>REPTO</t>
        </is>
      </c>
      <c r="F31" t="n">
        <v>372</v>
      </c>
      <c r="G31" t="inlineStr">
        <is>
          <t>MOD. REPUESTOS REP01</t>
        </is>
      </c>
      <c r="H31" t="n">
        <v>0</v>
      </c>
      <c r="I31" t="n">
        <v>902.3</v>
      </c>
      <c r="J31" s="25" t="n">
        <v>-12717.22</v>
      </c>
    </row>
    <row r="32">
      <c r="A32" t="inlineStr">
        <is>
          <t>04.01.01.01.0003</t>
        </is>
      </c>
      <c r="B32" t="inlineStr">
        <is>
          <t>VTAS RPTOS TOYOTA - CREDITO CON IVA</t>
        </is>
      </c>
      <c r="C32" t="inlineStr">
        <is>
          <t>N</t>
        </is>
      </c>
      <c r="D32" s="24" t="n">
        <v>46071</v>
      </c>
      <c r="E32" t="inlineStr">
        <is>
          <t>REPTO</t>
        </is>
      </c>
      <c r="F32" t="n">
        <v>372</v>
      </c>
      <c r="G32" t="inlineStr">
        <is>
          <t>MOD. REPUESTOS REP01</t>
        </is>
      </c>
      <c r="H32" t="n">
        <v>0</v>
      </c>
      <c r="I32" t="n">
        <v>885.86</v>
      </c>
      <c r="J32" s="25" t="n">
        <v>-13603.08</v>
      </c>
    </row>
    <row r="33">
      <c r="A33" t="inlineStr">
        <is>
          <t>04.01.01.01.0003</t>
        </is>
      </c>
      <c r="B33" t="inlineStr">
        <is>
          <t>VTAS RPTOS TOYOTA - CREDITO CON IVA</t>
        </is>
      </c>
      <c r="C33" t="inlineStr">
        <is>
          <t>N</t>
        </is>
      </c>
      <c r="D33" s="24" t="n">
        <v>46076</v>
      </c>
      <c r="E33" t="inlineStr">
        <is>
          <t>REPTO</t>
        </is>
      </c>
      <c r="F33" t="n">
        <v>376</v>
      </c>
      <c r="G33" t="inlineStr">
        <is>
          <t>MOD. REPUESTOS REP01</t>
        </is>
      </c>
      <c r="H33" t="n">
        <v>0</v>
      </c>
      <c r="I33" t="n">
        <v>220</v>
      </c>
      <c r="J33" s="25" t="n">
        <v>-13823.08</v>
      </c>
    </row>
    <row r="34">
      <c r="A34" t="inlineStr">
        <is>
          <t>04.01.01.01.0003</t>
        </is>
      </c>
      <c r="B34" t="inlineStr">
        <is>
          <t>VTAS RPTOS TOYOTA - CREDITO CON IVA</t>
        </is>
      </c>
      <c r="C34" t="inlineStr">
        <is>
          <t>N</t>
        </is>
      </c>
      <c r="D34" s="24" t="n">
        <v>46077</v>
      </c>
      <c r="E34" t="inlineStr">
        <is>
          <t>REPTO</t>
        </is>
      </c>
      <c r="F34" t="n">
        <v>377</v>
      </c>
      <c r="G34" t="inlineStr">
        <is>
          <t>MOD. REPUESTOS REP01</t>
        </is>
      </c>
      <c r="H34" t="n">
        <v>0</v>
      </c>
      <c r="I34" t="n">
        <v>106.8</v>
      </c>
      <c r="J34" s="25" t="n">
        <v>-13929.88</v>
      </c>
    </row>
    <row r="35">
      <c r="A35" t="inlineStr">
        <is>
          <t>04.01.01.01.0003</t>
        </is>
      </c>
      <c r="B35" t="inlineStr">
        <is>
          <t>VTAS RPTOS TOYOTA - CREDITO CON IVA</t>
        </is>
      </c>
      <c r="C35" t="inlineStr">
        <is>
          <t>N</t>
        </is>
      </c>
      <c r="D35" s="24" t="n">
        <v>46078</v>
      </c>
      <c r="E35" t="inlineStr">
        <is>
          <t>REPTO</t>
        </is>
      </c>
      <c r="F35" t="n">
        <v>378</v>
      </c>
      <c r="G35" t="inlineStr">
        <is>
          <t>MOD. REPUESTOS REP01</t>
        </is>
      </c>
      <c r="H35" t="n">
        <v>0</v>
      </c>
      <c r="I35" s="25" t="n">
        <v>1556.62</v>
      </c>
      <c r="J35" s="25" t="n">
        <v>-15486.5</v>
      </c>
    </row>
    <row r="36">
      <c r="A36" t="inlineStr">
        <is>
          <t>04.01.01.01.0003</t>
        </is>
      </c>
      <c r="B36" t="inlineStr">
        <is>
          <t>VTAS RPTOS TOYOTA - CREDITO CON IVA</t>
        </is>
      </c>
      <c r="C36" t="inlineStr">
        <is>
          <t>N</t>
        </is>
      </c>
      <c r="D36" s="24" t="n">
        <v>46078</v>
      </c>
      <c r="E36" t="inlineStr">
        <is>
          <t>REPTO</t>
        </is>
      </c>
      <c r="F36" t="n">
        <v>378</v>
      </c>
      <c r="G36" t="inlineStr">
        <is>
          <t>MOD. REPUESTOS REP01</t>
        </is>
      </c>
      <c r="H36" t="n">
        <v>0</v>
      </c>
      <c r="I36" t="n">
        <v>446.67</v>
      </c>
      <c r="J36" s="25" t="n">
        <v>-15933.17</v>
      </c>
    </row>
    <row r="37">
      <c r="A37" t="inlineStr">
        <is>
          <t>04.01.01.01.0003</t>
        </is>
      </c>
      <c r="B37" t="inlineStr">
        <is>
          <t>VTAS RPTOS TOYOTA - CREDITO CON IVA</t>
        </is>
      </c>
      <c r="C37" t="inlineStr">
        <is>
          <t>N</t>
        </is>
      </c>
      <c r="D37" s="24" t="n">
        <v>46080</v>
      </c>
      <c r="E37" t="inlineStr">
        <is>
          <t>REPTO</t>
        </is>
      </c>
      <c r="F37" t="n">
        <v>380</v>
      </c>
      <c r="G37" t="inlineStr">
        <is>
          <t>MOD. REPUESTOS REP01</t>
        </is>
      </c>
      <c r="H37" t="n">
        <v>0</v>
      </c>
      <c r="I37" s="25" t="n">
        <v>4347.77</v>
      </c>
      <c r="J37" s="25" t="n">
        <v>-20280.94</v>
      </c>
    </row>
    <row r="38">
      <c r="D38" s="24" t="n"/>
      <c r="H38">
        <f>SUM(H2:H37)</f>
        <v/>
      </c>
      <c r="I38" s="31">
        <f>SUM(I2:I37)</f>
        <v/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n">
        <v>363</v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n">
        <v>371</v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n">
        <v>372</v>
      </c>
      <c r="G44" t="inlineStr">
        <is>
          <t>MOD. REPUESTOS REP01</t>
        </is>
      </c>
      <c r="H44" t="n">
        <v>30.16</v>
      </c>
      <c r="I44" t="n">
        <v>0</v>
      </c>
      <c r="J44" t="n">
        <v>212.24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n">
        <v>372</v>
      </c>
      <c r="G45" t="inlineStr">
        <is>
          <t>MOD. REPUESTOS REP01</t>
        </is>
      </c>
      <c r="H45" t="n">
        <v>0</v>
      </c>
      <c r="I45" t="n">
        <v>44.3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n">
        <v>373</v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n">
        <v>376</v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n">
        <v>377</v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n">
        <v>379</v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n">
        <v>381</v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n">
        <v>372</v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n">
        <v>378</v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>
        <f>SUM(H42:H52)</f>
        <v/>
      </c>
      <c r="I53" s="31">
        <f>SUM(I42:I52)</f>
        <v/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n">
        <v>372</v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46085.74163194445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1801079169</t>
        </is>
      </c>
      <c r="J11" s="92" t="n">
        <v>137782</v>
      </c>
      <c r="K11" s="76" t="inlineStr">
        <is>
          <t>PAREDES ARCOS MARCO ANTONIO</t>
        </is>
      </c>
      <c r="M11" s="92" t="inlineStr">
        <is>
          <t>NO</t>
        </is>
      </c>
      <c r="P11" s="94" t="n">
        <v>1</v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1850931906</t>
        </is>
      </c>
      <c r="J12" s="92" t="n">
        <v>151990</v>
      </c>
      <c r="K12" s="76" t="inlineStr">
        <is>
          <t>MANJARRES MANJARES RONALDO ISA</t>
        </is>
      </c>
      <c r="M12" s="92" t="inlineStr">
        <is>
          <t>NO</t>
        </is>
      </c>
      <c r="P12" s="94" t="n">
        <v>1</v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0803568237001</t>
        </is>
      </c>
      <c r="J13" s="92" t="n">
        <v>152015</v>
      </c>
      <c r="K13" s="76" t="inlineStr">
        <is>
          <t>ARIAS ARANGO PAOLA CRISTINA</t>
        </is>
      </c>
      <c r="M13" s="92" t="inlineStr">
        <is>
          <t>NO</t>
        </is>
      </c>
      <c r="P13" s="94" t="n">
        <v>1</v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1103745962</t>
        </is>
      </c>
      <c r="J14" s="92" t="n">
        <v>152022</v>
      </c>
      <c r="K14" s="76" t="inlineStr">
        <is>
          <t>VALLADARES VEINTIMILLA VICTOR</t>
        </is>
      </c>
      <c r="M14" s="92" t="inlineStr">
        <is>
          <t>NO</t>
        </is>
      </c>
      <c r="P14" s="94" t="n">
        <v>1</v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1804013850</t>
        </is>
      </c>
      <c r="J15" s="92" t="n">
        <v>152044</v>
      </c>
      <c r="K15" s="76" t="inlineStr">
        <is>
          <t>NIQUINGA CARRASCO JENNIFER ARA</t>
        </is>
      </c>
      <c r="M15" s="92" t="inlineStr">
        <is>
          <t>NO</t>
        </is>
      </c>
      <c r="P15" s="94" t="n">
        <v>2</v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1804319497</t>
        </is>
      </c>
      <c r="J16" s="92" t="n">
        <v>141696</v>
      </c>
      <c r="K16" s="76" t="inlineStr">
        <is>
          <t>ALVARADO MAZON MIGUEL ALEJANDR</t>
        </is>
      </c>
      <c r="M16" s="92" t="inlineStr">
        <is>
          <t>NO</t>
        </is>
      </c>
      <c r="P16" s="94" t="n">
        <v>1</v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1801752278001</t>
        </is>
      </c>
      <c r="J17" s="92" t="n">
        <v>6284</v>
      </c>
      <c r="K17" s="76" t="inlineStr">
        <is>
          <t>HERNANDEZ FLORES RODRIGO LIZAR</t>
        </is>
      </c>
      <c r="M17" s="92" t="inlineStr">
        <is>
          <t>NO</t>
        </is>
      </c>
      <c r="P17" s="94" t="n">
        <v>1</v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1600464406</t>
        </is>
      </c>
      <c r="J18" s="92" t="n">
        <v>128410</v>
      </c>
      <c r="K18" s="76" t="inlineStr">
        <is>
          <t>NARANJO ANDRADE ALEX ANDRES</t>
        </is>
      </c>
      <c r="M18" s="92" t="inlineStr">
        <is>
          <t>NO</t>
        </is>
      </c>
      <c r="P18" s="94" t="n">
        <v>1</v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1804557179</t>
        </is>
      </c>
      <c r="J19" s="92" t="n">
        <v>129316</v>
      </c>
      <c r="K19" s="76" t="inlineStr">
        <is>
          <t>GUTIERREZ RODRIGUEZ ANDRES DAV</t>
        </is>
      </c>
      <c r="M19" s="92" t="inlineStr">
        <is>
          <t>NO</t>
        </is>
      </c>
      <c r="P19" s="94" t="n">
        <v>2</v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0301993325001</t>
        </is>
      </c>
      <c r="J20" s="92" t="n">
        <v>136649</v>
      </c>
      <c r="K20" s="76" t="inlineStr">
        <is>
          <t>GUERRERO ABAD PEDRO ANDRES</t>
        </is>
      </c>
      <c r="M20" s="92" t="inlineStr">
        <is>
          <t>NO</t>
        </is>
      </c>
      <c r="P20" s="94" t="n">
        <v>1</v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1802586824001</t>
        </is>
      </c>
      <c r="J21" s="92" t="n">
        <v>53088</v>
      </c>
      <c r="K21" s="76" t="inlineStr">
        <is>
          <t>JOSE IGNACIO GUEVARA VASCO</t>
        </is>
      </c>
      <c r="M21" s="92" t="inlineStr">
        <is>
          <t>NO</t>
        </is>
      </c>
      <c r="P21" s="94" t="n">
        <v>3</v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0104028626001</t>
        </is>
      </c>
      <c r="J22" s="92" t="n">
        <v>130044</v>
      </c>
      <c r="K22" s="76" t="inlineStr">
        <is>
          <t>SERRANO BENALCAZAR DIEGO ESTEB</t>
        </is>
      </c>
      <c r="M22" s="92" t="inlineStr">
        <is>
          <t>NO</t>
        </is>
      </c>
      <c r="P22" s="94" t="n">
        <v>2</v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0301993325001</t>
        </is>
      </c>
      <c r="J23" s="92" t="n">
        <v>136649</v>
      </c>
      <c r="K23" s="76" t="inlineStr">
        <is>
          <t>GUERRERO ABAD PEDRO ANDRES</t>
        </is>
      </c>
      <c r="M23" s="92" t="inlineStr">
        <is>
          <t>NO</t>
        </is>
      </c>
      <c r="P23" s="94" t="n">
        <v>4</v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1891707785001</t>
        </is>
      </c>
      <c r="J24" s="92" t="n">
        <v>56418</v>
      </c>
      <c r="K24" s="76" t="inlineStr">
        <is>
          <t>JUNTA PROVINCIAL DE LA CRUZ RO</t>
        </is>
      </c>
      <c r="M24" s="92" t="inlineStr">
        <is>
          <t>NO</t>
        </is>
      </c>
      <c r="P24" s="94" t="n">
        <v>1</v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1711248227001</t>
        </is>
      </c>
      <c r="J25" s="92" t="n">
        <v>125687</v>
      </c>
      <c r="K25" s="76" t="inlineStr">
        <is>
          <t>IÑIGUEZ VILLARUEL DIEGO HUMBER</t>
        </is>
      </c>
      <c r="M25" s="92" t="inlineStr">
        <is>
          <t>NO</t>
        </is>
      </c>
      <c r="P25" s="94" t="n">
        <v>1</v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0301993325001</t>
        </is>
      </c>
      <c r="J26" s="92" t="n">
        <v>136649</v>
      </c>
      <c r="K26" s="76" t="inlineStr">
        <is>
          <t>GUERRERO ABAD PEDRO ANDRES</t>
        </is>
      </c>
      <c r="M26" s="92" t="inlineStr">
        <is>
          <t>NO</t>
        </is>
      </c>
      <c r="P26" s="94" t="n">
        <v>2</v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1891709478001</t>
        </is>
      </c>
      <c r="J27" s="92" t="n">
        <v>906</v>
      </c>
      <c r="K27" s="76" t="inlineStr">
        <is>
          <t>AUTOMOTORES CARLOS LARREA T. C</t>
        </is>
      </c>
      <c r="M27" s="92" t="inlineStr">
        <is>
          <t>NO</t>
        </is>
      </c>
      <c r="P27" s="94" t="n">
        <v>8</v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1891709478001</t>
        </is>
      </c>
      <c r="J28" s="92" t="n">
        <v>906</v>
      </c>
      <c r="K28" s="76" t="inlineStr">
        <is>
          <t>AUTOMOTORES CARLOS LARREA T. C</t>
        </is>
      </c>
      <c r="M28" s="92" t="inlineStr">
        <is>
          <t>NO</t>
        </is>
      </c>
      <c r="P28" s="94" t="n">
        <v>3</v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n">
        <v>15666.44</v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46085.74649305556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1801079169</t>
        </is>
      </c>
      <c r="R8" s="76" t="n">
        <v>137782</v>
      </c>
      <c r="T8" s="76" t="inlineStr">
        <is>
          <t>PAREDES ARCOS MARCO ANTONIO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inlineStr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inlineStr"/>
      <c r="AG9" s="68" t="n">
        <v>0</v>
      </c>
      <c r="AH9" s="70" t="n">
        <v>0</v>
      </c>
      <c r="AJ9" s="68" t="n">
        <v>23</v>
      </c>
      <c r="AK9" s="68" t="n">
        <v>0</v>
      </c>
      <c r="AL9" s="13" t="inlineStr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n">
        <v>403</v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n">
        <v>405</v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n">
        <v>407</v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n">
        <v>409</v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n">
        <v>411</v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n">
        <v>413</v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n">
        <v>414</v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404</v>
      </c>
      <c r="G9" t="inlineStr">
        <is>
          <t>MOD. REPUESTOS REP06</t>
        </is>
      </c>
      <c r="H9" t="n">
        <v>0</v>
      </c>
      <c r="I9" s="25" t="n">
        <v>1486.1</v>
      </c>
      <c r="J9" s="25" t="n">
        <v>-1576.62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404</v>
      </c>
      <c r="G10" t="inlineStr">
        <is>
          <t>MOD. REPUESTOS REP06</t>
        </is>
      </c>
      <c r="H10" t="n">
        <v>0</v>
      </c>
      <c r="I10" s="25" t="n">
        <v>1878.32</v>
      </c>
      <c r="J10" s="25" t="n">
        <v>-3454.94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n">
        <v>406</v>
      </c>
      <c r="G11" t="inlineStr">
        <is>
          <t>MOD. REPUESTOS REP06</t>
        </is>
      </c>
      <c r="H11" t="n">
        <v>0</v>
      </c>
      <c r="I11" t="n">
        <v>286.96</v>
      </c>
      <c r="J11" s="25" t="n">
        <v>-3741.9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406</v>
      </c>
      <c r="G12" t="inlineStr">
        <is>
          <t>MOD. REPUESTOS REP06</t>
        </is>
      </c>
      <c r="H12" t="n">
        <v>0</v>
      </c>
      <c r="I12" t="n">
        <v>253.5</v>
      </c>
      <c r="J12" s="25" t="n">
        <v>-3995.4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n">
        <v>408</v>
      </c>
      <c r="G13" t="inlineStr">
        <is>
          <t>MOD. REPUESTOS REP06</t>
        </is>
      </c>
      <c r="H13" t="n">
        <v>0</v>
      </c>
      <c r="I13" t="n">
        <v>242.37</v>
      </c>
      <c r="J13" s="25" t="n">
        <v>-4237.77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408</v>
      </c>
      <c r="G14" t="inlineStr">
        <is>
          <t>MOD. REPUESTOS REP06</t>
        </is>
      </c>
      <c r="H14" t="n">
        <v>0</v>
      </c>
      <c r="I14" s="25" t="n">
        <v>1408.74</v>
      </c>
      <c r="J14" s="25" t="n">
        <v>-5646.51</v>
      </c>
    </row>
    <row r="15">
      <c r="A15" t="inlineStr">
        <is>
          <t>04.01.01.03.0003</t>
        </is>
      </c>
      <c r="B15" t="inlineStr">
        <is>
          <t>VTAS RPTOS PEUGEOT - CREDITO CON IVA</t>
        </is>
      </c>
      <c r="C15" t="inlineStr">
        <is>
          <t>N</t>
        </is>
      </c>
      <c r="D15" s="24" t="n">
        <v>46076</v>
      </c>
      <c r="E15" t="inlineStr">
        <is>
          <t>REPTO</t>
        </is>
      </c>
      <c r="F15" t="n">
        <v>410</v>
      </c>
      <c r="G15" t="inlineStr">
        <is>
          <t>MOD. REPUESTOS REP06</t>
        </is>
      </c>
      <c r="H15" t="n">
        <v>0</v>
      </c>
      <c r="I15" t="n">
        <v>47</v>
      </c>
      <c r="J15" s="25" t="n">
        <v>-5693.51</v>
      </c>
    </row>
    <row r="16">
      <c r="A16" t="inlineStr">
        <is>
          <t>04.01.01.03.0003</t>
        </is>
      </c>
      <c r="B16" t="inlineStr">
        <is>
          <t>VTAS RPTOS PEUGEOT - CREDITO CON IVA</t>
        </is>
      </c>
      <c r="C16" t="inlineStr">
        <is>
          <t>N</t>
        </is>
      </c>
      <c r="D16" s="24" t="n">
        <v>46078</v>
      </c>
      <c r="E16" t="inlineStr">
        <is>
          <t>REPTO</t>
        </is>
      </c>
      <c r="F16" t="n">
        <v>412</v>
      </c>
      <c r="G16" t="inlineStr">
        <is>
          <t>MOD. REPUESTOS REP06</t>
        </is>
      </c>
      <c r="H16" t="n">
        <v>0</v>
      </c>
      <c r="I16" s="25" t="n">
        <v>1408.74</v>
      </c>
      <c r="J16" s="25" t="n">
        <v>-7102.25</v>
      </c>
    </row>
    <row r="17">
      <c r="A17" t="inlineStr">
        <is>
          <t>04.01.01.03.0003</t>
        </is>
      </c>
      <c r="B17" t="inlineStr">
        <is>
          <t>VTAS RPTOS PEUGEOT - CREDITO CON IVA</t>
        </is>
      </c>
      <c r="C17" t="inlineStr">
        <is>
          <t>N</t>
        </is>
      </c>
      <c r="D17" s="24" t="n">
        <v>46080</v>
      </c>
      <c r="E17" t="inlineStr">
        <is>
          <t>REPTO</t>
        </is>
      </c>
      <c r="F17" t="n">
        <v>414</v>
      </c>
      <c r="G17" t="inlineStr">
        <is>
          <t>MOD. REPUESTOS REP06</t>
        </is>
      </c>
      <c r="H17" t="n">
        <v>0</v>
      </c>
      <c r="I17" s="25" t="n">
        <v>6056.45</v>
      </c>
      <c r="J17" s="25" t="n">
        <v>-13158.7</v>
      </c>
    </row>
    <row r="18">
      <c r="A18" t="inlineStr">
        <is>
          <t>04.01.01.03.0003</t>
        </is>
      </c>
      <c r="B18" t="inlineStr">
        <is>
          <t>VTAS RPTOS PEUGEOT - CREDITO CON IVA</t>
        </is>
      </c>
      <c r="C18" t="inlineStr">
        <is>
          <t>N</t>
        </is>
      </c>
      <c r="D18" s="24" t="n">
        <v>46080</v>
      </c>
      <c r="E18" t="inlineStr">
        <is>
          <t>REPTO</t>
        </is>
      </c>
      <c r="F18" t="n">
        <v>414</v>
      </c>
      <c r="G18" t="inlineStr">
        <is>
          <t>MOD. REPUESTOS REP06</t>
        </is>
      </c>
      <c r="H18" t="n">
        <v>0</v>
      </c>
      <c r="I18" t="n">
        <v>93.26000000000001</v>
      </c>
      <c r="J18" s="25" t="n">
        <v>-13251.96</v>
      </c>
    </row>
    <row r="19">
      <c r="D19" s="24" t="n"/>
      <c r="H19">
        <f>SUM(H2:H18)</f>
        <v/>
      </c>
      <c r="I19" s="31">
        <f>SUM(I2:I18)</f>
        <v/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n">
        <v>405</v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n">
        <v>413</v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n">
        <v>404</v>
      </c>
      <c r="G23" t="inlineStr">
        <is>
          <t>MOD. REPUESTOS REP06</t>
        </is>
      </c>
      <c r="H23" t="n">
        <v>93.92</v>
      </c>
      <c r="I23" t="n">
        <v>0</v>
      </c>
      <c r="J23" t="n">
        <v>93.92</v>
      </c>
    </row>
    <row r="24">
      <c r="A24" t="inlineStr">
        <is>
          <t>04.01.01.03.0007</t>
        </is>
      </c>
      <c r="B24" t="inlineStr">
        <is>
          <t>DESC VTAS RPTOS PEUGEOT CREDITO CON IVA</t>
        </is>
      </c>
      <c r="C24" t="inlineStr">
        <is>
          <t>N</t>
        </is>
      </c>
      <c r="D24" s="24" t="n">
        <v>46063</v>
      </c>
      <c r="E24" t="inlineStr">
        <is>
          <t>REPTO</t>
        </is>
      </c>
      <c r="F24" t="n">
        <v>404</v>
      </c>
      <c r="G24" t="inlineStr">
        <is>
          <t>MOD. REPUESTOS REP06</t>
        </is>
      </c>
      <c r="H24" t="n">
        <v>115.5</v>
      </c>
      <c r="I24" t="n">
        <v>0</v>
      </c>
      <c r="J24" t="n">
        <v>209.42</v>
      </c>
    </row>
    <row r="25">
      <c r="D25" s="24" t="n"/>
      <c r="H25" s="31">
        <f>SUM(H21:H24)</f>
        <v/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n">
        <v>402</v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46085.75035879629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0201107935</t>
        </is>
      </c>
      <c r="J11" s="92" t="n">
        <v>110121</v>
      </c>
      <c r="K11" s="76" t="inlineStr">
        <is>
          <t>JACOME BELTRAN YANDRY FERNANDO</t>
        </is>
      </c>
      <c r="M11" s="92" t="inlineStr">
        <is>
          <t>NO</t>
        </is>
      </c>
      <c r="P11" s="94" t="n">
        <v>1</v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1600718322</t>
        </is>
      </c>
      <c r="J12" s="92" t="n">
        <v>151382</v>
      </c>
      <c r="K12" s="76" t="inlineStr">
        <is>
          <t>VARGAS GREFA PANGA SHIRAM</t>
        </is>
      </c>
      <c r="M12" s="92" t="inlineStr">
        <is>
          <t>NO</t>
        </is>
      </c>
      <c r="P12" s="94" t="n">
        <v>1</v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0503618746001</t>
        </is>
      </c>
      <c r="J13" s="92" t="n">
        <v>151304</v>
      </c>
      <c r="K13" s="76" t="inlineStr">
        <is>
          <t>CHUQUITARCO CHASILOA ANGEL GEO</t>
        </is>
      </c>
      <c r="M13" s="92" t="inlineStr">
        <is>
          <t>NO</t>
        </is>
      </c>
      <c r="P13" s="94" t="n">
        <v>1</v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0504123712</t>
        </is>
      </c>
      <c r="J14" s="92" t="n">
        <v>118812</v>
      </c>
      <c r="K14" s="76" t="inlineStr">
        <is>
          <t>CUNDULLI TOCTE WILMER EDISON</t>
        </is>
      </c>
      <c r="M14" s="92" t="inlineStr">
        <is>
          <t>NO</t>
        </is>
      </c>
      <c r="P14" s="94" t="n">
        <v>1</v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1400332183001</t>
        </is>
      </c>
      <c r="J15" s="92" t="n">
        <v>132886</v>
      </c>
      <c r="K15" s="76" t="inlineStr">
        <is>
          <t>GARCIA ERAS NUBE EMPERATRIZ</t>
        </is>
      </c>
      <c r="M15" s="92" t="inlineStr">
        <is>
          <t>NO</t>
        </is>
      </c>
      <c r="P15" s="94" t="n">
        <v>4</v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1717899700</t>
        </is>
      </c>
      <c r="J16" s="92" t="n">
        <v>119817</v>
      </c>
      <c r="K16" s="76" t="inlineStr">
        <is>
          <t>PARRA LEON JISELA DEL CARMEN</t>
        </is>
      </c>
      <c r="M16" s="92" t="inlineStr">
        <is>
          <t>NO</t>
        </is>
      </c>
      <c r="P16" s="94" t="n">
        <v>2</v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0502344567</t>
        </is>
      </c>
      <c r="J17" s="92" t="n">
        <v>137438</v>
      </c>
      <c r="K17" s="76" t="inlineStr">
        <is>
          <t>RODRIGUEZ ALCAZAR LUIS ANTONIO</t>
        </is>
      </c>
      <c r="M17" s="92" t="inlineStr">
        <is>
          <t>NO</t>
        </is>
      </c>
      <c r="P17" s="94" t="n">
        <v>1</v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1717756843001</t>
        </is>
      </c>
      <c r="J18" s="92" t="n">
        <v>142594</v>
      </c>
      <c r="K18" s="76" t="inlineStr">
        <is>
          <t>VEINTIMILLA BERRONES PAULINA I</t>
        </is>
      </c>
      <c r="M18" s="92" t="inlineStr">
        <is>
          <t>NO</t>
        </is>
      </c>
      <c r="P18" s="94" t="n">
        <v>2</v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1804400081001</t>
        </is>
      </c>
      <c r="J19" s="92" t="n">
        <v>152057</v>
      </c>
      <c r="K19" s="76" t="inlineStr">
        <is>
          <t>HIDALGO MORALES RICARDO VLADIM</t>
        </is>
      </c>
      <c r="M19" s="92" t="inlineStr">
        <is>
          <t>NO</t>
        </is>
      </c>
      <c r="P19" s="94" t="n">
        <v>1</v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1001898673001</t>
        </is>
      </c>
      <c r="J20" s="92" t="n">
        <v>60115</v>
      </c>
      <c r="K20" s="76" t="inlineStr">
        <is>
          <t>RIVADENEIRA  AYALA CARLOS GONZ</t>
        </is>
      </c>
      <c r="M20" s="92" t="inlineStr">
        <is>
          <t>NO</t>
        </is>
      </c>
      <c r="P20" s="94" t="n">
        <v>1</v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n">
        <v>1785.46</v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n">
        <v>415</v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n">
        <v>416</v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n">
        <v>417</v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n">
        <v>418</v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n">
        <v>419</v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n">
        <v>418</v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J8" s="34">
        <f>SUM(J2:J7)</f>
        <v/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n">
        <v>415</v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n">
        <v>416</v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n">
        <v>417</v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>
        <f>SUM(I12:I14)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46085.75337962963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1724232911</t>
        </is>
      </c>
      <c r="J11" s="92" t="n">
        <v>151799</v>
      </c>
      <c r="K11" s="76" t="inlineStr">
        <is>
          <t>MONTALVO VELASTEGUI KEVIN MARC</t>
        </is>
      </c>
      <c r="M11" s="92" t="inlineStr">
        <is>
          <t>NO</t>
        </is>
      </c>
      <c r="P11" s="94" t="n">
        <v>2</v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1801259027</t>
        </is>
      </c>
      <c r="J12" s="92" t="n">
        <v>151797</v>
      </c>
      <c r="K12" s="76" t="inlineStr">
        <is>
          <t>OCANA HIEDRA JULIA VICTORIA</t>
        </is>
      </c>
      <c r="M12" s="92" t="inlineStr">
        <is>
          <t>NO</t>
        </is>
      </c>
      <c r="P12" s="94" t="n">
        <v>1</v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1726131772</t>
        </is>
      </c>
      <c r="J13" s="92" t="n">
        <v>151449</v>
      </c>
      <c r="K13" s="76" t="inlineStr">
        <is>
          <t>MACAS DIAZ JORGE RICARDO</t>
        </is>
      </c>
      <c r="M13" s="92" t="inlineStr">
        <is>
          <t>NO</t>
        </is>
      </c>
      <c r="P13" s="94" t="n">
        <v>1</v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0502292790001</t>
        </is>
      </c>
      <c r="J14" s="92" t="n">
        <v>134734</v>
      </c>
      <c r="K14" s="76" t="inlineStr">
        <is>
          <t>TAPIA CHASIPANTA HERNAN MARCEL</t>
        </is>
      </c>
      <c r="M14" s="92" t="inlineStr">
        <is>
          <t>NO</t>
        </is>
      </c>
      <c r="P14" s="94" t="n">
        <v>1</v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1050077153001</t>
        </is>
      </c>
      <c r="J15" s="92" t="n">
        <v>148977</v>
      </c>
      <c r="K15" s="76" t="inlineStr">
        <is>
          <t>GUAJÁN REAL MARJORIE RENATA</t>
        </is>
      </c>
      <c r="M15" s="92" t="inlineStr">
        <is>
          <t>NO</t>
        </is>
      </c>
      <c r="P15" s="94" t="n">
        <v>2</v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1713150413</t>
        </is>
      </c>
      <c r="J16" s="92" t="n">
        <v>151667</v>
      </c>
      <c r="K16" s="76" t="inlineStr">
        <is>
          <t>CALVACHI CARLOSAMA JANETH JACQ</t>
        </is>
      </c>
      <c r="M16" s="92" t="inlineStr">
        <is>
          <t>NO</t>
        </is>
      </c>
      <c r="P16" s="94" t="n">
        <v>1</v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1801041565</t>
        </is>
      </c>
      <c r="J17" s="92" t="n">
        <v>127159</v>
      </c>
      <c r="K17" s="76" t="inlineStr">
        <is>
          <t>CRUZ VILLACRES ANGEL ABRAHAM</t>
        </is>
      </c>
      <c r="M17" s="92" t="inlineStr">
        <is>
          <t>NO</t>
        </is>
      </c>
      <c r="P17" s="94" t="n">
        <v>1</v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0603889460</t>
        </is>
      </c>
      <c r="J18" s="92" t="n">
        <v>151829</v>
      </c>
      <c r="K18" s="76" t="inlineStr">
        <is>
          <t>RUIZ JACOME EDISON FERNANDO</t>
        </is>
      </c>
      <c r="M18" s="92" t="inlineStr">
        <is>
          <t>NO</t>
        </is>
      </c>
      <c r="P18" s="94" t="n">
        <v>1</v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0601864093001</t>
        </is>
      </c>
      <c r="J19" s="92" t="n">
        <v>151865</v>
      </c>
      <c r="K19" s="76" t="inlineStr">
        <is>
          <t>VALLEJO PALOMEQUE SILVIA CAROL</t>
        </is>
      </c>
      <c r="M19" s="92" t="inlineStr">
        <is>
          <t>NO</t>
        </is>
      </c>
      <c r="P19" s="94" t="n">
        <v>1</v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1600365280</t>
        </is>
      </c>
      <c r="J20" s="92" t="n">
        <v>151732</v>
      </c>
      <c r="K20" s="76" t="inlineStr">
        <is>
          <t>NARANJO CABRERA IVAN XAVIER</t>
        </is>
      </c>
      <c r="M20" s="92" t="inlineStr">
        <is>
          <t>NO</t>
        </is>
      </c>
      <c r="P20" s="94" t="n">
        <v>1</v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0502575947</t>
        </is>
      </c>
      <c r="J21" s="92" t="n">
        <v>138108</v>
      </c>
      <c r="K21" s="76" t="inlineStr">
        <is>
          <t>ESPINEL VEGA MAURICIO FABIAN</t>
        </is>
      </c>
      <c r="M21" s="92" t="inlineStr">
        <is>
          <t>NO</t>
        </is>
      </c>
      <c r="P21" s="94" t="n">
        <v>21</v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2200054654001</t>
        </is>
      </c>
      <c r="J22" s="92" t="n">
        <v>147121</v>
      </c>
      <c r="K22" s="76" t="inlineStr">
        <is>
          <t>MORENO VALVERDE MELANI NATALI</t>
        </is>
      </c>
      <c r="M22" s="92" t="inlineStr">
        <is>
          <t>NO</t>
        </is>
      </c>
      <c r="P22" s="94" t="n">
        <v>1</v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1718159492</t>
        </is>
      </c>
      <c r="J23" s="92" t="n">
        <v>151875</v>
      </c>
      <c r="K23" s="76" t="inlineStr">
        <is>
          <t>ORTIZ SILVA JAIME OSWALDO</t>
        </is>
      </c>
      <c r="M23" s="92" t="inlineStr">
        <is>
          <t>NO</t>
        </is>
      </c>
      <c r="P23" s="94" t="n">
        <v>2</v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1802312833</t>
        </is>
      </c>
      <c r="J24" s="92" t="n">
        <v>151882</v>
      </c>
      <c r="K24" s="76" t="inlineStr">
        <is>
          <t>PALATE MOYULEMA SEGUNDO JUANIT</t>
        </is>
      </c>
      <c r="M24" s="92" t="inlineStr">
        <is>
          <t>NO</t>
        </is>
      </c>
      <c r="P24" s="94" t="n">
        <v>1</v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1600224917001</t>
        </is>
      </c>
      <c r="J25" s="92" t="n">
        <v>134445</v>
      </c>
      <c r="K25" s="76" t="inlineStr">
        <is>
          <t>RAZO BERMEO JOHN JOHVANY</t>
        </is>
      </c>
      <c r="M25" s="92" t="inlineStr">
        <is>
          <t>NO</t>
        </is>
      </c>
      <c r="P25" s="94" t="n">
        <v>1</v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0503331050001</t>
        </is>
      </c>
      <c r="J26" s="92" t="n">
        <v>151895</v>
      </c>
      <c r="K26" s="76" t="inlineStr">
        <is>
          <t>MOREANO MOREANO DARWIN JAVIER</t>
        </is>
      </c>
      <c r="M26" s="92" t="inlineStr">
        <is>
          <t>NO</t>
        </is>
      </c>
      <c r="P26" s="94" t="n">
        <v>3</v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0202019378</t>
        </is>
      </c>
      <c r="J27" s="92" t="n">
        <v>137400</v>
      </c>
      <c r="K27" s="76" t="inlineStr">
        <is>
          <t>GAIBOR VELASCO NUMA INAIN</t>
        </is>
      </c>
      <c r="M27" s="92" t="inlineStr">
        <is>
          <t>NO</t>
        </is>
      </c>
      <c r="P27" s="94" t="n">
        <v>1</v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1804004388</t>
        </is>
      </c>
      <c r="J28" s="92" t="n">
        <v>142673</v>
      </c>
      <c r="K28" s="76" t="inlineStr">
        <is>
          <t>ARCOS BALLADARES EDWIN FABRICI</t>
        </is>
      </c>
      <c r="M28" s="92" t="inlineStr">
        <is>
          <t>NO</t>
        </is>
      </c>
      <c r="P28" s="94" t="n">
        <v>1</v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0502481583001</t>
        </is>
      </c>
      <c r="J29" s="92" t="n">
        <v>127431</v>
      </c>
      <c r="K29" s="76" t="inlineStr">
        <is>
          <t>QUIMBITA PANCHI LUIS ANIBAL</t>
        </is>
      </c>
      <c r="M29" s="92" t="inlineStr">
        <is>
          <t>NO</t>
        </is>
      </c>
      <c r="P29" s="94" t="n">
        <v>1</v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0603014010</t>
        </is>
      </c>
      <c r="J30" s="92" t="n">
        <v>151951</v>
      </c>
      <c r="K30" s="76" t="inlineStr">
        <is>
          <t>TIERRA TIERRA NANCY PATRICIA</t>
        </is>
      </c>
      <c r="M30" s="92" t="inlineStr">
        <is>
          <t>NO</t>
        </is>
      </c>
      <c r="P30" s="94" t="n">
        <v>1</v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1803796166001</t>
        </is>
      </c>
      <c r="J31" s="92" t="n">
        <v>135939</v>
      </c>
      <c r="K31" s="76" t="inlineStr">
        <is>
          <t>ANDINO SALINAS HUGO DANILO</t>
        </is>
      </c>
      <c r="M31" s="92" t="inlineStr">
        <is>
          <t>NO</t>
        </is>
      </c>
      <c r="P31" s="94" t="n">
        <v>2</v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1802651974001</t>
        </is>
      </c>
      <c r="J32" s="92" t="n">
        <v>151964</v>
      </c>
      <c r="K32" s="76" t="inlineStr">
        <is>
          <t>PEREZ HURTADO MARIO ALEJANDRO</t>
        </is>
      </c>
      <c r="M32" s="92" t="inlineStr">
        <is>
          <t>NO</t>
        </is>
      </c>
      <c r="P32" s="94" t="n">
        <v>1</v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0503064610001</t>
        </is>
      </c>
      <c r="J33" s="92" t="n">
        <v>151985</v>
      </c>
      <c r="K33" s="76" t="inlineStr">
        <is>
          <t>GARCIA NUNEZ DANIEL DARIO</t>
        </is>
      </c>
      <c r="M33" s="92" t="inlineStr">
        <is>
          <t>NO</t>
        </is>
      </c>
      <c r="P33" s="94" t="n">
        <v>1</v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1800749184</t>
        </is>
      </c>
      <c r="J34" s="92" t="n">
        <v>126993</v>
      </c>
      <c r="K34" s="76" t="inlineStr">
        <is>
          <t>ESPARZA CORDOVA SEGUNDO RAUL</t>
        </is>
      </c>
      <c r="M34" s="92" t="inlineStr">
        <is>
          <t>NO</t>
        </is>
      </c>
      <c r="P34" s="94" t="n">
        <v>1</v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0602666778</t>
        </is>
      </c>
      <c r="J35" s="92" t="n">
        <v>151996</v>
      </c>
      <c r="K35" s="76" t="inlineStr">
        <is>
          <t>VILLA PADILLA FRANKLIN GUILLER</t>
        </is>
      </c>
      <c r="M35" s="92" t="inlineStr">
        <is>
          <t>NO</t>
        </is>
      </c>
      <c r="P35" s="94" t="n">
        <v>1</v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1802073641</t>
        </is>
      </c>
      <c r="J36" s="92" t="n">
        <v>136004</v>
      </c>
      <c r="K36" s="76" t="inlineStr">
        <is>
          <t>FREIRE IZURIETA ANITA ISABEL</t>
        </is>
      </c>
      <c r="M36" s="92" t="inlineStr">
        <is>
          <t>NO</t>
        </is>
      </c>
      <c r="P36" s="94" t="n">
        <v>3</v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1804616579</t>
        </is>
      </c>
      <c r="J37" s="92" t="n">
        <v>151137</v>
      </c>
      <c r="K37" s="76" t="inlineStr">
        <is>
          <t>CAZA CAGUARCUNDO JOSE LUIS</t>
        </is>
      </c>
      <c r="M37" s="92" t="inlineStr">
        <is>
          <t>NO</t>
        </is>
      </c>
      <c r="P37" s="94" t="n">
        <v>1</v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0600221162</t>
        </is>
      </c>
      <c r="J38" s="92" t="n">
        <v>151903</v>
      </c>
      <c r="K38" s="76" t="inlineStr">
        <is>
          <t>LOPEZ BARAHONA HERMELINDA</t>
        </is>
      </c>
      <c r="M38" s="92" t="inlineStr">
        <is>
          <t>NO</t>
        </is>
      </c>
      <c r="P38" s="94" t="n">
        <v>7</v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0600892194</t>
        </is>
      </c>
      <c r="J39" s="92" t="n">
        <v>151904</v>
      </c>
      <c r="K39" s="76" t="inlineStr">
        <is>
          <t>BALSECA ZAVALA OLGA PIEDAD</t>
        </is>
      </c>
      <c r="M39" s="92" t="inlineStr">
        <is>
          <t>NO</t>
        </is>
      </c>
      <c r="P39" s="94" t="n">
        <v>12</v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0202047676</t>
        </is>
      </c>
      <c r="J40" s="92" t="n">
        <v>140903</v>
      </c>
      <c r="K40" s="76" t="inlineStr">
        <is>
          <t>BORJA PAZMIÑO EDWIN PATRICIO</t>
        </is>
      </c>
      <c r="M40" s="92" t="inlineStr">
        <is>
          <t>NO</t>
        </is>
      </c>
      <c r="P40" s="94" t="n">
        <v>5</v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1803565322</t>
        </is>
      </c>
      <c r="J41" s="92" t="n">
        <v>143912</v>
      </c>
      <c r="K41" s="76" t="inlineStr">
        <is>
          <t>MARTINEZ MORENO WILSON RODRIGO</t>
        </is>
      </c>
      <c r="M41" s="92" t="inlineStr">
        <is>
          <t>NO</t>
        </is>
      </c>
      <c r="P41" s="94" t="n">
        <v>1</v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0502481583001</t>
        </is>
      </c>
      <c r="J42" s="92" t="n">
        <v>127431</v>
      </c>
      <c r="K42" s="76" t="inlineStr">
        <is>
          <t>QUIMBITA PANCHI LUIS ANIBAL</t>
        </is>
      </c>
      <c r="M42" s="92" t="inlineStr">
        <is>
          <t>NO</t>
        </is>
      </c>
      <c r="P42" s="94" t="n">
        <v>1</v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0200845261</t>
        </is>
      </c>
      <c r="J43" s="92" t="n">
        <v>152121</v>
      </c>
      <c r="K43" s="76" t="inlineStr">
        <is>
          <t>SANCHEZ LARREA MARIO RAMIRO NA</t>
        </is>
      </c>
      <c r="M43" s="92" t="inlineStr">
        <is>
          <t>NO</t>
        </is>
      </c>
      <c r="P43" s="94" t="n">
        <v>1</v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0602666778</t>
        </is>
      </c>
      <c r="J44" s="92" t="n">
        <v>151996</v>
      </c>
      <c r="K44" s="76" t="inlineStr">
        <is>
          <t>VILLA PADILLA FRANKLIN GUILLER</t>
        </is>
      </c>
      <c r="M44" s="92" t="inlineStr">
        <is>
          <t>NO</t>
        </is>
      </c>
      <c r="P44" s="94" t="n">
        <v>2</v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1600283392</t>
        </is>
      </c>
      <c r="J45" s="92" t="n">
        <v>152144</v>
      </c>
      <c r="K45" s="76" t="inlineStr">
        <is>
          <t>ALVAREZ BENALCAZAR RUBENS ALEX</t>
        </is>
      </c>
      <c r="M45" s="92" t="inlineStr">
        <is>
          <t>NO</t>
        </is>
      </c>
      <c r="P45" s="94" t="n">
        <v>1</v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1805073200</t>
        </is>
      </c>
      <c r="J46" s="92" t="n">
        <v>140993</v>
      </c>
      <c r="K46" s="76" t="inlineStr">
        <is>
          <t xml:space="preserve">TENESACA CANCHIGNIA GUILLERMO </t>
        </is>
      </c>
      <c r="M46" s="92" t="inlineStr">
        <is>
          <t>NO</t>
        </is>
      </c>
      <c r="P46" s="94" t="n">
        <v>1</v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0202047676</t>
        </is>
      </c>
      <c r="J47" s="92" t="n">
        <v>140903</v>
      </c>
      <c r="K47" s="76" t="inlineStr">
        <is>
          <t>BORJA PAZMIÑO EDWIN PATRICIO</t>
        </is>
      </c>
      <c r="M47" s="92" t="inlineStr">
        <is>
          <t>NO</t>
        </is>
      </c>
      <c r="P47" s="94" t="n">
        <v>1</v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0501812366</t>
        </is>
      </c>
      <c r="J48" s="92" t="n">
        <v>146068</v>
      </c>
      <c r="K48" s="76" t="inlineStr">
        <is>
          <t>LANAS CAJIAO RENATO</t>
        </is>
      </c>
      <c r="M48" s="92" t="inlineStr">
        <is>
          <t>NO</t>
        </is>
      </c>
      <c r="P48" s="94" t="n">
        <v>2</v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1850404714</t>
        </is>
      </c>
      <c r="J51" s="92" t="n">
        <v>135925</v>
      </c>
      <c r="K51" s="76" t="inlineStr">
        <is>
          <t>ARMENDARIA FREIRE JOSUE DAVID</t>
        </is>
      </c>
      <c r="M51" s="92" t="inlineStr">
        <is>
          <t>NO</t>
        </is>
      </c>
      <c r="P51" s="94" t="n">
        <v>3</v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1802664282001</t>
        </is>
      </c>
      <c r="J52" s="92" t="n">
        <v>38567</v>
      </c>
      <c r="K52" s="76" t="inlineStr">
        <is>
          <t>MANOBANDA ZUMBANA PEDRO PABLO</t>
        </is>
      </c>
      <c r="M52" s="92" t="inlineStr">
        <is>
          <t>NO</t>
        </is>
      </c>
      <c r="P52" s="94" t="n">
        <v>2</v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1792107423001</t>
        </is>
      </c>
      <c r="J53" s="92" t="n">
        <v>28101</v>
      </c>
      <c r="K53" s="76" t="inlineStr">
        <is>
          <t>SWEADEN CIA DE SEGUROS</t>
        </is>
      </c>
      <c r="M53" s="92" t="inlineStr">
        <is>
          <t>NO</t>
        </is>
      </c>
      <c r="P53" s="94" t="n">
        <v>2</v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1890000130001</t>
        </is>
      </c>
      <c r="J54" s="92" t="n">
        <v>35519</v>
      </c>
      <c r="K54" s="76" t="inlineStr">
        <is>
          <t>ASSA- AUTOMOTORES DE LA SIERRA</t>
        </is>
      </c>
      <c r="M54" s="92" t="inlineStr">
        <is>
          <t>NO</t>
        </is>
      </c>
      <c r="P54" s="94" t="n">
        <v>1</v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1890000130001</t>
        </is>
      </c>
      <c r="J55" s="92" t="n">
        <v>35519</v>
      </c>
      <c r="K55" s="76" t="inlineStr">
        <is>
          <t>ASSA- AUTOMOTORES DE LA SIERRA</t>
        </is>
      </c>
      <c r="M55" s="92" t="inlineStr">
        <is>
          <t>NO</t>
        </is>
      </c>
      <c r="P55" s="94" t="n">
        <v>1</v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1792107423001</t>
        </is>
      </c>
      <c r="J56" s="92" t="n">
        <v>28101</v>
      </c>
      <c r="K56" s="76" t="inlineStr">
        <is>
          <t>SWEADEN CIA DE SEGUROS</t>
        </is>
      </c>
      <c r="M56" s="92" t="inlineStr">
        <is>
          <t>NO</t>
        </is>
      </c>
      <c r="P56" s="94" t="n">
        <v>2</v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1802454346001</t>
        </is>
      </c>
      <c r="J57" s="92" t="n">
        <v>131041</v>
      </c>
      <c r="K57" s="76" t="inlineStr">
        <is>
          <t>RODRIGUEZ SUAREZ ROMULO PATRIC</t>
        </is>
      </c>
      <c r="M57" s="92" t="inlineStr">
        <is>
          <t>NO</t>
        </is>
      </c>
      <c r="P57" s="94" t="n">
        <v>13</v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1890000130001</t>
        </is>
      </c>
      <c r="J58" s="92" t="n">
        <v>35519</v>
      </c>
      <c r="K58" s="76" t="inlineStr">
        <is>
          <t>ASSA- AUTOMOTORES DE LA SIERRA</t>
        </is>
      </c>
      <c r="M58" s="92" t="inlineStr">
        <is>
          <t>NO</t>
        </is>
      </c>
      <c r="P58" s="94" t="n">
        <v>1</v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1802454346001</t>
        </is>
      </c>
      <c r="J59" s="92" t="n">
        <v>131041</v>
      </c>
      <c r="K59" s="76" t="inlineStr">
        <is>
          <t>RODRIGUEZ SUAREZ ROMULO PATRIC</t>
        </is>
      </c>
      <c r="M59" s="92" t="inlineStr">
        <is>
          <t>NO</t>
        </is>
      </c>
      <c r="P59" s="94" t="n">
        <v>1</v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1890000130001</t>
        </is>
      </c>
      <c r="J60" s="92" t="n">
        <v>35519</v>
      </c>
      <c r="K60" s="76" t="inlineStr">
        <is>
          <t>ASSA- AUTOMOTORES DE LA SIERRA</t>
        </is>
      </c>
      <c r="M60" s="92" t="inlineStr">
        <is>
          <t>NO</t>
        </is>
      </c>
      <c r="P60" s="94" t="n">
        <v>2</v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1890000130001</t>
        </is>
      </c>
      <c r="J61" s="92" t="n">
        <v>35519</v>
      </c>
      <c r="K61" s="76" t="inlineStr">
        <is>
          <t>ASSA- AUTOMOTORES DE LA SIERRA</t>
        </is>
      </c>
      <c r="M61" s="92" t="inlineStr">
        <is>
          <t>NO</t>
        </is>
      </c>
      <c r="P61" s="94" t="n">
        <v>1</v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n">
        <v>12374.95</v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46085.75403935185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1792107423001</t>
        </is>
      </c>
      <c r="R8" s="76" t="n">
        <v>28101</v>
      </c>
      <c r="T8" s="76" t="inlineStr">
        <is>
          <t>SWEADEN CIA DE SEGUROS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inlineStr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0502481583001</t>
        </is>
      </c>
      <c r="R9" s="76" t="n">
        <v>127431</v>
      </c>
      <c r="T9" s="76" t="inlineStr">
        <is>
          <t>QUIMBITA PANCHI LUIS ANIBAL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inlineStr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inlineStr"/>
      <c r="AG10" s="68" t="n">
        <v>0</v>
      </c>
      <c r="AH10" s="70" t="n">
        <v>0</v>
      </c>
      <c r="AJ10" s="68" t="n">
        <v>1143.14</v>
      </c>
      <c r="AK10" s="68" t="n">
        <v>0</v>
      </c>
      <c r="AL10" s="13" t="inlineStr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382</v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383</v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384</v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n">
        <v>384</v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385</v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386</v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387</v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n">
        <v>387</v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388</v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389</v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390</v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n">
        <v>392</v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393</v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393</v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n">
        <v>395</v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n">
        <v>396</v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n">
        <v>397</v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n">
        <v>398</v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n">
        <v>399</v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n">
        <v>401</v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n">
        <v>382</v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n">
        <v>383</v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n">
        <v>384</v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n">
        <v>389</v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n">
        <v>394</v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n">
        <v>397</v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n">
        <v>397</v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n">
        <v>399</v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n">
        <v>400</v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I31" s="31">
        <f>SUM(I2:I30)</f>
        <v/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n">
        <v>383</v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n">
        <v>384</v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n">
        <v>387</v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n">
        <v>388</v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n">
        <v>390</v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n">
        <v>391</v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n">
        <v>392</v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n">
        <v>393</v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n">
        <v>393</v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n">
        <v>395</v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n">
        <v>397</v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n">
        <v>382</v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n">
        <v>389</v>
      </c>
      <c r="G46" t="inlineStr">
        <is>
          <t>MOD. REPUESTOS REP08</t>
        </is>
      </c>
      <c r="H46" t="n">
        <v>129.58</v>
      </c>
      <c r="I46" t="n">
        <v>0</v>
      </c>
      <c r="J46" t="n">
        <v>314.49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n">
        <v>389</v>
      </c>
      <c r="G47" t="inlineStr">
        <is>
          <t>MOD. REPUESTOS REP08</t>
        </is>
      </c>
      <c r="H47" t="n">
        <v>0</v>
      </c>
      <c r="I47" t="n">
        <v>129.58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n">
        <v>394</v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n">
        <v>397</v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>
        <f>SUM(H34:H49)</f>
        <v/>
      </c>
      <c r="I50" s="31">
        <f>SUM(I34:I49)</f>
        <v/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n">
        <v>391</v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n">
        <v>389</v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>
        <f>SUM(H53:H54)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inlineStr">
        <is>
          <t>361</t>
        </is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inlineStr">
        <is>
          <t>362</t>
        </is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inlineStr">
        <is>
          <t>363</t>
        </is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inlineStr">
        <is>
          <t>364</t>
        </is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inlineStr">
        <is>
          <t>365</t>
        </is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inlineStr">
        <is>
          <t>366</t>
        </is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inlineStr">
        <is>
          <t>367</t>
        </is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inlineStr">
        <is>
          <t>368</t>
        </is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inlineStr">
        <is>
          <t>369</t>
        </is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inlineStr">
        <is>
          <t>370</t>
        </is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inlineStr">
        <is>
          <t>371</t>
        </is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inlineStr">
        <is>
          <t>372</t>
        </is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inlineStr">
        <is>
          <t>372</t>
        </is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inlineStr">
        <is>
          <t>373</t>
        </is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inlineStr">
        <is>
          <t>374</t>
        </is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inlineStr">
        <is>
          <t>375</t>
        </is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inlineStr">
        <is>
          <t>376</t>
        </is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inlineStr">
        <is>
          <t>377</t>
        </is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inlineStr">
        <is>
          <t>378</t>
        </is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inlineStr">
        <is>
          <t>379</t>
        </is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inlineStr">
        <is>
          <t>380</t>
        </is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inlineStr">
        <is>
          <t>381</t>
        </is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inlineStr">
        <is>
          <t>382</t>
        </is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inlineStr">
        <is>
          <t>382</t>
        </is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inlineStr">
        <is>
          <t>383</t>
        </is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inlineStr">
        <is>
          <t>383</t>
        </is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inlineStr">
        <is>
          <t>384</t>
        </is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inlineStr">
        <is>
          <t>384</t>
        </is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inlineStr">
        <is>
          <t>385</t>
        </is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inlineStr">
        <is>
          <t>386</t>
        </is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inlineStr">
        <is>
          <t>387</t>
        </is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inlineStr">
        <is>
          <t>387</t>
        </is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inlineStr">
        <is>
          <t>388</t>
        </is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inlineStr">
        <is>
          <t>389</t>
        </is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inlineStr">
        <is>
          <t>389</t>
        </is>
      </c>
      <c r="G333" s="10" t="inlineStr">
        <is>
          <t>MOD. REPUESTOS REP08</t>
        </is>
      </c>
      <c r="H333" s="10" t="n">
        <v>0</v>
      </c>
      <c r="I333" s="10" t="n">
        <v>111.61</v>
      </c>
      <c r="J333" s="33" t="n">
        <v>19701.71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inlineStr">
        <is>
          <t>389</t>
        </is>
      </c>
      <c r="G334" s="10" t="inlineStr">
        <is>
          <t>MOD. REPUESTOS REP08</t>
        </is>
      </c>
      <c r="H334" s="10" t="n">
        <v>111.61</v>
      </c>
      <c r="I334" s="10" t="n">
        <v>0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inlineStr">
        <is>
          <t>390</t>
        </is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inlineStr">
        <is>
          <t>391</t>
        </is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inlineStr">
        <is>
          <t>392</t>
        </is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inlineStr">
        <is>
          <t>393</t>
        </is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inlineStr">
        <is>
          <t>393</t>
        </is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inlineStr">
        <is>
          <t>394</t>
        </is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inlineStr">
        <is>
          <t>395</t>
        </is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inlineStr">
        <is>
          <t>396</t>
        </is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inlineStr">
        <is>
          <t>397</t>
        </is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inlineStr">
        <is>
          <t>397</t>
        </is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inlineStr">
        <is>
          <t>398</t>
        </is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inlineStr">
        <is>
          <t>399</t>
        </is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inlineStr">
        <is>
          <t>400</t>
        </is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inlineStr">
        <is>
          <t>401</t>
        </is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inlineStr">
        <is>
          <t>402</t>
        </is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inlineStr">
        <is>
          <t>403</t>
        </is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inlineStr">
        <is>
          <t>404</t>
        </is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inlineStr">
        <is>
          <t>405</t>
        </is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inlineStr">
        <is>
          <t>406</t>
        </is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inlineStr">
        <is>
          <t>407</t>
        </is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inlineStr">
        <is>
          <t>408</t>
        </is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inlineStr">
        <is>
          <t>409</t>
        </is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inlineStr">
        <is>
          <t>410</t>
        </is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inlineStr">
        <is>
          <t>411</t>
        </is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inlineStr">
        <is>
          <t>412</t>
        </is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inlineStr">
        <is>
          <t>413</t>
        </is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inlineStr">
        <is>
          <t>414</t>
        </is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inlineStr">
        <is>
          <t>415</t>
        </is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inlineStr">
        <is>
          <t>416</t>
        </is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inlineStr">
        <is>
          <t>417</t>
        </is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inlineStr">
        <is>
          <t>418</t>
        </is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inlineStr">
        <is>
          <t>419</t>
        </is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 t="n">
        <v>25254.87</v>
      </c>
      <c r="I367" s="10" t="n">
        <v>33802.16</v>
      </c>
    </row>
    <row r="368" hidden="1">
      <c r="I368" s="10" t="n">
        <v>8547.290000000001</v>
      </c>
    </row>
    <row r="369">
      <c r="H369" s="114" t="n">
        <v>1672.56</v>
      </c>
      <c r="I369" s="114" t="n">
        <v>33798.41</v>
      </c>
    </row>
    <row r="370">
      <c r="I370" s="114" t="n">
        <v>32125.85</v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2026-03-24T18:23:50Z</dcterms:modified>
</cp:coreProperties>
</file>