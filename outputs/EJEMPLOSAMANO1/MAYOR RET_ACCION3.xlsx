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stente Sistemas\Downloads\"/>
    </mc:Choice>
  </mc:AlternateContent>
  <xr:revisionPtr revIDLastSave="0" documentId="8_{53C07390-E8D7-4E4D-B628-18411356CD30}" xr6:coauthVersionLast="47" xr6:coauthVersionMax="47" xr10:uidLastSave="{00000000-0000-0000-0000-000000000000}"/>
  <bookViews>
    <workbookView xWindow="-120" yWindow="-120" windowWidth="20730" windowHeight="11040" xr2:uid="{8B9404A6-5C98-4C3F-852D-7F5548AFDD8E}"/>
  </bookViews>
  <sheets>
    <sheet name="MAYOR RET" sheetId="2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2" l="1"/>
</calcChain>
</file>

<file path=xl/sharedStrings.xml><?xml version="1.0" encoding="utf-8"?>
<sst xmlns="http://schemas.openxmlformats.org/spreadsheetml/2006/main" count="2597" uniqueCount="346">
  <si>
    <t>FE GARCES PEREZ HECTOR BOLIVAR 000000021</t>
  </si>
  <si>
    <t>CP</t>
  </si>
  <si>
    <t>N</t>
  </si>
  <si>
    <t>100 % RETENCION  IVA</t>
  </si>
  <si>
    <t>02.01.06.01.0006</t>
  </si>
  <si>
    <t>FE CALERO OLMOS NANCY DEL ROCI 000000091</t>
  </si>
  <si>
    <t>FE PALACIOS LARREA FRANCISCO J 000000050</t>
  </si>
  <si>
    <t>FE POVEDA ALMEIDA EFRAIN ALEJA 000000056</t>
  </si>
  <si>
    <t>70% RETENCION IVA -SERVICIOS</t>
  </si>
  <si>
    <t>02.01.06.01.0005</t>
  </si>
  <si>
    <t>FE MANTELCOA CIA. LTDA. 000010912</t>
  </si>
  <si>
    <t>FE ASO.  EMPRESAS AUTOMOTRICES 000006770</t>
  </si>
  <si>
    <t>FE TOYOTASERVICIOS S.A. 000052829</t>
  </si>
  <si>
    <t>FE TOYOTASERVICIOS S.A. 000006834</t>
  </si>
  <si>
    <t>FE TOYOTASERVICIOS S.A. 000006832</t>
  </si>
  <si>
    <t>FE POVEDA ALMEIDA EFRAIN ALEJA 000000052</t>
  </si>
  <si>
    <t>FE ASO.  EMPRESAS AUTOMOTRICES 000006748</t>
  </si>
  <si>
    <t>FE TOYOTASERVICIOS S.A. 000052828</t>
  </si>
  <si>
    <t>FE TALENTOPSA S.A 000005286</t>
  </si>
  <si>
    <t>FE SOCIEDAD INDIVISA VILLACIS  000000048</t>
  </si>
  <si>
    <t>FE REINOSO SALAS YAJAIRA CAROL 000000129</t>
  </si>
  <si>
    <t>FE REINOSO SALAS YAJAIRA CAROL 000000128</t>
  </si>
  <si>
    <t>FE REINOSO SALAS YAJAIRA CAROL 000000127</t>
  </si>
  <si>
    <t>FE REINOSO SALAS YAJAIRA CAROL 000000126</t>
  </si>
  <si>
    <t>FE COMP. DE SEGURIDAD PRIVADA  000002473</t>
  </si>
  <si>
    <t>FE COLCHA AREVALO LIZARDO ENRI 000000776</t>
  </si>
  <si>
    <t>FE ARMAS MELENDEZ MONICA ALEXA 000212880</t>
  </si>
  <si>
    <t>FE TOYOTASERVICIOS S.A. 000052803</t>
  </si>
  <si>
    <t>FE MAYORGA MAYORGA WILSON RAMI 000076819</t>
  </si>
  <si>
    <t>FE MAYORGA MAYORGA WILSON RAMI 000076818</t>
  </si>
  <si>
    <t>FE DILIGENCIAS LEGALES 000001804</t>
  </si>
  <si>
    <t>FE COMPAÑIA TECNOXPERTISE S.A. 000000377</t>
  </si>
  <si>
    <t>FE REINOSO SALAS YAJAIRA CAROL 000000125</t>
  </si>
  <si>
    <t>FE REINOSO SALAS YAJAIRA CAROL 000000124</t>
  </si>
  <si>
    <t>FE REINOSO SALAS YAJAIRA CAROL 000000123</t>
  </si>
  <si>
    <t>FE REINOSO SALAS YAJAIRA CAROL 000000122</t>
  </si>
  <si>
    <t>FE FIDUCIARIA ECUADOR FIDUECUA 000013391</t>
  </si>
  <si>
    <t>FE CORPORACION CONFIABLE S.A. 000005489</t>
  </si>
  <si>
    <t>FE TOYOTASERVICIOS S.A. 000053046</t>
  </si>
  <si>
    <t>FE REINOSO SALAS YAJAIRA CAROL 000000120</t>
  </si>
  <si>
    <t>FE REINOSO SALAS YAJAIRA CAROL 000000119</t>
  </si>
  <si>
    <t>FE REINOSO SALAS YAJAIRA CAROL 000000118</t>
  </si>
  <si>
    <t>FE REINOSO SALAS YAJAIRA CAROL 000000116</t>
  </si>
  <si>
    <t>FE NARANJO ABRIL VICTORIA ESTE 000000170</t>
  </si>
  <si>
    <t>FE CONSEJO GUBERNATIVO DE LOS  000000811</t>
  </si>
  <si>
    <t>FE CARLARSERVICE CIA. LTDA 000000448</t>
  </si>
  <si>
    <t>FE CAICEDO ALFONSO DAVID 000000820</t>
  </si>
  <si>
    <t>FE BACLT INMOBILIARIA S.A.S. 000000196</t>
  </si>
  <si>
    <t>FE BACLT INMOBILIARIA S.A.S. 000000195</t>
  </si>
  <si>
    <t>FE TOYOTASERVICIOS S.A. 000007770</t>
  </si>
  <si>
    <t>FE TOYOTASERVICIOS S.A. 000007769</t>
  </si>
  <si>
    <t>FE TOYOTASERVICIOS S.A. 000007768</t>
  </si>
  <si>
    <t>FE NOBOA CABRERA GALO HERNAN 000000914</t>
  </si>
  <si>
    <t>FE CODEX 000011919</t>
  </si>
  <si>
    <t>FE TOYOTASERVICIOS S.A. 000007761</t>
  </si>
  <si>
    <t>FE TOYOTASERVICIOS S.A. 000007760</t>
  </si>
  <si>
    <t>FE TOYOTASERVICIOS S.A. 000007759</t>
  </si>
  <si>
    <t>FE TOYOTASERVICIOS S.A. 000007758</t>
  </si>
  <si>
    <t>FE TOYOTASERVICIOS S.A. 000007757</t>
  </si>
  <si>
    <t>FE PALACIOS DAVALOS MARCELO ED 000000628</t>
  </si>
  <si>
    <t>FE TOYOTASERVICIOS S.A. 000007753</t>
  </si>
  <si>
    <t>FE TOYOTASERVICIOS S.A. 000006916</t>
  </si>
  <si>
    <t>FE TOYOTASERVICIOS S.A. 000001442</t>
  </si>
  <si>
    <t>FE SERVICIOS DE RADIO Y TELEVI 000002993</t>
  </si>
  <si>
    <t>FE PANTERA DE SEGURIDAD PHANTE 000003768</t>
  </si>
  <si>
    <t>FE FILLIPPO SANCHEZ ALEXANDER 000000177</t>
  </si>
  <si>
    <t>FE CASTRO MORALES OMAR VLADIMI 000002708</t>
  </si>
  <si>
    <t>FE CASTRO MORALES OMAR VLADIMI 000002706</t>
  </si>
  <si>
    <t>FE CASTRO MORALES OMAR VLADIMI 000002699</t>
  </si>
  <si>
    <t>FE CASTRO MORALES OMAR VLADIMI 000002690</t>
  </si>
  <si>
    <t>FE CARRERA KUMMERFELD MANUEL F 000000538</t>
  </si>
  <si>
    <t>FE CAMARA DE COMERCIO DE AMBAT 000021000</t>
  </si>
  <si>
    <t>FE CABRERA ROJAS DORIS MARIA 000193539</t>
  </si>
  <si>
    <t>FE ZEA ALTAMIRANO MARIA ELENA 000000003</t>
  </si>
  <si>
    <t>FE TOYOTASERVICIOS S.A. 000006895</t>
  </si>
  <si>
    <t>FE REINOSO SALAS YAJAIRA CAROL 000000143</t>
  </si>
  <si>
    <t>FE REINOSO SALAS YAJAIRA CAROL 000000142</t>
  </si>
  <si>
    <t>FE REINOSO SALAS YAJAIRA CAROL 000000141</t>
  </si>
  <si>
    <t>FE REINOSO SALAS YAJAIRA CAROL 000000140</t>
  </si>
  <si>
    <t>FE REINOSO SALAS YAJAIRA CAROL 000000139</t>
  </si>
  <si>
    <t>FE REINOSO SALAS YAJAIRA CAROL 000000137</t>
  </si>
  <si>
    <t>FE PAEZ ORTIZ CHRISTIAN GONZAL 000003635</t>
  </si>
  <si>
    <t>FE LOPEZ ANDRANGO SEGUNDO MANU 000000550</t>
  </si>
  <si>
    <t>FE ETL-EC AUDITORES S.A. 000007432</t>
  </si>
  <si>
    <t>FE CARLARSERVICE CIA. LTDA 000000456</t>
  </si>
  <si>
    <t>FE CARLARSERVICE CIA. LTDA 000000454</t>
  </si>
  <si>
    <t>FE CARLARSERVICE CIA. LTDA 000000451</t>
  </si>
  <si>
    <t>FE ASTUDILLO RIVADENEIRA CRIST 000001114</t>
  </si>
  <si>
    <t>FE ASTUDILLO RIVADENEIRA CRIST 000001113</t>
  </si>
  <si>
    <t>FE VALENZUELA SALAZAR JAVIER E 000000002</t>
  </si>
  <si>
    <t>FE TOYOTASERVICIOS S.A. 000006870</t>
  </si>
  <si>
    <t>FE SEVILLA GALARZA JOSE MANUEL 000007220</t>
  </si>
  <si>
    <t>FE MERCANTIL TORRESCO CIA. LTD 000000046</t>
  </si>
  <si>
    <t>FE MAYORGA MAYORGA WILSON RAMI 000076915</t>
  </si>
  <si>
    <t>FE MAYORGA MAYORGA WILSON RAMI 000076914</t>
  </si>
  <si>
    <t>FE LARREAUTO CIA. LTDA. 000006283</t>
  </si>
  <si>
    <t>FE AGUAS DIAS MARCO ANTONIO 000001550</t>
  </si>
  <si>
    <t>FE PROANDES SECURITY CIA. LTDA 000012507</t>
  </si>
  <si>
    <t>FE REINOSO SALAS YAJAIRA CAROL 000000134</t>
  </si>
  <si>
    <t>FE LAYOUT S.A. 000000414</t>
  </si>
  <si>
    <t>IN TOYOTASERVICIOS S.A. 000014871</t>
  </si>
  <si>
    <t>INVEN</t>
  </si>
  <si>
    <t>30% RETENCION IVA - COMPRAS</t>
  </si>
  <si>
    <t>02.01.06.01.0004</t>
  </si>
  <si>
    <t>IN TOYOTASERVICIOS S.A. 000014870</t>
  </si>
  <si>
    <t>IN TITANIA TRACKING SOLUTIONS-EC S A S 000017621</t>
  </si>
  <si>
    <t>IN TITANIA TRACKING SOLUTIONS-EC S A S 000017622</t>
  </si>
  <si>
    <t>IN YANGTSE-AUTO DEL ECUADOR S.A. 000000523</t>
  </si>
  <si>
    <t>IN TOYOTASERVICIOS S.A. 000014932</t>
  </si>
  <si>
    <t>IN TOYOTASERVICIOS S.A. 000014931</t>
  </si>
  <si>
    <t>IN TOYOTASERVICIOS S.A. 000014927</t>
  </si>
  <si>
    <t>IN TOYOTASERVICIOS S.A. 000014926</t>
  </si>
  <si>
    <t>IN TOYOTASERVICIOS S.A. 000014925</t>
  </si>
  <si>
    <t>IN TOYOTASERVICIOS S.A. 000014924</t>
  </si>
  <si>
    <t>IN TOYOTASERVICIOS S.A. 000014923</t>
  </si>
  <si>
    <t>IN YANGTSE-AUTO DEL ECUADOR S.A. 000000573</t>
  </si>
  <si>
    <t>IN TOYOTASERVICIOS S.A. 000006942</t>
  </si>
  <si>
    <t>IN TOYOTASERVICIOS S.A. 000014919</t>
  </si>
  <si>
    <t>IN TOYOTASERVICIOS S.A. 000014918</t>
  </si>
  <si>
    <t>IN TOYOTASERVICIOS S.A. 000014912</t>
  </si>
  <si>
    <t>IN TOYOTASERVICIOS S.A. 000014907</t>
  </si>
  <si>
    <t>IN TOYOTASERVICIOS S.A. 000014906</t>
  </si>
  <si>
    <t>IN YANGTSE-AUTO DEL ECUADOR S.A. 000000561</t>
  </si>
  <si>
    <t>IN YANGTSE-AUTO DEL ECUADOR S.A. 000000545</t>
  </si>
  <si>
    <t>IN TOYOTASERVICIOS S.A. 000014895</t>
  </si>
  <si>
    <t>IN TOYOTASERVICIOS S.A. 000014894</t>
  </si>
  <si>
    <t>IN TOYOTASERVICIOS S.A. 000014881</t>
  </si>
  <si>
    <t>FE YANGTSE-AUTO DEL ECUADOR S. 000000640</t>
  </si>
  <si>
    <t>FE POVEDA ALMEIDA EFRAIN ALEJA 000000055</t>
  </si>
  <si>
    <t>FE TOYOTASERVICIOS S.A. 000006833</t>
  </si>
  <si>
    <t>FE TOYOTASERVICIOS S.A. 000006831</t>
  </si>
  <si>
    <t>FE POVEDA ALMEIDA EFRAIN ALEJA 000000054</t>
  </si>
  <si>
    <t>FE POVEDA ALMEIDA EFRAIN ALEJA 000000053</t>
  </si>
  <si>
    <t>FE PAEZ ORTIZ CHRISTIAN GONZAL 000003607</t>
  </si>
  <si>
    <t>FE GONZALEZ VEGA EL MOTOR CIA  000125378</t>
  </si>
  <si>
    <t>FE CATAÑA DIAZ ANDREA BELEN 000001176</t>
  </si>
  <si>
    <t>FE TOYOTASERVICIOS S.A. 000052804</t>
  </si>
  <si>
    <t>FE YANGTSE-AUTO DEL ECUADOR S. 000000629</t>
  </si>
  <si>
    <t>FE YANEZ APUANGO CRISTINA DE L 000001912</t>
  </si>
  <si>
    <t>FE VARGAS TORRES WALTTER DARIO 000031801</t>
  </si>
  <si>
    <t>FE PAEZ ORTIZ CHRISTIAN GONZAL 000003603</t>
  </si>
  <si>
    <t>FE PAEZ ORTIZ CHRISTIAN GONZAL 000003602</t>
  </si>
  <si>
    <t>FE PAEZ ORTIZ CHRISTIAN GONZAL 000003601</t>
  </si>
  <si>
    <t>FE YANGTSE-AUTO DEL ECUADOR S. 000000716</t>
  </si>
  <si>
    <t>FE YANGTSE-AUTO DEL ECUADOR S. 000000714</t>
  </si>
  <si>
    <t>FE TOYOTASERVICIOS S.A. 000053045</t>
  </si>
  <si>
    <t>FE TOYOTASERVICIOS S.A. 000000867</t>
  </si>
  <si>
    <t>FE TOYOTASERVICIOS S.A. 000000866</t>
  </si>
  <si>
    <t>FE VARGAS TORRES WALTTER DARIO 000031786</t>
  </si>
  <si>
    <t>FE YANGTSE-AUTO DEL ECUADOR S. 000000697</t>
  </si>
  <si>
    <t>FE GONZALEZ VEGA EL MOTOR CIA  000125851</t>
  </si>
  <si>
    <t>FE PALACIOS DAVALOS MARCELO ED 000000629</t>
  </si>
  <si>
    <t>FE YANGTSE-AUTO DEL ECUADOR S. 000000684</t>
  </si>
  <si>
    <t>FE TOYOTASERVICIOS S.A. 000007752</t>
  </si>
  <si>
    <t>FE TOYOTASERVICIOS S.A. 000006915</t>
  </si>
  <si>
    <t>FE TOYOTASERVICIOS S.A. 000001443</t>
  </si>
  <si>
    <t>FE SUAREZ JACOME DOLORES FERNA 000005607</t>
  </si>
  <si>
    <t>FE SUAREZ JACOME DOLORES FERNA 000005606</t>
  </si>
  <si>
    <t>FE SUAREZ JACOME DOLORES FERNA 000005603</t>
  </si>
  <si>
    <t>FE SUAREZ JACOME DOLORES FERNA 000005602</t>
  </si>
  <si>
    <t>FE SUAREZ JACOME DOLORES FERNA 000005600</t>
  </si>
  <si>
    <t>FE SUAREZ JACOME DOLORES FERNA 000005599</t>
  </si>
  <si>
    <t>FE FILLIPPO SANCHEZ ALEXANDER 000000178</t>
  </si>
  <si>
    <t>FE ARELLANO YEPEZ ANDRES FERNA 000007371</t>
  </si>
  <si>
    <t>FE TOYOTASERVICIOS S.A. 000006894</t>
  </si>
  <si>
    <t>FE PAEZ ORTIZ CHRISTIAN GONZAL 000003634</t>
  </si>
  <si>
    <t>FE PAEZ ORTIZ CHRISTIAN GONZAL 000003633</t>
  </si>
  <si>
    <t>FE PAEZ ORTIZ CHRISTIAN GONZAL 000003632</t>
  </si>
  <si>
    <t>FE PAEZ ORTIZ CHRISTIAN GONZAL 000003631</t>
  </si>
  <si>
    <t>FE PAEZ ORTIZ CHRISTIAN GONZAL 000003630</t>
  </si>
  <si>
    <t>FE PAEZ ORTIZ CHRISTIAN GONZAL 000003622</t>
  </si>
  <si>
    <t>FE LALAMA MORALES CARMEN GUADA 000005950</t>
  </si>
  <si>
    <t>FE GARCES REA JAVIER ALEJANDRO 000001096</t>
  </si>
  <si>
    <t>FE YANGTSE-AUTO DEL ECUADOR S. 000000664</t>
  </si>
  <si>
    <t>FE YANGTSE-AUTO DEL ECUADOR S. 000000662</t>
  </si>
  <si>
    <t>FE YANGTSE-AUTO DEL ECUADOR S. 000000661</t>
  </si>
  <si>
    <t>FE YANGTSE-AUTO DEL ECUADOR S. 000000660</t>
  </si>
  <si>
    <t>FE YANGTSE-AUTO DEL ECUADOR S. 000000659</t>
  </si>
  <si>
    <t>FE YANGTSE-AUTO DEL ECUADOR S. 000000651</t>
  </si>
  <si>
    <t>FE TOYOTASERVICIOS S.A. 000006871</t>
  </si>
  <si>
    <t>FE TOYOTASERVICIOS S.A. 000014882</t>
  </si>
  <si>
    <t>FE LAYOUT S.A. 000000413</t>
  </si>
  <si>
    <t>FE CENTRO DE SERVICIOS COMPART 000000932</t>
  </si>
  <si>
    <t>RETENCION 20% IVA (SERVICIOS )</t>
  </si>
  <si>
    <t>02.01.06.01.0003</t>
  </si>
  <si>
    <t>FE LAAR CIA. LTDA. 000123260</t>
  </si>
  <si>
    <t>FE LAAR CIA. LTDA. 000123259</t>
  </si>
  <si>
    <t>FE ASEGURADORA DEL SUR C.A. 000050763</t>
  </si>
  <si>
    <t>FE CONSORCIO DEL PICHINCHA S.A 000101425</t>
  </si>
  <si>
    <t>FE CONSORCIO DEL PICHINCHA S.A 000101423</t>
  </si>
  <si>
    <t>FE CONSORCIO DEL PICHINCHA S.A 000101421</t>
  </si>
  <si>
    <t>FE CONSORCIO DEL PICHINCHA S.A 000101419</t>
  </si>
  <si>
    <t>FE CONSORCIO DEL PICHINCHA S.A 000101417</t>
  </si>
  <si>
    <t>FE CONSORCIO DEL PICHINCHA S.A 000101415</t>
  </si>
  <si>
    <t>FE CONSORCIO DEL PICHINCHA S.A 000101413</t>
  </si>
  <si>
    <t>FE CONSORCIO DEL PICHINCHA S.A 000101411</t>
  </si>
  <si>
    <t>FE CONSORCIO DEL PICHINCHA S.A 000101408</t>
  </si>
  <si>
    <t>FE CONSORCIO DEL PICHINCHA S.A 000101406</t>
  </si>
  <si>
    <t>FE CONSORCIO DEL PICHINCHA S.A 000101404</t>
  </si>
  <si>
    <t>FE CONSORCIO DEL PICHINCHA S.A 000101402</t>
  </si>
  <si>
    <t>FE CONSORCIO DEL PICHINCHA S.A 000101395</t>
  </si>
  <si>
    <t>FE CONSORCIO DEL PICHINCHA S.A 000101393</t>
  </si>
  <si>
    <t>FE CONSORCIO DEL PICHINCHA S.A 000101389</t>
  </si>
  <si>
    <t>FE CONSORCIO DEL PICHINCHA S.A 000101387</t>
  </si>
  <si>
    <t>FE CONSORCIO DEL PICHINCHA S.A 000101385</t>
  </si>
  <si>
    <t>FE CONSORCIO DEL PICHINCHA S.A 000101383</t>
  </si>
  <si>
    <t>FE CONSORCIO DEL PICHINCHA S.A 000101381</t>
  </si>
  <si>
    <t>FE CONSORCIO DEL PICHINCHA S.A 000101379</t>
  </si>
  <si>
    <t>FE TELCONET S.A 000423457</t>
  </si>
  <si>
    <t>FE CONSORCIO DEL PICHINCHA S.A 000101400</t>
  </si>
  <si>
    <t>FE CONSORCIO DEL PICHINCHA S.A 000101391</t>
  </si>
  <si>
    <t>FE FIDEVAL S.A 000227571</t>
  </si>
  <si>
    <t>FE FIDEVAL S.A 000227570</t>
  </si>
  <si>
    <t>ND ASEGURADORA DEL SUR C.A. 017835055</t>
  </si>
  <si>
    <t>FE SERVIENTREGA ECUADOR S.A. 000131697</t>
  </si>
  <si>
    <t>FE KMSOLUTIONS S.A. 000029230</t>
  </si>
  <si>
    <t>FE ASEGURADORA DEL SUR C.A. A017835055</t>
  </si>
  <si>
    <t>A017835055</t>
  </si>
  <si>
    <t>FE ASEGURADORA DEL SUR C.A. 017835092</t>
  </si>
  <si>
    <t>FE FIDEVAL S.A 000226449</t>
  </si>
  <si>
    <t>FE FIDEVAL S.A 000226448</t>
  </si>
  <si>
    <t>FE ASEGURADORA DEL SUR C.A. 000050792</t>
  </si>
  <si>
    <t>FE ASEGURADORA DEL SUR C.A. 000050774</t>
  </si>
  <si>
    <t>IN SZK DEL ECUADOR S.A. 000001518</t>
  </si>
  <si>
    <t>RETENCION 10% IVA (BIENES)</t>
  </si>
  <si>
    <t>02.01.06.01.0002</t>
  </si>
  <si>
    <t>IN CASABACA S.A.  000031488</t>
  </si>
  <si>
    <t>IN CASABACA S.A.  000031487</t>
  </si>
  <si>
    <t>IN CASABACA S.A.  000031486</t>
  </si>
  <si>
    <t>IN CASABACA S.A.  000031485</t>
  </si>
  <si>
    <t>IN CASABACA S.A.  000031484</t>
  </si>
  <si>
    <t>IN CASABACA S.A.  000031483</t>
  </si>
  <si>
    <t>IN SZK DEL ECUADOR S.A. 000001526</t>
  </si>
  <si>
    <t>IN SZK DEL ECUADOR S.A. 000001525</t>
  </si>
  <si>
    <t>IN SZK DEL ECUADOR S.A. 000001524</t>
  </si>
  <si>
    <t>IN SZK DEL ECUADOR S.A. 000000385</t>
  </si>
  <si>
    <t>IN SZK DEL ECUADOR S.A. 000001523</t>
  </si>
  <si>
    <t>IN CASABACA S.A.  000031462</t>
  </si>
  <si>
    <t>IN CASABACA S.A.  000031461</t>
  </si>
  <si>
    <t>IN CASABACA S.A.  000031460</t>
  </si>
  <si>
    <t>IN CASABACA S.A.  000031459</t>
  </si>
  <si>
    <t>IN CASABACA S.A.  000031458</t>
  </si>
  <si>
    <t>IN SZK DEL ECUADOR S.A. 000001522</t>
  </si>
  <si>
    <t>IN SZK DEL ECUADOR S.A. 000001521</t>
  </si>
  <si>
    <t>IN SZK DEL ECUADOR S.A. 000001520</t>
  </si>
  <si>
    <t>IN CASABACA S.A.  000031451</t>
  </si>
  <si>
    <t>IN CASABACA S.A.  000031450</t>
  </si>
  <si>
    <t>IN SZK DEL ECUADOR S.A. 000001519</t>
  </si>
  <si>
    <t>IN CASABACA S.A.  000031421</t>
  </si>
  <si>
    <t>IN CASABACA S.A.  000031420</t>
  </si>
  <si>
    <t>IN CASABACA S.A.  000031419</t>
  </si>
  <si>
    <t>FE COMERCIAL KYWI S.A. 000730023</t>
  </si>
  <si>
    <t>FE SZK DEL ECUADOR S.A. 000003181</t>
  </si>
  <si>
    <t>FE CONSORCIO DEL PICHINCHA S.A 000101424</t>
  </si>
  <si>
    <t>FE CONSORCIO DEL PICHINCHA S.A 000101422</t>
  </si>
  <si>
    <t>FE CONSORCIO DEL PICHINCHA S.A 000101420</t>
  </si>
  <si>
    <t>FE CONSORCIO DEL PICHINCHA S.A 000101418</t>
  </si>
  <si>
    <t>FE CONSORCIO DEL PICHINCHA S.A 000101416</t>
  </si>
  <si>
    <t>FE CONSORCIO DEL PICHINCHA S.A 000101414</t>
  </si>
  <si>
    <t>FE CONSORCIO DEL PICHINCHA S.A 000101412</t>
  </si>
  <si>
    <t>FE CONSORCIO DEL PICHINCHA S.A 000101410</t>
  </si>
  <si>
    <t>FE CONSORCIO DEL PICHINCHA S.A 000101407</t>
  </si>
  <si>
    <t>FE CONSORCIO DEL PICHINCHA S.A 000101405</t>
  </si>
  <si>
    <t>FE CONSORCIO DEL PICHINCHA S.A 000101403</t>
  </si>
  <si>
    <t>FE CONSORCIO DEL PICHINCHA S.A 000101401</t>
  </si>
  <si>
    <t>FE CONSORCIO DEL PICHINCHA S.A 000101394</t>
  </si>
  <si>
    <t>FE CONSORCIO DEL PICHINCHA S.A 000101392</t>
  </si>
  <si>
    <t>FE CONSORCIO DEL PICHINCHA S.A 000101388</t>
  </si>
  <si>
    <t>FE CONSORCIO DEL PICHINCHA S.A 000101386</t>
  </si>
  <si>
    <t>FE CONSORCIO DEL PICHINCHA S.A 000101384</t>
  </si>
  <si>
    <t>FE CONSORCIO DEL PICHINCHA S.A 000101382</t>
  </si>
  <si>
    <t>FE CONSORCIO DEL PICHINCHA S.A 000101380</t>
  </si>
  <si>
    <t>FE CONSORCIO DEL PICHINCHA S.A 000101378</t>
  </si>
  <si>
    <t>FE CASABACA S.A. 000009141</t>
  </si>
  <si>
    <t>FE CASABACA S.A. 000009140</t>
  </si>
  <si>
    <t>FE CARRO SEGURO CARSEG S.A. 000074969</t>
  </si>
  <si>
    <t>FE SZK DEL ECUADOR S.A. 000003205</t>
  </si>
  <si>
    <t>FE SZK DEL ECUADOR S.A. 000003204</t>
  </si>
  <si>
    <t>FE SZK DEL ECUADOR S.A. 000003203</t>
  </si>
  <si>
    <t>FE SZK DEL ECUADOR S.A. 000003202</t>
  </si>
  <si>
    <t>FE SZK DEL ECUADOR S.A. 000003201</t>
  </si>
  <si>
    <t>FE SZK DEL ECUADOR S.A. 000003200</t>
  </si>
  <si>
    <t>FE SZK DEL ECUADOR S.A. 000003199</t>
  </si>
  <si>
    <t>FE SZK DEL ECUADOR S.A. 000003198</t>
  </si>
  <si>
    <t>FE SZK DEL ECUADOR S.A. 000003197</t>
  </si>
  <si>
    <t>FE CONSORCIO DEL PICHINCHA S.A 000101399</t>
  </si>
  <si>
    <t>FE CONSORCIO DEL PICHINCHA S.A 000101390</t>
  </si>
  <si>
    <t>FE CASABACA S.A. 000009120</t>
  </si>
  <si>
    <t>FE SZK DEL ECUADOR S.A. 000003196</t>
  </si>
  <si>
    <t>FE SZK DEL ECUADOR S.A. 000003195</t>
  </si>
  <si>
    <t>FE SZK DEL ECUADOR S.A. 000003194</t>
  </si>
  <si>
    <t>FE SZK DEL ECUADOR S.A. 000003193</t>
  </si>
  <si>
    <t>FE SZK DEL ECUADOR S.A. 000003192</t>
  </si>
  <si>
    <t>FE SZK DEL ECUADOR S.A. 000003191</t>
  </si>
  <si>
    <t>FE CASABACA S.A. 000009109</t>
  </si>
  <si>
    <t>FE SZK DEL ECUADOR S.A. 000003190</t>
  </si>
  <si>
    <t>FE SZK DEL ECUADOR S.A. 000003189</t>
  </si>
  <si>
    <t>FE SZK DEL ECUADOR S.A. 000003188</t>
  </si>
  <si>
    <t>FE SZK DEL ECUADOR S.A. 000003187</t>
  </si>
  <si>
    <t>FE SZK DEL ECUADOR S.A. 000003186</t>
  </si>
  <si>
    <t>FE SZK DEL ECUADOR S.A. 000003185</t>
  </si>
  <si>
    <t>FE INDUSTRIAL Y COMERCIAL CAST 000239006</t>
  </si>
  <si>
    <t>FE INDUSTRIAL Y COMERCIAL CAST 000239005</t>
  </si>
  <si>
    <t>FE INDUSTRIAL Y COMERCIAL CAST 000239004</t>
  </si>
  <si>
    <t>FE SZK DEL ECUADOR S.A. 000003184</t>
  </si>
  <si>
    <t>FE SZK DEL ECUADOR S.A. 000003183</t>
  </si>
  <si>
    <t>FE CASABACA S.A. 000009084</t>
  </si>
  <si>
    <t>FE CASABACA S.A. 000009074</t>
  </si>
  <si>
    <t>FE SZK DEL ECUADOR S.A. 000003182</t>
  </si>
  <si>
    <t>FE CARRO SEGURO CARSEG S.A. 000075049</t>
  </si>
  <si>
    <t>FE MEJIA CARRASCO VICTOR LEONE 000142395</t>
  </si>
  <si>
    <t>3% RETENCION FUENTE</t>
  </si>
  <si>
    <t>02.01.06.02.0020</t>
  </si>
  <si>
    <t>2.75% RETENCION FUENTE</t>
  </si>
  <si>
    <t>02.01.06.02.0013</t>
  </si>
  <si>
    <t>FE COOPERATIVA DE AHORRO Y CRE 000024668</t>
  </si>
  <si>
    <t>FE VAZCREDIT S.A. 000000039</t>
  </si>
  <si>
    <t>1.75% RETENCION FUENTE</t>
  </si>
  <si>
    <t>02.01.06.02.0012</t>
  </si>
  <si>
    <t>FE GARCIA ALLAUCA MERCEDES DEL 000000927</t>
  </si>
  <si>
    <t>FE YANGTSE-AUTO DEL ECUADOR S. 000000657</t>
  </si>
  <si>
    <t>10 % RETENCION FUENTE</t>
  </si>
  <si>
    <t>02.01.06.02.0005</t>
  </si>
  <si>
    <t>FE FABARA VILLACIS MANOLO ROBE 000000011</t>
  </si>
  <si>
    <t>2% RETENCION FUENTE</t>
  </si>
  <si>
    <t>02.01.06.02.0003</t>
  </si>
  <si>
    <t>FE LOPEZ PACA EDWIN MARCELO 000000376</t>
  </si>
  <si>
    <t>FE COUSIN VALLEJO BYRON IVAN 000000314</t>
  </si>
  <si>
    <t>Total general</t>
  </si>
  <si>
    <t>1% RETENCION</t>
  </si>
  <si>
    <t>02.01.06.02.0002</t>
  </si>
  <si>
    <t>FE GOMEZ CORDOVA EDWIN ROLANDO 000000637</t>
  </si>
  <si>
    <t>Suma de HABER</t>
  </si>
  <si>
    <t>Suma de DEBE</t>
  </si>
  <si>
    <t>Etiquetas de fila</t>
  </si>
  <si>
    <t>SALDO</t>
  </si>
  <si>
    <t>HABER</t>
  </si>
  <si>
    <t>DEBE</t>
  </si>
  <si>
    <t>DETALLE</t>
  </si>
  <si>
    <t>DOCU</t>
  </si>
  <si>
    <t>ASIENTO</t>
  </si>
  <si>
    <t>ORIGEN</t>
  </si>
  <si>
    <t>FECHA</t>
  </si>
  <si>
    <t>EXT</t>
  </si>
  <si>
    <t>CUENTA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</si>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</sst>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5" fontId="0" fillId="0" borderId="1" xfId="0" applyNumberFormat="1" applyBorder="1"/>
    <xf numFmtId="4" fontId="0" fillId="0" borderId="1" xfId="0" applyNumberFormat="1" applyBorder="1"/>
    <xf numFmtId="0" fontId="0" fillId="0" borderId="0" xfId="0" applyAlignment="1">
      <alignment horizontal="left"/>
    </xf>
    <xf numFmtId="0" fontId="0" fillId="0" borderId="0" xfId="0" pivotButton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BILIDAD 3" refreshedDate="46084.657069444445" createdVersion="8" refreshedVersion="8" minRefreshableVersion="3" recordCount="514" xr:uid="{0E08B867-2B2F-4C89-9900-2AA75CAB3E74}">
  <cacheSource type="worksheet">
    <worksheetSource ref="A1:K515" sheet="MAYOR RET"/>
  </cacheSource>
  <cacheFields count="11">
    <cacheField name="COD" numFmtId="0">
      <sharedItems count="11">
        <s v="02.01.06.02.0002"/>
        <s v="02.01.06.02.0003"/>
        <s v="02.01.06.02.0005"/>
        <s v="02.01.06.02.0012"/>
        <s v="02.01.06.02.0013"/>
        <s v="02.01.06.02.0020"/>
        <s v="02.01.06.01.0002"/>
        <s v="02.01.06.01.0003"/>
        <s v="02.01.06.01.0004"/>
        <s v="02.01.06.01.0005"/>
        <s v="02.01.06.01.0006"/>
      </sharedItems>
    </cacheField>
    <cacheField name="CUENTA" numFmtId="0">
      <sharedItems count="11">
        <s v="1% RETENCION"/>
        <s v="2% RETENCION FUENTE"/>
        <s v="10 % RETENCION FUENTE"/>
        <s v="1.75% RETENCION FUENTE"/>
        <s v="2.75% RETENCION FUENTE"/>
        <s v="3% RETENCION FUENTE"/>
        <s v="RETENCION 10% IVA (BIENES)"/>
        <s v="RETENCION 20% IVA (SERVICIOS )"/>
        <s v="30% RETENCION IVA - COMPRAS"/>
        <s v="70% RETENCION IVA -SERVICIOS"/>
        <s v="100 % RETENCION  IVA"/>
      </sharedItems>
    </cacheField>
    <cacheField name="EXT" numFmtId="0">
      <sharedItems/>
    </cacheField>
    <cacheField name="FECHA" numFmtId="15">
      <sharedItems containsSemiMixedTypes="0" containsNonDate="0" containsDate="1" containsString="0" minDate="2026-02-02T00:00:00" maxDate="2026-03-01T00:00:00"/>
    </cacheField>
    <cacheField name="ORIGEN" numFmtId="0">
      <sharedItems/>
    </cacheField>
    <cacheField name="ASIENTO" numFmtId="0">
      <sharedItems containsSemiMixedTypes="0" containsString="0" containsNumber="1" containsInteger="1" minValue="29" maxValue="311"/>
    </cacheField>
    <cacheField name="DOCU" numFmtId="0">
      <sharedItems containsMixedTypes="1" containsNumber="1" containsInteger="1" minValue="2" maxValue="17835092"/>
    </cacheField>
    <cacheField name="DETALLE" numFmtId="0">
      <sharedItems/>
    </cacheField>
    <cacheField name="DEBE" numFmtId="0">
      <sharedItems containsSemiMixedTypes="0" containsString="0" containsNumber="1" minValue="0" maxValue="49.33"/>
    </cacheField>
    <cacheField name="HABER" numFmtId="0">
      <sharedItems containsSemiMixedTypes="0" containsString="0" containsNumber="1" minValue="0" maxValue="2061.87"/>
    </cacheField>
    <cacheField name="SALDO" numFmtId="0">
      <sharedItems containsSemiMixedTypes="0" containsString="0" containsNumber="1" minValue="-43976.27" maxValue="-0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x v="0"/>
    <x v="0"/>
    <s v="N"/>
    <d v="2026-02-22T00:00:00"/>
    <s v="CP"/>
    <n v="202"/>
    <n v="637"/>
    <s v="FE GOMEZ CORDOVA EDWIN ROLANDO 000000637"/>
    <n v="0"/>
    <n v="1.26"/>
    <n v="-1.26"/>
  </r>
  <r>
    <x v="0"/>
    <x v="0"/>
    <s v="N"/>
    <d v="2026-02-26T00:00:00"/>
    <s v="CP"/>
    <n v="258"/>
    <n v="914"/>
    <s v="FE NOBOA CABRERA GALO HERNAN 000000914"/>
    <n v="0"/>
    <n v="0.15"/>
    <n v="-1.41"/>
  </r>
  <r>
    <x v="1"/>
    <x v="1"/>
    <s v="N"/>
    <d v="2026-02-10T00:00:00"/>
    <s v="CP"/>
    <n v="104"/>
    <n v="134"/>
    <s v="FE REINOSO SALAS YAJAIRA CAROL 000000134"/>
    <n v="0"/>
    <n v="0.8"/>
    <n v="-0.8"/>
  </r>
  <r>
    <x v="1"/>
    <x v="1"/>
    <s v="N"/>
    <d v="2026-02-12T00:00:00"/>
    <s v="CP"/>
    <n v="121"/>
    <n v="1550"/>
    <s v="FE AGUAS DIAS MARCO ANTONIO 000001550"/>
    <n v="0"/>
    <n v="3.3"/>
    <n v="-4.0999999999999996"/>
  </r>
  <r>
    <x v="1"/>
    <x v="1"/>
    <s v="N"/>
    <d v="2026-02-12T00:00:00"/>
    <s v="CP"/>
    <n v="121"/>
    <n v="7220"/>
    <s v="FE SEVILLA GALARZA JOSE MANUEL 000007220"/>
    <n v="0"/>
    <n v="1.26"/>
    <n v="-5.36"/>
  </r>
  <r>
    <x v="1"/>
    <x v="1"/>
    <s v="N"/>
    <d v="2026-02-18T00:00:00"/>
    <s v="CP"/>
    <n v="160"/>
    <n v="1113"/>
    <s v="FE ASTUDILLO RIVADENEIRA CRIST 000001113"/>
    <n v="0"/>
    <n v="38"/>
    <n v="-43.36"/>
  </r>
  <r>
    <x v="1"/>
    <x v="1"/>
    <s v="N"/>
    <d v="2026-02-18T00:00:00"/>
    <s v="CP"/>
    <n v="160"/>
    <n v="1114"/>
    <s v="FE ASTUDILLO RIVADENEIRA CRIST 000001114"/>
    <n v="0"/>
    <n v="38"/>
    <n v="-81.36"/>
  </r>
  <r>
    <x v="1"/>
    <x v="1"/>
    <s v="N"/>
    <d v="2026-02-18T00:00:00"/>
    <s v="CP"/>
    <n v="160"/>
    <n v="550"/>
    <s v="FE LOPEZ ANDRANGO SEGUNDO MANU 000000550"/>
    <n v="0"/>
    <n v="2"/>
    <n v="-83.36"/>
  </r>
  <r>
    <x v="1"/>
    <x v="1"/>
    <s v="N"/>
    <d v="2026-02-18T00:00:00"/>
    <s v="CP"/>
    <n v="160"/>
    <n v="3635"/>
    <s v="FE PAEZ ORTIZ CHRISTIAN GONZAL 000003635"/>
    <n v="0"/>
    <n v="9.74"/>
    <n v="-93.1"/>
  </r>
  <r>
    <x v="1"/>
    <x v="1"/>
    <s v="N"/>
    <d v="2026-02-18T00:00:00"/>
    <s v="CP"/>
    <n v="160"/>
    <n v="137"/>
    <s v="FE REINOSO SALAS YAJAIRA CAROL 000000137"/>
    <n v="0"/>
    <n v="1"/>
    <n v="-94.1"/>
  </r>
  <r>
    <x v="1"/>
    <x v="1"/>
    <s v="N"/>
    <d v="2026-02-18T00:00:00"/>
    <s v="CP"/>
    <n v="160"/>
    <n v="139"/>
    <s v="FE REINOSO SALAS YAJAIRA CAROL 000000139"/>
    <n v="0"/>
    <n v="0.8"/>
    <n v="-94.9"/>
  </r>
  <r>
    <x v="1"/>
    <x v="1"/>
    <s v="N"/>
    <d v="2026-02-18T00:00:00"/>
    <s v="CP"/>
    <n v="160"/>
    <n v="140"/>
    <s v="FE REINOSO SALAS YAJAIRA CAROL 000000140"/>
    <n v="0"/>
    <n v="0.8"/>
    <n v="-95.7"/>
  </r>
  <r>
    <x v="1"/>
    <x v="1"/>
    <s v="N"/>
    <d v="2026-02-18T00:00:00"/>
    <s v="CP"/>
    <n v="160"/>
    <n v="141"/>
    <s v="FE REINOSO SALAS YAJAIRA CAROL 000000141"/>
    <n v="0"/>
    <n v="0.8"/>
    <n v="-96.5"/>
  </r>
  <r>
    <x v="1"/>
    <x v="1"/>
    <s v="N"/>
    <d v="2026-02-18T00:00:00"/>
    <s v="CP"/>
    <n v="160"/>
    <n v="142"/>
    <s v="FE REINOSO SALAS YAJAIRA CAROL 000000142"/>
    <n v="0"/>
    <n v="0.8"/>
    <n v="-97.3"/>
  </r>
  <r>
    <x v="1"/>
    <x v="1"/>
    <s v="N"/>
    <d v="2026-02-18T00:00:00"/>
    <s v="CP"/>
    <n v="160"/>
    <n v="143"/>
    <s v="FE REINOSO SALAS YAJAIRA CAROL 000000143"/>
    <n v="0"/>
    <n v="0.8"/>
    <n v="-98.1"/>
  </r>
  <r>
    <x v="1"/>
    <x v="1"/>
    <s v="N"/>
    <d v="2026-02-22T00:00:00"/>
    <s v="CP"/>
    <n v="202"/>
    <n v="538"/>
    <s v="FE CARRERA KUMMERFELD MANUEL F 000000538"/>
    <n v="0"/>
    <n v="3.5"/>
    <n v="-101.6"/>
  </r>
  <r>
    <x v="1"/>
    <x v="1"/>
    <s v="N"/>
    <d v="2026-02-22T00:00:00"/>
    <s v="CP"/>
    <n v="202"/>
    <n v="2690"/>
    <s v="FE CASTRO MORALES OMAR VLADIMI 000002690"/>
    <n v="0"/>
    <n v="0.49"/>
    <n v="-102.09"/>
  </r>
  <r>
    <x v="1"/>
    <x v="1"/>
    <s v="N"/>
    <d v="2026-02-22T00:00:00"/>
    <s v="CP"/>
    <n v="202"/>
    <n v="2699"/>
    <s v="FE CASTRO MORALES OMAR VLADIMI 000002699"/>
    <n v="0"/>
    <n v="0.49"/>
    <n v="-102.58"/>
  </r>
  <r>
    <x v="1"/>
    <x v="1"/>
    <s v="N"/>
    <d v="2026-02-22T00:00:00"/>
    <s v="CP"/>
    <n v="202"/>
    <n v="2706"/>
    <s v="FE CASTRO MORALES OMAR VLADIMI 000002706"/>
    <n v="0"/>
    <n v="0.49"/>
    <n v="-103.07"/>
  </r>
  <r>
    <x v="1"/>
    <x v="1"/>
    <s v="N"/>
    <d v="2026-02-22T00:00:00"/>
    <s v="CP"/>
    <n v="202"/>
    <n v="2708"/>
    <s v="FE CASTRO MORALES OMAR VLADIMI 000002708"/>
    <n v="0"/>
    <n v="0.49"/>
    <n v="-103.56"/>
  </r>
  <r>
    <x v="1"/>
    <x v="1"/>
    <s v="N"/>
    <d v="2026-02-22T00:00:00"/>
    <s v="CP"/>
    <n v="202"/>
    <n v="314"/>
    <s v="FE COUSIN VALLEJO BYRON IVAN 000000314"/>
    <n v="0"/>
    <n v="1.2"/>
    <n v="-104.76"/>
  </r>
  <r>
    <x v="1"/>
    <x v="1"/>
    <s v="N"/>
    <d v="2026-02-22T00:00:00"/>
    <s v="CP"/>
    <n v="202"/>
    <n v="177"/>
    <s v="FE FILLIPPO SANCHEZ ALEXANDER 000000177"/>
    <n v="0"/>
    <n v="392.74"/>
    <n v="-497.5"/>
  </r>
  <r>
    <x v="1"/>
    <x v="1"/>
    <s v="N"/>
    <d v="2026-02-24T00:00:00"/>
    <s v="CP"/>
    <n v="226"/>
    <n v="628"/>
    <s v="FE PALACIOS DAVALOS MARCELO ED 000000628"/>
    <n v="0"/>
    <n v="0.7"/>
    <n v="-498.2"/>
  </r>
  <r>
    <x v="1"/>
    <x v="1"/>
    <s v="N"/>
    <d v="2026-02-02T00:00:00"/>
    <s v="CP"/>
    <n v="29"/>
    <n v="170"/>
    <s v="FE NARANJO ABRIL VICTORIA ESTE 000000170"/>
    <n v="0"/>
    <n v="1.6"/>
    <n v="-499.8"/>
  </r>
  <r>
    <x v="1"/>
    <x v="1"/>
    <s v="N"/>
    <d v="2026-02-02T00:00:00"/>
    <s v="CP"/>
    <n v="29"/>
    <n v="116"/>
    <s v="FE REINOSO SALAS YAJAIRA CAROL 000000116"/>
    <n v="0"/>
    <n v="1"/>
    <n v="-500.8"/>
  </r>
  <r>
    <x v="1"/>
    <x v="1"/>
    <s v="N"/>
    <d v="2026-02-02T00:00:00"/>
    <s v="CP"/>
    <n v="29"/>
    <n v="118"/>
    <s v="FE REINOSO SALAS YAJAIRA CAROL 000000118"/>
    <n v="0"/>
    <n v="1"/>
    <n v="-501.8"/>
  </r>
  <r>
    <x v="1"/>
    <x v="1"/>
    <s v="N"/>
    <d v="2026-02-02T00:00:00"/>
    <s v="CP"/>
    <n v="29"/>
    <n v="119"/>
    <s v="FE REINOSO SALAS YAJAIRA CAROL 000000119"/>
    <n v="0"/>
    <n v="1"/>
    <n v="-502.8"/>
  </r>
  <r>
    <x v="1"/>
    <x v="1"/>
    <s v="N"/>
    <d v="2026-02-02T00:00:00"/>
    <s v="CP"/>
    <n v="29"/>
    <n v="120"/>
    <s v="FE REINOSO SALAS YAJAIRA CAROL 000000120"/>
    <n v="0"/>
    <n v="1"/>
    <n v="-503.8"/>
  </r>
  <r>
    <x v="1"/>
    <x v="1"/>
    <s v="N"/>
    <d v="2026-02-03T00:00:00"/>
    <s v="CP"/>
    <n v="37"/>
    <n v="376"/>
    <s v="FE LOPEZ PACA EDWIN MARCELO 000000376"/>
    <n v="0"/>
    <n v="0.5"/>
    <n v="-504.3"/>
  </r>
  <r>
    <x v="1"/>
    <x v="1"/>
    <s v="N"/>
    <d v="2026-02-03T00:00:00"/>
    <s v="CP"/>
    <n v="37"/>
    <n v="122"/>
    <s v="FE REINOSO SALAS YAJAIRA CAROL 000000122"/>
    <n v="0"/>
    <n v="0.8"/>
    <n v="-505.1"/>
  </r>
  <r>
    <x v="1"/>
    <x v="1"/>
    <s v="N"/>
    <d v="2026-02-03T00:00:00"/>
    <s v="CP"/>
    <n v="37"/>
    <n v="123"/>
    <s v="FE REINOSO SALAS YAJAIRA CAROL 000000123"/>
    <n v="0"/>
    <n v="0.8"/>
    <n v="-505.9"/>
  </r>
  <r>
    <x v="1"/>
    <x v="1"/>
    <s v="N"/>
    <d v="2026-02-03T00:00:00"/>
    <s v="CP"/>
    <n v="37"/>
    <n v="124"/>
    <s v="FE REINOSO SALAS YAJAIRA CAROL 000000124"/>
    <n v="0"/>
    <n v="3"/>
    <n v="-508.9"/>
  </r>
  <r>
    <x v="1"/>
    <x v="1"/>
    <s v="N"/>
    <d v="2026-02-03T00:00:00"/>
    <s v="CP"/>
    <n v="37"/>
    <n v="125"/>
    <s v="FE REINOSO SALAS YAJAIRA CAROL 000000125"/>
    <n v="0"/>
    <n v="0.8"/>
    <n v="-509.7"/>
  </r>
  <r>
    <x v="1"/>
    <x v="1"/>
    <s v="N"/>
    <d v="2026-02-05T00:00:00"/>
    <s v="CP"/>
    <n v="57"/>
    <n v="776"/>
    <s v="FE COLCHA AREVALO LIZARDO ENRI 000000776"/>
    <n v="0"/>
    <n v="3.2"/>
    <n v="-512.9"/>
  </r>
  <r>
    <x v="1"/>
    <x v="1"/>
    <s v="N"/>
    <d v="2026-02-05T00:00:00"/>
    <s v="CP"/>
    <n v="57"/>
    <n v="126"/>
    <s v="FE REINOSO SALAS YAJAIRA CAROL 000000126"/>
    <n v="0"/>
    <n v="1"/>
    <n v="-513.9"/>
  </r>
  <r>
    <x v="1"/>
    <x v="1"/>
    <s v="N"/>
    <d v="2026-02-05T00:00:00"/>
    <s v="CP"/>
    <n v="57"/>
    <n v="127"/>
    <s v="FE REINOSO SALAS YAJAIRA CAROL 000000127"/>
    <n v="0"/>
    <n v="1"/>
    <n v="-514.9"/>
  </r>
  <r>
    <x v="1"/>
    <x v="1"/>
    <s v="N"/>
    <d v="2026-02-05T00:00:00"/>
    <s v="CP"/>
    <n v="57"/>
    <n v="128"/>
    <s v="FE REINOSO SALAS YAJAIRA CAROL 000000128"/>
    <n v="0"/>
    <n v="0.8"/>
    <n v="-515.70000000000005"/>
  </r>
  <r>
    <x v="1"/>
    <x v="1"/>
    <s v="N"/>
    <d v="2026-02-05T00:00:00"/>
    <s v="CP"/>
    <n v="57"/>
    <n v="129"/>
    <s v="FE REINOSO SALAS YAJAIRA CAROL 000000129"/>
    <n v="0"/>
    <n v="1"/>
    <n v="-516.70000000000005"/>
  </r>
  <r>
    <x v="1"/>
    <x v="1"/>
    <s v="N"/>
    <d v="2026-02-08T00:00:00"/>
    <s v="CP"/>
    <n v="70"/>
    <n v="52"/>
    <s v="FE POVEDA ALMEIDA EFRAIN ALEJA 000000052"/>
    <n v="0"/>
    <n v="1.8"/>
    <n v="-518.5"/>
  </r>
  <r>
    <x v="1"/>
    <x v="1"/>
    <s v="N"/>
    <d v="2026-02-09T00:00:00"/>
    <s v="CP"/>
    <n v="84"/>
    <n v="56"/>
    <s v="FE POVEDA ALMEIDA EFRAIN ALEJA 000000056"/>
    <n v="0"/>
    <n v="1.8"/>
    <n v="-520.29999999999995"/>
  </r>
  <r>
    <x v="2"/>
    <x v="2"/>
    <s v="N"/>
    <d v="2026-02-12T00:00:00"/>
    <s v="CP"/>
    <n v="121"/>
    <n v="76914"/>
    <s v="FE MAYORGA MAYORGA WILSON RAMI 000076914"/>
    <n v="0"/>
    <n v="11.01"/>
    <n v="-11.01"/>
  </r>
  <r>
    <x v="2"/>
    <x v="2"/>
    <s v="N"/>
    <d v="2026-02-12T00:00:00"/>
    <s v="CP"/>
    <n v="121"/>
    <n v="76915"/>
    <s v="FE MAYORGA MAYORGA WILSON RAMI 000076915"/>
    <n v="0"/>
    <n v="1.07"/>
    <n v="-12.08"/>
  </r>
  <r>
    <x v="2"/>
    <x v="2"/>
    <s v="N"/>
    <d v="2026-02-12T00:00:00"/>
    <s v="CP"/>
    <n v="121"/>
    <n v="46"/>
    <s v="FE MERCANTIL TORRESCO CIA. LTD 000000046"/>
    <n v="0"/>
    <n v="275.13"/>
    <n v="-287.20999999999998"/>
  </r>
  <r>
    <x v="2"/>
    <x v="2"/>
    <s v="N"/>
    <d v="2026-02-17T00:00:00"/>
    <s v="CP"/>
    <n v="135"/>
    <n v="2"/>
    <s v="FE VALENZUELA SALAZAR JAVIER E 000000002"/>
    <n v="0"/>
    <n v="315"/>
    <n v="-602.21"/>
  </r>
  <r>
    <x v="2"/>
    <x v="2"/>
    <s v="N"/>
    <d v="2026-02-18T00:00:00"/>
    <s v="CP"/>
    <n v="160"/>
    <n v="3"/>
    <s v="FE ZEA ALTAMIRANO MARIA ELENA 000000003"/>
    <n v="0"/>
    <n v="315"/>
    <n v="-917.21"/>
  </r>
  <r>
    <x v="2"/>
    <x v="2"/>
    <s v="N"/>
    <d v="2026-02-19T00:00:00"/>
    <s v="CP"/>
    <n v="162"/>
    <n v="193539"/>
    <s v="FE CABRERA ROJAS DORIS MARIA 000193539"/>
    <n v="0"/>
    <n v="7.47"/>
    <n v="-924.68"/>
  </r>
  <r>
    <x v="2"/>
    <x v="2"/>
    <s v="N"/>
    <d v="2026-02-22T00:00:00"/>
    <s v="CP"/>
    <n v="202"/>
    <n v="11"/>
    <s v="FE FABARA VILLACIS MANOLO ROBE 000000011"/>
    <n v="0"/>
    <n v="120"/>
    <n v="-1044.68"/>
  </r>
  <r>
    <x v="2"/>
    <x v="2"/>
    <s v="N"/>
    <d v="2026-02-02T00:00:00"/>
    <s v="CP"/>
    <n v="29"/>
    <n v="195"/>
    <s v="FE BACLT INMOBILIARIA S.A.S. 000000195"/>
    <n v="0"/>
    <n v="1210.8"/>
    <n v="-2255.48"/>
  </r>
  <r>
    <x v="2"/>
    <x v="2"/>
    <s v="N"/>
    <d v="2026-02-02T00:00:00"/>
    <s v="CP"/>
    <n v="29"/>
    <n v="196"/>
    <s v="FE BACLT INMOBILIARIA S.A.S. 000000196"/>
    <n v="0"/>
    <n v="750"/>
    <n v="-3005.48"/>
  </r>
  <r>
    <x v="2"/>
    <x v="2"/>
    <s v="N"/>
    <d v="2026-02-03T00:00:00"/>
    <s v="CP"/>
    <n v="37"/>
    <n v="50"/>
    <s v="FE PALACIOS LARREA FRANCISCO J 000000050"/>
    <n v="0"/>
    <n v="111.11"/>
    <n v="-3116.59"/>
  </r>
  <r>
    <x v="2"/>
    <x v="2"/>
    <s v="N"/>
    <d v="2026-02-04T00:00:00"/>
    <s v="CP"/>
    <n v="53"/>
    <n v="76818"/>
    <s v="FE MAYORGA MAYORGA WILSON RAMI 000076818"/>
    <n v="0"/>
    <n v="6.93"/>
    <n v="-3123.52"/>
  </r>
  <r>
    <x v="2"/>
    <x v="2"/>
    <s v="N"/>
    <d v="2026-02-04T00:00:00"/>
    <s v="CP"/>
    <n v="53"/>
    <n v="76819"/>
    <s v="FE MAYORGA MAYORGA WILSON RAMI 000076819"/>
    <n v="0"/>
    <n v="1.07"/>
    <n v="-3124.59"/>
  </r>
  <r>
    <x v="2"/>
    <x v="2"/>
    <s v="N"/>
    <d v="2026-02-05T00:00:00"/>
    <s v="CP"/>
    <n v="57"/>
    <n v="212880"/>
    <s v="FE ARMAS MELENDEZ MONICA ALEXA 000212880"/>
    <n v="0"/>
    <n v="10.18"/>
    <n v="-3134.77"/>
  </r>
  <r>
    <x v="2"/>
    <x v="2"/>
    <s v="N"/>
    <d v="2026-02-05T00:00:00"/>
    <s v="CP"/>
    <n v="57"/>
    <n v="91"/>
    <s v="FE CALERO OLMOS NANCY DEL ROCI 000000091"/>
    <n v="0"/>
    <n v="88.99"/>
    <n v="-3223.76"/>
  </r>
  <r>
    <x v="2"/>
    <x v="2"/>
    <s v="N"/>
    <d v="2026-02-05T00:00:00"/>
    <s v="CP"/>
    <n v="57"/>
    <n v="21"/>
    <s v="FE GARCES PEREZ HECTOR BOLIVAR 000000021"/>
    <n v="0"/>
    <n v="450"/>
    <n v="-3673.76"/>
  </r>
  <r>
    <x v="2"/>
    <x v="2"/>
    <s v="N"/>
    <d v="2026-02-05T00:00:00"/>
    <s v="CP"/>
    <n v="57"/>
    <n v="48"/>
    <s v="FE SOCIEDAD INDIVISA VILLACIS  000000048"/>
    <n v="0"/>
    <n v="40"/>
    <n v="-3713.76"/>
  </r>
  <r>
    <x v="3"/>
    <x v="3"/>
    <s v="N"/>
    <d v="2026-02-10T00:00:00"/>
    <s v="CP"/>
    <n v="104"/>
    <n v="413"/>
    <s v="FE LAYOUT S.A. 000000413"/>
    <n v="0"/>
    <n v="21.55"/>
    <n v="-21.55"/>
  </r>
  <r>
    <x v="3"/>
    <x v="3"/>
    <s v="N"/>
    <d v="2026-02-10T00:00:00"/>
    <s v="CP"/>
    <n v="104"/>
    <n v="142395"/>
    <s v="FE MEJIA CARRASCO VICTOR LEONE 000142395"/>
    <n v="0"/>
    <n v="12.63"/>
    <n v="-34.18"/>
  </r>
  <r>
    <x v="3"/>
    <x v="3"/>
    <s v="N"/>
    <d v="2026-02-10T00:00:00"/>
    <s v="CP"/>
    <n v="104"/>
    <n v="14882"/>
    <s v="FE TOYOTASERVICIOS S.A. 000014882"/>
    <n v="0"/>
    <n v="2.2799999999999998"/>
    <n v="-36.46"/>
  </r>
  <r>
    <x v="3"/>
    <x v="3"/>
    <s v="N"/>
    <d v="2026-02-12T00:00:00"/>
    <s v="CP"/>
    <n v="121"/>
    <n v="75049"/>
    <s v="FE CARRO SEGURO CARSEG S.A. 000075049"/>
    <n v="0"/>
    <n v="4.9000000000000004"/>
    <n v="-41.36"/>
  </r>
  <r>
    <x v="3"/>
    <x v="3"/>
    <s v="N"/>
    <d v="2026-02-12T00:00:00"/>
    <s v="CP"/>
    <n v="121"/>
    <n v="6871"/>
    <s v="FE TOYOTASERVICIOS S.A. 000006871"/>
    <n v="0"/>
    <n v="2.21"/>
    <n v="-43.57"/>
  </r>
  <r>
    <x v="3"/>
    <x v="3"/>
    <s v="N"/>
    <d v="2026-02-12T00:00:00"/>
    <s v="CP"/>
    <n v="121"/>
    <n v="651"/>
    <s v="FE YANGTSE-AUTO DEL ECUADOR S. 000000651"/>
    <n v="0"/>
    <n v="244.67"/>
    <n v="-288.24"/>
  </r>
  <r>
    <x v="3"/>
    <x v="3"/>
    <s v="N"/>
    <d v="2026-02-14T00:00:00"/>
    <s v="CP"/>
    <n v="123"/>
    <n v="659"/>
    <s v="FE YANGTSE-AUTO DEL ECUADOR S. 000000659"/>
    <n v="0"/>
    <n v="239.5"/>
    <n v="-527.74"/>
  </r>
  <r>
    <x v="3"/>
    <x v="3"/>
    <s v="N"/>
    <d v="2026-02-14T00:00:00"/>
    <s v="CP"/>
    <n v="123"/>
    <n v="660"/>
    <s v="FE YANGTSE-AUTO DEL ECUADOR S. 000000660"/>
    <n v="0"/>
    <n v="239.5"/>
    <n v="-767.24"/>
  </r>
  <r>
    <x v="3"/>
    <x v="3"/>
    <s v="N"/>
    <d v="2026-02-14T00:00:00"/>
    <s v="CP"/>
    <n v="123"/>
    <n v="661"/>
    <s v="FE YANGTSE-AUTO DEL ECUADOR S. 000000661"/>
    <n v="0"/>
    <n v="239.5"/>
    <n v="-1006.74"/>
  </r>
  <r>
    <x v="3"/>
    <x v="3"/>
    <s v="N"/>
    <d v="2026-02-14T00:00:00"/>
    <s v="CP"/>
    <n v="123"/>
    <n v="662"/>
    <s v="FE YANGTSE-AUTO DEL ECUADOR S. 000000662"/>
    <n v="0"/>
    <n v="239.5"/>
    <n v="-1246.24"/>
  </r>
  <r>
    <x v="3"/>
    <x v="3"/>
    <s v="N"/>
    <d v="2026-02-14T00:00:00"/>
    <s v="CP"/>
    <n v="123"/>
    <n v="664"/>
    <s v="FE YANGTSE-AUTO DEL ECUADOR S. 000000664"/>
    <n v="0"/>
    <n v="239.5"/>
    <n v="-1485.74"/>
  </r>
  <r>
    <x v="3"/>
    <x v="3"/>
    <s v="N"/>
    <d v="2026-02-17T00:00:00"/>
    <s v="CP"/>
    <n v="135"/>
    <n v="657"/>
    <s v="FE YANGTSE-AUTO DEL ECUADOR S. 000000657"/>
    <n v="0"/>
    <n v="593.95000000000005"/>
    <n v="-2079.69"/>
  </r>
  <r>
    <x v="3"/>
    <x v="3"/>
    <s v="N"/>
    <d v="2026-02-18T00:00:00"/>
    <s v="CP"/>
    <n v="160"/>
    <n v="1096"/>
    <s v="FE GARCES REA JAVIER ALEJANDRO 000001096"/>
    <n v="0"/>
    <n v="17.5"/>
    <n v="-2097.19"/>
  </r>
  <r>
    <x v="3"/>
    <x v="3"/>
    <s v="N"/>
    <d v="2026-02-18T00:00:00"/>
    <s v="CP"/>
    <n v="160"/>
    <n v="5950"/>
    <s v="FE LALAMA MORALES CARMEN GUADA 000005950"/>
    <n v="0"/>
    <n v="0.36"/>
    <n v="-2097.5500000000002"/>
  </r>
  <r>
    <x v="3"/>
    <x v="3"/>
    <s v="N"/>
    <d v="2026-02-18T00:00:00"/>
    <s v="CP"/>
    <n v="160"/>
    <n v="3622"/>
    <s v="FE PAEZ ORTIZ CHRISTIAN GONZAL 000003622"/>
    <n v="0"/>
    <n v="1.23"/>
    <n v="-2098.7800000000002"/>
  </r>
  <r>
    <x v="3"/>
    <x v="3"/>
    <s v="N"/>
    <d v="2026-02-18T00:00:00"/>
    <s v="CP"/>
    <n v="160"/>
    <n v="3630"/>
    <s v="FE PAEZ ORTIZ CHRISTIAN GONZAL 000003630"/>
    <n v="0"/>
    <n v="1.62"/>
    <n v="-2100.4"/>
  </r>
  <r>
    <x v="3"/>
    <x v="3"/>
    <s v="N"/>
    <d v="2026-02-18T00:00:00"/>
    <s v="CP"/>
    <n v="160"/>
    <n v="3631"/>
    <s v="FE PAEZ ORTIZ CHRISTIAN GONZAL 000003631"/>
    <n v="0"/>
    <n v="4.07"/>
    <n v="-2104.4699999999998"/>
  </r>
  <r>
    <x v="3"/>
    <x v="3"/>
    <s v="N"/>
    <d v="2026-02-18T00:00:00"/>
    <s v="CP"/>
    <n v="160"/>
    <n v="3632"/>
    <s v="FE PAEZ ORTIZ CHRISTIAN GONZAL 000003632"/>
    <n v="0"/>
    <n v="5.23"/>
    <n v="-2109.6999999999998"/>
  </r>
  <r>
    <x v="3"/>
    <x v="3"/>
    <s v="N"/>
    <d v="2026-02-18T00:00:00"/>
    <s v="CP"/>
    <n v="160"/>
    <n v="3633"/>
    <s v="FE PAEZ ORTIZ CHRISTIAN GONZAL 000003633"/>
    <n v="0"/>
    <n v="2.2400000000000002"/>
    <n v="-2111.94"/>
  </r>
  <r>
    <x v="3"/>
    <x v="3"/>
    <s v="N"/>
    <d v="2026-02-18T00:00:00"/>
    <s v="CP"/>
    <n v="160"/>
    <n v="3634"/>
    <s v="FE PAEZ ORTIZ CHRISTIAN GONZAL 000003634"/>
    <n v="0"/>
    <n v="4.03"/>
    <n v="-2115.9699999999998"/>
  </r>
  <r>
    <x v="3"/>
    <x v="3"/>
    <s v="N"/>
    <d v="2026-02-18T00:00:00"/>
    <s v="CP"/>
    <n v="160"/>
    <n v="6894"/>
    <s v="FE TOYOTASERVICIOS S.A. 000006894"/>
    <n v="0"/>
    <n v="0.52"/>
    <n v="-2116.4899999999998"/>
  </r>
  <r>
    <x v="3"/>
    <x v="3"/>
    <s v="N"/>
    <d v="2026-02-22T00:00:00"/>
    <s v="CP"/>
    <n v="202"/>
    <n v="7371"/>
    <s v="FE ARELLANO YEPEZ ANDRES FERNA 000007371"/>
    <n v="0"/>
    <n v="3.68"/>
    <n v="-2120.17"/>
  </r>
  <r>
    <x v="3"/>
    <x v="3"/>
    <s v="N"/>
    <d v="2026-02-22T00:00:00"/>
    <s v="CP"/>
    <n v="202"/>
    <n v="178"/>
    <s v="FE FILLIPPO SANCHEZ ALEXANDER 000000178"/>
    <n v="0"/>
    <n v="192.78"/>
    <n v="-2312.9499999999998"/>
  </r>
  <r>
    <x v="3"/>
    <x v="3"/>
    <s v="N"/>
    <d v="2026-02-22T00:00:00"/>
    <s v="CP"/>
    <n v="202"/>
    <n v="239004"/>
    <s v="FE INDUSTRIAL Y COMERCIAL CAST 000239004"/>
    <n v="0"/>
    <n v="5.87"/>
    <n v="-2318.8200000000002"/>
  </r>
  <r>
    <x v="3"/>
    <x v="3"/>
    <s v="N"/>
    <d v="2026-02-22T00:00:00"/>
    <s v="CP"/>
    <n v="202"/>
    <n v="239005"/>
    <s v="FE INDUSTRIAL Y COMERCIAL CAST 000239005"/>
    <n v="0"/>
    <n v="2.84"/>
    <n v="-2321.66"/>
  </r>
  <r>
    <x v="3"/>
    <x v="3"/>
    <s v="N"/>
    <d v="2026-02-22T00:00:00"/>
    <s v="CP"/>
    <n v="202"/>
    <n v="239006"/>
    <s v="FE INDUSTRIAL Y COMERCIAL CAST 000239006"/>
    <n v="0"/>
    <n v="2.9"/>
    <n v="-2324.56"/>
  </r>
  <r>
    <x v="3"/>
    <x v="3"/>
    <s v="N"/>
    <d v="2026-02-22T00:00:00"/>
    <s v="CP"/>
    <n v="202"/>
    <n v="5599"/>
    <s v="FE SUAREZ JACOME DOLORES FERNA 000005599"/>
    <n v="0"/>
    <n v="3.14"/>
    <n v="-2327.6999999999998"/>
  </r>
  <r>
    <x v="3"/>
    <x v="3"/>
    <s v="N"/>
    <d v="2026-02-22T00:00:00"/>
    <s v="CP"/>
    <n v="202"/>
    <n v="5600"/>
    <s v="FE SUAREZ JACOME DOLORES FERNA 000005600"/>
    <n v="0"/>
    <n v="1.51"/>
    <n v="-2329.21"/>
  </r>
  <r>
    <x v="3"/>
    <x v="3"/>
    <s v="N"/>
    <d v="2026-02-22T00:00:00"/>
    <s v="CP"/>
    <n v="202"/>
    <n v="5602"/>
    <s v="FE SUAREZ JACOME DOLORES FERNA 000005602"/>
    <n v="0"/>
    <n v="0.97"/>
    <n v="-2330.1799999999998"/>
  </r>
  <r>
    <x v="3"/>
    <x v="3"/>
    <s v="N"/>
    <d v="2026-02-22T00:00:00"/>
    <s v="CP"/>
    <n v="202"/>
    <n v="5603"/>
    <s v="FE SUAREZ JACOME DOLORES FERNA 000005603"/>
    <n v="0"/>
    <n v="1.5"/>
    <n v="-2331.6799999999998"/>
  </r>
  <r>
    <x v="3"/>
    <x v="3"/>
    <s v="N"/>
    <d v="2026-02-22T00:00:00"/>
    <s v="CP"/>
    <n v="202"/>
    <n v="5606"/>
    <s v="FE SUAREZ JACOME DOLORES FERNA 000005606"/>
    <n v="0"/>
    <n v="2.52"/>
    <n v="-2334.1999999999998"/>
  </r>
  <r>
    <x v="3"/>
    <x v="3"/>
    <s v="N"/>
    <d v="2026-02-22T00:00:00"/>
    <s v="CP"/>
    <n v="202"/>
    <n v="5607"/>
    <s v="FE SUAREZ JACOME DOLORES FERNA 000005607"/>
    <n v="0"/>
    <n v="0.8"/>
    <n v="-2335"/>
  </r>
  <r>
    <x v="3"/>
    <x v="3"/>
    <s v="N"/>
    <d v="2026-02-22T00:00:00"/>
    <s v="CP"/>
    <n v="202"/>
    <n v="1443"/>
    <s v="FE TOYOTASERVICIOS S.A. 000001443"/>
    <n v="0"/>
    <n v="8.74"/>
    <n v="-2343.7399999999998"/>
  </r>
  <r>
    <x v="3"/>
    <x v="3"/>
    <s v="N"/>
    <d v="2026-02-22T00:00:00"/>
    <s v="CP"/>
    <n v="202"/>
    <n v="6915"/>
    <s v="FE TOYOTASERVICIOS S.A. 000006915"/>
    <n v="0"/>
    <n v="4.55"/>
    <n v="-2348.29"/>
  </r>
  <r>
    <x v="3"/>
    <x v="3"/>
    <s v="N"/>
    <d v="2026-02-22T00:00:00"/>
    <s v="CP"/>
    <n v="202"/>
    <n v="7752"/>
    <s v="FE TOYOTASERVICIOS S.A. 000007752"/>
    <n v="0"/>
    <n v="6.12"/>
    <n v="-2354.41"/>
  </r>
  <r>
    <x v="3"/>
    <x v="3"/>
    <s v="N"/>
    <d v="2026-02-23T00:00:00"/>
    <s v="CP"/>
    <n v="205"/>
    <n v="684"/>
    <s v="FE YANGTSE-AUTO DEL ECUADOR S. 000000684"/>
    <n v="0"/>
    <n v="357.77"/>
    <n v="-2712.18"/>
  </r>
  <r>
    <x v="3"/>
    <x v="3"/>
    <s v="N"/>
    <d v="2026-02-24T00:00:00"/>
    <s v="CP"/>
    <n v="226"/>
    <n v="629"/>
    <s v="FE PALACIOS DAVALOS MARCELO ED 000000629"/>
    <n v="0"/>
    <n v="0.26"/>
    <n v="-2712.44"/>
  </r>
  <r>
    <x v="3"/>
    <x v="3"/>
    <s v="N"/>
    <d v="2026-02-26T00:00:00"/>
    <s v="CP"/>
    <n v="258"/>
    <n v="125851"/>
    <s v="FE GONZALEZ VEGA EL MOTOR CIA  000125851"/>
    <n v="0"/>
    <n v="1"/>
    <n v="-2713.44"/>
  </r>
  <r>
    <x v="3"/>
    <x v="3"/>
    <s v="N"/>
    <d v="2026-02-26T00:00:00"/>
    <s v="CP"/>
    <n v="258"/>
    <n v="697"/>
    <s v="FE YANGTSE-AUTO DEL ECUADOR S. 000000697"/>
    <n v="0"/>
    <n v="512.87"/>
    <n v="-3226.31"/>
  </r>
  <r>
    <x v="3"/>
    <x v="3"/>
    <s v="N"/>
    <d v="2026-02-02T00:00:00"/>
    <s v="CP"/>
    <n v="29"/>
    <n v="74969"/>
    <s v="FE CARRO SEGURO CARSEG S.A. 000074969"/>
    <n v="0"/>
    <n v="9.4499999999999993"/>
    <n v="-3235.76"/>
  </r>
  <r>
    <x v="3"/>
    <x v="3"/>
    <s v="N"/>
    <d v="2026-02-02T00:00:00"/>
    <s v="CP"/>
    <n v="29"/>
    <n v="31786"/>
    <s v="FE VARGAS TORRES WALTTER DARIO 000031786"/>
    <n v="0"/>
    <n v="2.98"/>
    <n v="-3238.74"/>
  </r>
  <r>
    <x v="3"/>
    <x v="3"/>
    <s v="N"/>
    <d v="2026-02-28T00:00:00"/>
    <s v="CP"/>
    <n v="311"/>
    <n v="866"/>
    <s v="FE TOYOTASERVICIOS S.A. 000000866"/>
    <n v="0"/>
    <n v="80.48"/>
    <n v="-3319.22"/>
  </r>
  <r>
    <x v="3"/>
    <x v="3"/>
    <s v="N"/>
    <d v="2026-02-28T00:00:00"/>
    <s v="CP"/>
    <n v="311"/>
    <n v="867"/>
    <s v="FE TOYOTASERVICIOS S.A. 000000867"/>
    <n v="0"/>
    <n v="16.43"/>
    <n v="-3335.65"/>
  </r>
  <r>
    <x v="3"/>
    <x v="3"/>
    <s v="N"/>
    <d v="2026-02-28T00:00:00"/>
    <s v="CP"/>
    <n v="311"/>
    <n v="53045"/>
    <s v="FE TOYOTASERVICIOS S.A. 000053045"/>
    <n v="0"/>
    <n v="0.09"/>
    <n v="-3335.74"/>
  </r>
  <r>
    <x v="3"/>
    <x v="3"/>
    <s v="N"/>
    <d v="2026-02-28T00:00:00"/>
    <s v="CP"/>
    <n v="311"/>
    <n v="714"/>
    <s v="FE YANGTSE-AUTO DEL ECUADOR S. 000000714"/>
    <n v="0"/>
    <n v="239.5"/>
    <n v="-3575.24"/>
  </r>
  <r>
    <x v="3"/>
    <x v="3"/>
    <s v="N"/>
    <d v="2026-02-28T00:00:00"/>
    <s v="CP"/>
    <n v="311"/>
    <n v="716"/>
    <s v="FE YANGTSE-AUTO DEL ECUADOR S. 000000716"/>
    <n v="0"/>
    <n v="346.12"/>
    <n v="-3921.36"/>
  </r>
  <r>
    <x v="3"/>
    <x v="3"/>
    <s v="N"/>
    <d v="2026-02-03T00:00:00"/>
    <s v="CP"/>
    <n v="37"/>
    <n v="3601"/>
    <s v="FE PAEZ ORTIZ CHRISTIAN GONZAL 000003601"/>
    <n v="0"/>
    <n v="8.0500000000000007"/>
    <n v="-3929.41"/>
  </r>
  <r>
    <x v="3"/>
    <x v="3"/>
    <s v="N"/>
    <d v="2026-02-03T00:00:00"/>
    <s v="CP"/>
    <n v="37"/>
    <n v="3602"/>
    <s v="FE PAEZ ORTIZ CHRISTIAN GONZAL 000003602"/>
    <n v="0"/>
    <n v="0.84"/>
    <n v="-3930.25"/>
  </r>
  <r>
    <x v="3"/>
    <x v="3"/>
    <s v="N"/>
    <d v="2026-02-03T00:00:00"/>
    <s v="CP"/>
    <n v="37"/>
    <n v="3603"/>
    <s v="FE PAEZ ORTIZ CHRISTIAN GONZAL 000003603"/>
    <n v="0"/>
    <n v="1.33"/>
    <n v="-3931.58"/>
  </r>
  <r>
    <x v="3"/>
    <x v="3"/>
    <s v="N"/>
    <d v="2026-02-03T00:00:00"/>
    <s v="CP"/>
    <n v="37"/>
    <n v="31801"/>
    <s v="FE VARGAS TORRES WALTTER DARIO 000031801"/>
    <n v="0"/>
    <n v="8.93"/>
    <n v="-3940.51"/>
  </r>
  <r>
    <x v="3"/>
    <x v="3"/>
    <s v="N"/>
    <d v="2026-02-03T00:00:00"/>
    <s v="CP"/>
    <n v="37"/>
    <n v="1912"/>
    <s v="FE YANEZ APUANGO CRISTINA DE L 000001912"/>
    <n v="0"/>
    <n v="0.7"/>
    <n v="-3941.21"/>
  </r>
  <r>
    <x v="3"/>
    <x v="3"/>
    <s v="N"/>
    <d v="2026-02-03T00:00:00"/>
    <s v="CP"/>
    <n v="37"/>
    <n v="629"/>
    <s v="FE YANGTSE-AUTO DEL ECUADOR S. 000000629"/>
    <n v="0"/>
    <n v="230.41"/>
    <n v="-4171.62"/>
  </r>
  <r>
    <x v="3"/>
    <x v="3"/>
    <s v="N"/>
    <d v="2026-02-04T00:00:00"/>
    <s v="CP"/>
    <n v="53"/>
    <n v="52804"/>
    <s v="FE TOYOTASERVICIOS S.A. 000052804"/>
    <n v="0"/>
    <n v="1.1100000000000001"/>
    <n v="-4172.7299999999996"/>
  </r>
  <r>
    <x v="3"/>
    <x v="3"/>
    <s v="N"/>
    <d v="2026-02-08T00:00:00"/>
    <s v="CP"/>
    <n v="70"/>
    <n v="1176"/>
    <s v="FE CATAÑA DIAZ ANDREA BELEN 000001176"/>
    <n v="0"/>
    <n v="1.65"/>
    <n v="-4174.38"/>
  </r>
  <r>
    <x v="3"/>
    <x v="3"/>
    <s v="N"/>
    <d v="2026-02-08T00:00:00"/>
    <s v="CP"/>
    <n v="70"/>
    <n v="927"/>
    <s v="FE GARCIA ALLAUCA MERCEDES DEL 000000927"/>
    <n v="0"/>
    <n v="2.1"/>
    <n v="-4176.4799999999996"/>
  </r>
  <r>
    <x v="3"/>
    <x v="3"/>
    <s v="N"/>
    <d v="2026-02-08T00:00:00"/>
    <s v="CP"/>
    <n v="70"/>
    <n v="125378"/>
    <s v="FE GONZALEZ VEGA EL MOTOR CIA  000125378"/>
    <n v="0"/>
    <n v="1.37"/>
    <n v="-4177.8500000000004"/>
  </r>
  <r>
    <x v="3"/>
    <x v="3"/>
    <s v="N"/>
    <d v="2026-02-08T00:00:00"/>
    <s v="CP"/>
    <n v="70"/>
    <n v="3607"/>
    <s v="FE PAEZ ORTIZ CHRISTIAN GONZAL 000003607"/>
    <n v="0"/>
    <n v="1.05"/>
    <n v="-4178.8999999999996"/>
  </r>
  <r>
    <x v="3"/>
    <x v="3"/>
    <s v="N"/>
    <d v="2026-02-08T00:00:00"/>
    <s v="CP"/>
    <n v="70"/>
    <n v="53"/>
    <s v="FE POVEDA ALMEIDA EFRAIN ALEJA 000000053"/>
    <n v="0"/>
    <n v="1.23"/>
    <n v="-4180.13"/>
  </r>
  <r>
    <x v="3"/>
    <x v="3"/>
    <s v="N"/>
    <d v="2026-02-08T00:00:00"/>
    <s v="CP"/>
    <n v="70"/>
    <n v="54"/>
    <s v="FE POVEDA ALMEIDA EFRAIN ALEJA 000000054"/>
    <n v="0"/>
    <n v="1.23"/>
    <n v="-4181.3599999999997"/>
  </r>
  <r>
    <x v="3"/>
    <x v="3"/>
    <s v="N"/>
    <d v="2026-02-08T00:00:00"/>
    <s v="CP"/>
    <n v="70"/>
    <n v="6831"/>
    <s v="FE TOYOTASERVICIOS S.A. 000006831"/>
    <n v="0"/>
    <n v="0.54"/>
    <n v="-4181.8999999999996"/>
  </r>
  <r>
    <x v="3"/>
    <x v="3"/>
    <s v="N"/>
    <d v="2026-02-08T00:00:00"/>
    <s v="CP"/>
    <n v="70"/>
    <n v="6833"/>
    <s v="FE TOYOTASERVICIOS S.A. 000006833"/>
    <n v="0"/>
    <n v="0.52"/>
    <n v="-4182.42"/>
  </r>
  <r>
    <x v="3"/>
    <x v="3"/>
    <s v="N"/>
    <d v="2026-02-09T00:00:00"/>
    <s v="CP"/>
    <n v="84"/>
    <n v="55"/>
    <s v="FE POVEDA ALMEIDA EFRAIN ALEJA 000000055"/>
    <n v="0"/>
    <n v="1.23"/>
    <n v="-4183.6499999999996"/>
  </r>
  <r>
    <x v="3"/>
    <x v="3"/>
    <s v="N"/>
    <d v="2026-02-09T00:00:00"/>
    <s v="CP"/>
    <n v="84"/>
    <n v="640"/>
    <s v="FE YANGTSE-AUTO DEL ECUADOR S. 000000640"/>
    <n v="0"/>
    <n v="244.67"/>
    <n v="-4428.32"/>
  </r>
  <r>
    <x v="3"/>
    <x v="3"/>
    <s v="N"/>
    <d v="2026-02-10T00:00:00"/>
    <s v="INVEN"/>
    <n v="103"/>
    <n v="14881"/>
    <s v="IN TOYOTASERVICIOS S.A. 000014881"/>
    <n v="0"/>
    <n v="11.83"/>
    <n v="-4440.1499999999996"/>
  </r>
  <r>
    <x v="3"/>
    <x v="3"/>
    <s v="N"/>
    <d v="2026-02-18T00:00:00"/>
    <s v="INVEN"/>
    <n v="159"/>
    <n v="14894"/>
    <s v="IN TOYOTASERVICIOS S.A. 000014894"/>
    <n v="0"/>
    <n v="11.94"/>
    <n v="-4452.09"/>
  </r>
  <r>
    <x v="3"/>
    <x v="3"/>
    <s v="N"/>
    <d v="2026-02-18T00:00:00"/>
    <s v="INVEN"/>
    <n v="159"/>
    <n v="14895"/>
    <s v="IN TOYOTASERVICIOS S.A. 000014895"/>
    <n v="0"/>
    <n v="3.85"/>
    <n v="-4455.9399999999996"/>
  </r>
  <r>
    <x v="3"/>
    <x v="3"/>
    <s v="N"/>
    <d v="2026-02-19T00:00:00"/>
    <s v="INVEN"/>
    <n v="161"/>
    <n v="545"/>
    <s v="IN YANGTSE-AUTO DEL ECUADOR S.A. 000000545"/>
    <n v="0"/>
    <n v="6.93"/>
    <n v="-4462.87"/>
  </r>
  <r>
    <x v="3"/>
    <x v="3"/>
    <s v="N"/>
    <d v="2026-02-23T00:00:00"/>
    <s v="INVEN"/>
    <n v="203"/>
    <n v="561"/>
    <s v="IN YANGTSE-AUTO DEL ECUADOR S.A. 000000561"/>
    <n v="0"/>
    <n v="4.3099999999999996"/>
    <n v="-4467.18"/>
  </r>
  <r>
    <x v="3"/>
    <x v="3"/>
    <s v="N"/>
    <d v="2026-02-23T00:00:00"/>
    <s v="INVEN"/>
    <n v="204"/>
    <n v="14906"/>
    <s v="IN TOYOTASERVICIOS S.A. 000014906"/>
    <n v="0"/>
    <n v="3.85"/>
    <n v="-4471.03"/>
  </r>
  <r>
    <x v="3"/>
    <x v="3"/>
    <s v="N"/>
    <d v="2026-02-24T00:00:00"/>
    <s v="INVEN"/>
    <n v="221"/>
    <n v="14907"/>
    <s v="IN TOYOTASERVICIOS S.A. 000014907"/>
    <n v="0"/>
    <n v="1.87"/>
    <n v="-4472.8999999999996"/>
  </r>
  <r>
    <x v="3"/>
    <x v="3"/>
    <s v="N"/>
    <d v="2026-02-25T00:00:00"/>
    <s v="INVEN"/>
    <n v="230"/>
    <n v="14912"/>
    <s v="IN TOYOTASERVICIOS S.A. 000014912"/>
    <n v="0"/>
    <n v="1.87"/>
    <n v="-4474.7700000000004"/>
  </r>
  <r>
    <x v="3"/>
    <x v="3"/>
    <s v="N"/>
    <d v="2026-02-25T00:00:00"/>
    <s v="INVEN"/>
    <n v="230"/>
    <n v="14918"/>
    <s v="IN TOYOTASERVICIOS S.A. 000014918"/>
    <n v="0"/>
    <n v="11.94"/>
    <n v="-4486.71"/>
  </r>
  <r>
    <x v="3"/>
    <x v="3"/>
    <s v="N"/>
    <d v="2026-02-25T00:00:00"/>
    <s v="INVEN"/>
    <n v="230"/>
    <n v="14919"/>
    <s v="IN TOYOTASERVICIOS S.A. 000014919"/>
    <n v="0"/>
    <n v="13.43"/>
    <n v="-4500.1400000000003"/>
  </r>
  <r>
    <x v="3"/>
    <x v="3"/>
    <s v="N"/>
    <d v="2026-02-25T00:00:00"/>
    <s v="INVEN"/>
    <n v="231"/>
    <n v="6942"/>
    <s v="IN TOYOTASERVICIOS S.A. 000006942"/>
    <n v="0"/>
    <n v="9.56"/>
    <n v="-4509.7"/>
  </r>
  <r>
    <x v="3"/>
    <x v="3"/>
    <s v="N"/>
    <d v="2026-02-26T00:00:00"/>
    <s v="INVEN"/>
    <n v="255"/>
    <n v="573"/>
    <s v="IN YANGTSE-AUTO DEL ECUADOR S.A. 000000573"/>
    <n v="0"/>
    <n v="6.93"/>
    <n v="-4516.63"/>
  </r>
  <r>
    <x v="3"/>
    <x v="3"/>
    <s v="N"/>
    <d v="2026-02-27T00:00:00"/>
    <s v="INVEN"/>
    <n v="259"/>
    <n v="14923"/>
    <s v="IN TOYOTASERVICIOS S.A. 000014923"/>
    <n v="0"/>
    <n v="10.87"/>
    <n v="-4527.5"/>
  </r>
  <r>
    <x v="3"/>
    <x v="3"/>
    <s v="N"/>
    <d v="2026-02-27T00:00:00"/>
    <s v="INVEN"/>
    <n v="259"/>
    <n v="14924"/>
    <s v="IN TOYOTASERVICIOS S.A. 000014924"/>
    <n v="0"/>
    <n v="10.87"/>
    <n v="-4538.37"/>
  </r>
  <r>
    <x v="3"/>
    <x v="3"/>
    <s v="N"/>
    <d v="2026-02-27T00:00:00"/>
    <s v="INVEN"/>
    <n v="259"/>
    <n v="14925"/>
    <s v="IN TOYOTASERVICIOS S.A. 000014925"/>
    <n v="0"/>
    <n v="10.87"/>
    <n v="-4549.24"/>
  </r>
  <r>
    <x v="3"/>
    <x v="3"/>
    <s v="N"/>
    <d v="2026-02-27T00:00:00"/>
    <s v="INVEN"/>
    <n v="259"/>
    <n v="14926"/>
    <s v="IN TOYOTASERVICIOS S.A. 000014926"/>
    <n v="0"/>
    <n v="10.87"/>
    <n v="-4560.1099999999997"/>
  </r>
  <r>
    <x v="3"/>
    <x v="3"/>
    <s v="N"/>
    <d v="2026-02-27T00:00:00"/>
    <s v="INVEN"/>
    <n v="259"/>
    <n v="14927"/>
    <s v="IN TOYOTASERVICIOS S.A. 000014927"/>
    <n v="0"/>
    <n v="10.87"/>
    <n v="-4570.9799999999996"/>
  </r>
  <r>
    <x v="3"/>
    <x v="3"/>
    <s v="N"/>
    <d v="2026-02-27T00:00:00"/>
    <s v="INVEN"/>
    <n v="259"/>
    <n v="14931"/>
    <s v="IN TOYOTASERVICIOS S.A. 000014931"/>
    <n v="0"/>
    <n v="10.87"/>
    <n v="-4581.8500000000004"/>
  </r>
  <r>
    <x v="3"/>
    <x v="3"/>
    <s v="N"/>
    <d v="2026-02-27T00:00:00"/>
    <s v="INVEN"/>
    <n v="259"/>
    <n v="14932"/>
    <s v="IN TOYOTASERVICIOS S.A. 000014932"/>
    <n v="0"/>
    <n v="10.87"/>
    <n v="-4592.72"/>
  </r>
  <r>
    <x v="3"/>
    <x v="3"/>
    <s v="N"/>
    <d v="2026-02-04T00:00:00"/>
    <s v="INVEN"/>
    <n v="51"/>
    <n v="523"/>
    <s v="IN YANGTSE-AUTO DEL ECUADOR S.A. 000000523"/>
    <n v="0"/>
    <n v="6.09"/>
    <n v="-4598.8100000000004"/>
  </r>
  <r>
    <x v="3"/>
    <x v="3"/>
    <s v="N"/>
    <d v="2026-02-04T00:00:00"/>
    <s v="INVEN"/>
    <n v="52"/>
    <n v="17622"/>
    <s v="IN TITANIA TRACKING SOLUTIONS-EC S A S 000017622"/>
    <n v="0"/>
    <n v="35.700000000000003"/>
    <n v="-4634.51"/>
  </r>
  <r>
    <x v="3"/>
    <x v="3"/>
    <s v="N"/>
    <d v="2026-02-05T00:00:00"/>
    <s v="INVEN"/>
    <n v="54"/>
    <n v="17621"/>
    <s v="IN TITANIA TRACKING SOLUTIONS-EC S A S 000017621"/>
    <n v="0"/>
    <n v="35.700000000000003"/>
    <n v="-4670.21"/>
  </r>
  <r>
    <x v="3"/>
    <x v="3"/>
    <s v="N"/>
    <d v="2026-02-05T00:00:00"/>
    <s v="INVEN"/>
    <n v="55"/>
    <n v="14870"/>
    <s v="IN TOYOTASERVICIOS S.A. 000014870"/>
    <n v="0"/>
    <n v="11.91"/>
    <n v="-4682.12"/>
  </r>
  <r>
    <x v="3"/>
    <x v="3"/>
    <s v="N"/>
    <d v="2026-02-06T00:00:00"/>
    <s v="INVEN"/>
    <n v="58"/>
    <n v="14871"/>
    <s v="IN TOYOTASERVICIOS S.A. 000014871"/>
    <n v="0"/>
    <n v="3.58"/>
    <n v="-4685.7"/>
  </r>
  <r>
    <x v="4"/>
    <x v="4"/>
    <s v="N"/>
    <d v="2026-02-10T00:00:00"/>
    <s v="CP"/>
    <n v="104"/>
    <n v="414"/>
    <s v="FE LAYOUT S.A. 000000414"/>
    <n v="0"/>
    <n v="3.58"/>
    <n v="-3.58"/>
  </r>
  <r>
    <x v="4"/>
    <x v="4"/>
    <s v="N"/>
    <d v="2026-02-11T00:00:00"/>
    <s v="CP"/>
    <n v="105"/>
    <n v="12507"/>
    <s v="FE PROANDES SECURITY CIA. LTDA 000012507"/>
    <n v="0"/>
    <n v="0.55000000000000004"/>
    <n v="-4.13"/>
  </r>
  <r>
    <x v="4"/>
    <x v="4"/>
    <s v="N"/>
    <d v="2026-02-12T00:00:00"/>
    <s v="CP"/>
    <n v="121"/>
    <n v="6283"/>
    <s v="FE LARREAUTO CIA. LTDA. 000006283"/>
    <n v="0"/>
    <n v="1.38"/>
    <n v="-5.51"/>
  </r>
  <r>
    <x v="4"/>
    <x v="4"/>
    <s v="N"/>
    <d v="2026-02-12T00:00:00"/>
    <s v="CP"/>
    <n v="121"/>
    <n v="6870"/>
    <s v="FE TOYOTASERVICIOS S.A. 000006870"/>
    <n v="0"/>
    <n v="1.25"/>
    <n v="-6.76"/>
  </r>
  <r>
    <x v="4"/>
    <x v="4"/>
    <s v="N"/>
    <d v="2026-02-18T00:00:00"/>
    <s v="CP"/>
    <n v="160"/>
    <n v="29230"/>
    <s v="FE KMSOLUTIONS S.A. 000029230"/>
    <n v="0"/>
    <n v="21.57"/>
    <n v="-28.33"/>
  </r>
  <r>
    <x v="4"/>
    <x v="4"/>
    <s v="N"/>
    <d v="2026-02-18T00:00:00"/>
    <s v="CP"/>
    <n v="160"/>
    <n v="6895"/>
    <s v="FE TOYOTASERVICIOS S.A. 000006895"/>
    <n v="0"/>
    <n v="0.59"/>
    <n v="-28.92"/>
  </r>
  <r>
    <x v="4"/>
    <x v="4"/>
    <s v="N"/>
    <d v="2026-02-18T00:00:00"/>
    <s v="CP"/>
    <n v="160"/>
    <n v="39"/>
    <s v="FE VAZCREDIT S.A. 000000039"/>
    <n v="0"/>
    <n v="470.61"/>
    <n v="-499.53"/>
  </r>
  <r>
    <x v="4"/>
    <x v="4"/>
    <s v="N"/>
    <d v="2026-02-22T00:00:00"/>
    <s v="CP"/>
    <n v="202"/>
    <n v="24668"/>
    <s v="FE COOPERATIVA DE AHORRO Y CRE 000024668"/>
    <n v="0"/>
    <n v="164.83"/>
    <n v="-664.36"/>
  </r>
  <r>
    <x v="4"/>
    <x v="4"/>
    <s v="N"/>
    <d v="2026-02-22T00:00:00"/>
    <s v="CP"/>
    <n v="202"/>
    <n v="3768"/>
    <s v="FE PANTERA DE SEGURIDAD PHANTE 000003768"/>
    <n v="0"/>
    <n v="73.45"/>
    <n v="-737.81"/>
  </r>
  <r>
    <x v="4"/>
    <x v="4"/>
    <s v="N"/>
    <d v="2026-02-22T00:00:00"/>
    <s v="CP"/>
    <n v="202"/>
    <n v="2993"/>
    <s v="FE SERVICIOS DE RADIO Y TELEVI 000002993"/>
    <n v="0"/>
    <n v="11"/>
    <n v="-748.81"/>
  </r>
  <r>
    <x v="4"/>
    <x v="4"/>
    <s v="N"/>
    <d v="2026-02-22T00:00:00"/>
    <s v="CP"/>
    <n v="202"/>
    <n v="1442"/>
    <s v="FE TOYOTASERVICIOS S.A. 000001442"/>
    <n v="0"/>
    <n v="11.35"/>
    <n v="-760.16"/>
  </r>
  <r>
    <x v="4"/>
    <x v="4"/>
    <s v="N"/>
    <d v="2026-02-22T00:00:00"/>
    <s v="CP"/>
    <n v="202"/>
    <n v="6916"/>
    <s v="FE TOYOTASERVICIOS S.A. 000006916"/>
    <n v="0"/>
    <n v="0.39"/>
    <n v="-760.55"/>
  </r>
  <r>
    <x v="4"/>
    <x v="4"/>
    <s v="N"/>
    <d v="2026-02-22T00:00:00"/>
    <s v="CP"/>
    <n v="202"/>
    <n v="7753"/>
    <s v="FE TOYOTASERVICIOS S.A. 000007753"/>
    <n v="0"/>
    <n v="2.5299999999999998"/>
    <n v="-763.08"/>
  </r>
  <r>
    <x v="4"/>
    <x v="4"/>
    <s v="N"/>
    <d v="2026-02-24T00:00:00"/>
    <s v="CP"/>
    <n v="226"/>
    <n v="7757"/>
    <s v="FE TOYOTASERVICIOS S.A. 000007757"/>
    <n v="0"/>
    <n v="1.38"/>
    <n v="-764.46"/>
  </r>
  <r>
    <x v="4"/>
    <x v="4"/>
    <s v="N"/>
    <d v="2026-02-24T00:00:00"/>
    <s v="CP"/>
    <n v="226"/>
    <n v="7758"/>
    <s v="FE TOYOTASERVICIOS S.A. 000007758"/>
    <n v="0"/>
    <n v="3.85"/>
    <n v="-768.31"/>
  </r>
  <r>
    <x v="4"/>
    <x v="4"/>
    <s v="N"/>
    <d v="2026-02-24T00:00:00"/>
    <s v="CP"/>
    <n v="226"/>
    <n v="7759"/>
    <s v="FE TOYOTASERVICIOS S.A. 000007759"/>
    <n v="0"/>
    <n v="10.31"/>
    <n v="-778.62"/>
  </r>
  <r>
    <x v="4"/>
    <x v="4"/>
    <s v="N"/>
    <d v="2026-02-24T00:00:00"/>
    <s v="CP"/>
    <n v="226"/>
    <n v="7760"/>
    <s v="FE TOYOTASERVICIOS S.A. 000007760"/>
    <n v="0"/>
    <n v="1.65"/>
    <n v="-780.27"/>
  </r>
  <r>
    <x v="4"/>
    <x v="4"/>
    <s v="N"/>
    <d v="2026-02-24T00:00:00"/>
    <s v="CP"/>
    <n v="226"/>
    <n v="7761"/>
    <s v="FE TOYOTASERVICIOS S.A. 000007761"/>
    <n v="0"/>
    <n v="1.65"/>
    <n v="-781.92"/>
  </r>
  <r>
    <x v="4"/>
    <x v="4"/>
    <s v="N"/>
    <d v="2026-02-26T00:00:00"/>
    <s v="CP"/>
    <n v="258"/>
    <n v="11919"/>
    <s v="FE CODEX 000011919"/>
    <n v="0"/>
    <n v="5.38"/>
    <n v="-787.3"/>
  </r>
  <r>
    <x v="4"/>
    <x v="4"/>
    <s v="N"/>
    <d v="2026-02-26T00:00:00"/>
    <s v="CP"/>
    <n v="258"/>
    <n v="7768"/>
    <s v="FE TOYOTASERVICIOS S.A. 000007768"/>
    <n v="0"/>
    <n v="1.65"/>
    <n v="-788.95"/>
  </r>
  <r>
    <x v="4"/>
    <x v="4"/>
    <s v="N"/>
    <d v="2026-02-26T00:00:00"/>
    <s v="CP"/>
    <n v="258"/>
    <n v="7769"/>
    <s v="FE TOYOTASERVICIOS S.A. 000007769"/>
    <n v="0"/>
    <n v="1.65"/>
    <n v="-790.6"/>
  </r>
  <r>
    <x v="4"/>
    <x v="4"/>
    <s v="N"/>
    <d v="2026-02-26T00:00:00"/>
    <s v="CP"/>
    <n v="258"/>
    <n v="7770"/>
    <s v="FE TOYOTASERVICIOS S.A. 000007770"/>
    <n v="0"/>
    <n v="1.65"/>
    <n v="-792.25"/>
  </r>
  <r>
    <x v="4"/>
    <x v="4"/>
    <s v="N"/>
    <d v="2026-02-02T00:00:00"/>
    <s v="CP"/>
    <n v="29"/>
    <n v="820"/>
    <s v="FE CAICEDO ALFONSO DAVID 000000820"/>
    <n v="0"/>
    <n v="6.88"/>
    <n v="-799.13"/>
  </r>
  <r>
    <x v="4"/>
    <x v="4"/>
    <s v="N"/>
    <d v="2026-02-28T00:00:00"/>
    <s v="CP"/>
    <n v="311"/>
    <n v="53046"/>
    <s v="FE TOYOTASERVICIOS S.A. 000053046"/>
    <n v="0"/>
    <n v="23.27"/>
    <n v="-822.4"/>
  </r>
  <r>
    <x v="4"/>
    <x v="4"/>
    <s v="N"/>
    <d v="2026-02-03T00:00:00"/>
    <s v="CP"/>
    <n v="37"/>
    <n v="5489"/>
    <s v="FE CORPORACION CONFIABLE S.A. 000005489"/>
    <n v="0"/>
    <n v="18.149999999999999"/>
    <n v="-840.55"/>
  </r>
  <r>
    <x v="4"/>
    <x v="4"/>
    <s v="N"/>
    <d v="2026-02-03T00:00:00"/>
    <s v="CP"/>
    <n v="37"/>
    <n v="13391"/>
    <s v="FE FIDUCIARIA ECUADOR FIDUECUA 000013391"/>
    <n v="0"/>
    <n v="8.9499999999999993"/>
    <n v="-849.5"/>
  </r>
  <r>
    <x v="4"/>
    <x v="4"/>
    <s v="N"/>
    <d v="2026-02-04T00:00:00"/>
    <s v="CP"/>
    <n v="53"/>
    <n v="377"/>
    <s v="FE COMPAÑIA TECNOXPERTISE S.A. 000000377"/>
    <n v="0"/>
    <n v="2.75"/>
    <n v="-852.25"/>
  </r>
  <r>
    <x v="4"/>
    <x v="4"/>
    <s v="N"/>
    <d v="2026-02-04T00:00:00"/>
    <s v="CP"/>
    <n v="53"/>
    <n v="52803"/>
    <s v="FE TOYOTASERVICIOS S.A. 000052803"/>
    <n v="0"/>
    <n v="0.53"/>
    <n v="-852.78"/>
  </r>
  <r>
    <x v="4"/>
    <x v="4"/>
    <s v="N"/>
    <d v="2026-02-05T00:00:00"/>
    <s v="CP"/>
    <n v="57"/>
    <n v="2473"/>
    <s v="FE COMP. DE SEGURIDAD PRIVADA  000002473"/>
    <n v="0"/>
    <n v="31.21"/>
    <n v="-883.99"/>
  </r>
  <r>
    <x v="4"/>
    <x v="4"/>
    <s v="N"/>
    <d v="2026-02-05T00:00:00"/>
    <s v="CP"/>
    <n v="57"/>
    <n v="123259"/>
    <s v="FE LAAR CIA. LTDA. 000123259"/>
    <n v="0"/>
    <n v="0.93"/>
    <n v="-884.92"/>
  </r>
  <r>
    <x v="4"/>
    <x v="4"/>
    <s v="N"/>
    <d v="2026-02-05T00:00:00"/>
    <s v="CP"/>
    <n v="57"/>
    <n v="123260"/>
    <s v="FE LAAR CIA. LTDA. 000123260"/>
    <n v="0"/>
    <n v="1.9"/>
    <n v="-886.82"/>
  </r>
  <r>
    <x v="4"/>
    <x v="4"/>
    <s v="N"/>
    <d v="2026-02-05T00:00:00"/>
    <s v="CP"/>
    <n v="57"/>
    <n v="5286"/>
    <s v="FE TALENTOPSA S.A 000005286"/>
    <n v="0"/>
    <n v="2.4700000000000002"/>
    <n v="-889.29"/>
  </r>
  <r>
    <x v="4"/>
    <x v="4"/>
    <s v="N"/>
    <d v="2026-02-05T00:00:00"/>
    <s v="CP"/>
    <n v="57"/>
    <n v="52828"/>
    <s v="FE TOYOTASERVICIOS S.A. 000052828"/>
    <n v="0"/>
    <n v="1.34"/>
    <n v="-890.63"/>
  </r>
  <r>
    <x v="4"/>
    <x v="4"/>
    <s v="N"/>
    <d v="2026-02-08T00:00:00"/>
    <s v="CP"/>
    <n v="70"/>
    <n v="6832"/>
    <s v="FE TOYOTASERVICIOS S.A. 000006832"/>
    <n v="0"/>
    <n v="0.38"/>
    <n v="-891.01"/>
  </r>
  <r>
    <x v="4"/>
    <x v="4"/>
    <s v="N"/>
    <d v="2026-02-08T00:00:00"/>
    <s v="CP"/>
    <n v="70"/>
    <n v="6834"/>
    <s v="FE TOYOTASERVICIOS S.A. 000006834"/>
    <n v="0"/>
    <n v="0.38"/>
    <n v="-891.39"/>
  </r>
  <r>
    <x v="4"/>
    <x v="4"/>
    <s v="N"/>
    <d v="2026-02-08T00:00:00"/>
    <s v="CP"/>
    <n v="70"/>
    <n v="52829"/>
    <s v="FE TOYOTASERVICIOS S.A. 000052829"/>
    <n v="0"/>
    <n v="4.95"/>
    <n v="-896.34"/>
  </r>
  <r>
    <x v="4"/>
    <x v="4"/>
    <s v="N"/>
    <d v="2026-02-09T00:00:00"/>
    <s v="CP"/>
    <n v="84"/>
    <n v="10912"/>
    <s v="FE MANTELCOA CIA. LTDA. 000010912"/>
    <n v="0"/>
    <n v="4.95"/>
    <n v="-901.29"/>
  </r>
  <r>
    <x v="5"/>
    <x v="5"/>
    <s v="N"/>
    <d v="2026-02-11T00:00:00"/>
    <s v="CP"/>
    <n v="105"/>
    <n v="226448"/>
    <s v="FE FIDEVAL S.A 000226448"/>
    <n v="0"/>
    <n v="11.4"/>
    <n v="-11.4"/>
  </r>
  <r>
    <x v="5"/>
    <x v="5"/>
    <s v="N"/>
    <d v="2026-02-11T00:00:00"/>
    <s v="CP"/>
    <n v="105"/>
    <n v="226449"/>
    <s v="FE FIDEVAL S.A 000226449"/>
    <n v="0"/>
    <n v="4.1900000000000004"/>
    <n v="-15.59"/>
  </r>
  <r>
    <x v="5"/>
    <x v="5"/>
    <s v="N"/>
    <d v="2026-02-18T00:00:00"/>
    <s v="CP"/>
    <n v="160"/>
    <n v="451"/>
    <s v="FE CARLARSERVICE CIA. LTDA 000000451"/>
    <n v="0"/>
    <n v="18.239999999999998"/>
    <n v="-33.83"/>
  </r>
  <r>
    <x v="5"/>
    <x v="5"/>
    <s v="N"/>
    <d v="2026-02-18T00:00:00"/>
    <s v="CP"/>
    <n v="160"/>
    <n v="454"/>
    <s v="FE CARLARSERVICE CIA. LTDA 000000454"/>
    <n v="0"/>
    <n v="13.61"/>
    <n v="-47.44"/>
  </r>
  <r>
    <x v="5"/>
    <x v="5"/>
    <s v="N"/>
    <d v="2026-02-18T00:00:00"/>
    <s v="CP"/>
    <n v="160"/>
    <n v="456"/>
    <s v="FE CARLARSERVICE CIA. LTDA 000000456"/>
    <n v="0"/>
    <n v="29.79"/>
    <n v="-77.23"/>
  </r>
  <r>
    <x v="5"/>
    <x v="5"/>
    <s v="N"/>
    <d v="2026-02-18T00:00:00"/>
    <s v="CP"/>
    <n v="160"/>
    <n v="7432"/>
    <s v="FE ETL-EC AUDITORES S.A. 000007432"/>
    <n v="0"/>
    <n v="49.5"/>
    <n v="-126.73"/>
  </r>
  <r>
    <x v="5"/>
    <x v="5"/>
    <s v="N"/>
    <d v="2026-02-23T00:00:00"/>
    <s v="CP"/>
    <n v="205"/>
    <n v="227570"/>
    <s v="FE FIDEVAL S.A 000227570"/>
    <n v="0"/>
    <n v="4.2"/>
    <n v="-130.93"/>
  </r>
  <r>
    <x v="5"/>
    <x v="5"/>
    <s v="N"/>
    <d v="2026-02-23T00:00:00"/>
    <s v="CP"/>
    <n v="205"/>
    <n v="227571"/>
    <s v="FE FIDEVAL S.A 000227571"/>
    <n v="0"/>
    <n v="4.1900000000000004"/>
    <n v="-135.12"/>
  </r>
  <r>
    <x v="5"/>
    <x v="5"/>
    <s v="N"/>
    <d v="2026-02-02T00:00:00"/>
    <s v="CP"/>
    <n v="29"/>
    <n v="448"/>
    <s v="FE CARLARSERVICE CIA. LTDA 000000448"/>
    <n v="0"/>
    <n v="210"/>
    <n v="-345.12"/>
  </r>
  <r>
    <x v="5"/>
    <x v="5"/>
    <s v="N"/>
    <d v="2026-02-04T00:00:00"/>
    <s v="CP"/>
    <n v="53"/>
    <n v="1804"/>
    <s v="FE DILIGENCIAS LEGALES 000001804"/>
    <n v="0"/>
    <n v="6.27"/>
    <n v="-351.39"/>
  </r>
  <r>
    <x v="5"/>
    <x v="5"/>
    <s v="N"/>
    <d v="2026-02-09T00:00:00"/>
    <s v="CP"/>
    <n v="84"/>
    <n v="932"/>
    <s v="FE CENTRO DE SERVICIOS COMPART 000000932"/>
    <n v="0"/>
    <n v="48.13"/>
    <n v="-399.52"/>
  </r>
  <r>
    <x v="6"/>
    <x v="6"/>
    <s v="N"/>
    <d v="2026-02-10T00:00:00"/>
    <s v="CP"/>
    <n v="104"/>
    <n v="142395"/>
    <s v="FE MEJIA CARRASCO VICTOR LEONE 000142395"/>
    <n v="0"/>
    <n v="10.83"/>
    <n v="-10.83"/>
  </r>
  <r>
    <x v="6"/>
    <x v="6"/>
    <s v="N"/>
    <d v="2026-02-12T00:00:00"/>
    <s v="CP"/>
    <n v="121"/>
    <n v="75049"/>
    <s v="FE CARRO SEGURO CARSEG S.A. 000075049"/>
    <n v="0"/>
    <n v="4.2"/>
    <n v="-15.03"/>
  </r>
  <r>
    <x v="6"/>
    <x v="6"/>
    <s v="N"/>
    <d v="2026-02-12T00:00:00"/>
    <s v="CP"/>
    <n v="121"/>
    <n v="3182"/>
    <s v="FE SZK DEL ECUADOR S.A. 000003182"/>
    <n v="0"/>
    <n v="1728.35"/>
    <n v="-1743.38"/>
  </r>
  <r>
    <x v="6"/>
    <x v="6"/>
    <s v="N"/>
    <d v="2026-02-13T00:00:00"/>
    <s v="CP"/>
    <n v="122"/>
    <n v="9074"/>
    <s v="FE CASABACA S.A. 000009074"/>
    <n v="0"/>
    <n v="598.53"/>
    <n v="-2341.91"/>
  </r>
  <r>
    <x v="6"/>
    <x v="6"/>
    <s v="N"/>
    <d v="2026-02-13T00:00:00"/>
    <s v="CP"/>
    <n v="122"/>
    <n v="9074"/>
    <s v="FE CASABACA S.A. 000009074"/>
    <n v="0"/>
    <n v="598.53"/>
    <n v="-2940.44"/>
  </r>
  <r>
    <x v="6"/>
    <x v="6"/>
    <s v="N"/>
    <d v="2026-02-13T00:00:00"/>
    <s v="CP"/>
    <n v="122"/>
    <n v="9074"/>
    <s v="FE CASABACA S.A. 000009074"/>
    <n v="0"/>
    <n v="598.53"/>
    <n v="-3538.97"/>
  </r>
  <r>
    <x v="6"/>
    <x v="6"/>
    <s v="N"/>
    <d v="2026-02-13T00:00:00"/>
    <s v="CP"/>
    <n v="122"/>
    <n v="9074"/>
    <s v="FE CASABACA S.A. 000009074"/>
    <n v="0"/>
    <n v="252.77"/>
    <n v="-3791.74"/>
  </r>
  <r>
    <x v="6"/>
    <x v="6"/>
    <s v="N"/>
    <d v="2026-02-13T00:00:00"/>
    <s v="CP"/>
    <n v="122"/>
    <n v="9074"/>
    <s v="FE CASABACA S.A. 000009074"/>
    <n v="0"/>
    <n v="252.77"/>
    <n v="-4044.51"/>
  </r>
  <r>
    <x v="6"/>
    <x v="6"/>
    <s v="N"/>
    <d v="2026-02-18T00:00:00"/>
    <s v="CP"/>
    <n v="160"/>
    <n v="9084"/>
    <s v="FE CASABACA S.A. 000009084"/>
    <n v="0"/>
    <n v="252.77"/>
    <n v="-4297.28"/>
  </r>
  <r>
    <x v="6"/>
    <x v="6"/>
    <s v="N"/>
    <d v="2026-02-18T00:00:00"/>
    <s v="CP"/>
    <n v="160"/>
    <n v="9084"/>
    <s v="FE CASABACA S.A. 000009084"/>
    <n v="0"/>
    <n v="1597.29"/>
    <n v="-5894.57"/>
  </r>
  <r>
    <x v="6"/>
    <x v="6"/>
    <s v="N"/>
    <d v="2026-02-18T00:00:00"/>
    <s v="CP"/>
    <n v="160"/>
    <n v="9084"/>
    <s v="FE CASABACA S.A. 000009084"/>
    <n v="0"/>
    <n v="252.77"/>
    <n v="-6147.34"/>
  </r>
  <r>
    <x v="6"/>
    <x v="6"/>
    <s v="N"/>
    <d v="2026-02-18T00:00:00"/>
    <s v="CP"/>
    <n v="160"/>
    <n v="9084"/>
    <s v="FE CASABACA S.A. 000009084"/>
    <n v="0"/>
    <n v="252.77"/>
    <n v="-6400.11"/>
  </r>
  <r>
    <x v="6"/>
    <x v="6"/>
    <s v="N"/>
    <d v="2026-02-19T00:00:00"/>
    <s v="CP"/>
    <n v="162"/>
    <n v="3183"/>
    <s v="FE SZK DEL ECUADOR S.A. 000003183"/>
    <n v="0"/>
    <n v="1552.54"/>
    <n v="-7952.65"/>
  </r>
  <r>
    <x v="6"/>
    <x v="6"/>
    <s v="N"/>
    <d v="2026-02-20T00:00:00"/>
    <s v="CP"/>
    <n v="163"/>
    <n v="3184"/>
    <s v="FE SZK DEL ECUADOR S.A. 000003184"/>
    <n v="0"/>
    <n v="968.89"/>
    <n v="-8921.5400000000009"/>
  </r>
  <r>
    <x v="6"/>
    <x v="6"/>
    <s v="N"/>
    <d v="2026-02-22T00:00:00"/>
    <s v="CP"/>
    <n v="202"/>
    <n v="239004"/>
    <s v="FE INDUSTRIAL Y COMERCIAL CAST 000239004"/>
    <n v="0"/>
    <n v="5.03"/>
    <n v="-8926.57"/>
  </r>
  <r>
    <x v="6"/>
    <x v="6"/>
    <s v="N"/>
    <d v="2026-02-22T00:00:00"/>
    <s v="CP"/>
    <n v="202"/>
    <n v="239005"/>
    <s v="FE INDUSTRIAL Y COMERCIAL CAST 000239005"/>
    <n v="0"/>
    <n v="2.44"/>
    <n v="-8929.01"/>
  </r>
  <r>
    <x v="6"/>
    <x v="6"/>
    <s v="N"/>
    <d v="2026-02-22T00:00:00"/>
    <s v="CP"/>
    <n v="202"/>
    <n v="239006"/>
    <s v="FE INDUSTRIAL Y COMERCIAL CAST 000239006"/>
    <n v="0"/>
    <n v="2.4900000000000002"/>
    <n v="-8931.5"/>
  </r>
  <r>
    <x v="6"/>
    <x v="6"/>
    <s v="N"/>
    <d v="2026-02-24T00:00:00"/>
    <s v="CP"/>
    <n v="226"/>
    <n v="3185"/>
    <s v="FE SZK DEL ECUADOR S.A. 000003185"/>
    <n v="0"/>
    <n v="1578.81"/>
    <n v="-10510.31"/>
  </r>
  <r>
    <x v="6"/>
    <x v="6"/>
    <s v="N"/>
    <d v="2026-02-24T00:00:00"/>
    <s v="CP"/>
    <n v="226"/>
    <n v="3186"/>
    <s v="FE SZK DEL ECUADOR S.A. 000003186"/>
    <n v="0"/>
    <n v="1578.81"/>
    <n v="-12089.12"/>
  </r>
  <r>
    <x v="6"/>
    <x v="6"/>
    <s v="N"/>
    <d v="2026-02-24T00:00:00"/>
    <s v="CP"/>
    <n v="226"/>
    <n v="3187"/>
    <s v="FE SZK DEL ECUADOR S.A. 000003187"/>
    <n v="0"/>
    <n v="1052.54"/>
    <n v="-13141.66"/>
  </r>
  <r>
    <x v="6"/>
    <x v="6"/>
    <s v="N"/>
    <d v="2026-02-24T00:00:00"/>
    <s v="CP"/>
    <n v="226"/>
    <n v="3188"/>
    <s v="FE SZK DEL ECUADOR S.A. 000003188"/>
    <n v="0"/>
    <n v="663.76"/>
    <n v="-13805.42"/>
  </r>
  <r>
    <x v="6"/>
    <x v="6"/>
    <s v="N"/>
    <d v="2026-02-24T00:00:00"/>
    <s v="CP"/>
    <n v="226"/>
    <n v="3189"/>
    <s v="FE SZK DEL ECUADOR S.A. 000003189"/>
    <n v="0"/>
    <n v="263.13"/>
    <n v="-14068.55"/>
  </r>
  <r>
    <x v="6"/>
    <x v="6"/>
    <s v="N"/>
    <d v="2026-02-24T00:00:00"/>
    <s v="CP"/>
    <n v="226"/>
    <n v="3190"/>
    <s v="FE SZK DEL ECUADOR S.A. 000003190"/>
    <n v="0"/>
    <n v="221.25"/>
    <n v="-14289.8"/>
  </r>
  <r>
    <x v="6"/>
    <x v="6"/>
    <s v="N"/>
    <d v="2026-02-25T00:00:00"/>
    <s v="CP"/>
    <n v="236"/>
    <n v="9109"/>
    <s v="FE CASABACA S.A. 000009109"/>
    <n v="0"/>
    <n v="563.01"/>
    <n v="-14852.81"/>
  </r>
  <r>
    <x v="6"/>
    <x v="6"/>
    <s v="N"/>
    <d v="2026-02-25T00:00:00"/>
    <s v="CP"/>
    <n v="236"/>
    <n v="9109"/>
    <s v="FE CASABACA S.A. 000009109"/>
    <n v="0"/>
    <n v="462.41"/>
    <n v="-15315.22"/>
  </r>
  <r>
    <x v="6"/>
    <x v="6"/>
    <s v="N"/>
    <d v="2026-02-25T00:00:00"/>
    <s v="CP"/>
    <n v="236"/>
    <n v="9109"/>
    <s v="FE CASABACA S.A. 000009109"/>
    <n v="0"/>
    <n v="428.23"/>
    <n v="-15743.45"/>
  </r>
  <r>
    <x v="6"/>
    <x v="6"/>
    <s v="N"/>
    <d v="2026-02-25T00:00:00"/>
    <s v="CP"/>
    <n v="236"/>
    <n v="9109"/>
    <s v="FE CASABACA S.A. 000009109"/>
    <n v="0"/>
    <n v="462.41"/>
    <n v="-16205.86"/>
  </r>
  <r>
    <x v="6"/>
    <x v="6"/>
    <s v="N"/>
    <d v="2026-02-25T00:00:00"/>
    <s v="CP"/>
    <n v="236"/>
    <n v="9109"/>
    <s v="FE CASABACA S.A. 000009109"/>
    <n v="0"/>
    <n v="598.53"/>
    <n v="-16804.39"/>
  </r>
  <r>
    <x v="6"/>
    <x v="6"/>
    <s v="N"/>
    <d v="2026-02-25T00:00:00"/>
    <s v="CP"/>
    <n v="236"/>
    <n v="9109"/>
    <s v="FE CASABACA S.A. 000009109"/>
    <n v="0"/>
    <n v="252.77"/>
    <n v="-17057.16"/>
  </r>
  <r>
    <x v="6"/>
    <x v="6"/>
    <s v="N"/>
    <d v="2026-02-25T00:00:00"/>
    <s v="CP"/>
    <n v="236"/>
    <n v="3191"/>
    <s v="FE SZK DEL ECUADOR S.A. 000003191"/>
    <n v="0"/>
    <n v="221.25"/>
    <n v="-17278.41"/>
  </r>
  <r>
    <x v="6"/>
    <x v="6"/>
    <s v="N"/>
    <d v="2026-02-25T00:00:00"/>
    <s v="CP"/>
    <n v="236"/>
    <n v="3192"/>
    <s v="FE SZK DEL ECUADOR S.A. 000003192"/>
    <n v="0"/>
    <n v="1841.94"/>
    <n v="-19120.349999999999"/>
  </r>
  <r>
    <x v="6"/>
    <x v="6"/>
    <s v="N"/>
    <d v="2026-02-25T00:00:00"/>
    <s v="CP"/>
    <n v="236"/>
    <n v="3193"/>
    <s v="FE SZK DEL ECUADOR S.A. 000003193"/>
    <n v="0"/>
    <n v="1315.67"/>
    <n v="-20436.02"/>
  </r>
  <r>
    <x v="6"/>
    <x v="6"/>
    <s v="N"/>
    <d v="2026-02-25T00:00:00"/>
    <s v="CP"/>
    <n v="236"/>
    <n v="3194"/>
    <s v="FE SZK DEL ECUADOR S.A. 000003194"/>
    <n v="0"/>
    <n v="1315.67"/>
    <n v="-21751.69"/>
  </r>
  <r>
    <x v="6"/>
    <x v="6"/>
    <s v="N"/>
    <d v="2026-02-25T00:00:00"/>
    <s v="CP"/>
    <n v="236"/>
    <n v="3195"/>
    <s v="FE SZK DEL ECUADOR S.A. 000003195"/>
    <n v="0"/>
    <n v="885.01"/>
    <n v="-22636.7"/>
  </r>
  <r>
    <x v="6"/>
    <x v="6"/>
    <s v="N"/>
    <d v="2026-02-25T00:00:00"/>
    <s v="CP"/>
    <n v="236"/>
    <n v="3196"/>
    <s v="FE SZK DEL ECUADOR S.A. 000003196"/>
    <n v="0"/>
    <n v="1085.51"/>
    <n v="-23722.21"/>
  </r>
  <r>
    <x v="6"/>
    <x v="6"/>
    <s v="N"/>
    <d v="2026-02-26T00:00:00"/>
    <s v="CP"/>
    <n v="258"/>
    <n v="9120"/>
    <s v="FE CASABACA S.A. 000009120"/>
    <n v="0"/>
    <n v="428.23"/>
    <n v="-24150.44"/>
  </r>
  <r>
    <x v="6"/>
    <x v="6"/>
    <s v="N"/>
    <d v="2026-02-26T00:00:00"/>
    <s v="CP"/>
    <n v="258"/>
    <n v="9120"/>
    <s v="FE CASABACA S.A. 000009120"/>
    <n v="0"/>
    <n v="381.9"/>
    <n v="-24532.34"/>
  </r>
  <r>
    <x v="6"/>
    <x v="6"/>
    <s v="N"/>
    <d v="2026-02-26T00:00:00"/>
    <s v="CP"/>
    <n v="258"/>
    <n v="9120"/>
    <s v="FE CASABACA S.A. 000009120"/>
    <n v="0"/>
    <n v="381.9"/>
    <n v="-24914.240000000002"/>
  </r>
  <r>
    <x v="6"/>
    <x v="6"/>
    <s v="N"/>
    <d v="2026-02-26T00:00:00"/>
    <s v="CP"/>
    <n v="258"/>
    <n v="9120"/>
    <s v="FE CASABACA S.A. 000009120"/>
    <n v="0"/>
    <n v="381.9"/>
    <n v="-25296.14"/>
  </r>
  <r>
    <x v="6"/>
    <x v="6"/>
    <s v="N"/>
    <d v="2026-02-26T00:00:00"/>
    <s v="CP"/>
    <n v="258"/>
    <n v="9120"/>
    <s v="FE CASABACA S.A. 000009120"/>
    <n v="0"/>
    <n v="381.9"/>
    <n v="-25678.04"/>
  </r>
  <r>
    <x v="6"/>
    <x v="6"/>
    <s v="N"/>
    <d v="2026-02-26T00:00:00"/>
    <s v="CP"/>
    <n v="258"/>
    <n v="9120"/>
    <s v="FE CASABACA S.A. 000009120"/>
    <n v="0"/>
    <n v="381.9"/>
    <n v="-26059.94"/>
  </r>
  <r>
    <x v="6"/>
    <x v="6"/>
    <s v="N"/>
    <d v="2026-02-26T00:00:00"/>
    <s v="CP"/>
    <n v="258"/>
    <n v="101390"/>
    <s v="FE CONSORCIO DEL PICHINCHA S.A 000101390"/>
    <n v="0"/>
    <n v="169.57"/>
    <n v="-26229.51"/>
  </r>
  <r>
    <x v="6"/>
    <x v="6"/>
    <s v="N"/>
    <d v="2026-02-26T00:00:00"/>
    <s v="CP"/>
    <n v="258"/>
    <n v="101399"/>
    <s v="FE CONSORCIO DEL PICHINCHA S.A 000101399"/>
    <n v="0"/>
    <n v="97.83"/>
    <n v="-26327.34"/>
  </r>
  <r>
    <x v="6"/>
    <x v="6"/>
    <s v="N"/>
    <d v="2026-02-26T00:00:00"/>
    <s v="CP"/>
    <n v="258"/>
    <n v="3197"/>
    <s v="FE SZK DEL ECUADOR S.A. 000003197"/>
    <n v="0"/>
    <n v="287.07"/>
    <n v="-26614.41"/>
  </r>
  <r>
    <x v="6"/>
    <x v="6"/>
    <s v="N"/>
    <d v="2026-02-26T00:00:00"/>
    <s v="CP"/>
    <n v="258"/>
    <n v="3198"/>
    <s v="FE SZK DEL ECUADOR S.A. 000003198"/>
    <n v="0"/>
    <n v="1578.81"/>
    <n v="-28193.22"/>
  </r>
  <r>
    <x v="6"/>
    <x v="6"/>
    <s v="N"/>
    <d v="2026-02-26T00:00:00"/>
    <s v="CP"/>
    <n v="258"/>
    <n v="3199"/>
    <s v="FE SZK DEL ECUADOR S.A. 000003199"/>
    <n v="0"/>
    <n v="1578.81"/>
    <n v="-29772.03"/>
  </r>
  <r>
    <x v="6"/>
    <x v="6"/>
    <s v="N"/>
    <d v="2026-02-26T00:00:00"/>
    <s v="CP"/>
    <n v="258"/>
    <n v="3200"/>
    <s v="FE SZK DEL ECUADOR S.A. 000003200"/>
    <n v="0"/>
    <n v="391.79"/>
    <n v="-30163.82"/>
  </r>
  <r>
    <x v="6"/>
    <x v="6"/>
    <s v="N"/>
    <d v="2026-02-27T00:00:00"/>
    <s v="CP"/>
    <n v="261"/>
    <n v="3201"/>
    <s v="FE SZK DEL ECUADOR S.A. 000003201"/>
    <n v="0"/>
    <n v="1315.67"/>
    <n v="-31479.49"/>
  </r>
  <r>
    <x v="6"/>
    <x v="6"/>
    <s v="N"/>
    <d v="2026-02-27T00:00:00"/>
    <s v="CP"/>
    <n v="261"/>
    <n v="3202"/>
    <s v="FE SZK DEL ECUADOR S.A. 000003202"/>
    <n v="0"/>
    <n v="1327.52"/>
    <n v="-32807.01"/>
  </r>
  <r>
    <x v="6"/>
    <x v="6"/>
    <s v="N"/>
    <d v="2026-02-27T00:00:00"/>
    <s v="CP"/>
    <n v="261"/>
    <n v="3203"/>
    <s v="FE SZK DEL ECUADOR S.A. 000003203"/>
    <n v="0"/>
    <n v="1548.77"/>
    <n v="-34355.78"/>
  </r>
  <r>
    <x v="6"/>
    <x v="6"/>
    <s v="N"/>
    <d v="2026-02-27T00:00:00"/>
    <s v="CP"/>
    <n v="261"/>
    <n v="3204"/>
    <s v="FE SZK DEL ECUADOR S.A. 000003204"/>
    <n v="0"/>
    <n v="361.84"/>
    <n v="-34717.620000000003"/>
  </r>
  <r>
    <x v="6"/>
    <x v="6"/>
    <s v="N"/>
    <d v="2026-02-27T00:00:00"/>
    <s v="CP"/>
    <n v="261"/>
    <n v="3205"/>
    <s v="FE SZK DEL ECUADOR S.A. 000003205"/>
    <n v="0"/>
    <n v="391.79"/>
    <n v="-35109.410000000003"/>
  </r>
  <r>
    <x v="6"/>
    <x v="6"/>
    <s v="N"/>
    <d v="2026-02-02T00:00:00"/>
    <s v="CP"/>
    <n v="29"/>
    <n v="74969"/>
    <s v="FE CARRO SEGURO CARSEG S.A. 000074969"/>
    <n v="0"/>
    <n v="8.1"/>
    <n v="-35117.51"/>
  </r>
  <r>
    <x v="6"/>
    <x v="6"/>
    <s v="N"/>
    <d v="2026-02-28T00:00:00"/>
    <s v="CP"/>
    <n v="311"/>
    <n v="9140"/>
    <s v="FE CASABACA S.A. 000009140"/>
    <n v="0"/>
    <n v="514.41999999999996"/>
    <n v="-35631.93"/>
  </r>
  <r>
    <x v="6"/>
    <x v="6"/>
    <s v="N"/>
    <d v="2026-02-28T00:00:00"/>
    <s v="CP"/>
    <n v="311"/>
    <n v="9140"/>
    <s v="FE CASABACA S.A. 000009140"/>
    <n v="0"/>
    <n v="514.41999999999996"/>
    <n v="-36146.35"/>
  </r>
  <r>
    <x v="6"/>
    <x v="6"/>
    <s v="N"/>
    <d v="2026-02-28T00:00:00"/>
    <s v="CP"/>
    <n v="311"/>
    <n v="9140"/>
    <s v="FE CASABACA S.A. 000009140"/>
    <n v="0"/>
    <n v="462.41"/>
    <n v="-36608.76"/>
  </r>
  <r>
    <x v="6"/>
    <x v="6"/>
    <s v="N"/>
    <d v="2026-02-28T00:00:00"/>
    <s v="CP"/>
    <n v="311"/>
    <n v="9140"/>
    <s v="FE CASABACA S.A. 000009140"/>
    <n v="0"/>
    <n v="428.23"/>
    <n v="-37036.99"/>
  </r>
  <r>
    <x v="6"/>
    <x v="6"/>
    <s v="N"/>
    <d v="2026-02-28T00:00:00"/>
    <s v="CP"/>
    <n v="311"/>
    <n v="9140"/>
    <s v="FE CASABACA S.A. 000009140"/>
    <n v="0"/>
    <n v="462.41"/>
    <n v="-37499.4"/>
  </r>
  <r>
    <x v="6"/>
    <x v="6"/>
    <s v="N"/>
    <d v="2026-02-28T00:00:00"/>
    <s v="CP"/>
    <n v="311"/>
    <n v="9140"/>
    <s v="FE CASABACA S.A. 000009140"/>
    <n v="0"/>
    <n v="428.23"/>
    <n v="-37927.629999999997"/>
  </r>
  <r>
    <x v="6"/>
    <x v="6"/>
    <s v="N"/>
    <d v="2026-02-28T00:00:00"/>
    <s v="CP"/>
    <n v="311"/>
    <n v="9140"/>
    <s v="FE CASABACA S.A. 000009140"/>
    <n v="0"/>
    <n v="381.9"/>
    <n v="-38309.53"/>
  </r>
  <r>
    <x v="6"/>
    <x v="6"/>
    <s v="N"/>
    <d v="2026-02-28T00:00:00"/>
    <s v="CP"/>
    <n v="311"/>
    <n v="9140"/>
    <s v="FE CASABACA S.A. 000009140"/>
    <n v="0"/>
    <n v="381.9"/>
    <n v="-38691.43"/>
  </r>
  <r>
    <x v="6"/>
    <x v="6"/>
    <s v="N"/>
    <d v="2026-02-28T00:00:00"/>
    <s v="CP"/>
    <n v="311"/>
    <n v="9140"/>
    <s v="FE CASABACA S.A. 000009140"/>
    <n v="0"/>
    <n v="375.25"/>
    <n v="-39066.68"/>
  </r>
  <r>
    <x v="6"/>
    <x v="6"/>
    <s v="N"/>
    <d v="2026-02-28T00:00:00"/>
    <s v="CP"/>
    <n v="311"/>
    <n v="9141"/>
    <s v="FE CASABACA S.A. 000009141"/>
    <n v="0"/>
    <n v="683.91"/>
    <n v="-39750.589999999997"/>
  </r>
  <r>
    <x v="6"/>
    <x v="6"/>
    <s v="N"/>
    <d v="2026-02-28T00:00:00"/>
    <s v="CP"/>
    <n v="311"/>
    <n v="9141"/>
    <s v="FE CASABACA S.A. 000009141"/>
    <n v="0"/>
    <n v="428.23"/>
    <n v="-40178.82"/>
  </r>
  <r>
    <x v="6"/>
    <x v="6"/>
    <s v="N"/>
    <d v="2026-02-28T00:00:00"/>
    <s v="CP"/>
    <n v="311"/>
    <n v="101378"/>
    <s v="FE CONSORCIO DEL PICHINCHA S.A 000101378"/>
    <n v="0"/>
    <n v="169.57"/>
    <n v="-40348.39"/>
  </r>
  <r>
    <x v="6"/>
    <x v="6"/>
    <s v="N"/>
    <d v="2026-02-28T00:00:00"/>
    <s v="CP"/>
    <n v="311"/>
    <n v="101380"/>
    <s v="FE CONSORCIO DEL PICHINCHA S.A 000101380"/>
    <n v="0"/>
    <n v="169.57"/>
    <n v="-40517.96"/>
  </r>
  <r>
    <x v="6"/>
    <x v="6"/>
    <s v="N"/>
    <d v="2026-02-28T00:00:00"/>
    <s v="CP"/>
    <n v="311"/>
    <n v="101382"/>
    <s v="FE CONSORCIO DEL PICHINCHA S.A 000101382"/>
    <n v="0"/>
    <n v="169.57"/>
    <n v="-40687.53"/>
  </r>
  <r>
    <x v="6"/>
    <x v="6"/>
    <s v="N"/>
    <d v="2026-02-28T00:00:00"/>
    <s v="CP"/>
    <n v="311"/>
    <n v="101384"/>
    <s v="FE CONSORCIO DEL PICHINCHA S.A 000101384"/>
    <n v="0"/>
    <n v="169.57"/>
    <n v="-40857.1"/>
  </r>
  <r>
    <x v="6"/>
    <x v="6"/>
    <s v="N"/>
    <d v="2026-02-28T00:00:00"/>
    <s v="CP"/>
    <n v="311"/>
    <n v="101386"/>
    <s v="FE CONSORCIO DEL PICHINCHA S.A 000101386"/>
    <n v="0"/>
    <n v="169.57"/>
    <n v="-41026.67"/>
  </r>
  <r>
    <x v="6"/>
    <x v="6"/>
    <s v="N"/>
    <d v="2026-02-28T00:00:00"/>
    <s v="CP"/>
    <n v="311"/>
    <n v="101388"/>
    <s v="FE CONSORCIO DEL PICHINCHA S.A 000101388"/>
    <n v="0"/>
    <n v="169.57"/>
    <n v="-41196.239999999998"/>
  </r>
  <r>
    <x v="6"/>
    <x v="6"/>
    <s v="N"/>
    <d v="2026-02-28T00:00:00"/>
    <s v="CP"/>
    <n v="311"/>
    <n v="101392"/>
    <s v="FE CONSORCIO DEL PICHINCHA S.A 000101392"/>
    <n v="0"/>
    <n v="97.83"/>
    <n v="-41294.07"/>
  </r>
  <r>
    <x v="6"/>
    <x v="6"/>
    <s v="N"/>
    <d v="2026-02-28T00:00:00"/>
    <s v="CP"/>
    <n v="311"/>
    <n v="101394"/>
    <s v="FE CONSORCIO DEL PICHINCHA S.A 000101394"/>
    <n v="0"/>
    <n v="97.83"/>
    <n v="-41391.9"/>
  </r>
  <r>
    <x v="6"/>
    <x v="6"/>
    <s v="N"/>
    <d v="2026-02-28T00:00:00"/>
    <s v="CP"/>
    <n v="311"/>
    <n v="101401"/>
    <s v="FE CONSORCIO DEL PICHINCHA S.A 000101401"/>
    <n v="0"/>
    <n v="97.83"/>
    <n v="-41489.730000000003"/>
  </r>
  <r>
    <x v="6"/>
    <x v="6"/>
    <s v="N"/>
    <d v="2026-02-28T00:00:00"/>
    <s v="CP"/>
    <n v="311"/>
    <n v="101403"/>
    <s v="FE CONSORCIO DEL PICHINCHA S.A 000101403"/>
    <n v="0"/>
    <n v="97.83"/>
    <n v="-41587.56"/>
  </r>
  <r>
    <x v="6"/>
    <x v="6"/>
    <s v="N"/>
    <d v="2026-02-28T00:00:00"/>
    <s v="CP"/>
    <n v="311"/>
    <n v="101405"/>
    <s v="FE CONSORCIO DEL PICHINCHA S.A 000101405"/>
    <n v="0"/>
    <n v="97.83"/>
    <n v="-41685.39"/>
  </r>
  <r>
    <x v="6"/>
    <x v="6"/>
    <s v="N"/>
    <d v="2026-02-28T00:00:00"/>
    <s v="CP"/>
    <n v="311"/>
    <n v="101407"/>
    <s v="FE CONSORCIO DEL PICHINCHA S.A 000101407"/>
    <n v="0"/>
    <n v="97.83"/>
    <n v="-41783.22"/>
  </r>
  <r>
    <x v="6"/>
    <x v="6"/>
    <s v="N"/>
    <d v="2026-02-28T00:00:00"/>
    <s v="CP"/>
    <n v="311"/>
    <n v="101410"/>
    <s v="FE CONSORCIO DEL PICHINCHA S.A 000101410"/>
    <n v="0"/>
    <n v="169.57"/>
    <n v="-41952.79"/>
  </r>
  <r>
    <x v="6"/>
    <x v="6"/>
    <s v="N"/>
    <d v="2026-02-28T00:00:00"/>
    <s v="CP"/>
    <n v="311"/>
    <n v="101412"/>
    <s v="FE CONSORCIO DEL PICHINCHA S.A 000101412"/>
    <n v="0"/>
    <n v="169.57"/>
    <n v="-42122.36"/>
  </r>
  <r>
    <x v="6"/>
    <x v="6"/>
    <s v="N"/>
    <d v="2026-02-28T00:00:00"/>
    <s v="CP"/>
    <n v="311"/>
    <n v="101414"/>
    <s v="FE CONSORCIO DEL PICHINCHA S.A 000101414"/>
    <n v="0"/>
    <n v="169.57"/>
    <n v="-42291.93"/>
  </r>
  <r>
    <x v="6"/>
    <x v="6"/>
    <s v="N"/>
    <d v="2026-02-28T00:00:00"/>
    <s v="CP"/>
    <n v="311"/>
    <n v="101416"/>
    <s v="FE CONSORCIO DEL PICHINCHA S.A 000101416"/>
    <n v="0"/>
    <n v="117.39"/>
    <n v="-42409.32"/>
  </r>
  <r>
    <x v="6"/>
    <x v="6"/>
    <s v="N"/>
    <d v="2026-02-28T00:00:00"/>
    <s v="CP"/>
    <n v="311"/>
    <n v="101418"/>
    <s v="FE CONSORCIO DEL PICHINCHA S.A 000101418"/>
    <n v="0"/>
    <n v="117.39"/>
    <n v="-42526.71"/>
  </r>
  <r>
    <x v="6"/>
    <x v="6"/>
    <s v="N"/>
    <d v="2026-02-28T00:00:00"/>
    <s v="CP"/>
    <n v="311"/>
    <n v="101420"/>
    <s v="FE CONSORCIO DEL PICHINCHA S.A 000101420"/>
    <n v="0"/>
    <n v="97.83"/>
    <n v="-42624.54"/>
  </r>
  <r>
    <x v="6"/>
    <x v="6"/>
    <s v="N"/>
    <d v="2026-02-28T00:00:00"/>
    <s v="CP"/>
    <n v="311"/>
    <n v="101422"/>
    <s v="FE CONSORCIO DEL PICHINCHA S.A 000101422"/>
    <n v="0"/>
    <n v="97.83"/>
    <n v="-42722.37"/>
  </r>
  <r>
    <x v="6"/>
    <x v="6"/>
    <s v="N"/>
    <d v="2026-02-28T00:00:00"/>
    <s v="CP"/>
    <n v="311"/>
    <n v="101424"/>
    <s v="FE CONSORCIO DEL PICHINCHA S.A 000101424"/>
    <n v="0"/>
    <n v="97.83"/>
    <n v="-42820.2"/>
  </r>
  <r>
    <x v="6"/>
    <x v="6"/>
    <s v="N"/>
    <d v="2026-02-05T00:00:00"/>
    <s v="CP"/>
    <n v="57"/>
    <n v="3181"/>
    <s v="FE SZK DEL ECUADOR S.A. 000003181"/>
    <n v="0"/>
    <n v="331.67"/>
    <n v="-43151.87"/>
  </r>
  <r>
    <x v="6"/>
    <x v="6"/>
    <s v="N"/>
    <d v="2026-02-08T00:00:00"/>
    <s v="CP"/>
    <n v="70"/>
    <n v="730023"/>
    <s v="FE COMERCIAL KYWI S.A. 000730023"/>
    <n v="0"/>
    <n v="1.1100000000000001"/>
    <n v="-43152.98"/>
  </r>
  <r>
    <x v="6"/>
    <x v="6"/>
    <s v="N"/>
    <d v="2026-02-12T00:00:00"/>
    <s v="INVEN"/>
    <n v="120"/>
    <n v="31419"/>
    <s v="IN CASABACA S.A.  000031419"/>
    <n v="0"/>
    <n v="39.89"/>
    <n v="-43192.87"/>
  </r>
  <r>
    <x v="6"/>
    <x v="6"/>
    <s v="N"/>
    <d v="2026-02-12T00:00:00"/>
    <s v="INVEN"/>
    <n v="120"/>
    <n v="31420"/>
    <s v="IN CASABACA S.A.  000031420"/>
    <n v="0"/>
    <n v="39.89"/>
    <n v="-43232.76"/>
  </r>
  <r>
    <x v="6"/>
    <x v="6"/>
    <s v="N"/>
    <d v="2026-02-12T00:00:00"/>
    <s v="INVEN"/>
    <n v="120"/>
    <n v="31421"/>
    <s v="IN CASABACA S.A.  000031421"/>
    <n v="0"/>
    <n v="39.89"/>
    <n v="-43272.65"/>
  </r>
  <r>
    <x v="6"/>
    <x v="6"/>
    <s v="N"/>
    <d v="2026-02-24T00:00:00"/>
    <s v="INVEN"/>
    <n v="222"/>
    <n v="1519"/>
    <s v="IN SZK DEL ECUADOR S.A. 000001519"/>
    <n v="0"/>
    <n v="10.029999999999999"/>
    <n v="-43282.68"/>
  </r>
  <r>
    <x v="6"/>
    <x v="6"/>
    <s v="N"/>
    <d v="2026-02-25T00:00:00"/>
    <s v="INVEN"/>
    <n v="230"/>
    <n v="31450"/>
    <s v="IN CASABACA S.A.  000031450"/>
    <n v="0"/>
    <n v="39.89"/>
    <n v="-43322.57"/>
  </r>
  <r>
    <x v="6"/>
    <x v="6"/>
    <s v="N"/>
    <d v="2026-02-25T00:00:00"/>
    <s v="INVEN"/>
    <n v="230"/>
    <n v="31451"/>
    <s v="IN CASABACA S.A.  000031451"/>
    <n v="0"/>
    <n v="32.99"/>
    <n v="-43355.56"/>
  </r>
  <r>
    <x v="6"/>
    <x v="6"/>
    <s v="N"/>
    <d v="2026-02-25T00:00:00"/>
    <s v="INVEN"/>
    <n v="231"/>
    <n v="1520"/>
    <s v="IN SZK DEL ECUADOR S.A. 000001520"/>
    <n v="0"/>
    <n v="36.520000000000003"/>
    <n v="-43392.08"/>
  </r>
  <r>
    <x v="6"/>
    <x v="6"/>
    <s v="N"/>
    <d v="2026-02-25T00:00:00"/>
    <s v="INVEN"/>
    <n v="231"/>
    <n v="1521"/>
    <s v="IN SZK DEL ECUADOR S.A. 000001521"/>
    <n v="0"/>
    <n v="10.029999999999999"/>
    <n v="-43402.11"/>
  </r>
  <r>
    <x v="6"/>
    <x v="6"/>
    <s v="N"/>
    <d v="2026-02-25T00:00:00"/>
    <s v="INVEN"/>
    <n v="231"/>
    <n v="1522"/>
    <s v="IN SZK DEL ECUADOR S.A. 000001522"/>
    <n v="0"/>
    <n v="66.52"/>
    <n v="-43468.63"/>
  </r>
  <r>
    <x v="6"/>
    <x v="6"/>
    <s v="N"/>
    <d v="2026-02-26T00:00:00"/>
    <s v="INVEN"/>
    <n v="256"/>
    <n v="31458"/>
    <s v="IN CASABACA S.A.  000031458"/>
    <n v="0"/>
    <n v="34.01"/>
    <n v="-43502.64"/>
  </r>
  <r>
    <x v="6"/>
    <x v="6"/>
    <s v="N"/>
    <d v="2026-02-26T00:00:00"/>
    <s v="INVEN"/>
    <n v="256"/>
    <n v="31459"/>
    <s v="IN CASABACA S.A.  000031459"/>
    <n v="0"/>
    <n v="34.01"/>
    <n v="-43536.65"/>
  </r>
  <r>
    <x v="6"/>
    <x v="6"/>
    <s v="N"/>
    <d v="2026-02-26T00:00:00"/>
    <s v="INVEN"/>
    <n v="256"/>
    <n v="31460"/>
    <s v="IN CASABACA S.A.  000031460"/>
    <n v="0"/>
    <n v="34.01"/>
    <n v="-43570.66"/>
  </r>
  <r>
    <x v="6"/>
    <x v="6"/>
    <s v="N"/>
    <d v="2026-02-26T00:00:00"/>
    <s v="INVEN"/>
    <n v="256"/>
    <n v="31461"/>
    <s v="IN CASABACA S.A.  000031461"/>
    <n v="0"/>
    <n v="34.01"/>
    <n v="-43604.67"/>
  </r>
  <r>
    <x v="6"/>
    <x v="6"/>
    <s v="N"/>
    <d v="2026-02-26T00:00:00"/>
    <s v="INVEN"/>
    <n v="256"/>
    <n v="31462"/>
    <s v="IN CASABACA S.A.  000031462"/>
    <n v="0"/>
    <n v="34.01"/>
    <n v="-43638.68"/>
  </r>
  <r>
    <x v="6"/>
    <x v="6"/>
    <s v="N"/>
    <d v="2026-02-26T00:00:00"/>
    <s v="INVEN"/>
    <n v="257"/>
    <n v="1523"/>
    <s v="IN SZK DEL ECUADOR S.A. 000001523"/>
    <n v="0"/>
    <n v="22.17"/>
    <n v="-43660.85"/>
  </r>
  <r>
    <x v="6"/>
    <x v="6"/>
    <s v="N"/>
    <d v="2026-02-27T00:00:00"/>
    <s v="INVEN"/>
    <n v="260"/>
    <n v="385"/>
    <s v="IN SZK DEL ECUADOR S.A. 000000385"/>
    <n v="0"/>
    <n v="23.85"/>
    <n v="-43684.7"/>
  </r>
  <r>
    <x v="6"/>
    <x v="6"/>
    <s v="N"/>
    <d v="2026-02-27T00:00:00"/>
    <s v="INVEN"/>
    <n v="260"/>
    <n v="1524"/>
    <s v="IN SZK DEL ECUADOR S.A. 000001524"/>
    <n v="0"/>
    <n v="31.1"/>
    <n v="-43715.8"/>
  </r>
  <r>
    <x v="6"/>
    <x v="6"/>
    <s v="N"/>
    <d v="2026-02-27T00:00:00"/>
    <s v="INVEN"/>
    <n v="260"/>
    <n v="1525"/>
    <s v="IN SZK DEL ECUADOR S.A. 000001525"/>
    <n v="0"/>
    <n v="22.17"/>
    <n v="-43737.97"/>
  </r>
  <r>
    <x v="6"/>
    <x v="6"/>
    <s v="N"/>
    <d v="2026-02-27T00:00:00"/>
    <s v="INVEN"/>
    <n v="260"/>
    <n v="1526"/>
    <s v="IN SZK DEL ECUADOR S.A. 000001526"/>
    <n v="0"/>
    <n v="22.17"/>
    <n v="-43760.14"/>
  </r>
  <r>
    <x v="6"/>
    <x v="6"/>
    <s v="N"/>
    <d v="2026-02-28T00:00:00"/>
    <s v="INVEN"/>
    <n v="262"/>
    <n v="31483"/>
    <s v="IN CASABACA S.A.  000031483"/>
    <n v="0"/>
    <n v="34.01"/>
    <n v="-43794.15"/>
  </r>
  <r>
    <x v="6"/>
    <x v="6"/>
    <s v="N"/>
    <d v="2026-02-28T00:00:00"/>
    <s v="INVEN"/>
    <n v="262"/>
    <n v="31484"/>
    <s v="IN CASABACA S.A.  000031484"/>
    <n v="0"/>
    <n v="32.99"/>
    <n v="-43827.14"/>
  </r>
  <r>
    <x v="6"/>
    <x v="6"/>
    <s v="N"/>
    <d v="2026-02-28T00:00:00"/>
    <s v="INVEN"/>
    <n v="262"/>
    <n v="31485"/>
    <s v="IN CASABACA S.A.  000031485"/>
    <n v="0"/>
    <n v="35.72"/>
    <n v="-43862.86"/>
  </r>
  <r>
    <x v="6"/>
    <x v="6"/>
    <s v="N"/>
    <d v="2026-02-28T00:00:00"/>
    <s v="INVEN"/>
    <n v="262"/>
    <n v="31486"/>
    <s v="IN CASABACA S.A.  000031486"/>
    <n v="0"/>
    <n v="34.01"/>
    <n v="-43896.87"/>
  </r>
  <r>
    <x v="6"/>
    <x v="6"/>
    <s v="N"/>
    <d v="2026-02-28T00:00:00"/>
    <s v="INVEN"/>
    <n v="262"/>
    <n v="31487"/>
    <s v="IN CASABACA S.A.  000031487"/>
    <n v="0"/>
    <n v="32.99"/>
    <n v="-43929.86"/>
  </r>
  <r>
    <x v="6"/>
    <x v="6"/>
    <s v="N"/>
    <d v="2026-02-28T00:00:00"/>
    <s v="INVEN"/>
    <n v="262"/>
    <n v="31488"/>
    <s v="IN CASABACA S.A.  000031488"/>
    <n v="0"/>
    <n v="39.89"/>
    <n v="-43969.75"/>
  </r>
  <r>
    <x v="6"/>
    <x v="6"/>
    <s v="N"/>
    <d v="2026-02-05T00:00:00"/>
    <s v="INVEN"/>
    <n v="56"/>
    <n v="1518"/>
    <s v="IN SZK DEL ECUADOR S.A. 000001518"/>
    <n v="0"/>
    <n v="6.52"/>
    <n v="-43976.27"/>
  </r>
  <r>
    <x v="7"/>
    <x v="7"/>
    <s v="N"/>
    <d v="2026-02-10T00:00:00"/>
    <s v="CP"/>
    <n v="104"/>
    <n v="50774"/>
    <s v="FE ASEGURADORA DEL SUR C.A. 000050774"/>
    <n v="0"/>
    <n v="6.05"/>
    <n v="-6.05"/>
  </r>
  <r>
    <x v="7"/>
    <x v="7"/>
    <s v="N"/>
    <d v="2026-02-10T00:00:00"/>
    <s v="CP"/>
    <n v="104"/>
    <n v="50792"/>
    <s v="FE ASEGURADORA DEL SUR C.A. 000050792"/>
    <n v="0"/>
    <n v="30.24"/>
    <n v="-36.29"/>
  </r>
  <r>
    <x v="7"/>
    <x v="7"/>
    <s v="N"/>
    <d v="2026-02-11T00:00:00"/>
    <s v="CP"/>
    <n v="105"/>
    <n v="226448"/>
    <s v="FE FIDEVAL S.A 000226448"/>
    <n v="0"/>
    <n v="11.4"/>
    <n v="-47.69"/>
  </r>
  <r>
    <x v="7"/>
    <x v="7"/>
    <s v="N"/>
    <d v="2026-02-11T00:00:00"/>
    <s v="CP"/>
    <n v="105"/>
    <n v="226449"/>
    <s v="FE FIDEVAL S.A 000226449"/>
    <n v="0"/>
    <n v="4.1900000000000004"/>
    <n v="-51.88"/>
  </r>
  <r>
    <x v="7"/>
    <x v="7"/>
    <s v="N"/>
    <d v="2026-02-12T00:00:00"/>
    <s v="CP"/>
    <n v="121"/>
    <n v="17835092"/>
    <s v="FE ASEGURADORA DEL SUR C.A. 017835092"/>
    <n v="0"/>
    <n v="49.33"/>
    <n v="-101.21"/>
  </r>
  <r>
    <x v="7"/>
    <x v="7"/>
    <s v="N"/>
    <d v="2026-02-12T00:00:00"/>
    <s v="CP"/>
    <n v="121"/>
    <s v="A017835055"/>
    <s v="FE ASEGURADORA DEL SUR C.A. A017835055"/>
    <n v="0"/>
    <n v="49.33"/>
    <n v="-150.54"/>
  </r>
  <r>
    <x v="7"/>
    <x v="7"/>
    <s v="N"/>
    <d v="2026-02-18T00:00:00"/>
    <s v="CP"/>
    <n v="160"/>
    <n v="29230"/>
    <s v="FE KMSOLUTIONS S.A. 000029230"/>
    <n v="0"/>
    <n v="23.53"/>
    <n v="-174.07"/>
  </r>
  <r>
    <x v="7"/>
    <x v="7"/>
    <s v="N"/>
    <d v="2026-02-22T00:00:00"/>
    <s v="CP"/>
    <n v="202"/>
    <n v="131697"/>
    <s v="FE SERVIENTREGA ECUADOR S.A. 000131697"/>
    <n v="0"/>
    <n v="7.39"/>
    <n v="-181.46"/>
  </r>
  <r>
    <x v="7"/>
    <x v="7"/>
    <s v="N"/>
    <d v="2026-02-22T00:00:00"/>
    <s v="CP"/>
    <n v="202"/>
    <n v="17835055"/>
    <s v="ND ASEGURADORA DEL SUR C.A. 017835055"/>
    <n v="49.33"/>
    <n v="0"/>
    <n v="-132.13"/>
  </r>
  <r>
    <x v="7"/>
    <x v="7"/>
    <s v="N"/>
    <d v="2026-02-23T00:00:00"/>
    <s v="CP"/>
    <n v="205"/>
    <n v="227570"/>
    <s v="FE FIDEVAL S.A 000227570"/>
    <n v="0"/>
    <n v="4.2"/>
    <n v="-136.33000000000001"/>
  </r>
  <r>
    <x v="7"/>
    <x v="7"/>
    <s v="N"/>
    <d v="2026-02-23T00:00:00"/>
    <s v="CP"/>
    <n v="205"/>
    <n v="227571"/>
    <s v="FE FIDEVAL S.A 000227571"/>
    <n v="0"/>
    <n v="4.1900000000000004"/>
    <n v="-140.52000000000001"/>
  </r>
  <r>
    <x v="7"/>
    <x v="7"/>
    <s v="N"/>
    <d v="2026-02-26T00:00:00"/>
    <s v="CP"/>
    <n v="258"/>
    <n v="101391"/>
    <s v="FE CONSORCIO DEL PICHINCHA S.A 000101391"/>
    <n v="0"/>
    <n v="3.26"/>
    <n v="-143.78"/>
  </r>
  <r>
    <x v="7"/>
    <x v="7"/>
    <s v="N"/>
    <d v="2026-02-26T00:00:00"/>
    <s v="CP"/>
    <n v="258"/>
    <n v="101400"/>
    <s v="FE CONSORCIO DEL PICHINCHA S.A 000101400"/>
    <n v="0"/>
    <n v="3.26"/>
    <n v="-147.04"/>
  </r>
  <r>
    <x v="7"/>
    <x v="7"/>
    <s v="N"/>
    <d v="2026-02-02T00:00:00"/>
    <s v="CP"/>
    <n v="29"/>
    <n v="423457"/>
    <s v="FE TELCONET S.A 000423457"/>
    <n v="0"/>
    <n v="11.16"/>
    <n v="-158.19999999999999"/>
  </r>
  <r>
    <x v="7"/>
    <x v="7"/>
    <s v="N"/>
    <d v="2026-02-28T00:00:00"/>
    <s v="CP"/>
    <n v="311"/>
    <n v="101379"/>
    <s v="FE CONSORCIO DEL PICHINCHA S.A 000101379"/>
    <n v="0"/>
    <n v="3.26"/>
    <n v="-161.46"/>
  </r>
  <r>
    <x v="7"/>
    <x v="7"/>
    <s v="N"/>
    <d v="2026-02-28T00:00:00"/>
    <s v="CP"/>
    <n v="311"/>
    <n v="101381"/>
    <s v="FE CONSORCIO DEL PICHINCHA S.A 000101381"/>
    <n v="0"/>
    <n v="3.26"/>
    <n v="-164.72"/>
  </r>
  <r>
    <x v="7"/>
    <x v="7"/>
    <s v="N"/>
    <d v="2026-02-28T00:00:00"/>
    <s v="CP"/>
    <n v="311"/>
    <n v="101383"/>
    <s v="FE CONSORCIO DEL PICHINCHA S.A 000101383"/>
    <n v="0"/>
    <n v="3.26"/>
    <n v="-167.98"/>
  </r>
  <r>
    <x v="7"/>
    <x v="7"/>
    <s v="N"/>
    <d v="2026-02-28T00:00:00"/>
    <s v="CP"/>
    <n v="311"/>
    <n v="101385"/>
    <s v="FE CONSORCIO DEL PICHINCHA S.A 000101385"/>
    <n v="0"/>
    <n v="3.26"/>
    <n v="-171.24"/>
  </r>
  <r>
    <x v="7"/>
    <x v="7"/>
    <s v="N"/>
    <d v="2026-02-28T00:00:00"/>
    <s v="CP"/>
    <n v="311"/>
    <n v="101387"/>
    <s v="FE CONSORCIO DEL PICHINCHA S.A 000101387"/>
    <n v="0"/>
    <n v="3.26"/>
    <n v="-174.5"/>
  </r>
  <r>
    <x v="7"/>
    <x v="7"/>
    <s v="N"/>
    <d v="2026-02-28T00:00:00"/>
    <s v="CP"/>
    <n v="311"/>
    <n v="101389"/>
    <s v="FE CONSORCIO DEL PICHINCHA S.A 000101389"/>
    <n v="0"/>
    <n v="3.26"/>
    <n v="-177.76"/>
  </r>
  <r>
    <x v="7"/>
    <x v="7"/>
    <s v="N"/>
    <d v="2026-02-28T00:00:00"/>
    <s v="CP"/>
    <n v="311"/>
    <n v="101393"/>
    <s v="FE CONSORCIO DEL PICHINCHA S.A 000101393"/>
    <n v="0"/>
    <n v="3.26"/>
    <n v="-181.02"/>
  </r>
  <r>
    <x v="7"/>
    <x v="7"/>
    <s v="N"/>
    <d v="2026-02-28T00:00:00"/>
    <s v="CP"/>
    <n v="311"/>
    <n v="101395"/>
    <s v="FE CONSORCIO DEL PICHINCHA S.A 000101395"/>
    <n v="0"/>
    <n v="3.26"/>
    <n v="-184.28"/>
  </r>
  <r>
    <x v="7"/>
    <x v="7"/>
    <s v="N"/>
    <d v="2026-02-28T00:00:00"/>
    <s v="CP"/>
    <n v="311"/>
    <n v="101402"/>
    <s v="FE CONSORCIO DEL PICHINCHA S.A 000101402"/>
    <n v="0"/>
    <n v="3.26"/>
    <n v="-187.54"/>
  </r>
  <r>
    <x v="7"/>
    <x v="7"/>
    <s v="N"/>
    <d v="2026-02-28T00:00:00"/>
    <s v="CP"/>
    <n v="311"/>
    <n v="101404"/>
    <s v="FE CONSORCIO DEL PICHINCHA S.A 000101404"/>
    <n v="0"/>
    <n v="3.26"/>
    <n v="-190.8"/>
  </r>
  <r>
    <x v="7"/>
    <x v="7"/>
    <s v="N"/>
    <d v="2026-02-28T00:00:00"/>
    <s v="CP"/>
    <n v="311"/>
    <n v="101406"/>
    <s v="FE CONSORCIO DEL PICHINCHA S.A 000101406"/>
    <n v="0"/>
    <n v="3.26"/>
    <n v="-194.06"/>
  </r>
  <r>
    <x v="7"/>
    <x v="7"/>
    <s v="N"/>
    <d v="2026-02-28T00:00:00"/>
    <s v="CP"/>
    <n v="311"/>
    <n v="101408"/>
    <s v="FE CONSORCIO DEL PICHINCHA S.A 000101408"/>
    <n v="0"/>
    <n v="3.26"/>
    <n v="-197.32"/>
  </r>
  <r>
    <x v="7"/>
    <x v="7"/>
    <s v="N"/>
    <d v="2026-02-28T00:00:00"/>
    <s v="CP"/>
    <n v="311"/>
    <n v="101411"/>
    <s v="FE CONSORCIO DEL PICHINCHA S.A 000101411"/>
    <n v="0"/>
    <n v="3.26"/>
    <n v="-200.58"/>
  </r>
  <r>
    <x v="7"/>
    <x v="7"/>
    <s v="N"/>
    <d v="2026-02-28T00:00:00"/>
    <s v="CP"/>
    <n v="311"/>
    <n v="101413"/>
    <s v="FE CONSORCIO DEL PICHINCHA S.A 000101413"/>
    <n v="0"/>
    <n v="3.26"/>
    <n v="-203.84"/>
  </r>
  <r>
    <x v="7"/>
    <x v="7"/>
    <s v="N"/>
    <d v="2026-02-28T00:00:00"/>
    <s v="CP"/>
    <n v="311"/>
    <n v="101415"/>
    <s v="FE CONSORCIO DEL PICHINCHA S.A 000101415"/>
    <n v="0"/>
    <n v="3.26"/>
    <n v="-207.1"/>
  </r>
  <r>
    <x v="7"/>
    <x v="7"/>
    <s v="N"/>
    <d v="2026-02-28T00:00:00"/>
    <s v="CP"/>
    <n v="311"/>
    <n v="101417"/>
    <s v="FE CONSORCIO DEL PICHINCHA S.A 000101417"/>
    <n v="0"/>
    <n v="3.26"/>
    <n v="-210.36"/>
  </r>
  <r>
    <x v="7"/>
    <x v="7"/>
    <s v="N"/>
    <d v="2026-02-28T00:00:00"/>
    <s v="CP"/>
    <n v="311"/>
    <n v="101419"/>
    <s v="FE CONSORCIO DEL PICHINCHA S.A 000101419"/>
    <n v="0"/>
    <n v="3.26"/>
    <n v="-213.62"/>
  </r>
  <r>
    <x v="7"/>
    <x v="7"/>
    <s v="N"/>
    <d v="2026-02-28T00:00:00"/>
    <s v="CP"/>
    <n v="311"/>
    <n v="101421"/>
    <s v="FE CONSORCIO DEL PICHINCHA S.A 000101421"/>
    <n v="0"/>
    <n v="3.26"/>
    <n v="-216.88"/>
  </r>
  <r>
    <x v="7"/>
    <x v="7"/>
    <s v="N"/>
    <d v="2026-02-28T00:00:00"/>
    <s v="CP"/>
    <n v="311"/>
    <n v="101423"/>
    <s v="FE CONSORCIO DEL PICHINCHA S.A 000101423"/>
    <n v="0"/>
    <n v="3.26"/>
    <n v="-220.14"/>
  </r>
  <r>
    <x v="7"/>
    <x v="7"/>
    <s v="N"/>
    <d v="2026-02-28T00:00:00"/>
    <s v="CP"/>
    <n v="311"/>
    <n v="101425"/>
    <s v="FE CONSORCIO DEL PICHINCHA S.A 000101425"/>
    <n v="0"/>
    <n v="3.26"/>
    <n v="-223.4"/>
  </r>
  <r>
    <x v="7"/>
    <x v="7"/>
    <s v="N"/>
    <d v="2026-02-05T00:00:00"/>
    <s v="CP"/>
    <n v="57"/>
    <n v="50763"/>
    <s v="FE ASEGURADORA DEL SUR C.A. 000050763"/>
    <n v="0"/>
    <n v="14.56"/>
    <n v="-237.96"/>
  </r>
  <r>
    <x v="7"/>
    <x v="7"/>
    <s v="N"/>
    <d v="2026-02-05T00:00:00"/>
    <s v="CP"/>
    <n v="57"/>
    <n v="123259"/>
    <s v="FE LAAR CIA. LTDA. 000123259"/>
    <n v="0"/>
    <n v="1.02"/>
    <n v="-238.98"/>
  </r>
  <r>
    <x v="7"/>
    <x v="7"/>
    <s v="N"/>
    <d v="2026-02-05T00:00:00"/>
    <s v="CP"/>
    <n v="57"/>
    <n v="123260"/>
    <s v="FE LAAR CIA. LTDA. 000123260"/>
    <n v="0"/>
    <n v="2.0699999999999998"/>
    <n v="-241.05"/>
  </r>
  <r>
    <x v="7"/>
    <x v="7"/>
    <s v="N"/>
    <d v="2026-02-09T00:00:00"/>
    <s v="CP"/>
    <n v="84"/>
    <n v="932"/>
    <s v="FE CENTRO DE SERVICIOS COMPART 000000932"/>
    <n v="0"/>
    <n v="48.13"/>
    <n v="-289.18"/>
  </r>
  <r>
    <x v="8"/>
    <x v="8"/>
    <s v="N"/>
    <d v="2026-02-10T00:00:00"/>
    <s v="CP"/>
    <n v="104"/>
    <n v="413"/>
    <s v="FE LAYOUT S.A. 000000413"/>
    <n v="0"/>
    <n v="55.41"/>
    <n v="-55.41"/>
  </r>
  <r>
    <x v="8"/>
    <x v="8"/>
    <s v="N"/>
    <d v="2026-02-10T00:00:00"/>
    <s v="CP"/>
    <n v="104"/>
    <n v="14882"/>
    <s v="FE TOYOTASERVICIOS S.A. 000014882"/>
    <n v="0"/>
    <n v="5.85"/>
    <n v="-61.26"/>
  </r>
  <r>
    <x v="8"/>
    <x v="8"/>
    <s v="N"/>
    <d v="2026-02-12T00:00:00"/>
    <s v="CP"/>
    <n v="121"/>
    <n v="6871"/>
    <s v="FE TOYOTASERVICIOS S.A. 000006871"/>
    <n v="0"/>
    <n v="5.69"/>
    <n v="-66.95"/>
  </r>
  <r>
    <x v="8"/>
    <x v="8"/>
    <s v="N"/>
    <d v="2026-02-12T00:00:00"/>
    <s v="CP"/>
    <n v="121"/>
    <n v="651"/>
    <s v="FE YANGTSE-AUTO DEL ECUADOR S. 000000651"/>
    <n v="0"/>
    <n v="629.14"/>
    <n v="-696.09"/>
  </r>
  <r>
    <x v="8"/>
    <x v="8"/>
    <s v="N"/>
    <d v="2026-02-14T00:00:00"/>
    <s v="CP"/>
    <n v="123"/>
    <n v="659"/>
    <s v="FE YANGTSE-AUTO DEL ECUADOR S. 000000659"/>
    <n v="0"/>
    <n v="615.85"/>
    <n v="-1311.94"/>
  </r>
  <r>
    <x v="8"/>
    <x v="8"/>
    <s v="N"/>
    <d v="2026-02-14T00:00:00"/>
    <s v="CP"/>
    <n v="123"/>
    <n v="660"/>
    <s v="FE YANGTSE-AUTO DEL ECUADOR S. 000000660"/>
    <n v="0"/>
    <n v="615.85"/>
    <n v="-1927.79"/>
  </r>
  <r>
    <x v="8"/>
    <x v="8"/>
    <s v="N"/>
    <d v="2026-02-14T00:00:00"/>
    <s v="CP"/>
    <n v="123"/>
    <n v="661"/>
    <s v="FE YANGTSE-AUTO DEL ECUADOR S. 000000661"/>
    <n v="0"/>
    <n v="615.85"/>
    <n v="-2543.64"/>
  </r>
  <r>
    <x v="8"/>
    <x v="8"/>
    <s v="N"/>
    <d v="2026-02-14T00:00:00"/>
    <s v="CP"/>
    <n v="123"/>
    <n v="662"/>
    <s v="FE YANGTSE-AUTO DEL ECUADOR S. 000000662"/>
    <n v="0"/>
    <n v="615.85"/>
    <n v="-3159.49"/>
  </r>
  <r>
    <x v="8"/>
    <x v="8"/>
    <s v="N"/>
    <d v="2026-02-14T00:00:00"/>
    <s v="CP"/>
    <n v="123"/>
    <n v="664"/>
    <s v="FE YANGTSE-AUTO DEL ECUADOR S. 000000664"/>
    <n v="0"/>
    <n v="615.85"/>
    <n v="-3775.34"/>
  </r>
  <r>
    <x v="8"/>
    <x v="8"/>
    <s v="N"/>
    <d v="2026-02-18T00:00:00"/>
    <s v="CP"/>
    <n v="160"/>
    <n v="1096"/>
    <s v="FE GARCES REA JAVIER ALEJANDRO 000001096"/>
    <n v="0"/>
    <n v="45"/>
    <n v="-3820.34"/>
  </r>
  <r>
    <x v="8"/>
    <x v="8"/>
    <s v="N"/>
    <d v="2026-02-18T00:00:00"/>
    <s v="CP"/>
    <n v="160"/>
    <n v="5950"/>
    <s v="FE LALAMA MORALES CARMEN GUADA 000005950"/>
    <n v="0"/>
    <n v="0.92"/>
    <n v="-3821.26"/>
  </r>
  <r>
    <x v="8"/>
    <x v="8"/>
    <s v="N"/>
    <d v="2026-02-18T00:00:00"/>
    <s v="CP"/>
    <n v="160"/>
    <n v="3622"/>
    <s v="FE PAEZ ORTIZ CHRISTIAN GONZAL 000003622"/>
    <n v="0"/>
    <n v="3.15"/>
    <n v="-3824.41"/>
  </r>
  <r>
    <x v="8"/>
    <x v="8"/>
    <s v="N"/>
    <d v="2026-02-18T00:00:00"/>
    <s v="CP"/>
    <n v="160"/>
    <n v="3630"/>
    <s v="FE PAEZ ORTIZ CHRISTIAN GONZAL 000003630"/>
    <n v="0"/>
    <n v="4.16"/>
    <n v="-3828.57"/>
  </r>
  <r>
    <x v="8"/>
    <x v="8"/>
    <s v="N"/>
    <d v="2026-02-18T00:00:00"/>
    <s v="CP"/>
    <n v="160"/>
    <n v="3631"/>
    <s v="FE PAEZ ORTIZ CHRISTIAN GONZAL 000003631"/>
    <n v="0"/>
    <n v="10.46"/>
    <n v="-3839.03"/>
  </r>
  <r>
    <x v="8"/>
    <x v="8"/>
    <s v="N"/>
    <d v="2026-02-18T00:00:00"/>
    <s v="CP"/>
    <n v="160"/>
    <n v="3632"/>
    <s v="FE PAEZ ORTIZ CHRISTIAN GONZAL 000003632"/>
    <n v="0"/>
    <n v="13.46"/>
    <n v="-3852.49"/>
  </r>
  <r>
    <x v="8"/>
    <x v="8"/>
    <s v="N"/>
    <d v="2026-02-18T00:00:00"/>
    <s v="CP"/>
    <n v="160"/>
    <n v="3633"/>
    <s v="FE PAEZ ORTIZ CHRISTIAN GONZAL 000003633"/>
    <n v="0"/>
    <n v="5.76"/>
    <n v="-3858.25"/>
  </r>
  <r>
    <x v="8"/>
    <x v="8"/>
    <s v="N"/>
    <d v="2026-02-18T00:00:00"/>
    <s v="CP"/>
    <n v="160"/>
    <n v="3634"/>
    <s v="FE PAEZ ORTIZ CHRISTIAN GONZAL 000003634"/>
    <n v="0"/>
    <n v="10.37"/>
    <n v="-3868.62"/>
  </r>
  <r>
    <x v="8"/>
    <x v="8"/>
    <s v="N"/>
    <d v="2026-02-18T00:00:00"/>
    <s v="CP"/>
    <n v="160"/>
    <n v="6894"/>
    <s v="FE TOYOTASERVICIOS S.A. 000006894"/>
    <n v="0"/>
    <n v="1.34"/>
    <n v="-3869.96"/>
  </r>
  <r>
    <x v="8"/>
    <x v="8"/>
    <s v="N"/>
    <d v="2026-02-22T00:00:00"/>
    <s v="CP"/>
    <n v="202"/>
    <n v="7371"/>
    <s v="FE ARELLANO YEPEZ ANDRES FERNA 000007371"/>
    <n v="0"/>
    <n v="9.4499999999999993"/>
    <n v="-3879.41"/>
  </r>
  <r>
    <x v="8"/>
    <x v="8"/>
    <s v="N"/>
    <d v="2026-02-22T00:00:00"/>
    <s v="CP"/>
    <n v="202"/>
    <n v="178"/>
    <s v="FE FILLIPPO SANCHEZ ALEXANDER 000000178"/>
    <n v="0"/>
    <n v="495.72"/>
    <n v="-4375.13"/>
  </r>
  <r>
    <x v="8"/>
    <x v="8"/>
    <s v="N"/>
    <d v="2026-02-22T00:00:00"/>
    <s v="CP"/>
    <n v="202"/>
    <n v="5599"/>
    <s v="FE SUAREZ JACOME DOLORES FERNA 000005599"/>
    <n v="0"/>
    <n v="2.44"/>
    <n v="-4377.57"/>
  </r>
  <r>
    <x v="8"/>
    <x v="8"/>
    <s v="N"/>
    <d v="2026-02-22T00:00:00"/>
    <s v="CP"/>
    <n v="202"/>
    <n v="5600"/>
    <s v="FE SUAREZ JACOME DOLORES FERNA 000005600"/>
    <n v="0"/>
    <n v="1.65"/>
    <n v="-4379.22"/>
  </r>
  <r>
    <x v="8"/>
    <x v="8"/>
    <s v="N"/>
    <d v="2026-02-22T00:00:00"/>
    <s v="CP"/>
    <n v="202"/>
    <n v="5602"/>
    <s v="FE SUAREZ JACOME DOLORES FERNA 000005602"/>
    <n v="0"/>
    <n v="1.36"/>
    <n v="-4380.58"/>
  </r>
  <r>
    <x v="8"/>
    <x v="8"/>
    <s v="N"/>
    <d v="2026-02-22T00:00:00"/>
    <s v="CP"/>
    <n v="202"/>
    <n v="5603"/>
    <s v="FE SUAREZ JACOME DOLORES FERNA 000005603"/>
    <n v="0"/>
    <n v="2.74"/>
    <n v="-4383.32"/>
  </r>
  <r>
    <x v="8"/>
    <x v="8"/>
    <s v="N"/>
    <d v="2026-02-22T00:00:00"/>
    <s v="CP"/>
    <n v="202"/>
    <n v="5606"/>
    <s v="FE SUAREZ JACOME DOLORES FERNA 000005606"/>
    <n v="0"/>
    <n v="4.24"/>
    <n v="-4387.5600000000004"/>
  </r>
  <r>
    <x v="8"/>
    <x v="8"/>
    <s v="N"/>
    <d v="2026-02-22T00:00:00"/>
    <s v="CP"/>
    <n v="202"/>
    <n v="5607"/>
    <s v="FE SUAREZ JACOME DOLORES FERNA 000005607"/>
    <n v="0"/>
    <n v="0.93"/>
    <n v="-4388.49"/>
  </r>
  <r>
    <x v="8"/>
    <x v="8"/>
    <s v="N"/>
    <d v="2026-02-22T00:00:00"/>
    <s v="CP"/>
    <n v="202"/>
    <n v="1443"/>
    <s v="FE TOYOTASERVICIOS S.A. 000001443"/>
    <n v="0"/>
    <n v="22.48"/>
    <n v="-4410.97"/>
  </r>
  <r>
    <x v="8"/>
    <x v="8"/>
    <s v="N"/>
    <d v="2026-02-22T00:00:00"/>
    <s v="CP"/>
    <n v="202"/>
    <n v="6915"/>
    <s v="FE TOYOTASERVICIOS S.A. 000006915"/>
    <n v="0"/>
    <n v="11.7"/>
    <n v="-4422.67"/>
  </r>
  <r>
    <x v="8"/>
    <x v="8"/>
    <s v="N"/>
    <d v="2026-02-22T00:00:00"/>
    <s v="CP"/>
    <n v="202"/>
    <n v="7752"/>
    <s v="FE TOYOTASERVICIOS S.A. 000007752"/>
    <n v="0"/>
    <n v="15.73"/>
    <n v="-4438.3999999999996"/>
  </r>
  <r>
    <x v="8"/>
    <x v="8"/>
    <s v="N"/>
    <d v="2026-02-23T00:00:00"/>
    <s v="CP"/>
    <n v="205"/>
    <n v="684"/>
    <s v="FE YANGTSE-AUTO DEL ECUADOR S. 000000684"/>
    <n v="0"/>
    <n v="919.99"/>
    <n v="-5358.39"/>
  </r>
  <r>
    <x v="8"/>
    <x v="8"/>
    <s v="N"/>
    <d v="2026-02-24T00:00:00"/>
    <s v="CP"/>
    <n v="226"/>
    <n v="629"/>
    <s v="FE PALACIOS DAVALOS MARCELO ED 000000629"/>
    <n v="0"/>
    <n v="0.67"/>
    <n v="-5359.06"/>
  </r>
  <r>
    <x v="8"/>
    <x v="8"/>
    <s v="N"/>
    <d v="2026-02-26T00:00:00"/>
    <s v="CP"/>
    <n v="258"/>
    <n v="125851"/>
    <s v="FE GONZALEZ VEGA EL MOTOR CIA  000125851"/>
    <n v="0"/>
    <n v="2.58"/>
    <n v="-5361.64"/>
  </r>
  <r>
    <x v="8"/>
    <x v="8"/>
    <s v="N"/>
    <d v="2026-02-26T00:00:00"/>
    <s v="CP"/>
    <n v="258"/>
    <n v="697"/>
    <s v="FE YANGTSE-AUTO DEL ECUADOR S. 000000697"/>
    <n v="0"/>
    <n v="1318.81"/>
    <n v="-6680.45"/>
  </r>
  <r>
    <x v="8"/>
    <x v="8"/>
    <s v="N"/>
    <d v="2026-02-02T00:00:00"/>
    <s v="CP"/>
    <n v="29"/>
    <n v="31786"/>
    <s v="FE VARGAS TORRES WALTTER DARIO 000031786"/>
    <n v="0"/>
    <n v="7.65"/>
    <n v="-6688.1"/>
  </r>
  <r>
    <x v="8"/>
    <x v="8"/>
    <s v="N"/>
    <d v="2026-02-28T00:00:00"/>
    <s v="CP"/>
    <n v="311"/>
    <n v="866"/>
    <s v="FE TOYOTASERVICIOS S.A. 000000866"/>
    <n v="0"/>
    <n v="206.95"/>
    <n v="-6895.05"/>
  </r>
  <r>
    <x v="8"/>
    <x v="8"/>
    <s v="N"/>
    <d v="2026-02-28T00:00:00"/>
    <s v="CP"/>
    <n v="311"/>
    <n v="867"/>
    <s v="FE TOYOTASERVICIOS S.A. 000000867"/>
    <n v="0"/>
    <n v="42.25"/>
    <n v="-6937.3"/>
  </r>
  <r>
    <x v="8"/>
    <x v="8"/>
    <s v="N"/>
    <d v="2026-02-28T00:00:00"/>
    <s v="CP"/>
    <n v="311"/>
    <n v="53045"/>
    <s v="FE TOYOTASERVICIOS S.A. 000053045"/>
    <n v="0"/>
    <n v="0.23"/>
    <n v="-6937.53"/>
  </r>
  <r>
    <x v="8"/>
    <x v="8"/>
    <s v="N"/>
    <d v="2026-02-28T00:00:00"/>
    <s v="CP"/>
    <n v="311"/>
    <n v="714"/>
    <s v="FE YANGTSE-AUTO DEL ECUADOR S. 000000714"/>
    <n v="0"/>
    <n v="615.85"/>
    <n v="-7553.38"/>
  </r>
  <r>
    <x v="8"/>
    <x v="8"/>
    <s v="N"/>
    <d v="2026-02-28T00:00:00"/>
    <s v="CP"/>
    <n v="311"/>
    <n v="716"/>
    <s v="FE YANGTSE-AUTO DEL ECUADOR S. 000000716"/>
    <n v="0"/>
    <n v="890.03"/>
    <n v="-8443.41"/>
  </r>
  <r>
    <x v="8"/>
    <x v="8"/>
    <s v="N"/>
    <d v="2026-02-03T00:00:00"/>
    <s v="CP"/>
    <n v="37"/>
    <n v="3601"/>
    <s v="FE PAEZ ORTIZ CHRISTIAN GONZAL 000003601"/>
    <n v="0"/>
    <n v="20.7"/>
    <n v="-8464.11"/>
  </r>
  <r>
    <x v="8"/>
    <x v="8"/>
    <s v="N"/>
    <d v="2026-02-03T00:00:00"/>
    <s v="CP"/>
    <n v="37"/>
    <n v="3602"/>
    <s v="FE PAEZ ORTIZ CHRISTIAN GONZAL 000003602"/>
    <n v="0"/>
    <n v="2.16"/>
    <n v="-8466.27"/>
  </r>
  <r>
    <x v="8"/>
    <x v="8"/>
    <s v="N"/>
    <d v="2026-02-03T00:00:00"/>
    <s v="CP"/>
    <n v="37"/>
    <n v="3603"/>
    <s v="FE PAEZ ORTIZ CHRISTIAN GONZAL 000003603"/>
    <n v="0"/>
    <n v="3.42"/>
    <n v="-8469.69"/>
  </r>
  <r>
    <x v="8"/>
    <x v="8"/>
    <s v="N"/>
    <d v="2026-02-03T00:00:00"/>
    <s v="CP"/>
    <n v="37"/>
    <n v="31801"/>
    <s v="FE VARGAS TORRES WALTTER DARIO 000031801"/>
    <n v="0"/>
    <n v="22.95"/>
    <n v="-8492.64"/>
  </r>
  <r>
    <x v="8"/>
    <x v="8"/>
    <s v="N"/>
    <d v="2026-02-03T00:00:00"/>
    <s v="CP"/>
    <n v="37"/>
    <n v="1912"/>
    <s v="FE YANEZ APUANGO CRISTINA DE L 000001912"/>
    <n v="0"/>
    <n v="1.8"/>
    <n v="-8494.44"/>
  </r>
  <r>
    <x v="8"/>
    <x v="8"/>
    <s v="N"/>
    <d v="2026-02-03T00:00:00"/>
    <s v="CP"/>
    <n v="37"/>
    <n v="629"/>
    <s v="FE YANGTSE-AUTO DEL ECUADOR S. 000000629"/>
    <n v="0"/>
    <n v="592.47"/>
    <n v="-9086.91"/>
  </r>
  <r>
    <x v="8"/>
    <x v="8"/>
    <s v="N"/>
    <d v="2026-02-04T00:00:00"/>
    <s v="CP"/>
    <n v="53"/>
    <n v="52804"/>
    <s v="FE TOYOTASERVICIOS S.A. 000052804"/>
    <n v="0"/>
    <n v="2.87"/>
    <n v="-9089.7800000000007"/>
  </r>
  <r>
    <x v="8"/>
    <x v="8"/>
    <s v="N"/>
    <d v="2026-02-08T00:00:00"/>
    <s v="CP"/>
    <n v="70"/>
    <n v="1176"/>
    <s v="FE CATAÑA DIAZ ANDREA BELEN 000001176"/>
    <n v="0"/>
    <n v="4.2300000000000004"/>
    <n v="-9094.01"/>
  </r>
  <r>
    <x v="8"/>
    <x v="8"/>
    <s v="N"/>
    <d v="2026-02-08T00:00:00"/>
    <s v="CP"/>
    <n v="70"/>
    <n v="125378"/>
    <s v="FE GONZALEZ VEGA EL MOTOR CIA  000125378"/>
    <n v="0"/>
    <n v="3.51"/>
    <n v="-9097.52"/>
  </r>
  <r>
    <x v="8"/>
    <x v="8"/>
    <s v="N"/>
    <d v="2026-02-08T00:00:00"/>
    <s v="CP"/>
    <n v="70"/>
    <n v="3607"/>
    <s v="FE PAEZ ORTIZ CHRISTIAN GONZAL 000003607"/>
    <n v="0"/>
    <n v="2.7"/>
    <n v="-9100.2199999999993"/>
  </r>
  <r>
    <x v="8"/>
    <x v="8"/>
    <s v="N"/>
    <d v="2026-02-08T00:00:00"/>
    <s v="CP"/>
    <n v="70"/>
    <n v="53"/>
    <s v="FE POVEDA ALMEIDA EFRAIN ALEJA 000000053"/>
    <n v="0"/>
    <n v="3.15"/>
    <n v="-9103.3700000000008"/>
  </r>
  <r>
    <x v="8"/>
    <x v="8"/>
    <s v="N"/>
    <d v="2026-02-08T00:00:00"/>
    <s v="CP"/>
    <n v="70"/>
    <n v="54"/>
    <s v="FE POVEDA ALMEIDA EFRAIN ALEJA 000000054"/>
    <n v="0"/>
    <n v="3.15"/>
    <n v="-9106.52"/>
  </r>
  <r>
    <x v="8"/>
    <x v="8"/>
    <s v="N"/>
    <d v="2026-02-08T00:00:00"/>
    <s v="CP"/>
    <n v="70"/>
    <n v="6831"/>
    <s v="FE TOYOTASERVICIOS S.A. 000006831"/>
    <n v="0"/>
    <n v="1.4"/>
    <n v="-9107.92"/>
  </r>
  <r>
    <x v="8"/>
    <x v="8"/>
    <s v="N"/>
    <d v="2026-02-08T00:00:00"/>
    <s v="CP"/>
    <n v="70"/>
    <n v="6833"/>
    <s v="FE TOYOTASERVICIOS S.A. 000006833"/>
    <n v="0"/>
    <n v="1.34"/>
    <n v="-9109.26"/>
  </r>
  <r>
    <x v="8"/>
    <x v="8"/>
    <s v="N"/>
    <d v="2026-02-09T00:00:00"/>
    <s v="CP"/>
    <n v="84"/>
    <n v="55"/>
    <s v="FE POVEDA ALMEIDA EFRAIN ALEJA 000000055"/>
    <n v="0"/>
    <n v="3.15"/>
    <n v="-9112.41"/>
  </r>
  <r>
    <x v="8"/>
    <x v="8"/>
    <s v="N"/>
    <d v="2026-02-09T00:00:00"/>
    <s v="CP"/>
    <n v="84"/>
    <n v="640"/>
    <s v="FE YANGTSE-AUTO DEL ECUADOR S. 000000640"/>
    <n v="0"/>
    <n v="629.14"/>
    <n v="-9741.5499999999993"/>
  </r>
  <r>
    <x v="8"/>
    <x v="8"/>
    <s v="N"/>
    <d v="2026-02-10T00:00:00"/>
    <s v="INVEN"/>
    <n v="103"/>
    <n v="14881"/>
    <s v="IN TOYOTASERVICIOS S.A. 000014881"/>
    <n v="0"/>
    <n v="30.43"/>
    <n v="-9771.98"/>
  </r>
  <r>
    <x v="8"/>
    <x v="8"/>
    <s v="N"/>
    <d v="2026-02-18T00:00:00"/>
    <s v="INVEN"/>
    <n v="159"/>
    <n v="14894"/>
    <s v="IN TOYOTASERVICIOS S.A. 000014894"/>
    <n v="0"/>
    <n v="30.71"/>
    <n v="-9802.69"/>
  </r>
  <r>
    <x v="8"/>
    <x v="8"/>
    <s v="N"/>
    <d v="2026-02-18T00:00:00"/>
    <s v="INVEN"/>
    <n v="159"/>
    <n v="14895"/>
    <s v="IN TOYOTASERVICIOS S.A. 000014895"/>
    <n v="0"/>
    <n v="9.9"/>
    <n v="-9812.59"/>
  </r>
  <r>
    <x v="8"/>
    <x v="8"/>
    <s v="N"/>
    <d v="2026-02-19T00:00:00"/>
    <s v="INVEN"/>
    <n v="161"/>
    <n v="545"/>
    <s v="IN YANGTSE-AUTO DEL ECUADOR S.A. 000000545"/>
    <n v="0"/>
    <n v="1.17"/>
    <n v="-9813.76"/>
  </r>
  <r>
    <x v="8"/>
    <x v="8"/>
    <s v="N"/>
    <d v="2026-02-23T00:00:00"/>
    <s v="INVEN"/>
    <n v="203"/>
    <n v="561"/>
    <s v="IN YANGTSE-AUTO DEL ECUADOR S.A. 000000561"/>
    <n v="0"/>
    <n v="1.17"/>
    <n v="-9814.93"/>
  </r>
  <r>
    <x v="8"/>
    <x v="8"/>
    <s v="N"/>
    <d v="2026-02-23T00:00:00"/>
    <s v="INVEN"/>
    <n v="204"/>
    <n v="14906"/>
    <s v="IN TOYOTASERVICIOS S.A. 000014906"/>
    <n v="0"/>
    <n v="9.9"/>
    <n v="-9824.83"/>
  </r>
  <r>
    <x v="8"/>
    <x v="8"/>
    <s v="N"/>
    <d v="2026-02-24T00:00:00"/>
    <s v="INVEN"/>
    <n v="221"/>
    <n v="14907"/>
    <s v="IN TOYOTASERVICIOS S.A. 000014907"/>
    <n v="0"/>
    <n v="4.8099999999999996"/>
    <n v="-9829.64"/>
  </r>
  <r>
    <x v="8"/>
    <x v="8"/>
    <s v="N"/>
    <d v="2026-02-25T00:00:00"/>
    <s v="INVEN"/>
    <n v="230"/>
    <n v="14912"/>
    <s v="IN TOYOTASERVICIOS S.A. 000014912"/>
    <n v="0"/>
    <n v="4.8099999999999996"/>
    <n v="-9834.4500000000007"/>
  </r>
  <r>
    <x v="8"/>
    <x v="8"/>
    <s v="N"/>
    <d v="2026-02-25T00:00:00"/>
    <s v="INVEN"/>
    <n v="230"/>
    <n v="14918"/>
    <s v="IN TOYOTASERVICIOS S.A. 000014918"/>
    <n v="0"/>
    <n v="30.71"/>
    <n v="-9865.16"/>
  </r>
  <r>
    <x v="8"/>
    <x v="8"/>
    <s v="N"/>
    <d v="2026-02-25T00:00:00"/>
    <s v="INVEN"/>
    <n v="230"/>
    <n v="14919"/>
    <s v="IN TOYOTASERVICIOS S.A. 000014919"/>
    <n v="0"/>
    <n v="34.54"/>
    <n v="-9899.7000000000007"/>
  </r>
  <r>
    <x v="8"/>
    <x v="8"/>
    <s v="N"/>
    <d v="2026-02-25T00:00:00"/>
    <s v="INVEN"/>
    <n v="231"/>
    <n v="6942"/>
    <s v="IN TOYOTASERVICIOS S.A. 000006942"/>
    <n v="0"/>
    <n v="24.57"/>
    <n v="-9924.27"/>
  </r>
  <r>
    <x v="8"/>
    <x v="8"/>
    <s v="N"/>
    <d v="2026-02-26T00:00:00"/>
    <s v="INVEN"/>
    <n v="255"/>
    <n v="573"/>
    <s v="IN YANGTSE-AUTO DEL ECUADOR S.A. 000000573"/>
    <n v="0"/>
    <n v="1.17"/>
    <n v="-9925.44"/>
  </r>
  <r>
    <x v="8"/>
    <x v="8"/>
    <s v="N"/>
    <d v="2026-02-27T00:00:00"/>
    <s v="INVEN"/>
    <n v="259"/>
    <n v="14923"/>
    <s v="IN TOYOTASERVICIOS S.A. 000014923"/>
    <n v="0"/>
    <n v="27.95"/>
    <n v="-9953.39"/>
  </r>
  <r>
    <x v="8"/>
    <x v="8"/>
    <s v="N"/>
    <d v="2026-02-27T00:00:00"/>
    <s v="INVEN"/>
    <n v="259"/>
    <n v="14924"/>
    <s v="IN TOYOTASERVICIOS S.A. 000014924"/>
    <n v="0"/>
    <n v="27.95"/>
    <n v="-9981.34"/>
  </r>
  <r>
    <x v="8"/>
    <x v="8"/>
    <s v="N"/>
    <d v="2026-02-27T00:00:00"/>
    <s v="INVEN"/>
    <n v="259"/>
    <n v="14925"/>
    <s v="IN TOYOTASERVICIOS S.A. 000014925"/>
    <n v="0"/>
    <n v="27.95"/>
    <n v="-10009.290000000001"/>
  </r>
  <r>
    <x v="8"/>
    <x v="8"/>
    <s v="N"/>
    <d v="2026-02-27T00:00:00"/>
    <s v="INVEN"/>
    <n v="259"/>
    <n v="14926"/>
    <s v="IN TOYOTASERVICIOS S.A. 000014926"/>
    <n v="0"/>
    <n v="27.95"/>
    <n v="-10037.24"/>
  </r>
  <r>
    <x v="8"/>
    <x v="8"/>
    <s v="N"/>
    <d v="2026-02-27T00:00:00"/>
    <s v="INVEN"/>
    <n v="259"/>
    <n v="14927"/>
    <s v="IN TOYOTASERVICIOS S.A. 000014927"/>
    <n v="0"/>
    <n v="27.95"/>
    <n v="-10065.19"/>
  </r>
  <r>
    <x v="8"/>
    <x v="8"/>
    <s v="N"/>
    <d v="2026-02-27T00:00:00"/>
    <s v="INVEN"/>
    <n v="259"/>
    <n v="14931"/>
    <s v="IN TOYOTASERVICIOS S.A. 000014931"/>
    <n v="0"/>
    <n v="27.95"/>
    <n v="-10093.14"/>
  </r>
  <r>
    <x v="8"/>
    <x v="8"/>
    <s v="N"/>
    <d v="2026-02-27T00:00:00"/>
    <s v="INVEN"/>
    <n v="259"/>
    <n v="14932"/>
    <s v="IN TOYOTASERVICIOS S.A. 000014932"/>
    <n v="0"/>
    <n v="27.95"/>
    <n v="-10121.09"/>
  </r>
  <r>
    <x v="8"/>
    <x v="8"/>
    <s v="N"/>
    <d v="2026-02-04T00:00:00"/>
    <s v="INVEN"/>
    <n v="51"/>
    <n v="523"/>
    <s v="IN YANGTSE-AUTO DEL ECUADOR S.A. 000000523"/>
    <n v="0"/>
    <n v="15.65"/>
    <n v="-10136.74"/>
  </r>
  <r>
    <x v="8"/>
    <x v="8"/>
    <s v="N"/>
    <d v="2026-02-04T00:00:00"/>
    <s v="INVEN"/>
    <n v="52"/>
    <n v="17622"/>
    <s v="IN TITANIA TRACKING SOLUTIONS-EC S A S 000017622"/>
    <n v="0"/>
    <n v="91.8"/>
    <n v="-10228.540000000001"/>
  </r>
  <r>
    <x v="8"/>
    <x v="8"/>
    <s v="N"/>
    <d v="2026-02-05T00:00:00"/>
    <s v="INVEN"/>
    <n v="54"/>
    <n v="17621"/>
    <s v="IN TITANIA TRACKING SOLUTIONS-EC S A S 000017621"/>
    <n v="0"/>
    <n v="91.8"/>
    <n v="-10320.34"/>
  </r>
  <r>
    <x v="8"/>
    <x v="8"/>
    <s v="N"/>
    <d v="2026-02-05T00:00:00"/>
    <s v="INVEN"/>
    <n v="55"/>
    <n v="14870"/>
    <s v="IN TOYOTASERVICIOS S.A. 000014870"/>
    <n v="0"/>
    <n v="30.63"/>
    <n v="-10350.969999999999"/>
  </r>
  <r>
    <x v="8"/>
    <x v="8"/>
    <s v="N"/>
    <d v="2026-02-06T00:00:00"/>
    <s v="INVEN"/>
    <n v="58"/>
    <n v="14871"/>
    <s v="IN TOYOTASERVICIOS S.A. 000014871"/>
    <n v="0"/>
    <n v="9.2100000000000009"/>
    <n v="-10360.18"/>
  </r>
  <r>
    <x v="9"/>
    <x v="9"/>
    <s v="N"/>
    <d v="2026-02-10T00:00:00"/>
    <s v="CP"/>
    <n v="104"/>
    <n v="414"/>
    <s v="FE LAYOUT S.A. 000000414"/>
    <n v="0"/>
    <n v="13.65"/>
    <n v="-13.65"/>
  </r>
  <r>
    <x v="9"/>
    <x v="9"/>
    <s v="N"/>
    <d v="2026-02-10T00:00:00"/>
    <s v="CP"/>
    <n v="104"/>
    <n v="134"/>
    <s v="FE REINOSO SALAS YAJAIRA CAROL 000000134"/>
    <n v="0"/>
    <n v="4.2"/>
    <n v="-17.850000000000001"/>
  </r>
  <r>
    <x v="9"/>
    <x v="9"/>
    <s v="N"/>
    <d v="2026-02-11T00:00:00"/>
    <s v="CP"/>
    <n v="105"/>
    <n v="12507"/>
    <s v="FE PROANDES SECURITY CIA. LTDA 000012507"/>
    <n v="0"/>
    <n v="2.1"/>
    <n v="-19.95"/>
  </r>
  <r>
    <x v="9"/>
    <x v="9"/>
    <s v="N"/>
    <d v="2026-02-12T00:00:00"/>
    <s v="CP"/>
    <n v="121"/>
    <n v="1550"/>
    <s v="FE AGUAS DIAS MARCO ANTONIO 000001550"/>
    <n v="0"/>
    <n v="17.350000000000001"/>
    <n v="-37.299999999999997"/>
  </r>
  <r>
    <x v="9"/>
    <x v="9"/>
    <s v="N"/>
    <d v="2026-02-12T00:00:00"/>
    <s v="CP"/>
    <n v="121"/>
    <n v="6283"/>
    <s v="FE LARREAUTO CIA. LTDA. 000006283"/>
    <n v="0"/>
    <n v="5.25"/>
    <n v="-42.55"/>
  </r>
  <r>
    <x v="9"/>
    <x v="9"/>
    <s v="N"/>
    <d v="2026-02-12T00:00:00"/>
    <s v="CP"/>
    <n v="121"/>
    <n v="76914"/>
    <s v="FE MAYORGA MAYORGA WILSON RAMI 000076914"/>
    <n v="0"/>
    <n v="11.49"/>
    <n v="-54.04"/>
  </r>
  <r>
    <x v="9"/>
    <x v="9"/>
    <s v="N"/>
    <d v="2026-02-12T00:00:00"/>
    <s v="CP"/>
    <n v="121"/>
    <n v="76915"/>
    <s v="FE MAYORGA MAYORGA WILSON RAMI 000076915"/>
    <n v="0"/>
    <n v="1.1299999999999999"/>
    <n v="-55.17"/>
  </r>
  <r>
    <x v="9"/>
    <x v="9"/>
    <s v="N"/>
    <d v="2026-02-12T00:00:00"/>
    <s v="CP"/>
    <n v="121"/>
    <n v="46"/>
    <s v="FE MERCANTIL TORRESCO CIA. LTD 000000046"/>
    <n v="0"/>
    <n v="288.89"/>
    <n v="-344.06"/>
  </r>
  <r>
    <x v="9"/>
    <x v="9"/>
    <s v="N"/>
    <d v="2026-02-12T00:00:00"/>
    <s v="CP"/>
    <n v="121"/>
    <n v="7220"/>
    <s v="FE SEVILLA GALARZA JOSE MANUEL 000007220"/>
    <n v="0"/>
    <n v="6.63"/>
    <n v="-350.69"/>
  </r>
  <r>
    <x v="9"/>
    <x v="9"/>
    <s v="N"/>
    <d v="2026-02-12T00:00:00"/>
    <s v="CP"/>
    <n v="121"/>
    <n v="6870"/>
    <s v="FE TOYOTASERVICIOS S.A. 000006870"/>
    <n v="0"/>
    <n v="4.78"/>
    <n v="-355.47"/>
  </r>
  <r>
    <x v="9"/>
    <x v="9"/>
    <s v="N"/>
    <d v="2026-02-17T00:00:00"/>
    <s v="CP"/>
    <n v="135"/>
    <n v="2"/>
    <s v="FE VALENZUELA SALAZAR JAVIER E 000000002"/>
    <n v="0"/>
    <n v="330.75"/>
    <n v="-686.22"/>
  </r>
  <r>
    <x v="9"/>
    <x v="9"/>
    <s v="N"/>
    <d v="2026-02-18T00:00:00"/>
    <s v="CP"/>
    <n v="160"/>
    <n v="1113"/>
    <s v="FE ASTUDILLO RIVADENEIRA CRIST 000001113"/>
    <n v="0"/>
    <n v="199.5"/>
    <n v="-885.72"/>
  </r>
  <r>
    <x v="9"/>
    <x v="9"/>
    <s v="N"/>
    <d v="2026-02-18T00:00:00"/>
    <s v="CP"/>
    <n v="160"/>
    <n v="1114"/>
    <s v="FE ASTUDILLO RIVADENEIRA CRIST 000001114"/>
    <n v="0"/>
    <n v="199.5"/>
    <n v="-1085.22"/>
  </r>
  <r>
    <x v="9"/>
    <x v="9"/>
    <s v="N"/>
    <d v="2026-02-18T00:00:00"/>
    <s v="CP"/>
    <n v="160"/>
    <n v="451"/>
    <s v="FE CARLARSERVICE CIA. LTDA 000000451"/>
    <n v="0"/>
    <n v="63.84"/>
    <n v="-1149.06"/>
  </r>
  <r>
    <x v="9"/>
    <x v="9"/>
    <s v="N"/>
    <d v="2026-02-18T00:00:00"/>
    <s v="CP"/>
    <n v="160"/>
    <n v="454"/>
    <s v="FE CARLARSERVICE CIA. LTDA 000000454"/>
    <n v="0"/>
    <n v="47.64"/>
    <n v="-1196.7"/>
  </r>
  <r>
    <x v="9"/>
    <x v="9"/>
    <s v="N"/>
    <d v="2026-02-18T00:00:00"/>
    <s v="CP"/>
    <n v="160"/>
    <n v="456"/>
    <s v="FE CARLARSERVICE CIA. LTDA 000000456"/>
    <n v="0"/>
    <n v="104.25"/>
    <n v="-1300.95"/>
  </r>
  <r>
    <x v="9"/>
    <x v="9"/>
    <s v="N"/>
    <d v="2026-02-18T00:00:00"/>
    <s v="CP"/>
    <n v="160"/>
    <n v="7432"/>
    <s v="FE ETL-EC AUDITORES S.A. 000007432"/>
    <n v="0"/>
    <n v="173.25"/>
    <n v="-1474.2"/>
  </r>
  <r>
    <x v="9"/>
    <x v="9"/>
    <s v="N"/>
    <d v="2026-02-18T00:00:00"/>
    <s v="CP"/>
    <n v="160"/>
    <n v="550"/>
    <s v="FE LOPEZ ANDRANGO SEGUNDO MANU 000000550"/>
    <n v="0"/>
    <n v="10.5"/>
    <n v="-1484.7"/>
  </r>
  <r>
    <x v="9"/>
    <x v="9"/>
    <s v="N"/>
    <d v="2026-02-18T00:00:00"/>
    <s v="CP"/>
    <n v="160"/>
    <n v="3635"/>
    <s v="FE PAEZ ORTIZ CHRISTIAN GONZAL 000003635"/>
    <n v="0"/>
    <n v="51.14"/>
    <n v="-1535.84"/>
  </r>
  <r>
    <x v="9"/>
    <x v="9"/>
    <s v="N"/>
    <d v="2026-02-18T00:00:00"/>
    <s v="CP"/>
    <n v="160"/>
    <n v="137"/>
    <s v="FE REINOSO SALAS YAJAIRA CAROL 000000137"/>
    <n v="0"/>
    <n v="5.25"/>
    <n v="-1541.09"/>
  </r>
  <r>
    <x v="9"/>
    <x v="9"/>
    <s v="N"/>
    <d v="2026-02-18T00:00:00"/>
    <s v="CP"/>
    <n v="160"/>
    <n v="139"/>
    <s v="FE REINOSO SALAS YAJAIRA CAROL 000000139"/>
    <n v="0"/>
    <n v="4.2"/>
    <n v="-1545.29"/>
  </r>
  <r>
    <x v="9"/>
    <x v="9"/>
    <s v="N"/>
    <d v="2026-02-18T00:00:00"/>
    <s v="CP"/>
    <n v="160"/>
    <n v="140"/>
    <s v="FE REINOSO SALAS YAJAIRA CAROL 000000140"/>
    <n v="0"/>
    <n v="4.2"/>
    <n v="-1549.49"/>
  </r>
  <r>
    <x v="9"/>
    <x v="9"/>
    <s v="N"/>
    <d v="2026-02-18T00:00:00"/>
    <s v="CP"/>
    <n v="160"/>
    <n v="141"/>
    <s v="FE REINOSO SALAS YAJAIRA CAROL 000000141"/>
    <n v="0"/>
    <n v="4.2"/>
    <n v="-1553.69"/>
  </r>
  <r>
    <x v="9"/>
    <x v="9"/>
    <s v="N"/>
    <d v="2026-02-18T00:00:00"/>
    <s v="CP"/>
    <n v="160"/>
    <n v="142"/>
    <s v="FE REINOSO SALAS YAJAIRA CAROL 000000142"/>
    <n v="0"/>
    <n v="4.2"/>
    <n v="-1557.89"/>
  </r>
  <r>
    <x v="9"/>
    <x v="9"/>
    <s v="N"/>
    <d v="2026-02-18T00:00:00"/>
    <s v="CP"/>
    <n v="160"/>
    <n v="143"/>
    <s v="FE REINOSO SALAS YAJAIRA CAROL 000000143"/>
    <n v="0"/>
    <n v="4.2"/>
    <n v="-1562.09"/>
  </r>
  <r>
    <x v="9"/>
    <x v="9"/>
    <s v="N"/>
    <d v="2026-02-18T00:00:00"/>
    <s v="CP"/>
    <n v="160"/>
    <n v="6895"/>
    <s v="FE TOYOTASERVICIOS S.A. 000006895"/>
    <n v="0"/>
    <n v="2.27"/>
    <n v="-1564.36"/>
  </r>
  <r>
    <x v="9"/>
    <x v="9"/>
    <s v="N"/>
    <d v="2026-02-18T00:00:00"/>
    <s v="CP"/>
    <n v="160"/>
    <n v="3"/>
    <s v="FE ZEA ALTAMIRANO MARIA ELENA 000000003"/>
    <n v="0"/>
    <n v="330.75"/>
    <n v="-1895.11"/>
  </r>
  <r>
    <x v="9"/>
    <x v="9"/>
    <s v="N"/>
    <d v="2026-02-19T00:00:00"/>
    <s v="CP"/>
    <n v="162"/>
    <n v="193539"/>
    <s v="FE CABRERA ROJAS DORIS MARIA 000193539"/>
    <n v="0"/>
    <n v="7.78"/>
    <n v="-1902.89"/>
  </r>
  <r>
    <x v="9"/>
    <x v="9"/>
    <s v="N"/>
    <d v="2026-02-22T00:00:00"/>
    <s v="CP"/>
    <n v="202"/>
    <n v="21000"/>
    <s v="FE CAMARA DE COMERCIO DE AMBAT 000021000"/>
    <n v="0"/>
    <n v="11.42"/>
    <n v="-1914.31"/>
  </r>
  <r>
    <x v="9"/>
    <x v="9"/>
    <s v="N"/>
    <d v="2026-02-22T00:00:00"/>
    <s v="CP"/>
    <n v="202"/>
    <n v="538"/>
    <s v="FE CARRERA KUMMERFELD MANUEL F 000000538"/>
    <n v="0"/>
    <n v="18.38"/>
    <n v="-1932.69"/>
  </r>
  <r>
    <x v="9"/>
    <x v="9"/>
    <s v="N"/>
    <d v="2026-02-22T00:00:00"/>
    <s v="CP"/>
    <n v="202"/>
    <n v="2690"/>
    <s v="FE CASTRO MORALES OMAR VLADIMI 000002690"/>
    <n v="0"/>
    <n v="2.56"/>
    <n v="-1935.25"/>
  </r>
  <r>
    <x v="9"/>
    <x v="9"/>
    <s v="N"/>
    <d v="2026-02-22T00:00:00"/>
    <s v="CP"/>
    <n v="202"/>
    <n v="2699"/>
    <s v="FE CASTRO MORALES OMAR VLADIMI 000002699"/>
    <n v="0"/>
    <n v="2.56"/>
    <n v="-1937.81"/>
  </r>
  <r>
    <x v="9"/>
    <x v="9"/>
    <s v="N"/>
    <d v="2026-02-22T00:00:00"/>
    <s v="CP"/>
    <n v="202"/>
    <n v="2706"/>
    <s v="FE CASTRO MORALES OMAR VLADIMI 000002706"/>
    <n v="0"/>
    <n v="2.56"/>
    <n v="-1940.37"/>
  </r>
  <r>
    <x v="9"/>
    <x v="9"/>
    <s v="N"/>
    <d v="2026-02-22T00:00:00"/>
    <s v="CP"/>
    <n v="202"/>
    <n v="2708"/>
    <s v="FE CASTRO MORALES OMAR VLADIMI 000002708"/>
    <n v="0"/>
    <n v="2.56"/>
    <n v="-1942.93"/>
  </r>
  <r>
    <x v="9"/>
    <x v="9"/>
    <s v="N"/>
    <d v="2026-02-22T00:00:00"/>
    <s v="CP"/>
    <n v="202"/>
    <n v="177"/>
    <s v="FE FILLIPPO SANCHEZ ALEXANDER 000000177"/>
    <n v="0"/>
    <n v="2061.87"/>
    <n v="-4004.8"/>
  </r>
  <r>
    <x v="9"/>
    <x v="9"/>
    <s v="N"/>
    <d v="2026-02-22T00:00:00"/>
    <s v="CP"/>
    <n v="202"/>
    <n v="3768"/>
    <s v="FE PANTERA DE SEGURIDAD PHANTE 000003768"/>
    <n v="0"/>
    <n v="280.45999999999998"/>
    <n v="-4285.26"/>
  </r>
  <r>
    <x v="9"/>
    <x v="9"/>
    <s v="N"/>
    <d v="2026-02-22T00:00:00"/>
    <s v="CP"/>
    <n v="202"/>
    <n v="2993"/>
    <s v="FE SERVICIOS DE RADIO Y TELEVI 000002993"/>
    <n v="0"/>
    <n v="42"/>
    <n v="-4327.26"/>
  </r>
  <r>
    <x v="9"/>
    <x v="9"/>
    <s v="N"/>
    <d v="2026-02-22T00:00:00"/>
    <s v="CP"/>
    <n v="202"/>
    <n v="1442"/>
    <s v="FE TOYOTASERVICIOS S.A. 000001442"/>
    <n v="0"/>
    <n v="43.35"/>
    <n v="-4370.6099999999997"/>
  </r>
  <r>
    <x v="9"/>
    <x v="9"/>
    <s v="N"/>
    <d v="2026-02-22T00:00:00"/>
    <s v="CP"/>
    <n v="202"/>
    <n v="6916"/>
    <s v="FE TOYOTASERVICIOS S.A. 000006916"/>
    <n v="0"/>
    <n v="1.51"/>
    <n v="-4372.12"/>
  </r>
  <r>
    <x v="9"/>
    <x v="9"/>
    <s v="N"/>
    <d v="2026-02-22T00:00:00"/>
    <s v="CP"/>
    <n v="202"/>
    <n v="7753"/>
    <s v="FE TOYOTASERVICIOS S.A. 000007753"/>
    <n v="0"/>
    <n v="9.65"/>
    <n v="-4381.7700000000004"/>
  </r>
  <r>
    <x v="9"/>
    <x v="9"/>
    <s v="N"/>
    <d v="2026-02-24T00:00:00"/>
    <s v="CP"/>
    <n v="226"/>
    <n v="628"/>
    <s v="FE PALACIOS DAVALOS MARCELO ED 000000628"/>
    <n v="0"/>
    <n v="3.68"/>
    <n v="-4385.45"/>
  </r>
  <r>
    <x v="9"/>
    <x v="9"/>
    <s v="N"/>
    <d v="2026-02-24T00:00:00"/>
    <s v="CP"/>
    <n v="226"/>
    <n v="7757"/>
    <s v="FE TOYOTASERVICIOS S.A. 000007757"/>
    <n v="0"/>
    <n v="5.25"/>
    <n v="-4390.7"/>
  </r>
  <r>
    <x v="9"/>
    <x v="9"/>
    <s v="N"/>
    <d v="2026-02-24T00:00:00"/>
    <s v="CP"/>
    <n v="226"/>
    <n v="7758"/>
    <s v="FE TOYOTASERVICIOS S.A. 000007758"/>
    <n v="0"/>
    <n v="14.7"/>
    <n v="-4405.3999999999996"/>
  </r>
  <r>
    <x v="9"/>
    <x v="9"/>
    <s v="N"/>
    <d v="2026-02-24T00:00:00"/>
    <s v="CP"/>
    <n v="226"/>
    <n v="7759"/>
    <s v="FE TOYOTASERVICIOS S.A. 000007759"/>
    <n v="0"/>
    <n v="39.380000000000003"/>
    <n v="-4444.78"/>
  </r>
  <r>
    <x v="9"/>
    <x v="9"/>
    <s v="N"/>
    <d v="2026-02-24T00:00:00"/>
    <s v="CP"/>
    <n v="226"/>
    <n v="7760"/>
    <s v="FE TOYOTASERVICIOS S.A. 000007760"/>
    <n v="0"/>
    <n v="6.3"/>
    <n v="-4451.08"/>
  </r>
  <r>
    <x v="9"/>
    <x v="9"/>
    <s v="N"/>
    <d v="2026-02-24T00:00:00"/>
    <s v="CP"/>
    <n v="226"/>
    <n v="7761"/>
    <s v="FE TOYOTASERVICIOS S.A. 000007761"/>
    <n v="0"/>
    <n v="6.3"/>
    <n v="-4457.38"/>
  </r>
  <r>
    <x v="9"/>
    <x v="9"/>
    <s v="N"/>
    <d v="2026-02-26T00:00:00"/>
    <s v="CP"/>
    <n v="258"/>
    <n v="11919"/>
    <s v="FE CODEX 000011919"/>
    <n v="0"/>
    <n v="20.55"/>
    <n v="-4477.93"/>
  </r>
  <r>
    <x v="9"/>
    <x v="9"/>
    <s v="N"/>
    <d v="2026-02-26T00:00:00"/>
    <s v="CP"/>
    <n v="258"/>
    <n v="914"/>
    <s v="FE NOBOA CABRERA GALO HERNAN 000000914"/>
    <n v="0"/>
    <n v="1.58"/>
    <n v="-4479.51"/>
  </r>
  <r>
    <x v="9"/>
    <x v="9"/>
    <s v="N"/>
    <d v="2026-02-26T00:00:00"/>
    <s v="CP"/>
    <n v="258"/>
    <n v="7768"/>
    <s v="FE TOYOTASERVICIOS S.A. 000007768"/>
    <n v="0"/>
    <n v="6.3"/>
    <n v="-4485.8100000000004"/>
  </r>
  <r>
    <x v="9"/>
    <x v="9"/>
    <s v="N"/>
    <d v="2026-02-26T00:00:00"/>
    <s v="CP"/>
    <n v="258"/>
    <n v="7769"/>
    <s v="FE TOYOTASERVICIOS S.A. 000007769"/>
    <n v="0"/>
    <n v="6.3"/>
    <n v="-4492.1099999999997"/>
  </r>
  <r>
    <x v="9"/>
    <x v="9"/>
    <s v="N"/>
    <d v="2026-02-26T00:00:00"/>
    <s v="CP"/>
    <n v="258"/>
    <n v="7770"/>
    <s v="FE TOYOTASERVICIOS S.A. 000007770"/>
    <n v="0"/>
    <n v="6.3"/>
    <n v="-4498.41"/>
  </r>
  <r>
    <x v="9"/>
    <x v="9"/>
    <s v="N"/>
    <d v="2026-02-02T00:00:00"/>
    <s v="CP"/>
    <n v="29"/>
    <n v="195"/>
    <s v="FE BACLT INMOBILIARIA S.A.S. 000000195"/>
    <n v="0"/>
    <n v="1271.3499999999999"/>
    <n v="-5769.76"/>
  </r>
  <r>
    <x v="9"/>
    <x v="9"/>
    <s v="N"/>
    <d v="2026-02-02T00:00:00"/>
    <s v="CP"/>
    <n v="29"/>
    <n v="196"/>
    <s v="FE BACLT INMOBILIARIA S.A.S. 000000196"/>
    <n v="0"/>
    <n v="787.5"/>
    <n v="-6557.26"/>
  </r>
  <r>
    <x v="9"/>
    <x v="9"/>
    <s v="N"/>
    <d v="2026-02-02T00:00:00"/>
    <s v="CP"/>
    <n v="29"/>
    <n v="820"/>
    <s v="FE CAICEDO ALFONSO DAVID 000000820"/>
    <n v="0"/>
    <n v="26.25"/>
    <n v="-6583.51"/>
  </r>
  <r>
    <x v="9"/>
    <x v="9"/>
    <s v="N"/>
    <d v="2026-02-02T00:00:00"/>
    <s v="CP"/>
    <n v="29"/>
    <n v="448"/>
    <s v="FE CARLARSERVICE CIA. LTDA 000000448"/>
    <n v="0"/>
    <n v="735"/>
    <n v="-7318.51"/>
  </r>
  <r>
    <x v="9"/>
    <x v="9"/>
    <s v="N"/>
    <d v="2026-02-02T00:00:00"/>
    <s v="CP"/>
    <n v="29"/>
    <n v="811"/>
    <s v="FE CONSEJO GUBERNATIVO DE LOS  000000811"/>
    <n v="0"/>
    <n v="45.65"/>
    <n v="-7364.16"/>
  </r>
  <r>
    <x v="9"/>
    <x v="9"/>
    <s v="N"/>
    <d v="2026-02-02T00:00:00"/>
    <s v="CP"/>
    <n v="29"/>
    <n v="170"/>
    <s v="FE NARANJO ABRIL VICTORIA ESTE 000000170"/>
    <n v="0"/>
    <n v="8.4"/>
    <n v="-7372.56"/>
  </r>
  <r>
    <x v="9"/>
    <x v="9"/>
    <s v="N"/>
    <d v="2026-02-02T00:00:00"/>
    <s v="CP"/>
    <n v="29"/>
    <n v="116"/>
    <s v="FE REINOSO SALAS YAJAIRA CAROL 000000116"/>
    <n v="0"/>
    <n v="5.25"/>
    <n v="-7377.81"/>
  </r>
  <r>
    <x v="9"/>
    <x v="9"/>
    <s v="N"/>
    <d v="2026-02-02T00:00:00"/>
    <s v="CP"/>
    <n v="29"/>
    <n v="118"/>
    <s v="FE REINOSO SALAS YAJAIRA CAROL 000000118"/>
    <n v="0"/>
    <n v="5.25"/>
    <n v="-7383.06"/>
  </r>
  <r>
    <x v="9"/>
    <x v="9"/>
    <s v="N"/>
    <d v="2026-02-02T00:00:00"/>
    <s v="CP"/>
    <n v="29"/>
    <n v="119"/>
    <s v="FE REINOSO SALAS YAJAIRA CAROL 000000119"/>
    <n v="0"/>
    <n v="5.25"/>
    <n v="-7388.31"/>
  </r>
  <r>
    <x v="9"/>
    <x v="9"/>
    <s v="N"/>
    <d v="2026-02-02T00:00:00"/>
    <s v="CP"/>
    <n v="29"/>
    <n v="120"/>
    <s v="FE REINOSO SALAS YAJAIRA CAROL 000000120"/>
    <n v="0"/>
    <n v="5.25"/>
    <n v="-7393.56"/>
  </r>
  <r>
    <x v="9"/>
    <x v="9"/>
    <s v="N"/>
    <d v="2026-02-28T00:00:00"/>
    <s v="CP"/>
    <n v="311"/>
    <n v="53046"/>
    <s v="FE TOYOTASERVICIOS S.A. 000053046"/>
    <n v="0"/>
    <n v="88.83"/>
    <n v="-7482.39"/>
  </r>
  <r>
    <x v="9"/>
    <x v="9"/>
    <s v="N"/>
    <d v="2026-02-03T00:00:00"/>
    <s v="CP"/>
    <n v="37"/>
    <n v="5489"/>
    <s v="FE CORPORACION CONFIABLE S.A. 000005489"/>
    <n v="0"/>
    <n v="69.3"/>
    <n v="-7551.69"/>
  </r>
  <r>
    <x v="9"/>
    <x v="9"/>
    <s v="N"/>
    <d v="2026-02-03T00:00:00"/>
    <s v="CP"/>
    <n v="37"/>
    <n v="13391"/>
    <s v="FE FIDUCIARIA ECUADOR FIDUECUA 000013391"/>
    <n v="0"/>
    <n v="34.159999999999997"/>
    <n v="-7585.85"/>
  </r>
  <r>
    <x v="9"/>
    <x v="9"/>
    <s v="N"/>
    <d v="2026-02-03T00:00:00"/>
    <s v="CP"/>
    <n v="37"/>
    <n v="122"/>
    <s v="FE REINOSO SALAS YAJAIRA CAROL 000000122"/>
    <n v="0"/>
    <n v="4.2"/>
    <n v="-7590.05"/>
  </r>
  <r>
    <x v="9"/>
    <x v="9"/>
    <s v="N"/>
    <d v="2026-02-03T00:00:00"/>
    <s v="CP"/>
    <n v="37"/>
    <n v="123"/>
    <s v="FE REINOSO SALAS YAJAIRA CAROL 000000123"/>
    <n v="0"/>
    <n v="4.2"/>
    <n v="-7594.25"/>
  </r>
  <r>
    <x v="9"/>
    <x v="9"/>
    <s v="N"/>
    <d v="2026-02-03T00:00:00"/>
    <s v="CP"/>
    <n v="37"/>
    <n v="124"/>
    <s v="FE REINOSO SALAS YAJAIRA CAROL 000000124"/>
    <n v="0"/>
    <n v="15.75"/>
    <n v="-7610"/>
  </r>
  <r>
    <x v="9"/>
    <x v="9"/>
    <s v="N"/>
    <d v="2026-02-03T00:00:00"/>
    <s v="CP"/>
    <n v="37"/>
    <n v="125"/>
    <s v="FE REINOSO SALAS YAJAIRA CAROL 000000125"/>
    <n v="0"/>
    <n v="4.2"/>
    <n v="-7614.2"/>
  </r>
  <r>
    <x v="9"/>
    <x v="9"/>
    <s v="N"/>
    <d v="2026-02-04T00:00:00"/>
    <s v="CP"/>
    <n v="53"/>
    <n v="377"/>
    <s v="FE COMPAÑIA TECNOXPERTISE S.A. 000000377"/>
    <n v="0"/>
    <n v="10.5"/>
    <n v="-7624.7"/>
  </r>
  <r>
    <x v="9"/>
    <x v="9"/>
    <s v="N"/>
    <d v="2026-02-04T00:00:00"/>
    <s v="CP"/>
    <n v="53"/>
    <n v="1804"/>
    <s v="FE DILIGENCIAS LEGALES 000001804"/>
    <n v="0"/>
    <n v="21.94"/>
    <n v="-7646.64"/>
  </r>
  <r>
    <x v="9"/>
    <x v="9"/>
    <s v="N"/>
    <d v="2026-02-04T00:00:00"/>
    <s v="CP"/>
    <n v="53"/>
    <n v="76818"/>
    <s v="FE MAYORGA MAYORGA WILSON RAMI 000076818"/>
    <n v="0"/>
    <n v="7.19"/>
    <n v="-7653.83"/>
  </r>
  <r>
    <x v="9"/>
    <x v="9"/>
    <s v="N"/>
    <d v="2026-02-04T00:00:00"/>
    <s v="CP"/>
    <n v="53"/>
    <n v="76819"/>
    <s v="FE MAYORGA MAYORGA WILSON RAMI 000076819"/>
    <n v="0"/>
    <n v="1.1299999999999999"/>
    <n v="-7654.96"/>
  </r>
  <r>
    <x v="9"/>
    <x v="9"/>
    <s v="N"/>
    <d v="2026-02-04T00:00:00"/>
    <s v="CP"/>
    <n v="53"/>
    <n v="52803"/>
    <s v="FE TOYOTASERVICIOS S.A. 000052803"/>
    <n v="0"/>
    <n v="2.04"/>
    <n v="-7657"/>
  </r>
  <r>
    <x v="9"/>
    <x v="9"/>
    <s v="N"/>
    <d v="2026-02-05T00:00:00"/>
    <s v="CP"/>
    <n v="57"/>
    <n v="212880"/>
    <s v="FE ARMAS MELENDEZ MONICA ALEXA 000212880"/>
    <n v="0"/>
    <n v="10.6"/>
    <n v="-7667.6"/>
  </r>
  <r>
    <x v="9"/>
    <x v="9"/>
    <s v="N"/>
    <d v="2026-02-05T00:00:00"/>
    <s v="CP"/>
    <n v="57"/>
    <n v="776"/>
    <s v="FE COLCHA AREVALO LIZARDO ENRI 000000776"/>
    <n v="0"/>
    <n v="16.8"/>
    <n v="-7684.4"/>
  </r>
  <r>
    <x v="9"/>
    <x v="9"/>
    <s v="N"/>
    <d v="2026-02-05T00:00:00"/>
    <s v="CP"/>
    <n v="57"/>
    <n v="2473"/>
    <s v="FE COMP. DE SEGURIDAD PRIVADA  000002473"/>
    <n v="0"/>
    <n v="119.18"/>
    <n v="-7803.58"/>
  </r>
  <r>
    <x v="9"/>
    <x v="9"/>
    <s v="N"/>
    <d v="2026-02-05T00:00:00"/>
    <s v="CP"/>
    <n v="57"/>
    <n v="126"/>
    <s v="FE REINOSO SALAS YAJAIRA CAROL 000000126"/>
    <n v="0"/>
    <n v="5.25"/>
    <n v="-7808.83"/>
  </r>
  <r>
    <x v="9"/>
    <x v="9"/>
    <s v="N"/>
    <d v="2026-02-05T00:00:00"/>
    <s v="CP"/>
    <n v="57"/>
    <n v="127"/>
    <s v="FE REINOSO SALAS YAJAIRA CAROL 000000127"/>
    <n v="0"/>
    <n v="5.25"/>
    <n v="-7814.08"/>
  </r>
  <r>
    <x v="9"/>
    <x v="9"/>
    <s v="N"/>
    <d v="2026-02-05T00:00:00"/>
    <s v="CP"/>
    <n v="57"/>
    <n v="128"/>
    <s v="FE REINOSO SALAS YAJAIRA CAROL 000000128"/>
    <n v="0"/>
    <n v="4.2"/>
    <n v="-7818.28"/>
  </r>
  <r>
    <x v="9"/>
    <x v="9"/>
    <s v="N"/>
    <d v="2026-02-05T00:00:00"/>
    <s v="CP"/>
    <n v="57"/>
    <n v="129"/>
    <s v="FE REINOSO SALAS YAJAIRA CAROL 000000129"/>
    <n v="0"/>
    <n v="5.25"/>
    <n v="-7823.53"/>
  </r>
  <r>
    <x v="9"/>
    <x v="9"/>
    <s v="N"/>
    <d v="2026-02-05T00:00:00"/>
    <s v="CP"/>
    <n v="57"/>
    <n v="48"/>
    <s v="FE SOCIEDAD INDIVISA VILLACIS  000000048"/>
    <n v="0"/>
    <n v="42"/>
    <n v="-7865.53"/>
  </r>
  <r>
    <x v="9"/>
    <x v="9"/>
    <s v="N"/>
    <d v="2026-02-05T00:00:00"/>
    <s v="CP"/>
    <n v="57"/>
    <n v="5286"/>
    <s v="FE TALENTOPSA S.A 000005286"/>
    <n v="0"/>
    <n v="9.42"/>
    <n v="-7874.95"/>
  </r>
  <r>
    <x v="9"/>
    <x v="9"/>
    <s v="N"/>
    <d v="2026-02-05T00:00:00"/>
    <s v="CP"/>
    <n v="57"/>
    <n v="52828"/>
    <s v="FE TOYOTASERVICIOS S.A. 000052828"/>
    <n v="0"/>
    <n v="5.0999999999999996"/>
    <n v="-7880.05"/>
  </r>
  <r>
    <x v="9"/>
    <x v="9"/>
    <s v="N"/>
    <d v="2026-02-06T00:00:00"/>
    <s v="CP"/>
    <n v="59"/>
    <n v="6748"/>
    <s v="FE ASO.  EMPRESAS AUTOMOTRICES 000006748"/>
    <n v="0"/>
    <n v="189"/>
    <n v="-8069.05"/>
  </r>
  <r>
    <x v="9"/>
    <x v="9"/>
    <s v="N"/>
    <d v="2026-02-08T00:00:00"/>
    <s v="CP"/>
    <n v="70"/>
    <n v="52"/>
    <s v="FE POVEDA ALMEIDA EFRAIN ALEJA 000000052"/>
    <n v="0"/>
    <n v="9.4499999999999993"/>
    <n v="-8078.5"/>
  </r>
  <r>
    <x v="9"/>
    <x v="9"/>
    <s v="N"/>
    <d v="2026-02-08T00:00:00"/>
    <s v="CP"/>
    <n v="70"/>
    <n v="6832"/>
    <s v="FE TOYOTASERVICIOS S.A. 000006832"/>
    <n v="0"/>
    <n v="1.45"/>
    <n v="-8079.95"/>
  </r>
  <r>
    <x v="9"/>
    <x v="9"/>
    <s v="N"/>
    <d v="2026-02-08T00:00:00"/>
    <s v="CP"/>
    <n v="70"/>
    <n v="6834"/>
    <s v="FE TOYOTASERVICIOS S.A. 000006834"/>
    <n v="0"/>
    <n v="1.45"/>
    <n v="-8081.4"/>
  </r>
  <r>
    <x v="9"/>
    <x v="9"/>
    <s v="N"/>
    <d v="2026-02-08T00:00:00"/>
    <s v="CP"/>
    <n v="70"/>
    <n v="52829"/>
    <s v="FE TOYOTASERVICIOS S.A. 000052829"/>
    <n v="0"/>
    <n v="18.899999999999999"/>
    <n v="-8100.3"/>
  </r>
  <r>
    <x v="9"/>
    <x v="9"/>
    <s v="N"/>
    <d v="2026-02-09T00:00:00"/>
    <s v="CP"/>
    <n v="84"/>
    <n v="6770"/>
    <s v="FE ASO.  EMPRESAS AUTOMOTRICES 000006770"/>
    <n v="0"/>
    <n v="64.05"/>
    <n v="-8164.35"/>
  </r>
  <r>
    <x v="9"/>
    <x v="9"/>
    <s v="N"/>
    <d v="2026-02-09T00:00:00"/>
    <s v="CP"/>
    <n v="84"/>
    <n v="10912"/>
    <s v="FE MANTELCOA CIA. LTDA. 000010912"/>
    <n v="0"/>
    <n v="18.899999999999999"/>
    <n v="-8183.25"/>
  </r>
  <r>
    <x v="9"/>
    <x v="9"/>
    <s v="N"/>
    <d v="2026-02-09T00:00:00"/>
    <s v="CP"/>
    <n v="84"/>
    <n v="56"/>
    <s v="FE POVEDA ALMEIDA EFRAIN ALEJA 000000056"/>
    <n v="0"/>
    <n v="9.4499999999999993"/>
    <n v="-8192.7000000000007"/>
  </r>
  <r>
    <x v="10"/>
    <x v="10"/>
    <s v="N"/>
    <d v="2026-02-03T00:00:00"/>
    <s v="CP"/>
    <n v="37"/>
    <n v="50"/>
    <s v="FE PALACIOS LARREA FRANCISCO J 000000050"/>
    <n v="0"/>
    <n v="166.67"/>
    <n v="-166.67"/>
  </r>
  <r>
    <x v="10"/>
    <x v="10"/>
    <s v="N"/>
    <d v="2026-02-05T00:00:00"/>
    <s v="CP"/>
    <n v="57"/>
    <n v="91"/>
    <s v="FE CALERO OLMOS NANCY DEL ROCI 000000091"/>
    <n v="0"/>
    <n v="133.47999999999999"/>
    <n v="-300.14999999999998"/>
  </r>
  <r>
    <x v="10"/>
    <x v="10"/>
    <s v="N"/>
    <d v="2026-02-05T00:00:00"/>
    <s v="CP"/>
    <n v="57"/>
    <n v="21"/>
    <s v="FE GARCES PEREZ HECTOR BOLIVAR 000000021"/>
    <n v="0"/>
    <n v="675"/>
    <n v="-975.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65C0A-9944-4BD3-94BD-A44F982B586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1:O13" firstHeaderRow="0" firstDataRow="1" firstDataCol="1"/>
  <pivotFields count="11">
    <pivotField showAll="0">
      <items count="12">
        <item x="6"/>
        <item x="7"/>
        <item x="8"/>
        <item x="9"/>
        <item x="10"/>
        <item x="0"/>
        <item x="1"/>
        <item x="2"/>
        <item x="3"/>
        <item x="4"/>
        <item x="5"/>
        <item t="default"/>
      </items>
    </pivotField>
    <pivotField axis="axisRow" showAll="0">
      <items count="12">
        <item x="0"/>
        <item x="3"/>
        <item x="2"/>
        <item x="10"/>
        <item x="1"/>
        <item x="4"/>
        <item x="5"/>
        <item x="8"/>
        <item x="9"/>
        <item x="6"/>
        <item x="7"/>
        <item t="default"/>
      </items>
    </pivotField>
    <pivotField showAll="0"/>
    <pivotField numFmtId="15"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DEBE" fld="8" baseField="0" baseItem="0"/>
    <dataField name="Suma de HABER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0285-95B9-4C5A-897F-E86B66131E93}">
  <dimension ref="A1:P515"/>
  <sheetViews>
    <sheetView tabSelected="1" topLeftCell="B1" workbookViewId="0">
      <selection activeCell="H8" sqref="H8"/>
    </sheetView>
  </sheetViews>
  <sheetFormatPr baseColWidth="10" defaultRowHeight="15" x14ac:dyDescent="0.25"/>
  <cols>
    <col min="1" max="1" width="15.28515625" bestFit="1" customWidth="1"/>
    <col min="2" max="2" width="30.140625" bestFit="1" customWidth="1"/>
    <col min="3" max="3" width="4.7109375" customWidth="1"/>
    <col min="8" max="8" width="47.7109375" bestFit="1" customWidth="1"/>
    <col min="13" max="13" width="30.140625" bestFit="1" customWidth="1"/>
    <col min="14" max="14" width="14" bestFit="1" customWidth="1"/>
    <col min="15" max="15" width="15.28515625" bestFit="1" customWidth="1"/>
  </cols>
  <sheetData>
    <row r="1" spans="1:16" x14ac:dyDescent="0.25">
      <c r="A1" s="7" t="s">
        <v>345</v>
      </c>
      <c r="B1" s="6" t="s">
        <v>344</v>
      </c>
      <c r="C1" s="6" t="s">
        <v>343</v>
      </c>
      <c r="D1" s="6" t="s">
        <v>342</v>
      </c>
      <c r="E1" s="6" t="s">
        <v>341</v>
      </c>
      <c r="F1" s="6" t="s">
        <v>340</v>
      </c>
      <c r="G1" s="6" t="s">
        <v>339</v>
      </c>
      <c r="H1" s="6" t="s">
        <v>338</v>
      </c>
      <c r="I1" s="6" t="s">
        <v>337</v>
      </c>
      <c r="J1" s="6" t="s">
        <v>336</v>
      </c>
      <c r="K1" s="6" t="s">
        <v>335</v>
      </c>
      <c r="M1" s="5" t="s">
        <v>334</v>
      </c>
      <c r="N1" t="s">
        <v>333</v>
      </c>
      <c r="O1" t="s">
        <v>332</v>
      </c>
    </row>
    <row r="2" spans="1:16" x14ac:dyDescent="0.25">
      <c r="A2" t="s">
        <v>330</v>
      </c>
      <c r="B2" s="1" t="s">
        <v>329</v>
      </c>
      <c r="C2" s="1" t="s">
        <v>2</v>
      </c>
      <c r="D2" s="2">
        <v>46075</v>
      </c>
      <c r="E2" s="1" t="s">
        <v>1</v>
      </c>
      <c r="F2" s="1">
        <v>202</v>
      </c>
      <c r="G2" s="1">
        <v>637</v>
      </c>
      <c r="H2" s="1" t="s">
        <v>331</v>
      </c>
      <c r="I2" s="1">
        <v>0</v>
      </c>
      <c r="J2" s="1">
        <v>1.26</v>
      </c>
      <c r="K2" s="1">
        <v>-1.26</v>
      </c>
      <c r="M2" s="4" t="s">
        <v>329</v>
      </c>
      <c r="N2">
        <v>0</v>
      </c>
      <c r="O2">
        <v>1.41</v>
      </c>
    </row>
    <row r="3" spans="1:16" x14ac:dyDescent="0.25">
      <c r="A3" t="s">
        <v>330</v>
      </c>
      <c r="B3" s="1" t="s">
        <v>329</v>
      </c>
      <c r="C3" s="1" t="s">
        <v>2</v>
      </c>
      <c r="D3" s="2">
        <v>46079</v>
      </c>
      <c r="E3" s="1" t="s">
        <v>1</v>
      </c>
      <c r="F3" s="1">
        <v>258</v>
      </c>
      <c r="G3" s="1">
        <v>914</v>
      </c>
      <c r="H3" s="1" t="s">
        <v>52</v>
      </c>
      <c r="I3" s="1">
        <v>0</v>
      </c>
      <c r="J3" s="1">
        <v>0.15</v>
      </c>
      <c r="K3" s="1">
        <v>-1.41</v>
      </c>
      <c r="M3" s="4" t="s">
        <v>317</v>
      </c>
      <c r="N3">
        <v>0</v>
      </c>
      <c r="O3">
        <v>4685.6999999999989</v>
      </c>
    </row>
    <row r="4" spans="1:16" x14ac:dyDescent="0.25">
      <c r="A4" t="s">
        <v>325</v>
      </c>
      <c r="B4" s="1" t="s">
        <v>324</v>
      </c>
      <c r="C4" s="1" t="s">
        <v>2</v>
      </c>
      <c r="D4" s="2">
        <v>46063</v>
      </c>
      <c r="E4" s="1" t="s">
        <v>1</v>
      </c>
      <c r="F4" s="1">
        <v>104</v>
      </c>
      <c r="G4" s="1">
        <v>134</v>
      </c>
      <c r="H4" s="1" t="s">
        <v>98</v>
      </c>
      <c r="I4" s="1">
        <v>0</v>
      </c>
      <c r="J4" s="1">
        <v>0.8</v>
      </c>
      <c r="K4" s="1">
        <v>-0.8</v>
      </c>
      <c r="M4" s="4" t="s">
        <v>321</v>
      </c>
      <c r="N4">
        <v>0</v>
      </c>
      <c r="O4">
        <v>3713.7599999999998</v>
      </c>
    </row>
    <row r="5" spans="1:16" x14ac:dyDescent="0.25">
      <c r="A5" t="s">
        <v>325</v>
      </c>
      <c r="B5" s="1" t="s">
        <v>324</v>
      </c>
      <c r="C5" s="1" t="s">
        <v>2</v>
      </c>
      <c r="D5" s="2">
        <v>46065</v>
      </c>
      <c r="E5" s="1" t="s">
        <v>1</v>
      </c>
      <c r="F5" s="1">
        <v>121</v>
      </c>
      <c r="G5" s="1">
        <v>1550</v>
      </c>
      <c r="H5" s="1" t="s">
        <v>96</v>
      </c>
      <c r="I5" s="1">
        <v>0</v>
      </c>
      <c r="J5" s="1">
        <v>3.3</v>
      </c>
      <c r="K5" s="1">
        <v>-4.0999999999999996</v>
      </c>
      <c r="M5" s="4" t="s">
        <v>3</v>
      </c>
      <c r="N5">
        <v>0</v>
      </c>
      <c r="O5">
        <v>975.15</v>
      </c>
    </row>
    <row r="6" spans="1:16" x14ac:dyDescent="0.25">
      <c r="A6" t="s">
        <v>325</v>
      </c>
      <c r="B6" s="1" t="s">
        <v>324</v>
      </c>
      <c r="C6" s="1" t="s">
        <v>2</v>
      </c>
      <c r="D6" s="2">
        <v>46065</v>
      </c>
      <c r="E6" s="1" t="s">
        <v>1</v>
      </c>
      <c r="F6" s="1">
        <v>121</v>
      </c>
      <c r="G6" s="1">
        <v>7220</v>
      </c>
      <c r="H6" s="1" t="s">
        <v>91</v>
      </c>
      <c r="I6" s="1">
        <v>0</v>
      </c>
      <c r="J6" s="1">
        <v>1.26</v>
      </c>
      <c r="K6" s="1">
        <v>-5.36</v>
      </c>
      <c r="M6" s="4" t="s">
        <v>324</v>
      </c>
      <c r="N6">
        <v>0</v>
      </c>
      <c r="O6">
        <v>520.29999999999995</v>
      </c>
    </row>
    <row r="7" spans="1:16" x14ac:dyDescent="0.25">
      <c r="A7" t="s">
        <v>325</v>
      </c>
      <c r="B7" s="1" t="s">
        <v>324</v>
      </c>
      <c r="C7" s="1" t="s">
        <v>2</v>
      </c>
      <c r="D7" s="2">
        <v>46071</v>
      </c>
      <c r="E7" s="1" t="s">
        <v>1</v>
      </c>
      <c r="F7" s="1">
        <v>160</v>
      </c>
      <c r="G7" s="1">
        <v>1113</v>
      </c>
      <c r="H7" s="1" t="s">
        <v>88</v>
      </c>
      <c r="I7" s="1">
        <v>0</v>
      </c>
      <c r="J7" s="1">
        <v>38</v>
      </c>
      <c r="K7" s="1">
        <v>-43.36</v>
      </c>
      <c r="M7" s="4" t="s">
        <v>313</v>
      </c>
      <c r="N7">
        <v>0</v>
      </c>
      <c r="O7">
        <v>901.29</v>
      </c>
    </row>
    <row r="8" spans="1:16" x14ac:dyDescent="0.25">
      <c r="A8" t="s">
        <v>325</v>
      </c>
      <c r="B8" s="1" t="s">
        <v>324</v>
      </c>
      <c r="C8" s="1" t="s">
        <v>2</v>
      </c>
      <c r="D8" s="2">
        <v>46071</v>
      </c>
      <c r="E8" s="1" t="s">
        <v>1</v>
      </c>
      <c r="F8" s="1">
        <v>160</v>
      </c>
      <c r="G8" s="1">
        <v>1114</v>
      </c>
      <c r="H8" s="1" t="s">
        <v>87</v>
      </c>
      <c r="I8" s="1">
        <v>0</v>
      </c>
      <c r="J8" s="1">
        <v>38</v>
      </c>
      <c r="K8" s="1">
        <v>-81.36</v>
      </c>
      <c r="M8" s="4" t="s">
        <v>311</v>
      </c>
      <c r="N8">
        <v>0</v>
      </c>
      <c r="O8">
        <v>399.52</v>
      </c>
    </row>
    <row r="9" spans="1:16" x14ac:dyDescent="0.25">
      <c r="A9" t="s">
        <v>325</v>
      </c>
      <c r="B9" s="1" t="s">
        <v>324</v>
      </c>
      <c r="C9" s="1" t="s">
        <v>2</v>
      </c>
      <c r="D9" s="2">
        <v>46071</v>
      </c>
      <c r="E9" s="1" t="s">
        <v>1</v>
      </c>
      <c r="F9" s="1">
        <v>160</v>
      </c>
      <c r="G9" s="1">
        <v>550</v>
      </c>
      <c r="H9" s="1" t="s">
        <v>82</v>
      </c>
      <c r="I9" s="1">
        <v>0</v>
      </c>
      <c r="J9" s="1">
        <v>2</v>
      </c>
      <c r="K9" s="1">
        <v>-83.36</v>
      </c>
      <c r="M9" s="4" t="s">
        <v>102</v>
      </c>
      <c r="N9">
        <v>0</v>
      </c>
      <c r="O9">
        <v>10360.179999999995</v>
      </c>
    </row>
    <row r="10" spans="1:16" x14ac:dyDescent="0.25">
      <c r="A10" t="s">
        <v>325</v>
      </c>
      <c r="B10" s="1" t="s">
        <v>324</v>
      </c>
      <c r="C10" s="1" t="s">
        <v>2</v>
      </c>
      <c r="D10" s="2">
        <v>46071</v>
      </c>
      <c r="E10" s="1" t="s">
        <v>1</v>
      </c>
      <c r="F10" s="1">
        <v>160</v>
      </c>
      <c r="G10" s="1">
        <v>3635</v>
      </c>
      <c r="H10" s="1" t="s">
        <v>81</v>
      </c>
      <c r="I10" s="1">
        <v>0</v>
      </c>
      <c r="J10" s="1">
        <v>9.74</v>
      </c>
      <c r="K10" s="1">
        <v>-93.1</v>
      </c>
      <c r="M10" s="4" t="s">
        <v>8</v>
      </c>
      <c r="N10">
        <v>0</v>
      </c>
      <c r="O10">
        <v>8192.7000000000007</v>
      </c>
    </row>
    <row r="11" spans="1:16" x14ac:dyDescent="0.25">
      <c r="A11" t="s">
        <v>325</v>
      </c>
      <c r="B11" s="1" t="s">
        <v>324</v>
      </c>
      <c r="C11" s="1" t="s">
        <v>2</v>
      </c>
      <c r="D11" s="2">
        <v>46071</v>
      </c>
      <c r="E11" s="1" t="s">
        <v>1</v>
      </c>
      <c r="F11" s="1">
        <v>160</v>
      </c>
      <c r="G11" s="1">
        <v>137</v>
      </c>
      <c r="H11" s="1" t="s">
        <v>80</v>
      </c>
      <c r="I11" s="1">
        <v>0</v>
      </c>
      <c r="J11" s="1">
        <v>1</v>
      </c>
      <c r="K11" s="1">
        <v>-94.1</v>
      </c>
      <c r="M11" s="4" t="s">
        <v>224</v>
      </c>
      <c r="N11">
        <v>0</v>
      </c>
      <c r="O11">
        <v>43976.270000000011</v>
      </c>
    </row>
    <row r="12" spans="1:16" x14ac:dyDescent="0.25">
      <c r="A12" t="s">
        <v>325</v>
      </c>
      <c r="B12" s="1" t="s">
        <v>324</v>
      </c>
      <c r="C12" s="1" t="s">
        <v>2</v>
      </c>
      <c r="D12" s="2">
        <v>46071</v>
      </c>
      <c r="E12" s="1" t="s">
        <v>1</v>
      </c>
      <c r="F12" s="1">
        <v>160</v>
      </c>
      <c r="G12" s="1">
        <v>139</v>
      </c>
      <c r="H12" s="1" t="s">
        <v>79</v>
      </c>
      <c r="I12" s="1">
        <v>0</v>
      </c>
      <c r="J12" s="1">
        <v>0.8</v>
      </c>
      <c r="K12" s="1">
        <v>-94.9</v>
      </c>
      <c r="M12" s="4" t="s">
        <v>183</v>
      </c>
      <c r="N12">
        <v>49.33</v>
      </c>
      <c r="O12">
        <v>338.50999999999976</v>
      </c>
      <c r="P12">
        <f>+N12-O12</f>
        <v>-289.17999999999978</v>
      </c>
    </row>
    <row r="13" spans="1:16" x14ac:dyDescent="0.25">
      <c r="A13" t="s">
        <v>325</v>
      </c>
      <c r="B13" s="1" t="s">
        <v>324</v>
      </c>
      <c r="C13" s="1" t="s">
        <v>2</v>
      </c>
      <c r="D13" s="2">
        <v>46071</v>
      </c>
      <c r="E13" s="1" t="s">
        <v>1</v>
      </c>
      <c r="F13" s="1">
        <v>160</v>
      </c>
      <c r="G13" s="1">
        <v>140</v>
      </c>
      <c r="H13" s="1" t="s">
        <v>78</v>
      </c>
      <c r="I13" s="1">
        <v>0</v>
      </c>
      <c r="J13" s="1">
        <v>0.8</v>
      </c>
      <c r="K13" s="1">
        <v>-95.7</v>
      </c>
      <c r="M13" s="4" t="s">
        <v>328</v>
      </c>
      <c r="N13">
        <v>49.33</v>
      </c>
      <c r="O13">
        <v>74064.789999999994</v>
      </c>
    </row>
    <row r="14" spans="1:16" x14ac:dyDescent="0.25">
      <c r="A14" t="s">
        <v>325</v>
      </c>
      <c r="B14" s="1" t="s">
        <v>324</v>
      </c>
      <c r="C14" s="1" t="s">
        <v>2</v>
      </c>
      <c r="D14" s="2">
        <v>46071</v>
      </c>
      <c r="E14" s="1" t="s">
        <v>1</v>
      </c>
      <c r="F14" s="1">
        <v>160</v>
      </c>
      <c r="G14" s="1">
        <v>141</v>
      </c>
      <c r="H14" s="1" t="s">
        <v>77</v>
      </c>
      <c r="I14" s="1">
        <v>0</v>
      </c>
      <c r="J14" s="1">
        <v>0.8</v>
      </c>
      <c r="K14" s="1">
        <v>-96.5</v>
      </c>
    </row>
    <row r="15" spans="1:16" x14ac:dyDescent="0.25">
      <c r="A15" t="s">
        <v>325</v>
      </c>
      <c r="B15" s="1" t="s">
        <v>324</v>
      </c>
      <c r="C15" s="1" t="s">
        <v>2</v>
      </c>
      <c r="D15" s="2">
        <v>46071</v>
      </c>
      <c r="E15" s="1" t="s">
        <v>1</v>
      </c>
      <c r="F15" s="1">
        <v>160</v>
      </c>
      <c r="G15" s="1">
        <v>142</v>
      </c>
      <c r="H15" s="1" t="s">
        <v>76</v>
      </c>
      <c r="I15" s="1">
        <v>0</v>
      </c>
      <c r="J15" s="1">
        <v>0.8</v>
      </c>
      <c r="K15" s="1">
        <v>-97.3</v>
      </c>
    </row>
    <row r="16" spans="1:16" x14ac:dyDescent="0.25">
      <c r="A16" t="s">
        <v>325</v>
      </c>
      <c r="B16" s="1" t="s">
        <v>324</v>
      </c>
      <c r="C16" s="1" t="s">
        <v>2</v>
      </c>
      <c r="D16" s="2">
        <v>46071</v>
      </c>
      <c r="E16" s="1" t="s">
        <v>1</v>
      </c>
      <c r="F16" s="1">
        <v>160</v>
      </c>
      <c r="G16" s="1">
        <v>143</v>
      </c>
      <c r="H16" s="1" t="s">
        <v>75</v>
      </c>
      <c r="I16" s="1">
        <v>0</v>
      </c>
      <c r="J16" s="1">
        <v>0.8</v>
      </c>
      <c r="K16" s="1">
        <v>-98.1</v>
      </c>
    </row>
    <row r="17" spans="1:11" x14ac:dyDescent="0.25">
      <c r="A17" t="s">
        <v>325</v>
      </c>
      <c r="B17" s="1" t="s">
        <v>324</v>
      </c>
      <c r="C17" s="1" t="s">
        <v>2</v>
      </c>
      <c r="D17" s="2">
        <v>46075</v>
      </c>
      <c r="E17" s="1" t="s">
        <v>1</v>
      </c>
      <c r="F17" s="1">
        <v>202</v>
      </c>
      <c r="G17" s="1">
        <v>538</v>
      </c>
      <c r="H17" s="1" t="s">
        <v>70</v>
      </c>
      <c r="I17" s="1">
        <v>0</v>
      </c>
      <c r="J17" s="1">
        <v>3.5</v>
      </c>
      <c r="K17" s="1">
        <v>-101.6</v>
      </c>
    </row>
    <row r="18" spans="1:11" x14ac:dyDescent="0.25">
      <c r="A18" t="s">
        <v>325</v>
      </c>
      <c r="B18" s="1" t="s">
        <v>324</v>
      </c>
      <c r="C18" s="1" t="s">
        <v>2</v>
      </c>
      <c r="D18" s="2">
        <v>46075</v>
      </c>
      <c r="E18" s="1" t="s">
        <v>1</v>
      </c>
      <c r="F18" s="1">
        <v>202</v>
      </c>
      <c r="G18" s="1">
        <v>2690</v>
      </c>
      <c r="H18" s="1" t="s">
        <v>69</v>
      </c>
      <c r="I18" s="1">
        <v>0</v>
      </c>
      <c r="J18" s="1">
        <v>0.49</v>
      </c>
      <c r="K18" s="1">
        <v>-102.09</v>
      </c>
    </row>
    <row r="19" spans="1:11" x14ac:dyDescent="0.25">
      <c r="A19" t="s">
        <v>325</v>
      </c>
      <c r="B19" s="1" t="s">
        <v>324</v>
      </c>
      <c r="C19" s="1" t="s">
        <v>2</v>
      </c>
      <c r="D19" s="2">
        <v>46075</v>
      </c>
      <c r="E19" s="1" t="s">
        <v>1</v>
      </c>
      <c r="F19" s="1">
        <v>202</v>
      </c>
      <c r="G19" s="1">
        <v>2699</v>
      </c>
      <c r="H19" s="1" t="s">
        <v>68</v>
      </c>
      <c r="I19" s="1">
        <v>0</v>
      </c>
      <c r="J19" s="1">
        <v>0.49</v>
      </c>
      <c r="K19" s="1">
        <v>-102.58</v>
      </c>
    </row>
    <row r="20" spans="1:11" x14ac:dyDescent="0.25">
      <c r="A20" t="s">
        <v>325</v>
      </c>
      <c r="B20" s="1" t="s">
        <v>324</v>
      </c>
      <c r="C20" s="1" t="s">
        <v>2</v>
      </c>
      <c r="D20" s="2">
        <v>46075</v>
      </c>
      <c r="E20" s="1" t="s">
        <v>1</v>
      </c>
      <c r="F20" s="1">
        <v>202</v>
      </c>
      <c r="G20" s="1">
        <v>2706</v>
      </c>
      <c r="H20" s="1" t="s">
        <v>67</v>
      </c>
      <c r="I20" s="1">
        <v>0</v>
      </c>
      <c r="J20" s="1">
        <v>0.49</v>
      </c>
      <c r="K20" s="1">
        <v>-103.07</v>
      </c>
    </row>
    <row r="21" spans="1:11" x14ac:dyDescent="0.25">
      <c r="A21" t="s">
        <v>325</v>
      </c>
      <c r="B21" s="1" t="s">
        <v>324</v>
      </c>
      <c r="C21" s="1" t="s">
        <v>2</v>
      </c>
      <c r="D21" s="2">
        <v>46075</v>
      </c>
      <c r="E21" s="1" t="s">
        <v>1</v>
      </c>
      <c r="F21" s="1">
        <v>202</v>
      </c>
      <c r="G21" s="1">
        <v>2708</v>
      </c>
      <c r="H21" s="1" t="s">
        <v>66</v>
      </c>
      <c r="I21" s="1">
        <v>0</v>
      </c>
      <c r="J21" s="1">
        <v>0.49</v>
      </c>
      <c r="K21" s="1">
        <v>-103.56</v>
      </c>
    </row>
    <row r="22" spans="1:11" x14ac:dyDescent="0.25">
      <c r="A22" t="s">
        <v>325</v>
      </c>
      <c r="B22" s="1" t="s">
        <v>324</v>
      </c>
      <c r="C22" s="1" t="s">
        <v>2</v>
      </c>
      <c r="D22" s="2">
        <v>46075</v>
      </c>
      <c r="E22" s="1" t="s">
        <v>1</v>
      </c>
      <c r="F22" s="1">
        <v>202</v>
      </c>
      <c r="G22" s="1">
        <v>314</v>
      </c>
      <c r="H22" s="1" t="s">
        <v>327</v>
      </c>
      <c r="I22" s="1">
        <v>0</v>
      </c>
      <c r="J22" s="1">
        <v>1.2</v>
      </c>
      <c r="K22" s="1">
        <v>-104.76</v>
      </c>
    </row>
    <row r="23" spans="1:11" x14ac:dyDescent="0.25">
      <c r="A23" t="s">
        <v>325</v>
      </c>
      <c r="B23" s="1" t="s">
        <v>324</v>
      </c>
      <c r="C23" s="1" t="s">
        <v>2</v>
      </c>
      <c r="D23" s="2">
        <v>46075</v>
      </c>
      <c r="E23" s="1" t="s">
        <v>1</v>
      </c>
      <c r="F23" s="1">
        <v>202</v>
      </c>
      <c r="G23" s="1">
        <v>177</v>
      </c>
      <c r="H23" s="1" t="s">
        <v>65</v>
      </c>
      <c r="I23" s="1">
        <v>0</v>
      </c>
      <c r="J23" s="1">
        <v>392.74</v>
      </c>
      <c r="K23" s="1">
        <v>-497.5</v>
      </c>
    </row>
    <row r="24" spans="1:11" x14ac:dyDescent="0.25">
      <c r="A24" t="s">
        <v>325</v>
      </c>
      <c r="B24" s="1" t="s">
        <v>324</v>
      </c>
      <c r="C24" s="1" t="s">
        <v>2</v>
      </c>
      <c r="D24" s="2">
        <v>46077</v>
      </c>
      <c r="E24" s="1" t="s">
        <v>1</v>
      </c>
      <c r="F24" s="1">
        <v>226</v>
      </c>
      <c r="G24" s="1">
        <v>628</v>
      </c>
      <c r="H24" s="1" t="s">
        <v>59</v>
      </c>
      <c r="I24" s="1">
        <v>0</v>
      </c>
      <c r="J24" s="1">
        <v>0.7</v>
      </c>
      <c r="K24" s="1">
        <v>-498.2</v>
      </c>
    </row>
    <row r="25" spans="1:11" x14ac:dyDescent="0.25">
      <c r="A25" t="s">
        <v>325</v>
      </c>
      <c r="B25" s="1" t="s">
        <v>324</v>
      </c>
      <c r="C25" s="1" t="s">
        <v>2</v>
      </c>
      <c r="D25" s="2">
        <v>46055</v>
      </c>
      <c r="E25" s="1" t="s">
        <v>1</v>
      </c>
      <c r="F25" s="1">
        <v>29</v>
      </c>
      <c r="G25" s="1">
        <v>170</v>
      </c>
      <c r="H25" s="1" t="s">
        <v>43</v>
      </c>
      <c r="I25" s="1">
        <v>0</v>
      </c>
      <c r="J25" s="1">
        <v>1.6</v>
      </c>
      <c r="K25" s="1">
        <v>-499.8</v>
      </c>
    </row>
    <row r="26" spans="1:11" x14ac:dyDescent="0.25">
      <c r="A26" t="s">
        <v>325</v>
      </c>
      <c r="B26" s="1" t="s">
        <v>324</v>
      </c>
      <c r="C26" s="1" t="s">
        <v>2</v>
      </c>
      <c r="D26" s="2">
        <v>46055</v>
      </c>
      <c r="E26" s="1" t="s">
        <v>1</v>
      </c>
      <c r="F26" s="1">
        <v>29</v>
      </c>
      <c r="G26" s="1">
        <v>116</v>
      </c>
      <c r="H26" s="1" t="s">
        <v>42</v>
      </c>
      <c r="I26" s="1">
        <v>0</v>
      </c>
      <c r="J26" s="1">
        <v>1</v>
      </c>
      <c r="K26" s="1">
        <v>-500.8</v>
      </c>
    </row>
    <row r="27" spans="1:11" x14ac:dyDescent="0.25">
      <c r="A27" t="s">
        <v>325</v>
      </c>
      <c r="B27" s="1" t="s">
        <v>324</v>
      </c>
      <c r="C27" s="1" t="s">
        <v>2</v>
      </c>
      <c r="D27" s="2">
        <v>46055</v>
      </c>
      <c r="E27" s="1" t="s">
        <v>1</v>
      </c>
      <c r="F27" s="1">
        <v>29</v>
      </c>
      <c r="G27" s="1">
        <v>118</v>
      </c>
      <c r="H27" s="1" t="s">
        <v>41</v>
      </c>
      <c r="I27" s="1">
        <v>0</v>
      </c>
      <c r="J27" s="1">
        <v>1</v>
      </c>
      <c r="K27" s="1">
        <v>-501.8</v>
      </c>
    </row>
    <row r="28" spans="1:11" x14ac:dyDescent="0.25">
      <c r="A28" t="s">
        <v>325</v>
      </c>
      <c r="B28" s="1" t="s">
        <v>324</v>
      </c>
      <c r="C28" s="1" t="s">
        <v>2</v>
      </c>
      <c r="D28" s="2">
        <v>46055</v>
      </c>
      <c r="E28" s="1" t="s">
        <v>1</v>
      </c>
      <c r="F28" s="1">
        <v>29</v>
      </c>
      <c r="G28" s="1">
        <v>119</v>
      </c>
      <c r="H28" s="1" t="s">
        <v>40</v>
      </c>
      <c r="I28" s="1">
        <v>0</v>
      </c>
      <c r="J28" s="1">
        <v>1</v>
      </c>
      <c r="K28" s="1">
        <v>-502.8</v>
      </c>
    </row>
    <row r="29" spans="1:11" x14ac:dyDescent="0.25">
      <c r="A29" t="s">
        <v>325</v>
      </c>
      <c r="B29" s="1" t="s">
        <v>324</v>
      </c>
      <c r="C29" s="1" t="s">
        <v>2</v>
      </c>
      <c r="D29" s="2">
        <v>46055</v>
      </c>
      <c r="E29" s="1" t="s">
        <v>1</v>
      </c>
      <c r="F29" s="1">
        <v>29</v>
      </c>
      <c r="G29" s="1">
        <v>120</v>
      </c>
      <c r="H29" s="1" t="s">
        <v>39</v>
      </c>
      <c r="I29" s="1">
        <v>0</v>
      </c>
      <c r="J29" s="1">
        <v>1</v>
      </c>
      <c r="K29" s="1">
        <v>-503.8</v>
      </c>
    </row>
    <row r="30" spans="1:11" x14ac:dyDescent="0.25">
      <c r="A30" t="s">
        <v>325</v>
      </c>
      <c r="B30" s="1" t="s">
        <v>324</v>
      </c>
      <c r="C30" s="1" t="s">
        <v>2</v>
      </c>
      <c r="D30" s="2">
        <v>46056</v>
      </c>
      <c r="E30" s="1" t="s">
        <v>1</v>
      </c>
      <c r="F30" s="1">
        <v>37</v>
      </c>
      <c r="G30" s="1">
        <v>376</v>
      </c>
      <c r="H30" s="1" t="s">
        <v>326</v>
      </c>
      <c r="I30" s="1">
        <v>0</v>
      </c>
      <c r="J30" s="1">
        <v>0.5</v>
      </c>
      <c r="K30" s="1">
        <v>-504.3</v>
      </c>
    </row>
    <row r="31" spans="1:11" x14ac:dyDescent="0.25">
      <c r="A31" t="s">
        <v>325</v>
      </c>
      <c r="B31" s="1" t="s">
        <v>324</v>
      </c>
      <c r="C31" s="1" t="s">
        <v>2</v>
      </c>
      <c r="D31" s="2">
        <v>46056</v>
      </c>
      <c r="E31" s="1" t="s">
        <v>1</v>
      </c>
      <c r="F31" s="1">
        <v>37</v>
      </c>
      <c r="G31" s="1">
        <v>122</v>
      </c>
      <c r="H31" s="1" t="s">
        <v>35</v>
      </c>
      <c r="I31" s="1">
        <v>0</v>
      </c>
      <c r="J31" s="1">
        <v>0.8</v>
      </c>
      <c r="K31" s="1">
        <v>-505.1</v>
      </c>
    </row>
    <row r="32" spans="1:11" x14ac:dyDescent="0.25">
      <c r="A32" t="s">
        <v>325</v>
      </c>
      <c r="B32" s="1" t="s">
        <v>324</v>
      </c>
      <c r="C32" s="1" t="s">
        <v>2</v>
      </c>
      <c r="D32" s="2">
        <v>46056</v>
      </c>
      <c r="E32" s="1" t="s">
        <v>1</v>
      </c>
      <c r="F32" s="1">
        <v>37</v>
      </c>
      <c r="G32" s="1">
        <v>123</v>
      </c>
      <c r="H32" s="1" t="s">
        <v>34</v>
      </c>
      <c r="I32" s="1">
        <v>0</v>
      </c>
      <c r="J32" s="1">
        <v>0.8</v>
      </c>
      <c r="K32" s="1">
        <v>-505.9</v>
      </c>
    </row>
    <row r="33" spans="1:11" x14ac:dyDescent="0.25">
      <c r="A33" t="s">
        <v>325</v>
      </c>
      <c r="B33" s="1" t="s">
        <v>324</v>
      </c>
      <c r="C33" s="1" t="s">
        <v>2</v>
      </c>
      <c r="D33" s="2">
        <v>46056</v>
      </c>
      <c r="E33" s="1" t="s">
        <v>1</v>
      </c>
      <c r="F33" s="1">
        <v>37</v>
      </c>
      <c r="G33" s="1">
        <v>124</v>
      </c>
      <c r="H33" s="1" t="s">
        <v>33</v>
      </c>
      <c r="I33" s="1">
        <v>0</v>
      </c>
      <c r="J33" s="1">
        <v>3</v>
      </c>
      <c r="K33" s="1">
        <v>-508.9</v>
      </c>
    </row>
    <row r="34" spans="1:11" x14ac:dyDescent="0.25">
      <c r="A34" t="s">
        <v>325</v>
      </c>
      <c r="B34" s="1" t="s">
        <v>324</v>
      </c>
      <c r="C34" s="1" t="s">
        <v>2</v>
      </c>
      <c r="D34" s="2">
        <v>46056</v>
      </c>
      <c r="E34" s="1" t="s">
        <v>1</v>
      </c>
      <c r="F34" s="1">
        <v>37</v>
      </c>
      <c r="G34" s="1">
        <v>125</v>
      </c>
      <c r="H34" s="1" t="s">
        <v>32</v>
      </c>
      <c r="I34" s="1">
        <v>0</v>
      </c>
      <c r="J34" s="1">
        <v>0.8</v>
      </c>
      <c r="K34" s="1">
        <v>-509.7</v>
      </c>
    </row>
    <row r="35" spans="1:11" x14ac:dyDescent="0.25">
      <c r="A35" t="s">
        <v>325</v>
      </c>
      <c r="B35" s="1" t="s">
        <v>324</v>
      </c>
      <c r="C35" s="1" t="s">
        <v>2</v>
      </c>
      <c r="D35" s="2">
        <v>46058</v>
      </c>
      <c r="E35" s="1" t="s">
        <v>1</v>
      </c>
      <c r="F35" s="1">
        <v>57</v>
      </c>
      <c r="G35" s="1">
        <v>776</v>
      </c>
      <c r="H35" s="1" t="s">
        <v>25</v>
      </c>
      <c r="I35" s="1">
        <v>0</v>
      </c>
      <c r="J35" s="1">
        <v>3.2</v>
      </c>
      <c r="K35" s="1">
        <v>-512.9</v>
      </c>
    </row>
    <row r="36" spans="1:11" x14ac:dyDescent="0.25">
      <c r="A36" t="s">
        <v>325</v>
      </c>
      <c r="B36" s="1" t="s">
        <v>324</v>
      </c>
      <c r="C36" s="1" t="s">
        <v>2</v>
      </c>
      <c r="D36" s="2">
        <v>46058</v>
      </c>
      <c r="E36" s="1" t="s">
        <v>1</v>
      </c>
      <c r="F36" s="1">
        <v>57</v>
      </c>
      <c r="G36" s="1">
        <v>126</v>
      </c>
      <c r="H36" s="1" t="s">
        <v>23</v>
      </c>
      <c r="I36" s="1">
        <v>0</v>
      </c>
      <c r="J36" s="1">
        <v>1</v>
      </c>
      <c r="K36" s="1">
        <v>-513.9</v>
      </c>
    </row>
    <row r="37" spans="1:11" x14ac:dyDescent="0.25">
      <c r="A37" t="s">
        <v>325</v>
      </c>
      <c r="B37" s="1" t="s">
        <v>324</v>
      </c>
      <c r="C37" s="1" t="s">
        <v>2</v>
      </c>
      <c r="D37" s="2">
        <v>46058</v>
      </c>
      <c r="E37" s="1" t="s">
        <v>1</v>
      </c>
      <c r="F37" s="1">
        <v>57</v>
      </c>
      <c r="G37" s="1">
        <v>127</v>
      </c>
      <c r="H37" s="1" t="s">
        <v>22</v>
      </c>
      <c r="I37" s="1">
        <v>0</v>
      </c>
      <c r="J37" s="1">
        <v>1</v>
      </c>
      <c r="K37" s="1">
        <v>-514.9</v>
      </c>
    </row>
    <row r="38" spans="1:11" x14ac:dyDescent="0.25">
      <c r="A38" t="s">
        <v>325</v>
      </c>
      <c r="B38" s="1" t="s">
        <v>324</v>
      </c>
      <c r="C38" s="1" t="s">
        <v>2</v>
      </c>
      <c r="D38" s="2">
        <v>46058</v>
      </c>
      <c r="E38" s="1" t="s">
        <v>1</v>
      </c>
      <c r="F38" s="1">
        <v>57</v>
      </c>
      <c r="G38" s="1">
        <v>128</v>
      </c>
      <c r="H38" s="1" t="s">
        <v>21</v>
      </c>
      <c r="I38" s="1">
        <v>0</v>
      </c>
      <c r="J38" s="1">
        <v>0.8</v>
      </c>
      <c r="K38" s="1">
        <v>-515.70000000000005</v>
      </c>
    </row>
    <row r="39" spans="1:11" x14ac:dyDescent="0.25">
      <c r="A39" t="s">
        <v>325</v>
      </c>
      <c r="B39" s="1" t="s">
        <v>324</v>
      </c>
      <c r="C39" s="1" t="s">
        <v>2</v>
      </c>
      <c r="D39" s="2">
        <v>46058</v>
      </c>
      <c r="E39" s="1" t="s">
        <v>1</v>
      </c>
      <c r="F39" s="1">
        <v>57</v>
      </c>
      <c r="G39" s="1">
        <v>129</v>
      </c>
      <c r="H39" s="1" t="s">
        <v>20</v>
      </c>
      <c r="I39" s="1">
        <v>0</v>
      </c>
      <c r="J39" s="1">
        <v>1</v>
      </c>
      <c r="K39" s="1">
        <v>-516.70000000000005</v>
      </c>
    </row>
    <row r="40" spans="1:11" x14ac:dyDescent="0.25">
      <c r="A40" t="s">
        <v>325</v>
      </c>
      <c r="B40" s="1" t="s">
        <v>324</v>
      </c>
      <c r="C40" s="1" t="s">
        <v>2</v>
      </c>
      <c r="D40" s="2">
        <v>46061</v>
      </c>
      <c r="E40" s="1" t="s">
        <v>1</v>
      </c>
      <c r="F40" s="1">
        <v>70</v>
      </c>
      <c r="G40" s="1">
        <v>52</v>
      </c>
      <c r="H40" s="1" t="s">
        <v>15</v>
      </c>
      <c r="I40" s="1">
        <v>0</v>
      </c>
      <c r="J40" s="1">
        <v>1.8</v>
      </c>
      <c r="K40" s="1">
        <v>-518.5</v>
      </c>
    </row>
    <row r="41" spans="1:11" x14ac:dyDescent="0.25">
      <c r="A41" t="s">
        <v>325</v>
      </c>
      <c r="B41" s="1" t="s">
        <v>324</v>
      </c>
      <c r="C41" s="1" t="s">
        <v>2</v>
      </c>
      <c r="D41" s="2">
        <v>46062</v>
      </c>
      <c r="E41" s="1" t="s">
        <v>1</v>
      </c>
      <c r="F41" s="1">
        <v>84</v>
      </c>
      <c r="G41" s="1">
        <v>56</v>
      </c>
      <c r="H41" s="1" t="s">
        <v>7</v>
      </c>
      <c r="I41" s="1">
        <v>0</v>
      </c>
      <c r="J41" s="1">
        <v>1.8</v>
      </c>
      <c r="K41" s="1">
        <v>-520.29999999999995</v>
      </c>
    </row>
    <row r="42" spans="1:11" x14ac:dyDescent="0.25">
      <c r="A42" t="s">
        <v>322</v>
      </c>
      <c r="B42" s="1" t="s">
        <v>321</v>
      </c>
      <c r="C42" s="1" t="s">
        <v>2</v>
      </c>
      <c r="D42" s="2">
        <v>46065</v>
      </c>
      <c r="E42" s="1" t="s">
        <v>1</v>
      </c>
      <c r="F42" s="1">
        <v>121</v>
      </c>
      <c r="G42" s="1">
        <v>76914</v>
      </c>
      <c r="H42" s="1" t="s">
        <v>94</v>
      </c>
      <c r="I42" s="1">
        <v>0</v>
      </c>
      <c r="J42" s="1">
        <v>11.01</v>
      </c>
      <c r="K42" s="1">
        <v>-11.01</v>
      </c>
    </row>
    <row r="43" spans="1:11" x14ac:dyDescent="0.25">
      <c r="A43" t="s">
        <v>322</v>
      </c>
      <c r="B43" s="1" t="s">
        <v>321</v>
      </c>
      <c r="C43" s="1" t="s">
        <v>2</v>
      </c>
      <c r="D43" s="2">
        <v>46065</v>
      </c>
      <c r="E43" s="1" t="s">
        <v>1</v>
      </c>
      <c r="F43" s="1">
        <v>121</v>
      </c>
      <c r="G43" s="1">
        <v>76915</v>
      </c>
      <c r="H43" s="1" t="s">
        <v>93</v>
      </c>
      <c r="I43" s="1">
        <v>0</v>
      </c>
      <c r="J43" s="1">
        <v>1.07</v>
      </c>
      <c r="K43" s="1">
        <v>-12.08</v>
      </c>
    </row>
    <row r="44" spans="1:11" x14ac:dyDescent="0.25">
      <c r="A44" t="s">
        <v>322</v>
      </c>
      <c r="B44" s="1" t="s">
        <v>321</v>
      </c>
      <c r="C44" s="1" t="s">
        <v>2</v>
      </c>
      <c r="D44" s="2">
        <v>46065</v>
      </c>
      <c r="E44" s="1" t="s">
        <v>1</v>
      </c>
      <c r="F44" s="1">
        <v>121</v>
      </c>
      <c r="G44" s="1">
        <v>46</v>
      </c>
      <c r="H44" s="1" t="s">
        <v>92</v>
      </c>
      <c r="I44" s="1">
        <v>0</v>
      </c>
      <c r="J44" s="1">
        <v>275.13</v>
      </c>
      <c r="K44" s="1">
        <v>-287.20999999999998</v>
      </c>
    </row>
    <row r="45" spans="1:11" x14ac:dyDescent="0.25">
      <c r="A45" t="s">
        <v>322</v>
      </c>
      <c r="B45" s="1" t="s">
        <v>321</v>
      </c>
      <c r="C45" s="1" t="s">
        <v>2</v>
      </c>
      <c r="D45" s="2">
        <v>46070</v>
      </c>
      <c r="E45" s="1" t="s">
        <v>1</v>
      </c>
      <c r="F45" s="1">
        <v>135</v>
      </c>
      <c r="G45" s="1">
        <v>2</v>
      </c>
      <c r="H45" s="1" t="s">
        <v>89</v>
      </c>
      <c r="I45" s="1">
        <v>0</v>
      </c>
      <c r="J45" s="1">
        <v>315</v>
      </c>
      <c r="K45" s="1">
        <v>-602.21</v>
      </c>
    </row>
    <row r="46" spans="1:11" x14ac:dyDescent="0.25">
      <c r="A46" t="s">
        <v>322</v>
      </c>
      <c r="B46" s="1" t="s">
        <v>321</v>
      </c>
      <c r="C46" s="1" t="s">
        <v>2</v>
      </c>
      <c r="D46" s="2">
        <v>46071</v>
      </c>
      <c r="E46" s="1" t="s">
        <v>1</v>
      </c>
      <c r="F46" s="1">
        <v>160</v>
      </c>
      <c r="G46" s="1">
        <v>3</v>
      </c>
      <c r="H46" s="1" t="s">
        <v>73</v>
      </c>
      <c r="I46" s="1">
        <v>0</v>
      </c>
      <c r="J46" s="1">
        <v>315</v>
      </c>
      <c r="K46" s="1">
        <v>-917.21</v>
      </c>
    </row>
    <row r="47" spans="1:11" x14ac:dyDescent="0.25">
      <c r="A47" t="s">
        <v>322</v>
      </c>
      <c r="B47" s="1" t="s">
        <v>321</v>
      </c>
      <c r="C47" s="1" t="s">
        <v>2</v>
      </c>
      <c r="D47" s="2">
        <v>46072</v>
      </c>
      <c r="E47" s="1" t="s">
        <v>1</v>
      </c>
      <c r="F47" s="1">
        <v>162</v>
      </c>
      <c r="G47" s="1">
        <v>193539</v>
      </c>
      <c r="H47" s="1" t="s">
        <v>72</v>
      </c>
      <c r="I47" s="1">
        <v>0</v>
      </c>
      <c r="J47" s="1">
        <v>7.47</v>
      </c>
      <c r="K47" s="1">
        <v>-924.68</v>
      </c>
    </row>
    <row r="48" spans="1:11" x14ac:dyDescent="0.25">
      <c r="A48" t="s">
        <v>322</v>
      </c>
      <c r="B48" s="1" t="s">
        <v>321</v>
      </c>
      <c r="C48" s="1" t="s">
        <v>2</v>
      </c>
      <c r="D48" s="2">
        <v>46075</v>
      </c>
      <c r="E48" s="1" t="s">
        <v>1</v>
      </c>
      <c r="F48" s="1">
        <v>202</v>
      </c>
      <c r="G48" s="1">
        <v>11</v>
      </c>
      <c r="H48" s="1" t="s">
        <v>323</v>
      </c>
      <c r="I48" s="1">
        <v>0</v>
      </c>
      <c r="J48" s="1">
        <v>120</v>
      </c>
      <c r="K48" s="3">
        <v>-1044.68</v>
      </c>
    </row>
    <row r="49" spans="1:11" x14ac:dyDescent="0.25">
      <c r="A49" t="s">
        <v>322</v>
      </c>
      <c r="B49" s="1" t="s">
        <v>321</v>
      </c>
      <c r="C49" s="1" t="s">
        <v>2</v>
      </c>
      <c r="D49" s="2">
        <v>46055</v>
      </c>
      <c r="E49" s="1" t="s">
        <v>1</v>
      </c>
      <c r="F49" s="1">
        <v>29</v>
      </c>
      <c r="G49" s="1">
        <v>195</v>
      </c>
      <c r="H49" s="1" t="s">
        <v>48</v>
      </c>
      <c r="I49" s="1">
        <v>0</v>
      </c>
      <c r="J49" s="3">
        <v>1210.8</v>
      </c>
      <c r="K49" s="3">
        <v>-2255.48</v>
      </c>
    </row>
    <row r="50" spans="1:11" x14ac:dyDescent="0.25">
      <c r="A50" t="s">
        <v>322</v>
      </c>
      <c r="B50" s="1" t="s">
        <v>321</v>
      </c>
      <c r="C50" s="1" t="s">
        <v>2</v>
      </c>
      <c r="D50" s="2">
        <v>46055</v>
      </c>
      <c r="E50" s="1" t="s">
        <v>1</v>
      </c>
      <c r="F50" s="1">
        <v>29</v>
      </c>
      <c r="G50" s="1">
        <v>196</v>
      </c>
      <c r="H50" s="1" t="s">
        <v>47</v>
      </c>
      <c r="I50" s="1">
        <v>0</v>
      </c>
      <c r="J50" s="1">
        <v>750</v>
      </c>
      <c r="K50" s="3">
        <v>-3005.48</v>
      </c>
    </row>
    <row r="51" spans="1:11" x14ac:dyDescent="0.25">
      <c r="A51" t="s">
        <v>322</v>
      </c>
      <c r="B51" s="1" t="s">
        <v>321</v>
      </c>
      <c r="C51" s="1" t="s">
        <v>2</v>
      </c>
      <c r="D51" s="2">
        <v>46056</v>
      </c>
      <c r="E51" s="1" t="s">
        <v>1</v>
      </c>
      <c r="F51" s="1">
        <v>37</v>
      </c>
      <c r="G51" s="1">
        <v>50</v>
      </c>
      <c r="H51" s="1" t="s">
        <v>6</v>
      </c>
      <c r="I51" s="1">
        <v>0</v>
      </c>
      <c r="J51" s="1">
        <v>111.11</v>
      </c>
      <c r="K51" s="3">
        <v>-3116.59</v>
      </c>
    </row>
    <row r="52" spans="1:11" x14ac:dyDescent="0.25">
      <c r="A52" t="s">
        <v>322</v>
      </c>
      <c r="B52" s="1" t="s">
        <v>321</v>
      </c>
      <c r="C52" s="1" t="s">
        <v>2</v>
      </c>
      <c r="D52" s="2">
        <v>46057</v>
      </c>
      <c r="E52" s="1" t="s">
        <v>1</v>
      </c>
      <c r="F52" s="1">
        <v>53</v>
      </c>
      <c r="G52" s="1">
        <v>76818</v>
      </c>
      <c r="H52" s="1" t="s">
        <v>29</v>
      </c>
      <c r="I52" s="1">
        <v>0</v>
      </c>
      <c r="J52" s="1">
        <v>6.93</v>
      </c>
      <c r="K52" s="3">
        <v>-3123.52</v>
      </c>
    </row>
    <row r="53" spans="1:11" x14ac:dyDescent="0.25">
      <c r="A53" t="s">
        <v>322</v>
      </c>
      <c r="B53" s="1" t="s">
        <v>321</v>
      </c>
      <c r="C53" s="1" t="s">
        <v>2</v>
      </c>
      <c r="D53" s="2">
        <v>46057</v>
      </c>
      <c r="E53" s="1" t="s">
        <v>1</v>
      </c>
      <c r="F53" s="1">
        <v>53</v>
      </c>
      <c r="G53" s="1">
        <v>76819</v>
      </c>
      <c r="H53" s="1" t="s">
        <v>28</v>
      </c>
      <c r="I53" s="1">
        <v>0</v>
      </c>
      <c r="J53" s="1">
        <v>1.07</v>
      </c>
      <c r="K53" s="3">
        <v>-3124.59</v>
      </c>
    </row>
    <row r="54" spans="1:11" x14ac:dyDescent="0.25">
      <c r="A54" t="s">
        <v>322</v>
      </c>
      <c r="B54" s="1" t="s">
        <v>321</v>
      </c>
      <c r="C54" s="1" t="s">
        <v>2</v>
      </c>
      <c r="D54" s="2">
        <v>46058</v>
      </c>
      <c r="E54" s="1" t="s">
        <v>1</v>
      </c>
      <c r="F54" s="1">
        <v>57</v>
      </c>
      <c r="G54" s="1">
        <v>212880</v>
      </c>
      <c r="H54" s="1" t="s">
        <v>26</v>
      </c>
      <c r="I54" s="1">
        <v>0</v>
      </c>
      <c r="J54" s="1">
        <v>10.18</v>
      </c>
      <c r="K54" s="3">
        <v>-3134.77</v>
      </c>
    </row>
    <row r="55" spans="1:11" x14ac:dyDescent="0.25">
      <c r="A55" t="s">
        <v>322</v>
      </c>
      <c r="B55" s="1" t="s">
        <v>321</v>
      </c>
      <c r="C55" s="1" t="s">
        <v>2</v>
      </c>
      <c r="D55" s="2">
        <v>46058</v>
      </c>
      <c r="E55" s="1" t="s">
        <v>1</v>
      </c>
      <c r="F55" s="1">
        <v>57</v>
      </c>
      <c r="G55" s="1">
        <v>91</v>
      </c>
      <c r="H55" s="1" t="s">
        <v>5</v>
      </c>
      <c r="I55" s="1">
        <v>0</v>
      </c>
      <c r="J55" s="1">
        <v>88.99</v>
      </c>
      <c r="K55" s="3">
        <v>-3223.76</v>
      </c>
    </row>
    <row r="56" spans="1:11" x14ac:dyDescent="0.25">
      <c r="A56" t="s">
        <v>322</v>
      </c>
      <c r="B56" s="1" t="s">
        <v>321</v>
      </c>
      <c r="C56" s="1" t="s">
        <v>2</v>
      </c>
      <c r="D56" s="2">
        <v>46058</v>
      </c>
      <c r="E56" s="1" t="s">
        <v>1</v>
      </c>
      <c r="F56" s="1">
        <v>57</v>
      </c>
      <c r="G56" s="1">
        <v>21</v>
      </c>
      <c r="H56" s="1" t="s">
        <v>0</v>
      </c>
      <c r="I56" s="1">
        <v>0</v>
      </c>
      <c r="J56" s="1">
        <v>450</v>
      </c>
      <c r="K56" s="3">
        <v>-3673.76</v>
      </c>
    </row>
    <row r="57" spans="1:11" x14ac:dyDescent="0.25">
      <c r="A57" t="s">
        <v>322</v>
      </c>
      <c r="B57" s="1" t="s">
        <v>321</v>
      </c>
      <c r="C57" s="1" t="s">
        <v>2</v>
      </c>
      <c r="D57" s="2">
        <v>46058</v>
      </c>
      <c r="E57" s="1" t="s">
        <v>1</v>
      </c>
      <c r="F57" s="1">
        <v>57</v>
      </c>
      <c r="G57" s="1">
        <v>48</v>
      </c>
      <c r="H57" s="1" t="s">
        <v>19</v>
      </c>
      <c r="I57" s="1">
        <v>0</v>
      </c>
      <c r="J57" s="1">
        <v>40</v>
      </c>
      <c r="K57" s="3">
        <v>-3713.76</v>
      </c>
    </row>
    <row r="58" spans="1:11" x14ac:dyDescent="0.25">
      <c r="A58" t="s">
        <v>318</v>
      </c>
      <c r="B58" s="1" t="s">
        <v>317</v>
      </c>
      <c r="C58" s="1" t="s">
        <v>2</v>
      </c>
      <c r="D58" s="2">
        <v>46063</v>
      </c>
      <c r="E58" s="1" t="s">
        <v>1</v>
      </c>
      <c r="F58" s="1">
        <v>104</v>
      </c>
      <c r="G58" s="1">
        <v>413</v>
      </c>
      <c r="H58" s="1" t="s">
        <v>181</v>
      </c>
      <c r="I58" s="1">
        <v>0</v>
      </c>
      <c r="J58" s="1">
        <v>21.55</v>
      </c>
      <c r="K58" s="1">
        <v>-21.55</v>
      </c>
    </row>
    <row r="59" spans="1:11" x14ac:dyDescent="0.25">
      <c r="A59" t="s">
        <v>318</v>
      </c>
      <c r="B59" s="1" t="s">
        <v>317</v>
      </c>
      <c r="C59" s="1" t="s">
        <v>2</v>
      </c>
      <c r="D59" s="2">
        <v>46063</v>
      </c>
      <c r="E59" s="1" t="s">
        <v>1</v>
      </c>
      <c r="F59" s="1">
        <v>104</v>
      </c>
      <c r="G59" s="1">
        <v>142395</v>
      </c>
      <c r="H59" s="1" t="s">
        <v>310</v>
      </c>
      <c r="I59" s="1">
        <v>0</v>
      </c>
      <c r="J59" s="1">
        <v>12.63</v>
      </c>
      <c r="K59" s="1">
        <v>-34.18</v>
      </c>
    </row>
    <row r="60" spans="1:11" x14ac:dyDescent="0.25">
      <c r="A60" t="s">
        <v>318</v>
      </c>
      <c r="B60" s="1" t="s">
        <v>317</v>
      </c>
      <c r="C60" s="1" t="s">
        <v>2</v>
      </c>
      <c r="D60" s="2">
        <v>46063</v>
      </c>
      <c r="E60" s="1" t="s">
        <v>1</v>
      </c>
      <c r="F60" s="1">
        <v>104</v>
      </c>
      <c r="G60" s="1">
        <v>14882</v>
      </c>
      <c r="H60" s="1" t="s">
        <v>180</v>
      </c>
      <c r="I60" s="1">
        <v>0</v>
      </c>
      <c r="J60" s="1">
        <v>2.2799999999999998</v>
      </c>
      <c r="K60" s="1">
        <v>-36.46</v>
      </c>
    </row>
    <row r="61" spans="1:11" x14ac:dyDescent="0.25">
      <c r="A61" t="s">
        <v>318</v>
      </c>
      <c r="B61" s="1" t="s">
        <v>317</v>
      </c>
      <c r="C61" s="1" t="s">
        <v>2</v>
      </c>
      <c r="D61" s="2">
        <v>46065</v>
      </c>
      <c r="E61" s="1" t="s">
        <v>1</v>
      </c>
      <c r="F61" s="1">
        <v>121</v>
      </c>
      <c r="G61" s="1">
        <v>75049</v>
      </c>
      <c r="H61" s="1" t="s">
        <v>309</v>
      </c>
      <c r="I61" s="1">
        <v>0</v>
      </c>
      <c r="J61" s="1">
        <v>4.9000000000000004</v>
      </c>
      <c r="K61" s="1">
        <v>-41.36</v>
      </c>
    </row>
    <row r="62" spans="1:11" x14ac:dyDescent="0.25">
      <c r="A62" t="s">
        <v>318</v>
      </c>
      <c r="B62" s="1" t="s">
        <v>317</v>
      </c>
      <c r="C62" s="1" t="s">
        <v>2</v>
      </c>
      <c r="D62" s="2">
        <v>46065</v>
      </c>
      <c r="E62" s="1" t="s">
        <v>1</v>
      </c>
      <c r="F62" s="1">
        <v>121</v>
      </c>
      <c r="G62" s="1">
        <v>6871</v>
      </c>
      <c r="H62" s="1" t="s">
        <v>179</v>
      </c>
      <c r="I62" s="1">
        <v>0</v>
      </c>
      <c r="J62" s="1">
        <v>2.21</v>
      </c>
      <c r="K62" s="1">
        <v>-43.57</v>
      </c>
    </row>
    <row r="63" spans="1:11" x14ac:dyDescent="0.25">
      <c r="A63" t="s">
        <v>318</v>
      </c>
      <c r="B63" s="1" t="s">
        <v>317</v>
      </c>
      <c r="C63" s="1" t="s">
        <v>2</v>
      </c>
      <c r="D63" s="2">
        <v>46065</v>
      </c>
      <c r="E63" s="1" t="s">
        <v>1</v>
      </c>
      <c r="F63" s="1">
        <v>121</v>
      </c>
      <c r="G63" s="1">
        <v>651</v>
      </c>
      <c r="H63" s="1" t="s">
        <v>178</v>
      </c>
      <c r="I63" s="1">
        <v>0</v>
      </c>
      <c r="J63" s="1">
        <v>244.67</v>
      </c>
      <c r="K63" s="1">
        <v>-288.24</v>
      </c>
    </row>
    <row r="64" spans="1:11" x14ac:dyDescent="0.25">
      <c r="A64" t="s">
        <v>318</v>
      </c>
      <c r="B64" s="1" t="s">
        <v>317</v>
      </c>
      <c r="C64" s="1" t="s">
        <v>2</v>
      </c>
      <c r="D64" s="2">
        <v>46067</v>
      </c>
      <c r="E64" s="1" t="s">
        <v>1</v>
      </c>
      <c r="F64" s="1">
        <v>123</v>
      </c>
      <c r="G64" s="1">
        <v>659</v>
      </c>
      <c r="H64" s="1" t="s">
        <v>177</v>
      </c>
      <c r="I64" s="1">
        <v>0</v>
      </c>
      <c r="J64" s="1">
        <v>239.5</v>
      </c>
      <c r="K64" s="1">
        <v>-527.74</v>
      </c>
    </row>
    <row r="65" spans="1:11" x14ac:dyDescent="0.25">
      <c r="A65" t="s">
        <v>318</v>
      </c>
      <c r="B65" s="1" t="s">
        <v>317</v>
      </c>
      <c r="C65" s="1" t="s">
        <v>2</v>
      </c>
      <c r="D65" s="2">
        <v>46067</v>
      </c>
      <c r="E65" s="1" t="s">
        <v>1</v>
      </c>
      <c r="F65" s="1">
        <v>123</v>
      </c>
      <c r="G65" s="1">
        <v>660</v>
      </c>
      <c r="H65" s="1" t="s">
        <v>176</v>
      </c>
      <c r="I65" s="1">
        <v>0</v>
      </c>
      <c r="J65" s="1">
        <v>239.5</v>
      </c>
      <c r="K65" s="1">
        <v>-767.24</v>
      </c>
    </row>
    <row r="66" spans="1:11" x14ac:dyDescent="0.25">
      <c r="A66" t="s">
        <v>318</v>
      </c>
      <c r="B66" s="1" t="s">
        <v>317</v>
      </c>
      <c r="C66" s="1" t="s">
        <v>2</v>
      </c>
      <c r="D66" s="2">
        <v>46067</v>
      </c>
      <c r="E66" s="1" t="s">
        <v>1</v>
      </c>
      <c r="F66" s="1">
        <v>123</v>
      </c>
      <c r="G66" s="1">
        <v>661</v>
      </c>
      <c r="H66" s="1" t="s">
        <v>175</v>
      </c>
      <c r="I66" s="1">
        <v>0</v>
      </c>
      <c r="J66" s="1">
        <v>239.5</v>
      </c>
      <c r="K66" s="3">
        <v>-1006.74</v>
      </c>
    </row>
    <row r="67" spans="1:11" x14ac:dyDescent="0.25">
      <c r="A67" t="s">
        <v>318</v>
      </c>
      <c r="B67" s="1" t="s">
        <v>317</v>
      </c>
      <c r="C67" s="1" t="s">
        <v>2</v>
      </c>
      <c r="D67" s="2">
        <v>46067</v>
      </c>
      <c r="E67" s="1" t="s">
        <v>1</v>
      </c>
      <c r="F67" s="1">
        <v>123</v>
      </c>
      <c r="G67" s="1">
        <v>662</v>
      </c>
      <c r="H67" s="1" t="s">
        <v>174</v>
      </c>
      <c r="I67" s="1">
        <v>0</v>
      </c>
      <c r="J67" s="1">
        <v>239.5</v>
      </c>
      <c r="K67" s="3">
        <v>-1246.24</v>
      </c>
    </row>
    <row r="68" spans="1:11" x14ac:dyDescent="0.25">
      <c r="A68" t="s">
        <v>318</v>
      </c>
      <c r="B68" s="1" t="s">
        <v>317</v>
      </c>
      <c r="C68" s="1" t="s">
        <v>2</v>
      </c>
      <c r="D68" s="2">
        <v>46067</v>
      </c>
      <c r="E68" s="1" t="s">
        <v>1</v>
      </c>
      <c r="F68" s="1">
        <v>123</v>
      </c>
      <c r="G68" s="1">
        <v>664</v>
      </c>
      <c r="H68" s="1" t="s">
        <v>173</v>
      </c>
      <c r="I68" s="1">
        <v>0</v>
      </c>
      <c r="J68" s="1">
        <v>239.5</v>
      </c>
      <c r="K68" s="3">
        <v>-1485.74</v>
      </c>
    </row>
    <row r="69" spans="1:11" x14ac:dyDescent="0.25">
      <c r="A69" t="s">
        <v>318</v>
      </c>
      <c r="B69" s="1" t="s">
        <v>317</v>
      </c>
      <c r="C69" s="1" t="s">
        <v>2</v>
      </c>
      <c r="D69" s="2">
        <v>46070</v>
      </c>
      <c r="E69" s="1" t="s">
        <v>1</v>
      </c>
      <c r="F69" s="1">
        <v>135</v>
      </c>
      <c r="G69" s="1">
        <v>657</v>
      </c>
      <c r="H69" s="1" t="s">
        <v>320</v>
      </c>
      <c r="I69" s="1">
        <v>0</v>
      </c>
      <c r="J69" s="1">
        <v>593.95000000000005</v>
      </c>
      <c r="K69" s="3">
        <v>-2079.69</v>
      </c>
    </row>
    <row r="70" spans="1:11" x14ac:dyDescent="0.25">
      <c r="A70" t="s">
        <v>318</v>
      </c>
      <c r="B70" s="1" t="s">
        <v>317</v>
      </c>
      <c r="C70" s="1" t="s">
        <v>2</v>
      </c>
      <c r="D70" s="2">
        <v>46071</v>
      </c>
      <c r="E70" s="1" t="s">
        <v>1</v>
      </c>
      <c r="F70" s="1">
        <v>160</v>
      </c>
      <c r="G70" s="1">
        <v>1096</v>
      </c>
      <c r="H70" s="1" t="s">
        <v>172</v>
      </c>
      <c r="I70" s="1">
        <v>0</v>
      </c>
      <c r="J70" s="1">
        <v>17.5</v>
      </c>
      <c r="K70" s="3">
        <v>-2097.19</v>
      </c>
    </row>
    <row r="71" spans="1:11" x14ac:dyDescent="0.25">
      <c r="A71" t="s">
        <v>318</v>
      </c>
      <c r="B71" s="1" t="s">
        <v>317</v>
      </c>
      <c r="C71" s="1" t="s">
        <v>2</v>
      </c>
      <c r="D71" s="2">
        <v>46071</v>
      </c>
      <c r="E71" s="1" t="s">
        <v>1</v>
      </c>
      <c r="F71" s="1">
        <v>160</v>
      </c>
      <c r="G71" s="1">
        <v>5950</v>
      </c>
      <c r="H71" s="1" t="s">
        <v>171</v>
      </c>
      <c r="I71" s="1">
        <v>0</v>
      </c>
      <c r="J71" s="1">
        <v>0.36</v>
      </c>
      <c r="K71" s="3">
        <v>-2097.5500000000002</v>
      </c>
    </row>
    <row r="72" spans="1:11" x14ac:dyDescent="0.25">
      <c r="A72" t="s">
        <v>318</v>
      </c>
      <c r="B72" s="1" t="s">
        <v>317</v>
      </c>
      <c r="C72" s="1" t="s">
        <v>2</v>
      </c>
      <c r="D72" s="2">
        <v>46071</v>
      </c>
      <c r="E72" s="1" t="s">
        <v>1</v>
      </c>
      <c r="F72" s="1">
        <v>160</v>
      </c>
      <c r="G72" s="1">
        <v>3622</v>
      </c>
      <c r="H72" s="1" t="s">
        <v>170</v>
      </c>
      <c r="I72" s="1">
        <v>0</v>
      </c>
      <c r="J72" s="1">
        <v>1.23</v>
      </c>
      <c r="K72" s="3">
        <v>-2098.7800000000002</v>
      </c>
    </row>
    <row r="73" spans="1:11" x14ac:dyDescent="0.25">
      <c r="A73" t="s">
        <v>318</v>
      </c>
      <c r="B73" s="1" t="s">
        <v>317</v>
      </c>
      <c r="C73" s="1" t="s">
        <v>2</v>
      </c>
      <c r="D73" s="2">
        <v>46071</v>
      </c>
      <c r="E73" s="1" t="s">
        <v>1</v>
      </c>
      <c r="F73" s="1">
        <v>160</v>
      </c>
      <c r="G73" s="1">
        <v>3630</v>
      </c>
      <c r="H73" s="1" t="s">
        <v>169</v>
      </c>
      <c r="I73" s="1">
        <v>0</v>
      </c>
      <c r="J73" s="1">
        <v>1.62</v>
      </c>
      <c r="K73" s="3">
        <v>-2100.4</v>
      </c>
    </row>
    <row r="74" spans="1:11" x14ac:dyDescent="0.25">
      <c r="A74" t="s">
        <v>318</v>
      </c>
      <c r="B74" s="1" t="s">
        <v>317</v>
      </c>
      <c r="C74" s="1" t="s">
        <v>2</v>
      </c>
      <c r="D74" s="2">
        <v>46071</v>
      </c>
      <c r="E74" s="1" t="s">
        <v>1</v>
      </c>
      <c r="F74" s="1">
        <v>160</v>
      </c>
      <c r="G74" s="1">
        <v>3631</v>
      </c>
      <c r="H74" s="1" t="s">
        <v>168</v>
      </c>
      <c r="I74" s="1">
        <v>0</v>
      </c>
      <c r="J74" s="1">
        <v>4.07</v>
      </c>
      <c r="K74" s="3">
        <v>-2104.4699999999998</v>
      </c>
    </row>
    <row r="75" spans="1:11" x14ac:dyDescent="0.25">
      <c r="A75" t="s">
        <v>318</v>
      </c>
      <c r="B75" s="1" t="s">
        <v>317</v>
      </c>
      <c r="C75" s="1" t="s">
        <v>2</v>
      </c>
      <c r="D75" s="2">
        <v>46071</v>
      </c>
      <c r="E75" s="1" t="s">
        <v>1</v>
      </c>
      <c r="F75" s="1">
        <v>160</v>
      </c>
      <c r="G75" s="1">
        <v>3632</v>
      </c>
      <c r="H75" s="1" t="s">
        <v>167</v>
      </c>
      <c r="I75" s="1">
        <v>0</v>
      </c>
      <c r="J75" s="1">
        <v>5.23</v>
      </c>
      <c r="K75" s="3">
        <v>-2109.6999999999998</v>
      </c>
    </row>
    <row r="76" spans="1:11" x14ac:dyDescent="0.25">
      <c r="A76" t="s">
        <v>318</v>
      </c>
      <c r="B76" s="1" t="s">
        <v>317</v>
      </c>
      <c r="C76" s="1" t="s">
        <v>2</v>
      </c>
      <c r="D76" s="2">
        <v>46071</v>
      </c>
      <c r="E76" s="1" t="s">
        <v>1</v>
      </c>
      <c r="F76" s="1">
        <v>160</v>
      </c>
      <c r="G76" s="1">
        <v>3633</v>
      </c>
      <c r="H76" s="1" t="s">
        <v>166</v>
      </c>
      <c r="I76" s="1">
        <v>0</v>
      </c>
      <c r="J76" s="1">
        <v>2.2400000000000002</v>
      </c>
      <c r="K76" s="3">
        <v>-2111.94</v>
      </c>
    </row>
    <row r="77" spans="1:11" x14ac:dyDescent="0.25">
      <c r="A77" t="s">
        <v>318</v>
      </c>
      <c r="B77" s="1" t="s">
        <v>317</v>
      </c>
      <c r="C77" s="1" t="s">
        <v>2</v>
      </c>
      <c r="D77" s="2">
        <v>46071</v>
      </c>
      <c r="E77" s="1" t="s">
        <v>1</v>
      </c>
      <c r="F77" s="1">
        <v>160</v>
      </c>
      <c r="G77" s="1">
        <v>3634</v>
      </c>
      <c r="H77" s="1" t="s">
        <v>165</v>
      </c>
      <c r="I77" s="1">
        <v>0</v>
      </c>
      <c r="J77" s="1">
        <v>4.03</v>
      </c>
      <c r="K77" s="3">
        <v>-2115.9699999999998</v>
      </c>
    </row>
    <row r="78" spans="1:11" x14ac:dyDescent="0.25">
      <c r="A78" t="s">
        <v>318</v>
      </c>
      <c r="B78" s="1" t="s">
        <v>317</v>
      </c>
      <c r="C78" s="1" t="s">
        <v>2</v>
      </c>
      <c r="D78" s="2">
        <v>46071</v>
      </c>
      <c r="E78" s="1" t="s">
        <v>1</v>
      </c>
      <c r="F78" s="1">
        <v>160</v>
      </c>
      <c r="G78" s="1">
        <v>6894</v>
      </c>
      <c r="H78" s="1" t="s">
        <v>164</v>
      </c>
      <c r="I78" s="1">
        <v>0</v>
      </c>
      <c r="J78" s="1">
        <v>0.52</v>
      </c>
      <c r="K78" s="3">
        <v>-2116.4899999999998</v>
      </c>
    </row>
    <row r="79" spans="1:11" x14ac:dyDescent="0.25">
      <c r="A79" t="s">
        <v>318</v>
      </c>
      <c r="B79" s="1" t="s">
        <v>317</v>
      </c>
      <c r="C79" s="1" t="s">
        <v>2</v>
      </c>
      <c r="D79" s="2">
        <v>46075</v>
      </c>
      <c r="E79" s="1" t="s">
        <v>1</v>
      </c>
      <c r="F79" s="1">
        <v>202</v>
      </c>
      <c r="G79" s="1">
        <v>7371</v>
      </c>
      <c r="H79" s="1" t="s">
        <v>163</v>
      </c>
      <c r="I79" s="1">
        <v>0</v>
      </c>
      <c r="J79" s="1">
        <v>3.68</v>
      </c>
      <c r="K79" s="3">
        <v>-2120.17</v>
      </c>
    </row>
    <row r="80" spans="1:11" x14ac:dyDescent="0.25">
      <c r="A80" t="s">
        <v>318</v>
      </c>
      <c r="B80" s="1" t="s">
        <v>317</v>
      </c>
      <c r="C80" s="1" t="s">
        <v>2</v>
      </c>
      <c r="D80" s="2">
        <v>46075</v>
      </c>
      <c r="E80" s="1" t="s">
        <v>1</v>
      </c>
      <c r="F80" s="1">
        <v>202</v>
      </c>
      <c r="G80" s="1">
        <v>178</v>
      </c>
      <c r="H80" s="1" t="s">
        <v>162</v>
      </c>
      <c r="I80" s="1">
        <v>0</v>
      </c>
      <c r="J80" s="1">
        <v>192.78</v>
      </c>
      <c r="K80" s="3">
        <v>-2312.9499999999998</v>
      </c>
    </row>
    <row r="81" spans="1:11" x14ac:dyDescent="0.25">
      <c r="A81" t="s">
        <v>318</v>
      </c>
      <c r="B81" s="1" t="s">
        <v>317</v>
      </c>
      <c r="C81" s="1" t="s">
        <v>2</v>
      </c>
      <c r="D81" s="2">
        <v>46075</v>
      </c>
      <c r="E81" s="1" t="s">
        <v>1</v>
      </c>
      <c r="F81" s="1">
        <v>202</v>
      </c>
      <c r="G81" s="1">
        <v>239004</v>
      </c>
      <c r="H81" s="1" t="s">
        <v>303</v>
      </c>
      <c r="I81" s="1">
        <v>0</v>
      </c>
      <c r="J81" s="1">
        <v>5.87</v>
      </c>
      <c r="K81" s="3">
        <v>-2318.8200000000002</v>
      </c>
    </row>
    <row r="82" spans="1:11" x14ac:dyDescent="0.25">
      <c r="A82" t="s">
        <v>318</v>
      </c>
      <c r="B82" s="1" t="s">
        <v>317</v>
      </c>
      <c r="C82" s="1" t="s">
        <v>2</v>
      </c>
      <c r="D82" s="2">
        <v>46075</v>
      </c>
      <c r="E82" s="1" t="s">
        <v>1</v>
      </c>
      <c r="F82" s="1">
        <v>202</v>
      </c>
      <c r="G82" s="1">
        <v>239005</v>
      </c>
      <c r="H82" s="1" t="s">
        <v>302</v>
      </c>
      <c r="I82" s="1">
        <v>0</v>
      </c>
      <c r="J82" s="1">
        <v>2.84</v>
      </c>
      <c r="K82" s="3">
        <v>-2321.66</v>
      </c>
    </row>
    <row r="83" spans="1:11" x14ac:dyDescent="0.25">
      <c r="A83" t="s">
        <v>318</v>
      </c>
      <c r="B83" s="1" t="s">
        <v>317</v>
      </c>
      <c r="C83" s="1" t="s">
        <v>2</v>
      </c>
      <c r="D83" s="2">
        <v>46075</v>
      </c>
      <c r="E83" s="1" t="s">
        <v>1</v>
      </c>
      <c r="F83" s="1">
        <v>202</v>
      </c>
      <c r="G83" s="1">
        <v>239006</v>
      </c>
      <c r="H83" s="1" t="s">
        <v>301</v>
      </c>
      <c r="I83" s="1">
        <v>0</v>
      </c>
      <c r="J83" s="1">
        <v>2.9</v>
      </c>
      <c r="K83" s="3">
        <v>-2324.56</v>
      </c>
    </row>
    <row r="84" spans="1:11" x14ac:dyDescent="0.25">
      <c r="A84" t="s">
        <v>318</v>
      </c>
      <c r="B84" s="1" t="s">
        <v>317</v>
      </c>
      <c r="C84" s="1" t="s">
        <v>2</v>
      </c>
      <c r="D84" s="2">
        <v>46075</v>
      </c>
      <c r="E84" s="1" t="s">
        <v>1</v>
      </c>
      <c r="F84" s="1">
        <v>202</v>
      </c>
      <c r="G84" s="1">
        <v>5599</v>
      </c>
      <c r="H84" s="1" t="s">
        <v>161</v>
      </c>
      <c r="I84" s="1">
        <v>0</v>
      </c>
      <c r="J84" s="1">
        <v>3.14</v>
      </c>
      <c r="K84" s="3">
        <v>-2327.6999999999998</v>
      </c>
    </row>
    <row r="85" spans="1:11" x14ac:dyDescent="0.25">
      <c r="A85" t="s">
        <v>318</v>
      </c>
      <c r="B85" s="1" t="s">
        <v>317</v>
      </c>
      <c r="C85" s="1" t="s">
        <v>2</v>
      </c>
      <c r="D85" s="2">
        <v>46075</v>
      </c>
      <c r="E85" s="1" t="s">
        <v>1</v>
      </c>
      <c r="F85" s="1">
        <v>202</v>
      </c>
      <c r="G85" s="1">
        <v>5600</v>
      </c>
      <c r="H85" s="1" t="s">
        <v>160</v>
      </c>
      <c r="I85" s="1">
        <v>0</v>
      </c>
      <c r="J85" s="1">
        <v>1.51</v>
      </c>
      <c r="K85" s="3">
        <v>-2329.21</v>
      </c>
    </row>
    <row r="86" spans="1:11" x14ac:dyDescent="0.25">
      <c r="A86" t="s">
        <v>318</v>
      </c>
      <c r="B86" s="1" t="s">
        <v>317</v>
      </c>
      <c r="C86" s="1" t="s">
        <v>2</v>
      </c>
      <c r="D86" s="2">
        <v>46075</v>
      </c>
      <c r="E86" s="1" t="s">
        <v>1</v>
      </c>
      <c r="F86" s="1">
        <v>202</v>
      </c>
      <c r="G86" s="1">
        <v>5602</v>
      </c>
      <c r="H86" s="1" t="s">
        <v>159</v>
      </c>
      <c r="I86" s="1">
        <v>0</v>
      </c>
      <c r="J86" s="1">
        <v>0.97</v>
      </c>
      <c r="K86" s="3">
        <v>-2330.1799999999998</v>
      </c>
    </row>
    <row r="87" spans="1:11" x14ac:dyDescent="0.25">
      <c r="A87" t="s">
        <v>318</v>
      </c>
      <c r="B87" s="1" t="s">
        <v>317</v>
      </c>
      <c r="C87" s="1" t="s">
        <v>2</v>
      </c>
      <c r="D87" s="2">
        <v>46075</v>
      </c>
      <c r="E87" s="1" t="s">
        <v>1</v>
      </c>
      <c r="F87" s="1">
        <v>202</v>
      </c>
      <c r="G87" s="1">
        <v>5603</v>
      </c>
      <c r="H87" s="1" t="s">
        <v>158</v>
      </c>
      <c r="I87" s="1">
        <v>0</v>
      </c>
      <c r="J87" s="1">
        <v>1.5</v>
      </c>
      <c r="K87" s="3">
        <v>-2331.6799999999998</v>
      </c>
    </row>
    <row r="88" spans="1:11" x14ac:dyDescent="0.25">
      <c r="A88" t="s">
        <v>318</v>
      </c>
      <c r="B88" s="1" t="s">
        <v>317</v>
      </c>
      <c r="C88" s="1" t="s">
        <v>2</v>
      </c>
      <c r="D88" s="2">
        <v>46075</v>
      </c>
      <c r="E88" s="1" t="s">
        <v>1</v>
      </c>
      <c r="F88" s="1">
        <v>202</v>
      </c>
      <c r="G88" s="1">
        <v>5606</v>
      </c>
      <c r="H88" s="1" t="s">
        <v>157</v>
      </c>
      <c r="I88" s="1">
        <v>0</v>
      </c>
      <c r="J88" s="1">
        <v>2.52</v>
      </c>
      <c r="K88" s="3">
        <v>-2334.1999999999998</v>
      </c>
    </row>
    <row r="89" spans="1:11" x14ac:dyDescent="0.25">
      <c r="A89" t="s">
        <v>318</v>
      </c>
      <c r="B89" s="1" t="s">
        <v>317</v>
      </c>
      <c r="C89" s="1" t="s">
        <v>2</v>
      </c>
      <c r="D89" s="2">
        <v>46075</v>
      </c>
      <c r="E89" s="1" t="s">
        <v>1</v>
      </c>
      <c r="F89" s="1">
        <v>202</v>
      </c>
      <c r="G89" s="1">
        <v>5607</v>
      </c>
      <c r="H89" s="1" t="s">
        <v>156</v>
      </c>
      <c r="I89" s="1">
        <v>0</v>
      </c>
      <c r="J89" s="1">
        <v>0.8</v>
      </c>
      <c r="K89" s="3">
        <v>-2335</v>
      </c>
    </row>
    <row r="90" spans="1:11" x14ac:dyDescent="0.25">
      <c r="A90" t="s">
        <v>318</v>
      </c>
      <c r="B90" s="1" t="s">
        <v>317</v>
      </c>
      <c r="C90" s="1" t="s">
        <v>2</v>
      </c>
      <c r="D90" s="2">
        <v>46075</v>
      </c>
      <c r="E90" s="1" t="s">
        <v>1</v>
      </c>
      <c r="F90" s="1">
        <v>202</v>
      </c>
      <c r="G90" s="1">
        <v>1443</v>
      </c>
      <c r="H90" s="1" t="s">
        <v>155</v>
      </c>
      <c r="I90" s="1">
        <v>0</v>
      </c>
      <c r="J90" s="1">
        <v>8.74</v>
      </c>
      <c r="K90" s="3">
        <v>-2343.7399999999998</v>
      </c>
    </row>
    <row r="91" spans="1:11" x14ac:dyDescent="0.25">
      <c r="A91" t="s">
        <v>318</v>
      </c>
      <c r="B91" s="1" t="s">
        <v>317</v>
      </c>
      <c r="C91" s="1" t="s">
        <v>2</v>
      </c>
      <c r="D91" s="2">
        <v>46075</v>
      </c>
      <c r="E91" s="1" t="s">
        <v>1</v>
      </c>
      <c r="F91" s="1">
        <v>202</v>
      </c>
      <c r="G91" s="1">
        <v>6915</v>
      </c>
      <c r="H91" s="1" t="s">
        <v>154</v>
      </c>
      <c r="I91" s="1">
        <v>0</v>
      </c>
      <c r="J91" s="1">
        <v>4.55</v>
      </c>
      <c r="K91" s="3">
        <v>-2348.29</v>
      </c>
    </row>
    <row r="92" spans="1:11" x14ac:dyDescent="0.25">
      <c r="A92" t="s">
        <v>318</v>
      </c>
      <c r="B92" s="1" t="s">
        <v>317</v>
      </c>
      <c r="C92" s="1" t="s">
        <v>2</v>
      </c>
      <c r="D92" s="2">
        <v>46075</v>
      </c>
      <c r="E92" s="1" t="s">
        <v>1</v>
      </c>
      <c r="F92" s="1">
        <v>202</v>
      </c>
      <c r="G92" s="1">
        <v>7752</v>
      </c>
      <c r="H92" s="1" t="s">
        <v>153</v>
      </c>
      <c r="I92" s="1">
        <v>0</v>
      </c>
      <c r="J92" s="1">
        <v>6.12</v>
      </c>
      <c r="K92" s="3">
        <v>-2354.41</v>
      </c>
    </row>
    <row r="93" spans="1:11" x14ac:dyDescent="0.25">
      <c r="A93" t="s">
        <v>318</v>
      </c>
      <c r="B93" s="1" t="s">
        <v>317</v>
      </c>
      <c r="C93" s="1" t="s">
        <v>2</v>
      </c>
      <c r="D93" s="2">
        <v>46076</v>
      </c>
      <c r="E93" s="1" t="s">
        <v>1</v>
      </c>
      <c r="F93" s="1">
        <v>205</v>
      </c>
      <c r="G93" s="1">
        <v>684</v>
      </c>
      <c r="H93" s="1" t="s">
        <v>152</v>
      </c>
      <c r="I93" s="1">
        <v>0</v>
      </c>
      <c r="J93" s="1">
        <v>357.77</v>
      </c>
      <c r="K93" s="3">
        <v>-2712.18</v>
      </c>
    </row>
    <row r="94" spans="1:11" x14ac:dyDescent="0.25">
      <c r="A94" t="s">
        <v>318</v>
      </c>
      <c r="B94" s="1" t="s">
        <v>317</v>
      </c>
      <c r="C94" s="1" t="s">
        <v>2</v>
      </c>
      <c r="D94" s="2">
        <v>46077</v>
      </c>
      <c r="E94" s="1" t="s">
        <v>1</v>
      </c>
      <c r="F94" s="1">
        <v>226</v>
      </c>
      <c r="G94" s="1">
        <v>629</v>
      </c>
      <c r="H94" s="1" t="s">
        <v>151</v>
      </c>
      <c r="I94" s="1">
        <v>0</v>
      </c>
      <c r="J94" s="1">
        <v>0.26</v>
      </c>
      <c r="K94" s="3">
        <v>-2712.44</v>
      </c>
    </row>
    <row r="95" spans="1:11" x14ac:dyDescent="0.25">
      <c r="A95" t="s">
        <v>318</v>
      </c>
      <c r="B95" s="1" t="s">
        <v>317</v>
      </c>
      <c r="C95" s="1" t="s">
        <v>2</v>
      </c>
      <c r="D95" s="2">
        <v>46079</v>
      </c>
      <c r="E95" s="1" t="s">
        <v>1</v>
      </c>
      <c r="F95" s="1">
        <v>258</v>
      </c>
      <c r="G95" s="1">
        <v>125851</v>
      </c>
      <c r="H95" s="1" t="s">
        <v>150</v>
      </c>
      <c r="I95" s="1">
        <v>0</v>
      </c>
      <c r="J95" s="1">
        <v>1</v>
      </c>
      <c r="K95" s="3">
        <v>-2713.44</v>
      </c>
    </row>
    <row r="96" spans="1:11" x14ac:dyDescent="0.25">
      <c r="A96" t="s">
        <v>318</v>
      </c>
      <c r="B96" s="1" t="s">
        <v>317</v>
      </c>
      <c r="C96" s="1" t="s">
        <v>2</v>
      </c>
      <c r="D96" s="2">
        <v>46079</v>
      </c>
      <c r="E96" s="1" t="s">
        <v>1</v>
      </c>
      <c r="F96" s="1">
        <v>258</v>
      </c>
      <c r="G96" s="1">
        <v>697</v>
      </c>
      <c r="H96" s="1" t="s">
        <v>149</v>
      </c>
      <c r="I96" s="1">
        <v>0</v>
      </c>
      <c r="J96" s="1">
        <v>512.87</v>
      </c>
      <c r="K96" s="3">
        <v>-3226.31</v>
      </c>
    </row>
    <row r="97" spans="1:11" x14ac:dyDescent="0.25">
      <c r="A97" t="s">
        <v>318</v>
      </c>
      <c r="B97" s="1" t="s">
        <v>317</v>
      </c>
      <c r="C97" s="1" t="s">
        <v>2</v>
      </c>
      <c r="D97" s="2">
        <v>46055</v>
      </c>
      <c r="E97" s="1" t="s">
        <v>1</v>
      </c>
      <c r="F97" s="1">
        <v>29</v>
      </c>
      <c r="G97" s="1">
        <v>74969</v>
      </c>
      <c r="H97" s="1" t="s">
        <v>275</v>
      </c>
      <c r="I97" s="1">
        <v>0</v>
      </c>
      <c r="J97" s="1">
        <v>9.4499999999999993</v>
      </c>
      <c r="K97" s="3">
        <v>-3235.76</v>
      </c>
    </row>
    <row r="98" spans="1:11" x14ac:dyDescent="0.25">
      <c r="A98" t="s">
        <v>318</v>
      </c>
      <c r="B98" s="1" t="s">
        <v>317</v>
      </c>
      <c r="C98" s="1" t="s">
        <v>2</v>
      </c>
      <c r="D98" s="2">
        <v>46055</v>
      </c>
      <c r="E98" s="1" t="s">
        <v>1</v>
      </c>
      <c r="F98" s="1">
        <v>29</v>
      </c>
      <c r="G98" s="1">
        <v>31786</v>
      </c>
      <c r="H98" s="1" t="s">
        <v>148</v>
      </c>
      <c r="I98" s="1">
        <v>0</v>
      </c>
      <c r="J98" s="1">
        <v>2.98</v>
      </c>
      <c r="K98" s="3">
        <v>-3238.74</v>
      </c>
    </row>
    <row r="99" spans="1:11" x14ac:dyDescent="0.25">
      <c r="A99" t="s">
        <v>318</v>
      </c>
      <c r="B99" s="1" t="s">
        <v>317</v>
      </c>
      <c r="C99" s="1" t="s">
        <v>2</v>
      </c>
      <c r="D99" s="2">
        <v>46081</v>
      </c>
      <c r="E99" s="1" t="s">
        <v>1</v>
      </c>
      <c r="F99" s="1">
        <v>311</v>
      </c>
      <c r="G99" s="1">
        <v>866</v>
      </c>
      <c r="H99" s="1" t="s">
        <v>147</v>
      </c>
      <c r="I99" s="1">
        <v>0</v>
      </c>
      <c r="J99" s="1">
        <v>80.48</v>
      </c>
      <c r="K99" s="3">
        <v>-3319.22</v>
      </c>
    </row>
    <row r="100" spans="1:11" x14ac:dyDescent="0.25">
      <c r="A100" t="s">
        <v>318</v>
      </c>
      <c r="B100" s="1" t="s">
        <v>317</v>
      </c>
      <c r="C100" s="1" t="s">
        <v>2</v>
      </c>
      <c r="D100" s="2">
        <v>46081</v>
      </c>
      <c r="E100" s="1" t="s">
        <v>1</v>
      </c>
      <c r="F100" s="1">
        <v>311</v>
      </c>
      <c r="G100" s="1">
        <v>867</v>
      </c>
      <c r="H100" s="1" t="s">
        <v>146</v>
      </c>
      <c r="I100" s="1">
        <v>0</v>
      </c>
      <c r="J100" s="1">
        <v>16.43</v>
      </c>
      <c r="K100" s="3">
        <v>-3335.65</v>
      </c>
    </row>
    <row r="101" spans="1:11" x14ac:dyDescent="0.25">
      <c r="A101" t="s">
        <v>318</v>
      </c>
      <c r="B101" s="1" t="s">
        <v>317</v>
      </c>
      <c r="C101" s="1" t="s">
        <v>2</v>
      </c>
      <c r="D101" s="2">
        <v>46081</v>
      </c>
      <c r="E101" s="1" t="s">
        <v>1</v>
      </c>
      <c r="F101" s="1">
        <v>311</v>
      </c>
      <c r="G101" s="1">
        <v>53045</v>
      </c>
      <c r="H101" s="1" t="s">
        <v>145</v>
      </c>
      <c r="I101" s="1">
        <v>0</v>
      </c>
      <c r="J101" s="1">
        <v>0.09</v>
      </c>
      <c r="K101" s="3">
        <v>-3335.74</v>
      </c>
    </row>
    <row r="102" spans="1:11" x14ac:dyDescent="0.25">
      <c r="A102" t="s">
        <v>318</v>
      </c>
      <c r="B102" s="1" t="s">
        <v>317</v>
      </c>
      <c r="C102" s="1" t="s">
        <v>2</v>
      </c>
      <c r="D102" s="2">
        <v>46081</v>
      </c>
      <c r="E102" s="1" t="s">
        <v>1</v>
      </c>
      <c r="F102" s="1">
        <v>311</v>
      </c>
      <c r="G102" s="1">
        <v>714</v>
      </c>
      <c r="H102" s="1" t="s">
        <v>144</v>
      </c>
      <c r="I102" s="1">
        <v>0</v>
      </c>
      <c r="J102" s="1">
        <v>239.5</v>
      </c>
      <c r="K102" s="3">
        <v>-3575.24</v>
      </c>
    </row>
    <row r="103" spans="1:11" x14ac:dyDescent="0.25">
      <c r="A103" t="s">
        <v>318</v>
      </c>
      <c r="B103" s="1" t="s">
        <v>317</v>
      </c>
      <c r="C103" s="1" t="s">
        <v>2</v>
      </c>
      <c r="D103" s="2">
        <v>46081</v>
      </c>
      <c r="E103" s="1" t="s">
        <v>1</v>
      </c>
      <c r="F103" s="1">
        <v>311</v>
      </c>
      <c r="G103" s="1">
        <v>716</v>
      </c>
      <c r="H103" s="1" t="s">
        <v>143</v>
      </c>
      <c r="I103" s="1">
        <v>0</v>
      </c>
      <c r="J103" s="1">
        <v>346.12</v>
      </c>
      <c r="K103" s="3">
        <v>-3921.36</v>
      </c>
    </row>
    <row r="104" spans="1:11" x14ac:dyDescent="0.25">
      <c r="A104" t="s">
        <v>318</v>
      </c>
      <c r="B104" s="1" t="s">
        <v>317</v>
      </c>
      <c r="C104" s="1" t="s">
        <v>2</v>
      </c>
      <c r="D104" s="2">
        <v>46056</v>
      </c>
      <c r="E104" s="1" t="s">
        <v>1</v>
      </c>
      <c r="F104" s="1">
        <v>37</v>
      </c>
      <c r="G104" s="1">
        <v>3601</v>
      </c>
      <c r="H104" s="1" t="s">
        <v>142</v>
      </c>
      <c r="I104" s="1">
        <v>0</v>
      </c>
      <c r="J104" s="1">
        <v>8.0500000000000007</v>
      </c>
      <c r="K104" s="3">
        <v>-3929.41</v>
      </c>
    </row>
    <row r="105" spans="1:11" x14ac:dyDescent="0.25">
      <c r="A105" t="s">
        <v>318</v>
      </c>
      <c r="B105" s="1" t="s">
        <v>317</v>
      </c>
      <c r="C105" s="1" t="s">
        <v>2</v>
      </c>
      <c r="D105" s="2">
        <v>46056</v>
      </c>
      <c r="E105" s="1" t="s">
        <v>1</v>
      </c>
      <c r="F105" s="1">
        <v>37</v>
      </c>
      <c r="G105" s="1">
        <v>3602</v>
      </c>
      <c r="H105" s="1" t="s">
        <v>141</v>
      </c>
      <c r="I105" s="1">
        <v>0</v>
      </c>
      <c r="J105" s="1">
        <v>0.84</v>
      </c>
      <c r="K105" s="3">
        <v>-3930.25</v>
      </c>
    </row>
    <row r="106" spans="1:11" x14ac:dyDescent="0.25">
      <c r="A106" t="s">
        <v>318</v>
      </c>
      <c r="B106" s="1" t="s">
        <v>317</v>
      </c>
      <c r="C106" s="1" t="s">
        <v>2</v>
      </c>
      <c r="D106" s="2">
        <v>46056</v>
      </c>
      <c r="E106" s="1" t="s">
        <v>1</v>
      </c>
      <c r="F106" s="1">
        <v>37</v>
      </c>
      <c r="G106" s="1">
        <v>3603</v>
      </c>
      <c r="H106" s="1" t="s">
        <v>140</v>
      </c>
      <c r="I106" s="1">
        <v>0</v>
      </c>
      <c r="J106" s="1">
        <v>1.33</v>
      </c>
      <c r="K106" s="3">
        <v>-3931.58</v>
      </c>
    </row>
    <row r="107" spans="1:11" x14ac:dyDescent="0.25">
      <c r="A107" t="s">
        <v>318</v>
      </c>
      <c r="B107" s="1" t="s">
        <v>317</v>
      </c>
      <c r="C107" s="1" t="s">
        <v>2</v>
      </c>
      <c r="D107" s="2">
        <v>46056</v>
      </c>
      <c r="E107" s="1" t="s">
        <v>1</v>
      </c>
      <c r="F107" s="1">
        <v>37</v>
      </c>
      <c r="G107" s="1">
        <v>31801</v>
      </c>
      <c r="H107" s="1" t="s">
        <v>139</v>
      </c>
      <c r="I107" s="1">
        <v>0</v>
      </c>
      <c r="J107" s="1">
        <v>8.93</v>
      </c>
      <c r="K107" s="3">
        <v>-3940.51</v>
      </c>
    </row>
    <row r="108" spans="1:11" x14ac:dyDescent="0.25">
      <c r="A108" t="s">
        <v>318</v>
      </c>
      <c r="B108" s="1" t="s">
        <v>317</v>
      </c>
      <c r="C108" s="1" t="s">
        <v>2</v>
      </c>
      <c r="D108" s="2">
        <v>46056</v>
      </c>
      <c r="E108" s="1" t="s">
        <v>1</v>
      </c>
      <c r="F108" s="1">
        <v>37</v>
      </c>
      <c r="G108" s="1">
        <v>1912</v>
      </c>
      <c r="H108" s="1" t="s">
        <v>138</v>
      </c>
      <c r="I108" s="1">
        <v>0</v>
      </c>
      <c r="J108" s="1">
        <v>0.7</v>
      </c>
      <c r="K108" s="3">
        <v>-3941.21</v>
      </c>
    </row>
    <row r="109" spans="1:11" x14ac:dyDescent="0.25">
      <c r="A109" t="s">
        <v>318</v>
      </c>
      <c r="B109" s="1" t="s">
        <v>317</v>
      </c>
      <c r="C109" s="1" t="s">
        <v>2</v>
      </c>
      <c r="D109" s="2">
        <v>46056</v>
      </c>
      <c r="E109" s="1" t="s">
        <v>1</v>
      </c>
      <c r="F109" s="1">
        <v>37</v>
      </c>
      <c r="G109" s="1">
        <v>629</v>
      </c>
      <c r="H109" s="1" t="s">
        <v>137</v>
      </c>
      <c r="I109" s="1">
        <v>0</v>
      </c>
      <c r="J109" s="1">
        <v>230.41</v>
      </c>
      <c r="K109" s="3">
        <v>-4171.62</v>
      </c>
    </row>
    <row r="110" spans="1:11" x14ac:dyDescent="0.25">
      <c r="A110" t="s">
        <v>318</v>
      </c>
      <c r="B110" s="1" t="s">
        <v>317</v>
      </c>
      <c r="C110" s="1" t="s">
        <v>2</v>
      </c>
      <c r="D110" s="2">
        <v>46057</v>
      </c>
      <c r="E110" s="1" t="s">
        <v>1</v>
      </c>
      <c r="F110" s="1">
        <v>53</v>
      </c>
      <c r="G110" s="1">
        <v>52804</v>
      </c>
      <c r="H110" s="1" t="s">
        <v>136</v>
      </c>
      <c r="I110" s="1">
        <v>0</v>
      </c>
      <c r="J110" s="1">
        <v>1.1100000000000001</v>
      </c>
      <c r="K110" s="3">
        <v>-4172.7299999999996</v>
      </c>
    </row>
    <row r="111" spans="1:11" x14ac:dyDescent="0.25">
      <c r="A111" t="s">
        <v>318</v>
      </c>
      <c r="B111" s="1" t="s">
        <v>317</v>
      </c>
      <c r="C111" s="1" t="s">
        <v>2</v>
      </c>
      <c r="D111" s="2">
        <v>46061</v>
      </c>
      <c r="E111" s="1" t="s">
        <v>1</v>
      </c>
      <c r="F111" s="1">
        <v>70</v>
      </c>
      <c r="G111" s="1">
        <v>1176</v>
      </c>
      <c r="H111" s="1" t="s">
        <v>135</v>
      </c>
      <c r="I111" s="1">
        <v>0</v>
      </c>
      <c r="J111" s="1">
        <v>1.65</v>
      </c>
      <c r="K111" s="3">
        <v>-4174.38</v>
      </c>
    </row>
    <row r="112" spans="1:11" x14ac:dyDescent="0.25">
      <c r="A112" t="s">
        <v>318</v>
      </c>
      <c r="B112" s="1" t="s">
        <v>317</v>
      </c>
      <c r="C112" s="1" t="s">
        <v>2</v>
      </c>
      <c r="D112" s="2">
        <v>46061</v>
      </c>
      <c r="E112" s="1" t="s">
        <v>1</v>
      </c>
      <c r="F112" s="1">
        <v>70</v>
      </c>
      <c r="G112" s="1">
        <v>927</v>
      </c>
      <c r="H112" s="1" t="s">
        <v>319</v>
      </c>
      <c r="I112" s="1">
        <v>0</v>
      </c>
      <c r="J112" s="1">
        <v>2.1</v>
      </c>
      <c r="K112" s="3">
        <v>-4176.4799999999996</v>
      </c>
    </row>
    <row r="113" spans="1:11" x14ac:dyDescent="0.25">
      <c r="A113" t="s">
        <v>318</v>
      </c>
      <c r="B113" s="1" t="s">
        <v>317</v>
      </c>
      <c r="C113" s="1" t="s">
        <v>2</v>
      </c>
      <c r="D113" s="2">
        <v>46061</v>
      </c>
      <c r="E113" s="1" t="s">
        <v>1</v>
      </c>
      <c r="F113" s="1">
        <v>70</v>
      </c>
      <c r="G113" s="1">
        <v>125378</v>
      </c>
      <c r="H113" s="1" t="s">
        <v>134</v>
      </c>
      <c r="I113" s="1">
        <v>0</v>
      </c>
      <c r="J113" s="1">
        <v>1.37</v>
      </c>
      <c r="K113" s="3">
        <v>-4177.8500000000004</v>
      </c>
    </row>
    <row r="114" spans="1:11" x14ac:dyDescent="0.25">
      <c r="A114" t="s">
        <v>318</v>
      </c>
      <c r="B114" s="1" t="s">
        <v>317</v>
      </c>
      <c r="C114" s="1" t="s">
        <v>2</v>
      </c>
      <c r="D114" s="2">
        <v>46061</v>
      </c>
      <c r="E114" s="1" t="s">
        <v>1</v>
      </c>
      <c r="F114" s="1">
        <v>70</v>
      </c>
      <c r="G114" s="1">
        <v>3607</v>
      </c>
      <c r="H114" s="1" t="s">
        <v>133</v>
      </c>
      <c r="I114" s="1">
        <v>0</v>
      </c>
      <c r="J114" s="1">
        <v>1.05</v>
      </c>
      <c r="K114" s="3">
        <v>-4178.8999999999996</v>
      </c>
    </row>
    <row r="115" spans="1:11" x14ac:dyDescent="0.25">
      <c r="A115" t="s">
        <v>318</v>
      </c>
      <c r="B115" s="1" t="s">
        <v>317</v>
      </c>
      <c r="C115" s="1" t="s">
        <v>2</v>
      </c>
      <c r="D115" s="2">
        <v>46061</v>
      </c>
      <c r="E115" s="1" t="s">
        <v>1</v>
      </c>
      <c r="F115" s="1">
        <v>70</v>
      </c>
      <c r="G115" s="1">
        <v>53</v>
      </c>
      <c r="H115" s="1" t="s">
        <v>132</v>
      </c>
      <c r="I115" s="1">
        <v>0</v>
      </c>
      <c r="J115" s="1">
        <v>1.23</v>
      </c>
      <c r="K115" s="3">
        <v>-4180.13</v>
      </c>
    </row>
    <row r="116" spans="1:11" x14ac:dyDescent="0.25">
      <c r="A116" t="s">
        <v>318</v>
      </c>
      <c r="B116" s="1" t="s">
        <v>317</v>
      </c>
      <c r="C116" s="1" t="s">
        <v>2</v>
      </c>
      <c r="D116" s="2">
        <v>46061</v>
      </c>
      <c r="E116" s="1" t="s">
        <v>1</v>
      </c>
      <c r="F116" s="1">
        <v>70</v>
      </c>
      <c r="G116" s="1">
        <v>54</v>
      </c>
      <c r="H116" s="1" t="s">
        <v>131</v>
      </c>
      <c r="I116" s="1">
        <v>0</v>
      </c>
      <c r="J116" s="1">
        <v>1.23</v>
      </c>
      <c r="K116" s="3">
        <v>-4181.3599999999997</v>
      </c>
    </row>
    <row r="117" spans="1:11" x14ac:dyDescent="0.25">
      <c r="A117" t="s">
        <v>318</v>
      </c>
      <c r="B117" s="1" t="s">
        <v>317</v>
      </c>
      <c r="C117" s="1" t="s">
        <v>2</v>
      </c>
      <c r="D117" s="2">
        <v>46061</v>
      </c>
      <c r="E117" s="1" t="s">
        <v>1</v>
      </c>
      <c r="F117" s="1">
        <v>70</v>
      </c>
      <c r="G117" s="1">
        <v>6831</v>
      </c>
      <c r="H117" s="1" t="s">
        <v>130</v>
      </c>
      <c r="I117" s="1">
        <v>0</v>
      </c>
      <c r="J117" s="1">
        <v>0.54</v>
      </c>
      <c r="K117" s="3">
        <v>-4181.8999999999996</v>
      </c>
    </row>
    <row r="118" spans="1:11" x14ac:dyDescent="0.25">
      <c r="A118" t="s">
        <v>318</v>
      </c>
      <c r="B118" s="1" t="s">
        <v>317</v>
      </c>
      <c r="C118" s="1" t="s">
        <v>2</v>
      </c>
      <c r="D118" s="2">
        <v>46061</v>
      </c>
      <c r="E118" s="1" t="s">
        <v>1</v>
      </c>
      <c r="F118" s="1">
        <v>70</v>
      </c>
      <c r="G118" s="1">
        <v>6833</v>
      </c>
      <c r="H118" s="1" t="s">
        <v>129</v>
      </c>
      <c r="I118" s="1">
        <v>0</v>
      </c>
      <c r="J118" s="1">
        <v>0.52</v>
      </c>
      <c r="K118" s="3">
        <v>-4182.42</v>
      </c>
    </row>
    <row r="119" spans="1:11" x14ac:dyDescent="0.25">
      <c r="A119" t="s">
        <v>318</v>
      </c>
      <c r="B119" s="1" t="s">
        <v>317</v>
      </c>
      <c r="C119" s="1" t="s">
        <v>2</v>
      </c>
      <c r="D119" s="2">
        <v>46062</v>
      </c>
      <c r="E119" s="1" t="s">
        <v>1</v>
      </c>
      <c r="F119" s="1">
        <v>84</v>
      </c>
      <c r="G119" s="1">
        <v>55</v>
      </c>
      <c r="H119" s="1" t="s">
        <v>128</v>
      </c>
      <c r="I119" s="1">
        <v>0</v>
      </c>
      <c r="J119" s="1">
        <v>1.23</v>
      </c>
      <c r="K119" s="3">
        <v>-4183.6499999999996</v>
      </c>
    </row>
    <row r="120" spans="1:11" x14ac:dyDescent="0.25">
      <c r="A120" t="s">
        <v>318</v>
      </c>
      <c r="B120" s="1" t="s">
        <v>317</v>
      </c>
      <c r="C120" s="1" t="s">
        <v>2</v>
      </c>
      <c r="D120" s="2">
        <v>46062</v>
      </c>
      <c r="E120" s="1" t="s">
        <v>1</v>
      </c>
      <c r="F120" s="1">
        <v>84</v>
      </c>
      <c r="G120" s="1">
        <v>640</v>
      </c>
      <c r="H120" s="1" t="s">
        <v>127</v>
      </c>
      <c r="I120" s="1">
        <v>0</v>
      </c>
      <c r="J120" s="1">
        <v>244.67</v>
      </c>
      <c r="K120" s="3">
        <v>-4428.32</v>
      </c>
    </row>
    <row r="121" spans="1:11" x14ac:dyDescent="0.25">
      <c r="A121" t="s">
        <v>318</v>
      </c>
      <c r="B121" s="1" t="s">
        <v>317</v>
      </c>
      <c r="C121" s="1" t="s">
        <v>2</v>
      </c>
      <c r="D121" s="2">
        <v>46063</v>
      </c>
      <c r="E121" s="1" t="s">
        <v>101</v>
      </c>
      <c r="F121" s="1">
        <v>103</v>
      </c>
      <c r="G121" s="1">
        <v>14881</v>
      </c>
      <c r="H121" s="1" t="s">
        <v>126</v>
      </c>
      <c r="I121" s="1">
        <v>0</v>
      </c>
      <c r="J121" s="1">
        <v>11.83</v>
      </c>
      <c r="K121" s="3">
        <v>-4440.1499999999996</v>
      </c>
    </row>
    <row r="122" spans="1:11" x14ac:dyDescent="0.25">
      <c r="A122" t="s">
        <v>318</v>
      </c>
      <c r="B122" s="1" t="s">
        <v>317</v>
      </c>
      <c r="C122" s="1" t="s">
        <v>2</v>
      </c>
      <c r="D122" s="2">
        <v>46071</v>
      </c>
      <c r="E122" s="1" t="s">
        <v>101</v>
      </c>
      <c r="F122" s="1">
        <v>159</v>
      </c>
      <c r="G122" s="1">
        <v>14894</v>
      </c>
      <c r="H122" s="1" t="s">
        <v>125</v>
      </c>
      <c r="I122" s="1">
        <v>0</v>
      </c>
      <c r="J122" s="1">
        <v>11.94</v>
      </c>
      <c r="K122" s="3">
        <v>-4452.09</v>
      </c>
    </row>
    <row r="123" spans="1:11" x14ac:dyDescent="0.25">
      <c r="A123" t="s">
        <v>318</v>
      </c>
      <c r="B123" s="1" t="s">
        <v>317</v>
      </c>
      <c r="C123" s="1" t="s">
        <v>2</v>
      </c>
      <c r="D123" s="2">
        <v>46071</v>
      </c>
      <c r="E123" s="1" t="s">
        <v>101</v>
      </c>
      <c r="F123" s="1">
        <v>159</v>
      </c>
      <c r="G123" s="1">
        <v>14895</v>
      </c>
      <c r="H123" s="1" t="s">
        <v>124</v>
      </c>
      <c r="I123" s="1">
        <v>0</v>
      </c>
      <c r="J123" s="1">
        <v>3.85</v>
      </c>
      <c r="K123" s="3">
        <v>-4455.9399999999996</v>
      </c>
    </row>
    <row r="124" spans="1:11" x14ac:dyDescent="0.25">
      <c r="A124" t="s">
        <v>318</v>
      </c>
      <c r="B124" s="1" t="s">
        <v>317</v>
      </c>
      <c r="C124" s="1" t="s">
        <v>2</v>
      </c>
      <c r="D124" s="2">
        <v>46072</v>
      </c>
      <c r="E124" s="1" t="s">
        <v>101</v>
      </c>
      <c r="F124" s="1">
        <v>161</v>
      </c>
      <c r="G124" s="1">
        <v>545</v>
      </c>
      <c r="H124" s="1" t="s">
        <v>123</v>
      </c>
      <c r="I124" s="1">
        <v>0</v>
      </c>
      <c r="J124" s="1">
        <v>6.93</v>
      </c>
      <c r="K124" s="3">
        <v>-4462.87</v>
      </c>
    </row>
    <row r="125" spans="1:11" x14ac:dyDescent="0.25">
      <c r="A125" t="s">
        <v>318</v>
      </c>
      <c r="B125" s="1" t="s">
        <v>317</v>
      </c>
      <c r="C125" s="1" t="s">
        <v>2</v>
      </c>
      <c r="D125" s="2">
        <v>46076</v>
      </c>
      <c r="E125" s="1" t="s">
        <v>101</v>
      </c>
      <c r="F125" s="1">
        <v>203</v>
      </c>
      <c r="G125" s="1">
        <v>561</v>
      </c>
      <c r="H125" s="1" t="s">
        <v>122</v>
      </c>
      <c r="I125" s="1">
        <v>0</v>
      </c>
      <c r="J125" s="1">
        <v>4.3099999999999996</v>
      </c>
      <c r="K125" s="3">
        <v>-4467.18</v>
      </c>
    </row>
    <row r="126" spans="1:11" x14ac:dyDescent="0.25">
      <c r="A126" t="s">
        <v>318</v>
      </c>
      <c r="B126" s="1" t="s">
        <v>317</v>
      </c>
      <c r="C126" s="1" t="s">
        <v>2</v>
      </c>
      <c r="D126" s="2">
        <v>46076</v>
      </c>
      <c r="E126" s="1" t="s">
        <v>101</v>
      </c>
      <c r="F126" s="1">
        <v>204</v>
      </c>
      <c r="G126" s="1">
        <v>14906</v>
      </c>
      <c r="H126" s="1" t="s">
        <v>121</v>
      </c>
      <c r="I126" s="1">
        <v>0</v>
      </c>
      <c r="J126" s="1">
        <v>3.85</v>
      </c>
      <c r="K126" s="3">
        <v>-4471.03</v>
      </c>
    </row>
    <row r="127" spans="1:11" x14ac:dyDescent="0.25">
      <c r="A127" t="s">
        <v>318</v>
      </c>
      <c r="B127" s="1" t="s">
        <v>317</v>
      </c>
      <c r="C127" s="1" t="s">
        <v>2</v>
      </c>
      <c r="D127" s="2">
        <v>46077</v>
      </c>
      <c r="E127" s="1" t="s">
        <v>101</v>
      </c>
      <c r="F127" s="1">
        <v>221</v>
      </c>
      <c r="G127" s="1">
        <v>14907</v>
      </c>
      <c r="H127" s="1" t="s">
        <v>120</v>
      </c>
      <c r="I127" s="1">
        <v>0</v>
      </c>
      <c r="J127" s="1">
        <v>1.87</v>
      </c>
      <c r="K127" s="3">
        <v>-4472.8999999999996</v>
      </c>
    </row>
    <row r="128" spans="1:11" x14ac:dyDescent="0.25">
      <c r="A128" t="s">
        <v>318</v>
      </c>
      <c r="B128" s="1" t="s">
        <v>317</v>
      </c>
      <c r="C128" s="1" t="s">
        <v>2</v>
      </c>
      <c r="D128" s="2">
        <v>46078</v>
      </c>
      <c r="E128" s="1" t="s">
        <v>101</v>
      </c>
      <c r="F128" s="1">
        <v>230</v>
      </c>
      <c r="G128" s="1">
        <v>14912</v>
      </c>
      <c r="H128" s="1" t="s">
        <v>119</v>
      </c>
      <c r="I128" s="1">
        <v>0</v>
      </c>
      <c r="J128" s="1">
        <v>1.87</v>
      </c>
      <c r="K128" s="3">
        <v>-4474.7700000000004</v>
      </c>
    </row>
    <row r="129" spans="1:11" x14ac:dyDescent="0.25">
      <c r="A129" t="s">
        <v>318</v>
      </c>
      <c r="B129" s="1" t="s">
        <v>317</v>
      </c>
      <c r="C129" s="1" t="s">
        <v>2</v>
      </c>
      <c r="D129" s="2">
        <v>46078</v>
      </c>
      <c r="E129" s="1" t="s">
        <v>101</v>
      </c>
      <c r="F129" s="1">
        <v>230</v>
      </c>
      <c r="G129" s="1">
        <v>14918</v>
      </c>
      <c r="H129" s="1" t="s">
        <v>118</v>
      </c>
      <c r="I129" s="1">
        <v>0</v>
      </c>
      <c r="J129" s="1">
        <v>11.94</v>
      </c>
      <c r="K129" s="3">
        <v>-4486.71</v>
      </c>
    </row>
    <row r="130" spans="1:11" x14ac:dyDescent="0.25">
      <c r="A130" t="s">
        <v>318</v>
      </c>
      <c r="B130" s="1" t="s">
        <v>317</v>
      </c>
      <c r="C130" s="1" t="s">
        <v>2</v>
      </c>
      <c r="D130" s="2">
        <v>46078</v>
      </c>
      <c r="E130" s="1" t="s">
        <v>101</v>
      </c>
      <c r="F130" s="1">
        <v>230</v>
      </c>
      <c r="G130" s="1">
        <v>14919</v>
      </c>
      <c r="H130" s="1" t="s">
        <v>117</v>
      </c>
      <c r="I130" s="1">
        <v>0</v>
      </c>
      <c r="J130" s="1">
        <v>13.43</v>
      </c>
      <c r="K130" s="3">
        <v>-4500.1400000000003</v>
      </c>
    </row>
    <row r="131" spans="1:11" x14ac:dyDescent="0.25">
      <c r="A131" t="s">
        <v>318</v>
      </c>
      <c r="B131" s="1" t="s">
        <v>317</v>
      </c>
      <c r="C131" s="1" t="s">
        <v>2</v>
      </c>
      <c r="D131" s="2">
        <v>46078</v>
      </c>
      <c r="E131" s="1" t="s">
        <v>101</v>
      </c>
      <c r="F131" s="1">
        <v>231</v>
      </c>
      <c r="G131" s="1">
        <v>6942</v>
      </c>
      <c r="H131" s="1" t="s">
        <v>116</v>
      </c>
      <c r="I131" s="1">
        <v>0</v>
      </c>
      <c r="J131" s="1">
        <v>9.56</v>
      </c>
      <c r="K131" s="3">
        <v>-4509.7</v>
      </c>
    </row>
    <row r="132" spans="1:11" x14ac:dyDescent="0.25">
      <c r="A132" t="s">
        <v>318</v>
      </c>
      <c r="B132" s="1" t="s">
        <v>317</v>
      </c>
      <c r="C132" s="1" t="s">
        <v>2</v>
      </c>
      <c r="D132" s="2">
        <v>46079</v>
      </c>
      <c r="E132" s="1" t="s">
        <v>101</v>
      </c>
      <c r="F132" s="1">
        <v>255</v>
      </c>
      <c r="G132" s="1">
        <v>573</v>
      </c>
      <c r="H132" s="1" t="s">
        <v>115</v>
      </c>
      <c r="I132" s="1">
        <v>0</v>
      </c>
      <c r="J132" s="1">
        <v>6.93</v>
      </c>
      <c r="K132" s="3">
        <v>-4516.63</v>
      </c>
    </row>
    <row r="133" spans="1:11" x14ac:dyDescent="0.25">
      <c r="A133" t="s">
        <v>318</v>
      </c>
      <c r="B133" s="1" t="s">
        <v>317</v>
      </c>
      <c r="C133" s="1" t="s">
        <v>2</v>
      </c>
      <c r="D133" s="2">
        <v>46080</v>
      </c>
      <c r="E133" s="1" t="s">
        <v>101</v>
      </c>
      <c r="F133" s="1">
        <v>259</v>
      </c>
      <c r="G133" s="1">
        <v>14923</v>
      </c>
      <c r="H133" s="1" t="s">
        <v>114</v>
      </c>
      <c r="I133" s="1">
        <v>0</v>
      </c>
      <c r="J133" s="1">
        <v>10.87</v>
      </c>
      <c r="K133" s="3">
        <v>-4527.5</v>
      </c>
    </row>
    <row r="134" spans="1:11" x14ac:dyDescent="0.25">
      <c r="A134" t="s">
        <v>318</v>
      </c>
      <c r="B134" s="1" t="s">
        <v>317</v>
      </c>
      <c r="C134" s="1" t="s">
        <v>2</v>
      </c>
      <c r="D134" s="2">
        <v>46080</v>
      </c>
      <c r="E134" s="1" t="s">
        <v>101</v>
      </c>
      <c r="F134" s="1">
        <v>259</v>
      </c>
      <c r="G134" s="1">
        <v>14924</v>
      </c>
      <c r="H134" s="1" t="s">
        <v>113</v>
      </c>
      <c r="I134" s="1">
        <v>0</v>
      </c>
      <c r="J134" s="1">
        <v>10.87</v>
      </c>
      <c r="K134" s="3">
        <v>-4538.37</v>
      </c>
    </row>
    <row r="135" spans="1:11" x14ac:dyDescent="0.25">
      <c r="A135" t="s">
        <v>318</v>
      </c>
      <c r="B135" s="1" t="s">
        <v>317</v>
      </c>
      <c r="C135" s="1" t="s">
        <v>2</v>
      </c>
      <c r="D135" s="2">
        <v>46080</v>
      </c>
      <c r="E135" s="1" t="s">
        <v>101</v>
      </c>
      <c r="F135" s="1">
        <v>259</v>
      </c>
      <c r="G135" s="1">
        <v>14925</v>
      </c>
      <c r="H135" s="1" t="s">
        <v>112</v>
      </c>
      <c r="I135" s="1">
        <v>0</v>
      </c>
      <c r="J135" s="1">
        <v>10.87</v>
      </c>
      <c r="K135" s="3">
        <v>-4549.24</v>
      </c>
    </row>
    <row r="136" spans="1:11" x14ac:dyDescent="0.25">
      <c r="A136" t="s">
        <v>318</v>
      </c>
      <c r="B136" s="1" t="s">
        <v>317</v>
      </c>
      <c r="C136" s="1" t="s">
        <v>2</v>
      </c>
      <c r="D136" s="2">
        <v>46080</v>
      </c>
      <c r="E136" s="1" t="s">
        <v>101</v>
      </c>
      <c r="F136" s="1">
        <v>259</v>
      </c>
      <c r="G136" s="1">
        <v>14926</v>
      </c>
      <c r="H136" s="1" t="s">
        <v>111</v>
      </c>
      <c r="I136" s="1">
        <v>0</v>
      </c>
      <c r="J136" s="1">
        <v>10.87</v>
      </c>
      <c r="K136" s="3">
        <v>-4560.1099999999997</v>
      </c>
    </row>
    <row r="137" spans="1:11" x14ac:dyDescent="0.25">
      <c r="A137" t="s">
        <v>318</v>
      </c>
      <c r="B137" s="1" t="s">
        <v>317</v>
      </c>
      <c r="C137" s="1" t="s">
        <v>2</v>
      </c>
      <c r="D137" s="2">
        <v>46080</v>
      </c>
      <c r="E137" s="1" t="s">
        <v>101</v>
      </c>
      <c r="F137" s="1">
        <v>259</v>
      </c>
      <c r="G137" s="1">
        <v>14927</v>
      </c>
      <c r="H137" s="1" t="s">
        <v>110</v>
      </c>
      <c r="I137" s="1">
        <v>0</v>
      </c>
      <c r="J137" s="1">
        <v>10.87</v>
      </c>
      <c r="K137" s="3">
        <v>-4570.9799999999996</v>
      </c>
    </row>
    <row r="138" spans="1:11" x14ac:dyDescent="0.25">
      <c r="A138" t="s">
        <v>318</v>
      </c>
      <c r="B138" s="1" t="s">
        <v>317</v>
      </c>
      <c r="C138" s="1" t="s">
        <v>2</v>
      </c>
      <c r="D138" s="2">
        <v>46080</v>
      </c>
      <c r="E138" s="1" t="s">
        <v>101</v>
      </c>
      <c r="F138" s="1">
        <v>259</v>
      </c>
      <c r="G138" s="1">
        <v>14931</v>
      </c>
      <c r="H138" s="1" t="s">
        <v>109</v>
      </c>
      <c r="I138" s="1">
        <v>0</v>
      </c>
      <c r="J138" s="1">
        <v>10.87</v>
      </c>
      <c r="K138" s="3">
        <v>-4581.8500000000004</v>
      </c>
    </row>
    <row r="139" spans="1:11" x14ac:dyDescent="0.25">
      <c r="A139" t="s">
        <v>318</v>
      </c>
      <c r="B139" s="1" t="s">
        <v>317</v>
      </c>
      <c r="C139" s="1" t="s">
        <v>2</v>
      </c>
      <c r="D139" s="2">
        <v>46080</v>
      </c>
      <c r="E139" s="1" t="s">
        <v>101</v>
      </c>
      <c r="F139" s="1">
        <v>259</v>
      </c>
      <c r="G139" s="1">
        <v>14932</v>
      </c>
      <c r="H139" s="1" t="s">
        <v>108</v>
      </c>
      <c r="I139" s="1">
        <v>0</v>
      </c>
      <c r="J139" s="1">
        <v>10.87</v>
      </c>
      <c r="K139" s="3">
        <v>-4592.72</v>
      </c>
    </row>
    <row r="140" spans="1:11" x14ac:dyDescent="0.25">
      <c r="A140" t="s">
        <v>318</v>
      </c>
      <c r="B140" s="1" t="s">
        <v>317</v>
      </c>
      <c r="C140" s="1" t="s">
        <v>2</v>
      </c>
      <c r="D140" s="2">
        <v>46057</v>
      </c>
      <c r="E140" s="1" t="s">
        <v>101</v>
      </c>
      <c r="F140" s="1">
        <v>51</v>
      </c>
      <c r="G140" s="1">
        <v>523</v>
      </c>
      <c r="H140" s="1" t="s">
        <v>107</v>
      </c>
      <c r="I140" s="1">
        <v>0</v>
      </c>
      <c r="J140" s="1">
        <v>6.09</v>
      </c>
      <c r="K140" s="3">
        <v>-4598.8100000000004</v>
      </c>
    </row>
    <row r="141" spans="1:11" x14ac:dyDescent="0.25">
      <c r="A141" t="s">
        <v>318</v>
      </c>
      <c r="B141" s="1" t="s">
        <v>317</v>
      </c>
      <c r="C141" s="1" t="s">
        <v>2</v>
      </c>
      <c r="D141" s="2">
        <v>46057</v>
      </c>
      <c r="E141" s="1" t="s">
        <v>101</v>
      </c>
      <c r="F141" s="1">
        <v>52</v>
      </c>
      <c r="G141" s="1">
        <v>17622</v>
      </c>
      <c r="H141" s="1" t="s">
        <v>106</v>
      </c>
      <c r="I141" s="1">
        <v>0</v>
      </c>
      <c r="J141" s="1">
        <v>35.700000000000003</v>
      </c>
      <c r="K141" s="3">
        <v>-4634.51</v>
      </c>
    </row>
    <row r="142" spans="1:11" x14ac:dyDescent="0.25">
      <c r="A142" t="s">
        <v>318</v>
      </c>
      <c r="B142" s="1" t="s">
        <v>317</v>
      </c>
      <c r="C142" s="1" t="s">
        <v>2</v>
      </c>
      <c r="D142" s="2">
        <v>46058</v>
      </c>
      <c r="E142" s="1" t="s">
        <v>101</v>
      </c>
      <c r="F142" s="1">
        <v>54</v>
      </c>
      <c r="G142" s="1">
        <v>17621</v>
      </c>
      <c r="H142" s="1" t="s">
        <v>105</v>
      </c>
      <c r="I142" s="1">
        <v>0</v>
      </c>
      <c r="J142" s="1">
        <v>35.700000000000003</v>
      </c>
      <c r="K142" s="3">
        <v>-4670.21</v>
      </c>
    </row>
    <row r="143" spans="1:11" x14ac:dyDescent="0.25">
      <c r="A143" t="s">
        <v>318</v>
      </c>
      <c r="B143" s="1" t="s">
        <v>317</v>
      </c>
      <c r="C143" s="1" t="s">
        <v>2</v>
      </c>
      <c r="D143" s="2">
        <v>46058</v>
      </c>
      <c r="E143" s="1" t="s">
        <v>101</v>
      </c>
      <c r="F143" s="1">
        <v>55</v>
      </c>
      <c r="G143" s="1">
        <v>14870</v>
      </c>
      <c r="H143" s="1" t="s">
        <v>104</v>
      </c>
      <c r="I143" s="1">
        <v>0</v>
      </c>
      <c r="J143" s="1">
        <v>11.91</v>
      </c>
      <c r="K143" s="3">
        <v>-4682.12</v>
      </c>
    </row>
    <row r="144" spans="1:11" x14ac:dyDescent="0.25">
      <c r="A144" t="s">
        <v>318</v>
      </c>
      <c r="B144" s="1" t="s">
        <v>317</v>
      </c>
      <c r="C144" s="1" t="s">
        <v>2</v>
      </c>
      <c r="D144" s="2">
        <v>46059</v>
      </c>
      <c r="E144" s="1" t="s">
        <v>101</v>
      </c>
      <c r="F144" s="1">
        <v>58</v>
      </c>
      <c r="G144" s="1">
        <v>14871</v>
      </c>
      <c r="H144" s="1" t="s">
        <v>100</v>
      </c>
      <c r="I144" s="1">
        <v>0</v>
      </c>
      <c r="J144" s="1">
        <v>3.58</v>
      </c>
      <c r="K144" s="3">
        <v>-4685.7</v>
      </c>
    </row>
    <row r="145" spans="1:11" x14ac:dyDescent="0.25">
      <c r="A145" t="s">
        <v>314</v>
      </c>
      <c r="B145" s="1" t="s">
        <v>313</v>
      </c>
      <c r="C145" s="1" t="s">
        <v>2</v>
      </c>
      <c r="D145" s="2">
        <v>46063</v>
      </c>
      <c r="E145" s="1" t="s">
        <v>1</v>
      </c>
      <c r="F145" s="1">
        <v>104</v>
      </c>
      <c r="G145" s="1">
        <v>414</v>
      </c>
      <c r="H145" s="1" t="s">
        <v>99</v>
      </c>
      <c r="I145" s="1">
        <v>0</v>
      </c>
      <c r="J145" s="1">
        <v>3.58</v>
      </c>
      <c r="K145" s="1">
        <v>-3.58</v>
      </c>
    </row>
    <row r="146" spans="1:11" x14ac:dyDescent="0.25">
      <c r="A146" t="s">
        <v>314</v>
      </c>
      <c r="B146" s="1" t="s">
        <v>313</v>
      </c>
      <c r="C146" s="1" t="s">
        <v>2</v>
      </c>
      <c r="D146" s="2">
        <v>46064</v>
      </c>
      <c r="E146" s="1" t="s">
        <v>1</v>
      </c>
      <c r="F146" s="1">
        <v>105</v>
      </c>
      <c r="G146" s="1">
        <v>12507</v>
      </c>
      <c r="H146" s="1" t="s">
        <v>97</v>
      </c>
      <c r="I146" s="1">
        <v>0</v>
      </c>
      <c r="J146" s="1">
        <v>0.55000000000000004</v>
      </c>
      <c r="K146" s="1">
        <v>-4.13</v>
      </c>
    </row>
    <row r="147" spans="1:11" x14ac:dyDescent="0.25">
      <c r="A147" t="s">
        <v>314</v>
      </c>
      <c r="B147" s="1" t="s">
        <v>313</v>
      </c>
      <c r="C147" s="1" t="s">
        <v>2</v>
      </c>
      <c r="D147" s="2">
        <v>46065</v>
      </c>
      <c r="E147" s="1" t="s">
        <v>1</v>
      </c>
      <c r="F147" s="1">
        <v>121</v>
      </c>
      <c r="G147" s="1">
        <v>6283</v>
      </c>
      <c r="H147" s="1" t="s">
        <v>95</v>
      </c>
      <c r="I147" s="1">
        <v>0</v>
      </c>
      <c r="J147" s="1">
        <v>1.38</v>
      </c>
      <c r="K147" s="1">
        <v>-5.51</v>
      </c>
    </row>
    <row r="148" spans="1:11" x14ac:dyDescent="0.25">
      <c r="A148" t="s">
        <v>314</v>
      </c>
      <c r="B148" s="1" t="s">
        <v>313</v>
      </c>
      <c r="C148" s="1" t="s">
        <v>2</v>
      </c>
      <c r="D148" s="2">
        <v>46065</v>
      </c>
      <c r="E148" s="1" t="s">
        <v>1</v>
      </c>
      <c r="F148" s="1">
        <v>121</v>
      </c>
      <c r="G148" s="1">
        <v>6870</v>
      </c>
      <c r="H148" s="1" t="s">
        <v>90</v>
      </c>
      <c r="I148" s="1">
        <v>0</v>
      </c>
      <c r="J148" s="1">
        <v>1.25</v>
      </c>
      <c r="K148" s="1">
        <v>-6.76</v>
      </c>
    </row>
    <row r="149" spans="1:11" x14ac:dyDescent="0.25">
      <c r="A149" t="s">
        <v>314</v>
      </c>
      <c r="B149" s="1" t="s">
        <v>313</v>
      </c>
      <c r="C149" s="1" t="s">
        <v>2</v>
      </c>
      <c r="D149" s="2">
        <v>46071</v>
      </c>
      <c r="E149" s="1" t="s">
        <v>1</v>
      </c>
      <c r="F149" s="1">
        <v>160</v>
      </c>
      <c r="G149" s="1">
        <v>29230</v>
      </c>
      <c r="H149" s="1" t="s">
        <v>215</v>
      </c>
      <c r="I149" s="1">
        <v>0</v>
      </c>
      <c r="J149" s="1">
        <v>21.57</v>
      </c>
      <c r="K149" s="1">
        <v>-28.33</v>
      </c>
    </row>
    <row r="150" spans="1:11" x14ac:dyDescent="0.25">
      <c r="A150" t="s">
        <v>314</v>
      </c>
      <c r="B150" s="1" t="s">
        <v>313</v>
      </c>
      <c r="C150" s="1" t="s">
        <v>2</v>
      </c>
      <c r="D150" s="2">
        <v>46071</v>
      </c>
      <c r="E150" s="1" t="s">
        <v>1</v>
      </c>
      <c r="F150" s="1">
        <v>160</v>
      </c>
      <c r="G150" s="1">
        <v>6895</v>
      </c>
      <c r="H150" s="1" t="s">
        <v>74</v>
      </c>
      <c r="I150" s="1">
        <v>0</v>
      </c>
      <c r="J150" s="1">
        <v>0.59</v>
      </c>
      <c r="K150" s="1">
        <v>-28.92</v>
      </c>
    </row>
    <row r="151" spans="1:11" x14ac:dyDescent="0.25">
      <c r="A151" t="s">
        <v>314</v>
      </c>
      <c r="B151" s="1" t="s">
        <v>313</v>
      </c>
      <c r="C151" s="1" t="s">
        <v>2</v>
      </c>
      <c r="D151" s="2">
        <v>46071</v>
      </c>
      <c r="E151" s="1" t="s">
        <v>1</v>
      </c>
      <c r="F151" s="1">
        <v>160</v>
      </c>
      <c r="G151" s="1">
        <v>39</v>
      </c>
      <c r="H151" s="1" t="s">
        <v>316</v>
      </c>
      <c r="I151" s="1">
        <v>0</v>
      </c>
      <c r="J151" s="1">
        <v>470.61</v>
      </c>
      <c r="K151" s="1">
        <v>-499.53</v>
      </c>
    </row>
    <row r="152" spans="1:11" x14ac:dyDescent="0.25">
      <c r="A152" t="s">
        <v>314</v>
      </c>
      <c r="B152" s="1" t="s">
        <v>313</v>
      </c>
      <c r="C152" s="1" t="s">
        <v>2</v>
      </c>
      <c r="D152" s="2">
        <v>46075</v>
      </c>
      <c r="E152" s="1" t="s">
        <v>1</v>
      </c>
      <c r="F152" s="1">
        <v>202</v>
      </c>
      <c r="G152" s="1">
        <v>24668</v>
      </c>
      <c r="H152" s="1" t="s">
        <v>315</v>
      </c>
      <c r="I152" s="1">
        <v>0</v>
      </c>
      <c r="J152" s="1">
        <v>164.83</v>
      </c>
      <c r="K152" s="1">
        <v>-664.36</v>
      </c>
    </row>
    <row r="153" spans="1:11" x14ac:dyDescent="0.25">
      <c r="A153" t="s">
        <v>314</v>
      </c>
      <c r="B153" s="1" t="s">
        <v>313</v>
      </c>
      <c r="C153" s="1" t="s">
        <v>2</v>
      </c>
      <c r="D153" s="2">
        <v>46075</v>
      </c>
      <c r="E153" s="1" t="s">
        <v>1</v>
      </c>
      <c r="F153" s="1">
        <v>202</v>
      </c>
      <c r="G153" s="1">
        <v>3768</v>
      </c>
      <c r="H153" s="1" t="s">
        <v>64</v>
      </c>
      <c r="I153" s="1">
        <v>0</v>
      </c>
      <c r="J153" s="1">
        <v>73.45</v>
      </c>
      <c r="K153" s="1">
        <v>-737.81</v>
      </c>
    </row>
    <row r="154" spans="1:11" x14ac:dyDescent="0.25">
      <c r="A154" t="s">
        <v>314</v>
      </c>
      <c r="B154" s="1" t="s">
        <v>313</v>
      </c>
      <c r="C154" s="1" t="s">
        <v>2</v>
      </c>
      <c r="D154" s="2">
        <v>46075</v>
      </c>
      <c r="E154" s="1" t="s">
        <v>1</v>
      </c>
      <c r="F154" s="1">
        <v>202</v>
      </c>
      <c r="G154" s="1">
        <v>2993</v>
      </c>
      <c r="H154" s="1" t="s">
        <v>63</v>
      </c>
      <c r="I154" s="1">
        <v>0</v>
      </c>
      <c r="J154" s="1">
        <v>11</v>
      </c>
      <c r="K154" s="1">
        <v>-748.81</v>
      </c>
    </row>
    <row r="155" spans="1:11" x14ac:dyDescent="0.25">
      <c r="A155" t="s">
        <v>314</v>
      </c>
      <c r="B155" s="1" t="s">
        <v>313</v>
      </c>
      <c r="C155" s="1" t="s">
        <v>2</v>
      </c>
      <c r="D155" s="2">
        <v>46075</v>
      </c>
      <c r="E155" s="1" t="s">
        <v>1</v>
      </c>
      <c r="F155" s="1">
        <v>202</v>
      </c>
      <c r="G155" s="1">
        <v>1442</v>
      </c>
      <c r="H155" s="1" t="s">
        <v>62</v>
      </c>
      <c r="I155" s="1">
        <v>0</v>
      </c>
      <c r="J155" s="1">
        <v>11.35</v>
      </c>
      <c r="K155" s="1">
        <v>-760.16</v>
      </c>
    </row>
    <row r="156" spans="1:11" x14ac:dyDescent="0.25">
      <c r="A156" t="s">
        <v>314</v>
      </c>
      <c r="B156" s="1" t="s">
        <v>313</v>
      </c>
      <c r="C156" s="1" t="s">
        <v>2</v>
      </c>
      <c r="D156" s="2">
        <v>46075</v>
      </c>
      <c r="E156" s="1" t="s">
        <v>1</v>
      </c>
      <c r="F156" s="1">
        <v>202</v>
      </c>
      <c r="G156" s="1">
        <v>6916</v>
      </c>
      <c r="H156" s="1" t="s">
        <v>61</v>
      </c>
      <c r="I156" s="1">
        <v>0</v>
      </c>
      <c r="J156" s="1">
        <v>0.39</v>
      </c>
      <c r="K156" s="1">
        <v>-760.55</v>
      </c>
    </row>
    <row r="157" spans="1:11" x14ac:dyDescent="0.25">
      <c r="A157" t="s">
        <v>314</v>
      </c>
      <c r="B157" s="1" t="s">
        <v>313</v>
      </c>
      <c r="C157" s="1" t="s">
        <v>2</v>
      </c>
      <c r="D157" s="2">
        <v>46075</v>
      </c>
      <c r="E157" s="1" t="s">
        <v>1</v>
      </c>
      <c r="F157" s="1">
        <v>202</v>
      </c>
      <c r="G157" s="1">
        <v>7753</v>
      </c>
      <c r="H157" s="1" t="s">
        <v>60</v>
      </c>
      <c r="I157" s="1">
        <v>0</v>
      </c>
      <c r="J157" s="1">
        <v>2.5299999999999998</v>
      </c>
      <c r="K157" s="1">
        <v>-763.08</v>
      </c>
    </row>
    <row r="158" spans="1:11" x14ac:dyDescent="0.25">
      <c r="A158" t="s">
        <v>314</v>
      </c>
      <c r="B158" s="1" t="s">
        <v>313</v>
      </c>
      <c r="C158" s="1" t="s">
        <v>2</v>
      </c>
      <c r="D158" s="2">
        <v>46077</v>
      </c>
      <c r="E158" s="1" t="s">
        <v>1</v>
      </c>
      <c r="F158" s="1">
        <v>226</v>
      </c>
      <c r="G158" s="1">
        <v>7757</v>
      </c>
      <c r="H158" s="1" t="s">
        <v>58</v>
      </c>
      <c r="I158" s="1">
        <v>0</v>
      </c>
      <c r="J158" s="1">
        <v>1.38</v>
      </c>
      <c r="K158" s="1">
        <v>-764.46</v>
      </c>
    </row>
    <row r="159" spans="1:11" x14ac:dyDescent="0.25">
      <c r="A159" t="s">
        <v>314</v>
      </c>
      <c r="B159" s="1" t="s">
        <v>313</v>
      </c>
      <c r="C159" s="1" t="s">
        <v>2</v>
      </c>
      <c r="D159" s="2">
        <v>46077</v>
      </c>
      <c r="E159" s="1" t="s">
        <v>1</v>
      </c>
      <c r="F159" s="1">
        <v>226</v>
      </c>
      <c r="G159" s="1">
        <v>7758</v>
      </c>
      <c r="H159" s="1" t="s">
        <v>57</v>
      </c>
      <c r="I159" s="1">
        <v>0</v>
      </c>
      <c r="J159" s="1">
        <v>3.85</v>
      </c>
      <c r="K159" s="1">
        <v>-768.31</v>
      </c>
    </row>
    <row r="160" spans="1:11" x14ac:dyDescent="0.25">
      <c r="A160" t="s">
        <v>314</v>
      </c>
      <c r="B160" s="1" t="s">
        <v>313</v>
      </c>
      <c r="C160" s="1" t="s">
        <v>2</v>
      </c>
      <c r="D160" s="2">
        <v>46077</v>
      </c>
      <c r="E160" s="1" t="s">
        <v>1</v>
      </c>
      <c r="F160" s="1">
        <v>226</v>
      </c>
      <c r="G160" s="1">
        <v>7759</v>
      </c>
      <c r="H160" s="1" t="s">
        <v>56</v>
      </c>
      <c r="I160" s="1">
        <v>0</v>
      </c>
      <c r="J160" s="1">
        <v>10.31</v>
      </c>
      <c r="K160" s="1">
        <v>-778.62</v>
      </c>
    </row>
    <row r="161" spans="1:11" x14ac:dyDescent="0.25">
      <c r="A161" t="s">
        <v>314</v>
      </c>
      <c r="B161" s="1" t="s">
        <v>313</v>
      </c>
      <c r="C161" s="1" t="s">
        <v>2</v>
      </c>
      <c r="D161" s="2">
        <v>46077</v>
      </c>
      <c r="E161" s="1" t="s">
        <v>1</v>
      </c>
      <c r="F161" s="1">
        <v>226</v>
      </c>
      <c r="G161" s="1">
        <v>7760</v>
      </c>
      <c r="H161" s="1" t="s">
        <v>55</v>
      </c>
      <c r="I161" s="1">
        <v>0</v>
      </c>
      <c r="J161" s="1">
        <v>1.65</v>
      </c>
      <c r="K161" s="1">
        <v>-780.27</v>
      </c>
    </row>
    <row r="162" spans="1:11" x14ac:dyDescent="0.25">
      <c r="A162" t="s">
        <v>314</v>
      </c>
      <c r="B162" s="1" t="s">
        <v>313</v>
      </c>
      <c r="C162" s="1" t="s">
        <v>2</v>
      </c>
      <c r="D162" s="2">
        <v>46077</v>
      </c>
      <c r="E162" s="1" t="s">
        <v>1</v>
      </c>
      <c r="F162" s="1">
        <v>226</v>
      </c>
      <c r="G162" s="1">
        <v>7761</v>
      </c>
      <c r="H162" s="1" t="s">
        <v>54</v>
      </c>
      <c r="I162" s="1">
        <v>0</v>
      </c>
      <c r="J162" s="1">
        <v>1.65</v>
      </c>
      <c r="K162" s="1">
        <v>-781.92</v>
      </c>
    </row>
    <row r="163" spans="1:11" x14ac:dyDescent="0.25">
      <c r="A163" t="s">
        <v>314</v>
      </c>
      <c r="B163" s="1" t="s">
        <v>313</v>
      </c>
      <c r="C163" s="1" t="s">
        <v>2</v>
      </c>
      <c r="D163" s="2">
        <v>46079</v>
      </c>
      <c r="E163" s="1" t="s">
        <v>1</v>
      </c>
      <c r="F163" s="1">
        <v>258</v>
      </c>
      <c r="G163" s="1">
        <v>11919</v>
      </c>
      <c r="H163" s="1" t="s">
        <v>53</v>
      </c>
      <c r="I163" s="1">
        <v>0</v>
      </c>
      <c r="J163" s="1">
        <v>5.38</v>
      </c>
      <c r="K163" s="1">
        <v>-787.3</v>
      </c>
    </row>
    <row r="164" spans="1:11" x14ac:dyDescent="0.25">
      <c r="A164" t="s">
        <v>314</v>
      </c>
      <c r="B164" s="1" t="s">
        <v>313</v>
      </c>
      <c r="C164" s="1" t="s">
        <v>2</v>
      </c>
      <c r="D164" s="2">
        <v>46079</v>
      </c>
      <c r="E164" s="1" t="s">
        <v>1</v>
      </c>
      <c r="F164" s="1">
        <v>258</v>
      </c>
      <c r="G164" s="1">
        <v>7768</v>
      </c>
      <c r="H164" s="1" t="s">
        <v>51</v>
      </c>
      <c r="I164" s="1">
        <v>0</v>
      </c>
      <c r="J164" s="1">
        <v>1.65</v>
      </c>
      <c r="K164" s="1">
        <v>-788.95</v>
      </c>
    </row>
    <row r="165" spans="1:11" x14ac:dyDescent="0.25">
      <c r="A165" t="s">
        <v>314</v>
      </c>
      <c r="B165" s="1" t="s">
        <v>313</v>
      </c>
      <c r="C165" s="1" t="s">
        <v>2</v>
      </c>
      <c r="D165" s="2">
        <v>46079</v>
      </c>
      <c r="E165" s="1" t="s">
        <v>1</v>
      </c>
      <c r="F165" s="1">
        <v>258</v>
      </c>
      <c r="G165" s="1">
        <v>7769</v>
      </c>
      <c r="H165" s="1" t="s">
        <v>50</v>
      </c>
      <c r="I165" s="1">
        <v>0</v>
      </c>
      <c r="J165" s="1">
        <v>1.65</v>
      </c>
      <c r="K165" s="1">
        <v>-790.6</v>
      </c>
    </row>
    <row r="166" spans="1:11" x14ac:dyDescent="0.25">
      <c r="A166" t="s">
        <v>314</v>
      </c>
      <c r="B166" s="1" t="s">
        <v>313</v>
      </c>
      <c r="C166" s="1" t="s">
        <v>2</v>
      </c>
      <c r="D166" s="2">
        <v>46079</v>
      </c>
      <c r="E166" s="1" t="s">
        <v>1</v>
      </c>
      <c r="F166" s="1">
        <v>258</v>
      </c>
      <c r="G166" s="1">
        <v>7770</v>
      </c>
      <c r="H166" s="1" t="s">
        <v>49</v>
      </c>
      <c r="I166" s="1">
        <v>0</v>
      </c>
      <c r="J166" s="1">
        <v>1.65</v>
      </c>
      <c r="K166" s="1">
        <v>-792.25</v>
      </c>
    </row>
    <row r="167" spans="1:11" x14ac:dyDescent="0.25">
      <c r="A167" t="s">
        <v>314</v>
      </c>
      <c r="B167" s="1" t="s">
        <v>313</v>
      </c>
      <c r="C167" s="1" t="s">
        <v>2</v>
      </c>
      <c r="D167" s="2">
        <v>46055</v>
      </c>
      <c r="E167" s="1" t="s">
        <v>1</v>
      </c>
      <c r="F167" s="1">
        <v>29</v>
      </c>
      <c r="G167" s="1">
        <v>820</v>
      </c>
      <c r="H167" s="1" t="s">
        <v>46</v>
      </c>
      <c r="I167" s="1">
        <v>0</v>
      </c>
      <c r="J167" s="1">
        <v>6.88</v>
      </c>
      <c r="K167" s="1">
        <v>-799.13</v>
      </c>
    </row>
    <row r="168" spans="1:11" x14ac:dyDescent="0.25">
      <c r="A168" t="s">
        <v>314</v>
      </c>
      <c r="B168" s="1" t="s">
        <v>313</v>
      </c>
      <c r="C168" s="1" t="s">
        <v>2</v>
      </c>
      <c r="D168" s="2">
        <v>46081</v>
      </c>
      <c r="E168" s="1" t="s">
        <v>1</v>
      </c>
      <c r="F168" s="1">
        <v>311</v>
      </c>
      <c r="G168" s="1">
        <v>53046</v>
      </c>
      <c r="H168" s="1" t="s">
        <v>38</v>
      </c>
      <c r="I168" s="1">
        <v>0</v>
      </c>
      <c r="J168" s="1">
        <v>23.27</v>
      </c>
      <c r="K168" s="1">
        <v>-822.4</v>
      </c>
    </row>
    <row r="169" spans="1:11" x14ac:dyDescent="0.25">
      <c r="A169" t="s">
        <v>314</v>
      </c>
      <c r="B169" s="1" t="s">
        <v>313</v>
      </c>
      <c r="C169" s="1" t="s">
        <v>2</v>
      </c>
      <c r="D169" s="2">
        <v>46056</v>
      </c>
      <c r="E169" s="1" t="s">
        <v>1</v>
      </c>
      <c r="F169" s="1">
        <v>37</v>
      </c>
      <c r="G169" s="1">
        <v>5489</v>
      </c>
      <c r="H169" s="1" t="s">
        <v>37</v>
      </c>
      <c r="I169" s="1">
        <v>0</v>
      </c>
      <c r="J169" s="1">
        <v>18.149999999999999</v>
      </c>
      <c r="K169" s="1">
        <v>-840.55</v>
      </c>
    </row>
    <row r="170" spans="1:11" x14ac:dyDescent="0.25">
      <c r="A170" t="s">
        <v>314</v>
      </c>
      <c r="B170" s="1" t="s">
        <v>313</v>
      </c>
      <c r="C170" s="1" t="s">
        <v>2</v>
      </c>
      <c r="D170" s="2">
        <v>46056</v>
      </c>
      <c r="E170" s="1" t="s">
        <v>1</v>
      </c>
      <c r="F170" s="1">
        <v>37</v>
      </c>
      <c r="G170" s="1">
        <v>13391</v>
      </c>
      <c r="H170" s="1" t="s">
        <v>36</v>
      </c>
      <c r="I170" s="1">
        <v>0</v>
      </c>
      <c r="J170" s="1">
        <v>8.9499999999999993</v>
      </c>
      <c r="K170" s="1">
        <v>-849.5</v>
      </c>
    </row>
    <row r="171" spans="1:11" x14ac:dyDescent="0.25">
      <c r="A171" t="s">
        <v>314</v>
      </c>
      <c r="B171" s="1" t="s">
        <v>313</v>
      </c>
      <c r="C171" s="1" t="s">
        <v>2</v>
      </c>
      <c r="D171" s="2">
        <v>46057</v>
      </c>
      <c r="E171" s="1" t="s">
        <v>1</v>
      </c>
      <c r="F171" s="1">
        <v>53</v>
      </c>
      <c r="G171" s="1">
        <v>377</v>
      </c>
      <c r="H171" s="1" t="s">
        <v>31</v>
      </c>
      <c r="I171" s="1">
        <v>0</v>
      </c>
      <c r="J171" s="1">
        <v>2.75</v>
      </c>
      <c r="K171" s="1">
        <v>-852.25</v>
      </c>
    </row>
    <row r="172" spans="1:11" x14ac:dyDescent="0.25">
      <c r="A172" t="s">
        <v>314</v>
      </c>
      <c r="B172" s="1" t="s">
        <v>313</v>
      </c>
      <c r="C172" s="1" t="s">
        <v>2</v>
      </c>
      <c r="D172" s="2">
        <v>46057</v>
      </c>
      <c r="E172" s="1" t="s">
        <v>1</v>
      </c>
      <c r="F172" s="1">
        <v>53</v>
      </c>
      <c r="G172" s="1">
        <v>52803</v>
      </c>
      <c r="H172" s="1" t="s">
        <v>27</v>
      </c>
      <c r="I172" s="1">
        <v>0</v>
      </c>
      <c r="J172" s="1">
        <v>0.53</v>
      </c>
      <c r="K172" s="1">
        <v>-852.78</v>
      </c>
    </row>
    <row r="173" spans="1:11" x14ac:dyDescent="0.25">
      <c r="A173" t="s">
        <v>314</v>
      </c>
      <c r="B173" s="1" t="s">
        <v>313</v>
      </c>
      <c r="C173" s="1" t="s">
        <v>2</v>
      </c>
      <c r="D173" s="2">
        <v>46058</v>
      </c>
      <c r="E173" s="1" t="s">
        <v>1</v>
      </c>
      <c r="F173" s="1">
        <v>57</v>
      </c>
      <c r="G173" s="1">
        <v>2473</v>
      </c>
      <c r="H173" s="1" t="s">
        <v>24</v>
      </c>
      <c r="I173" s="1">
        <v>0</v>
      </c>
      <c r="J173" s="1">
        <v>31.21</v>
      </c>
      <c r="K173" s="1">
        <v>-883.99</v>
      </c>
    </row>
    <row r="174" spans="1:11" x14ac:dyDescent="0.25">
      <c r="A174" t="s">
        <v>314</v>
      </c>
      <c r="B174" s="1" t="s">
        <v>313</v>
      </c>
      <c r="C174" s="1" t="s">
        <v>2</v>
      </c>
      <c r="D174" s="2">
        <v>46058</v>
      </c>
      <c r="E174" s="1" t="s">
        <v>1</v>
      </c>
      <c r="F174" s="1">
        <v>57</v>
      </c>
      <c r="G174" s="1">
        <v>123259</v>
      </c>
      <c r="H174" s="1" t="s">
        <v>186</v>
      </c>
      <c r="I174" s="1">
        <v>0</v>
      </c>
      <c r="J174" s="1">
        <v>0.93</v>
      </c>
      <c r="K174" s="1">
        <v>-884.92</v>
      </c>
    </row>
    <row r="175" spans="1:11" x14ac:dyDescent="0.25">
      <c r="A175" t="s">
        <v>314</v>
      </c>
      <c r="B175" s="1" t="s">
        <v>313</v>
      </c>
      <c r="C175" s="1" t="s">
        <v>2</v>
      </c>
      <c r="D175" s="2">
        <v>46058</v>
      </c>
      <c r="E175" s="1" t="s">
        <v>1</v>
      </c>
      <c r="F175" s="1">
        <v>57</v>
      </c>
      <c r="G175" s="1">
        <v>123260</v>
      </c>
      <c r="H175" s="1" t="s">
        <v>185</v>
      </c>
      <c r="I175" s="1">
        <v>0</v>
      </c>
      <c r="J175" s="1">
        <v>1.9</v>
      </c>
      <c r="K175" s="1">
        <v>-886.82</v>
      </c>
    </row>
    <row r="176" spans="1:11" x14ac:dyDescent="0.25">
      <c r="A176" t="s">
        <v>314</v>
      </c>
      <c r="B176" s="1" t="s">
        <v>313</v>
      </c>
      <c r="C176" s="1" t="s">
        <v>2</v>
      </c>
      <c r="D176" s="2">
        <v>46058</v>
      </c>
      <c r="E176" s="1" t="s">
        <v>1</v>
      </c>
      <c r="F176" s="1">
        <v>57</v>
      </c>
      <c r="G176" s="1">
        <v>5286</v>
      </c>
      <c r="H176" s="1" t="s">
        <v>18</v>
      </c>
      <c r="I176" s="1">
        <v>0</v>
      </c>
      <c r="J176" s="1">
        <v>2.4700000000000002</v>
      </c>
      <c r="K176" s="1">
        <v>-889.29</v>
      </c>
    </row>
    <row r="177" spans="1:11" x14ac:dyDescent="0.25">
      <c r="A177" t="s">
        <v>314</v>
      </c>
      <c r="B177" s="1" t="s">
        <v>313</v>
      </c>
      <c r="C177" s="1" t="s">
        <v>2</v>
      </c>
      <c r="D177" s="2">
        <v>46058</v>
      </c>
      <c r="E177" s="1" t="s">
        <v>1</v>
      </c>
      <c r="F177" s="1">
        <v>57</v>
      </c>
      <c r="G177" s="1">
        <v>52828</v>
      </c>
      <c r="H177" s="1" t="s">
        <v>17</v>
      </c>
      <c r="I177" s="1">
        <v>0</v>
      </c>
      <c r="J177" s="1">
        <v>1.34</v>
      </c>
      <c r="K177" s="1">
        <v>-890.63</v>
      </c>
    </row>
    <row r="178" spans="1:11" x14ac:dyDescent="0.25">
      <c r="A178" t="s">
        <v>314</v>
      </c>
      <c r="B178" s="1" t="s">
        <v>313</v>
      </c>
      <c r="C178" s="1" t="s">
        <v>2</v>
      </c>
      <c r="D178" s="2">
        <v>46061</v>
      </c>
      <c r="E178" s="1" t="s">
        <v>1</v>
      </c>
      <c r="F178" s="1">
        <v>70</v>
      </c>
      <c r="G178" s="1">
        <v>6832</v>
      </c>
      <c r="H178" s="1" t="s">
        <v>14</v>
      </c>
      <c r="I178" s="1">
        <v>0</v>
      </c>
      <c r="J178" s="1">
        <v>0.38</v>
      </c>
      <c r="K178" s="1">
        <v>-891.01</v>
      </c>
    </row>
    <row r="179" spans="1:11" x14ac:dyDescent="0.25">
      <c r="A179" t="s">
        <v>314</v>
      </c>
      <c r="B179" s="1" t="s">
        <v>313</v>
      </c>
      <c r="C179" s="1" t="s">
        <v>2</v>
      </c>
      <c r="D179" s="2">
        <v>46061</v>
      </c>
      <c r="E179" s="1" t="s">
        <v>1</v>
      </c>
      <c r="F179" s="1">
        <v>70</v>
      </c>
      <c r="G179" s="1">
        <v>6834</v>
      </c>
      <c r="H179" s="1" t="s">
        <v>13</v>
      </c>
      <c r="I179" s="1">
        <v>0</v>
      </c>
      <c r="J179" s="1">
        <v>0.38</v>
      </c>
      <c r="K179" s="1">
        <v>-891.39</v>
      </c>
    </row>
    <row r="180" spans="1:11" x14ac:dyDescent="0.25">
      <c r="A180" t="s">
        <v>314</v>
      </c>
      <c r="B180" s="1" t="s">
        <v>313</v>
      </c>
      <c r="C180" s="1" t="s">
        <v>2</v>
      </c>
      <c r="D180" s="2">
        <v>46061</v>
      </c>
      <c r="E180" s="1" t="s">
        <v>1</v>
      </c>
      <c r="F180" s="1">
        <v>70</v>
      </c>
      <c r="G180" s="1">
        <v>52829</v>
      </c>
      <c r="H180" s="1" t="s">
        <v>12</v>
      </c>
      <c r="I180" s="1">
        <v>0</v>
      </c>
      <c r="J180" s="1">
        <v>4.95</v>
      </c>
      <c r="K180" s="1">
        <v>-896.34</v>
      </c>
    </row>
    <row r="181" spans="1:11" x14ac:dyDescent="0.25">
      <c r="A181" t="s">
        <v>314</v>
      </c>
      <c r="B181" s="1" t="s">
        <v>313</v>
      </c>
      <c r="C181" s="1" t="s">
        <v>2</v>
      </c>
      <c r="D181" s="2">
        <v>46062</v>
      </c>
      <c r="E181" s="1" t="s">
        <v>1</v>
      </c>
      <c r="F181" s="1">
        <v>84</v>
      </c>
      <c r="G181" s="1">
        <v>10912</v>
      </c>
      <c r="H181" s="1" t="s">
        <v>10</v>
      </c>
      <c r="I181" s="1">
        <v>0</v>
      </c>
      <c r="J181" s="1">
        <v>4.95</v>
      </c>
      <c r="K181" s="1">
        <v>-901.29</v>
      </c>
    </row>
    <row r="182" spans="1:11" x14ac:dyDescent="0.25">
      <c r="A182" t="s">
        <v>312</v>
      </c>
      <c r="B182" s="1" t="s">
        <v>311</v>
      </c>
      <c r="C182" s="1" t="s">
        <v>2</v>
      </c>
      <c r="D182" s="2">
        <v>46064</v>
      </c>
      <c r="E182" s="1" t="s">
        <v>1</v>
      </c>
      <c r="F182" s="1">
        <v>105</v>
      </c>
      <c r="G182" s="1">
        <v>226448</v>
      </c>
      <c r="H182" s="1" t="s">
        <v>220</v>
      </c>
      <c r="I182" s="1">
        <v>0</v>
      </c>
      <c r="J182" s="1">
        <v>11.4</v>
      </c>
      <c r="K182" s="1">
        <v>-11.4</v>
      </c>
    </row>
    <row r="183" spans="1:11" x14ac:dyDescent="0.25">
      <c r="A183" t="s">
        <v>312</v>
      </c>
      <c r="B183" s="1" t="s">
        <v>311</v>
      </c>
      <c r="C183" s="1" t="s">
        <v>2</v>
      </c>
      <c r="D183" s="2">
        <v>46064</v>
      </c>
      <c r="E183" s="1" t="s">
        <v>1</v>
      </c>
      <c r="F183" s="1">
        <v>105</v>
      </c>
      <c r="G183" s="1">
        <v>226449</v>
      </c>
      <c r="H183" s="1" t="s">
        <v>219</v>
      </c>
      <c r="I183" s="1">
        <v>0</v>
      </c>
      <c r="J183" s="1">
        <v>4.1900000000000004</v>
      </c>
      <c r="K183" s="1">
        <v>-15.59</v>
      </c>
    </row>
    <row r="184" spans="1:11" x14ac:dyDescent="0.25">
      <c r="A184" t="s">
        <v>312</v>
      </c>
      <c r="B184" s="1" t="s">
        <v>311</v>
      </c>
      <c r="C184" s="1" t="s">
        <v>2</v>
      </c>
      <c r="D184" s="2">
        <v>46071</v>
      </c>
      <c r="E184" s="1" t="s">
        <v>1</v>
      </c>
      <c r="F184" s="1">
        <v>160</v>
      </c>
      <c r="G184" s="1">
        <v>451</v>
      </c>
      <c r="H184" s="1" t="s">
        <v>86</v>
      </c>
      <c r="I184" s="1">
        <v>0</v>
      </c>
      <c r="J184" s="1">
        <v>18.239999999999998</v>
      </c>
      <c r="K184" s="1">
        <v>-33.83</v>
      </c>
    </row>
    <row r="185" spans="1:11" x14ac:dyDescent="0.25">
      <c r="A185" t="s">
        <v>312</v>
      </c>
      <c r="B185" s="1" t="s">
        <v>311</v>
      </c>
      <c r="C185" s="1" t="s">
        <v>2</v>
      </c>
      <c r="D185" s="2">
        <v>46071</v>
      </c>
      <c r="E185" s="1" t="s">
        <v>1</v>
      </c>
      <c r="F185" s="1">
        <v>160</v>
      </c>
      <c r="G185" s="1">
        <v>454</v>
      </c>
      <c r="H185" s="1" t="s">
        <v>85</v>
      </c>
      <c r="I185" s="1">
        <v>0</v>
      </c>
      <c r="J185" s="1">
        <v>13.61</v>
      </c>
      <c r="K185" s="1">
        <v>-47.44</v>
      </c>
    </row>
    <row r="186" spans="1:11" x14ac:dyDescent="0.25">
      <c r="A186" t="s">
        <v>312</v>
      </c>
      <c r="B186" s="1" t="s">
        <v>311</v>
      </c>
      <c r="C186" s="1" t="s">
        <v>2</v>
      </c>
      <c r="D186" s="2">
        <v>46071</v>
      </c>
      <c r="E186" s="1" t="s">
        <v>1</v>
      </c>
      <c r="F186" s="1">
        <v>160</v>
      </c>
      <c r="G186" s="1">
        <v>456</v>
      </c>
      <c r="H186" s="1" t="s">
        <v>84</v>
      </c>
      <c r="I186" s="1">
        <v>0</v>
      </c>
      <c r="J186" s="1">
        <v>29.79</v>
      </c>
      <c r="K186" s="1">
        <v>-77.23</v>
      </c>
    </row>
    <row r="187" spans="1:11" x14ac:dyDescent="0.25">
      <c r="A187" t="s">
        <v>312</v>
      </c>
      <c r="B187" s="1" t="s">
        <v>311</v>
      </c>
      <c r="C187" s="1" t="s">
        <v>2</v>
      </c>
      <c r="D187" s="2">
        <v>46071</v>
      </c>
      <c r="E187" s="1" t="s">
        <v>1</v>
      </c>
      <c r="F187" s="1">
        <v>160</v>
      </c>
      <c r="G187" s="1">
        <v>7432</v>
      </c>
      <c r="H187" s="1" t="s">
        <v>83</v>
      </c>
      <c r="I187" s="1">
        <v>0</v>
      </c>
      <c r="J187" s="1">
        <v>49.5</v>
      </c>
      <c r="K187" s="1">
        <v>-126.73</v>
      </c>
    </row>
    <row r="188" spans="1:11" x14ac:dyDescent="0.25">
      <c r="A188" t="s">
        <v>312</v>
      </c>
      <c r="B188" s="1" t="s">
        <v>311</v>
      </c>
      <c r="C188" s="1" t="s">
        <v>2</v>
      </c>
      <c r="D188" s="2">
        <v>46076</v>
      </c>
      <c r="E188" s="1" t="s">
        <v>1</v>
      </c>
      <c r="F188" s="1">
        <v>205</v>
      </c>
      <c r="G188" s="1">
        <v>227570</v>
      </c>
      <c r="H188" s="1" t="s">
        <v>212</v>
      </c>
      <c r="I188" s="1">
        <v>0</v>
      </c>
      <c r="J188" s="1">
        <v>4.2</v>
      </c>
      <c r="K188" s="1">
        <v>-130.93</v>
      </c>
    </row>
    <row r="189" spans="1:11" x14ac:dyDescent="0.25">
      <c r="A189" t="s">
        <v>312</v>
      </c>
      <c r="B189" s="1" t="s">
        <v>311</v>
      </c>
      <c r="C189" s="1" t="s">
        <v>2</v>
      </c>
      <c r="D189" s="2">
        <v>46076</v>
      </c>
      <c r="E189" s="1" t="s">
        <v>1</v>
      </c>
      <c r="F189" s="1">
        <v>205</v>
      </c>
      <c r="G189" s="1">
        <v>227571</v>
      </c>
      <c r="H189" s="1" t="s">
        <v>211</v>
      </c>
      <c r="I189" s="1">
        <v>0</v>
      </c>
      <c r="J189" s="1">
        <v>4.1900000000000004</v>
      </c>
      <c r="K189" s="1">
        <v>-135.12</v>
      </c>
    </row>
    <row r="190" spans="1:11" x14ac:dyDescent="0.25">
      <c r="A190" t="s">
        <v>312</v>
      </c>
      <c r="B190" s="1" t="s">
        <v>311</v>
      </c>
      <c r="C190" s="1" t="s">
        <v>2</v>
      </c>
      <c r="D190" s="2">
        <v>46055</v>
      </c>
      <c r="E190" s="1" t="s">
        <v>1</v>
      </c>
      <c r="F190" s="1">
        <v>29</v>
      </c>
      <c r="G190" s="1">
        <v>448</v>
      </c>
      <c r="H190" s="1" t="s">
        <v>45</v>
      </c>
      <c r="I190" s="1">
        <v>0</v>
      </c>
      <c r="J190" s="1">
        <v>210</v>
      </c>
      <c r="K190" s="1">
        <v>-345.12</v>
      </c>
    </row>
    <row r="191" spans="1:11" x14ac:dyDescent="0.25">
      <c r="A191" t="s">
        <v>312</v>
      </c>
      <c r="B191" s="1" t="s">
        <v>311</v>
      </c>
      <c r="C191" s="1" t="s">
        <v>2</v>
      </c>
      <c r="D191" s="2">
        <v>46057</v>
      </c>
      <c r="E191" s="1" t="s">
        <v>1</v>
      </c>
      <c r="F191" s="1">
        <v>53</v>
      </c>
      <c r="G191" s="1">
        <v>1804</v>
      </c>
      <c r="H191" s="1" t="s">
        <v>30</v>
      </c>
      <c r="I191" s="1">
        <v>0</v>
      </c>
      <c r="J191" s="1">
        <v>6.27</v>
      </c>
      <c r="K191" s="1">
        <v>-351.39</v>
      </c>
    </row>
    <row r="192" spans="1:11" x14ac:dyDescent="0.25">
      <c r="A192" t="s">
        <v>312</v>
      </c>
      <c r="B192" s="1" t="s">
        <v>311</v>
      </c>
      <c r="C192" s="1" t="s">
        <v>2</v>
      </c>
      <c r="D192" s="2">
        <v>46062</v>
      </c>
      <c r="E192" s="1" t="s">
        <v>1</v>
      </c>
      <c r="F192" s="1">
        <v>84</v>
      </c>
      <c r="G192" s="1">
        <v>932</v>
      </c>
      <c r="H192" s="1" t="s">
        <v>182</v>
      </c>
      <c r="I192" s="1">
        <v>0</v>
      </c>
      <c r="J192" s="1">
        <v>48.13</v>
      </c>
      <c r="K192" s="1">
        <v>-399.52</v>
      </c>
    </row>
    <row r="193" spans="1:11" x14ac:dyDescent="0.25">
      <c r="A193" t="s">
        <v>225</v>
      </c>
      <c r="B193" s="1" t="s">
        <v>224</v>
      </c>
      <c r="C193" s="1" t="s">
        <v>2</v>
      </c>
      <c r="D193" s="2">
        <v>46063</v>
      </c>
      <c r="E193" s="1" t="s">
        <v>1</v>
      </c>
      <c r="F193" s="1">
        <v>104</v>
      </c>
      <c r="G193" s="1">
        <v>142395</v>
      </c>
      <c r="H193" s="1" t="s">
        <v>310</v>
      </c>
      <c r="I193" s="1">
        <v>0</v>
      </c>
      <c r="J193" s="1">
        <v>10.83</v>
      </c>
      <c r="K193" s="1">
        <v>-10.83</v>
      </c>
    </row>
    <row r="194" spans="1:11" x14ac:dyDescent="0.25">
      <c r="A194" t="s">
        <v>225</v>
      </c>
      <c r="B194" s="1" t="s">
        <v>224</v>
      </c>
      <c r="C194" s="1" t="s">
        <v>2</v>
      </c>
      <c r="D194" s="2">
        <v>46065</v>
      </c>
      <c r="E194" s="1" t="s">
        <v>1</v>
      </c>
      <c r="F194" s="1">
        <v>121</v>
      </c>
      <c r="G194" s="1">
        <v>75049</v>
      </c>
      <c r="H194" s="1" t="s">
        <v>309</v>
      </c>
      <c r="I194" s="1">
        <v>0</v>
      </c>
      <c r="J194" s="1">
        <v>4.2</v>
      </c>
      <c r="K194" s="1">
        <v>-15.03</v>
      </c>
    </row>
    <row r="195" spans="1:11" x14ac:dyDescent="0.25">
      <c r="A195" t="s">
        <v>225</v>
      </c>
      <c r="B195" s="1" t="s">
        <v>224</v>
      </c>
      <c r="C195" s="1" t="s">
        <v>2</v>
      </c>
      <c r="D195" s="2">
        <v>46065</v>
      </c>
      <c r="E195" s="1" t="s">
        <v>1</v>
      </c>
      <c r="F195" s="1">
        <v>121</v>
      </c>
      <c r="G195" s="1">
        <v>3182</v>
      </c>
      <c r="H195" s="1" t="s">
        <v>308</v>
      </c>
      <c r="I195" s="1">
        <v>0</v>
      </c>
      <c r="J195" s="3">
        <v>1728.35</v>
      </c>
      <c r="K195" s="3">
        <v>-1743.38</v>
      </c>
    </row>
    <row r="196" spans="1:11" x14ac:dyDescent="0.25">
      <c r="A196" t="s">
        <v>225</v>
      </c>
      <c r="B196" s="1" t="s">
        <v>224</v>
      </c>
      <c r="C196" s="1" t="s">
        <v>2</v>
      </c>
      <c r="D196" s="2">
        <v>46066</v>
      </c>
      <c r="E196" s="1" t="s">
        <v>1</v>
      </c>
      <c r="F196" s="1">
        <v>122</v>
      </c>
      <c r="G196" s="1">
        <v>9074</v>
      </c>
      <c r="H196" s="1" t="s">
        <v>307</v>
      </c>
      <c r="I196" s="1">
        <v>0</v>
      </c>
      <c r="J196" s="1">
        <v>598.53</v>
      </c>
      <c r="K196" s="3">
        <v>-2341.91</v>
      </c>
    </row>
    <row r="197" spans="1:11" x14ac:dyDescent="0.25">
      <c r="A197" t="s">
        <v>225</v>
      </c>
      <c r="B197" s="1" t="s">
        <v>224</v>
      </c>
      <c r="C197" s="1" t="s">
        <v>2</v>
      </c>
      <c r="D197" s="2">
        <v>46066</v>
      </c>
      <c r="E197" s="1" t="s">
        <v>1</v>
      </c>
      <c r="F197" s="1">
        <v>122</v>
      </c>
      <c r="G197" s="1">
        <v>9074</v>
      </c>
      <c r="H197" s="1" t="s">
        <v>307</v>
      </c>
      <c r="I197" s="1">
        <v>0</v>
      </c>
      <c r="J197" s="1">
        <v>598.53</v>
      </c>
      <c r="K197" s="3">
        <v>-2940.44</v>
      </c>
    </row>
    <row r="198" spans="1:11" x14ac:dyDescent="0.25">
      <c r="A198" t="s">
        <v>225</v>
      </c>
      <c r="B198" s="1" t="s">
        <v>224</v>
      </c>
      <c r="C198" s="1" t="s">
        <v>2</v>
      </c>
      <c r="D198" s="2">
        <v>46066</v>
      </c>
      <c r="E198" s="1" t="s">
        <v>1</v>
      </c>
      <c r="F198" s="1">
        <v>122</v>
      </c>
      <c r="G198" s="1">
        <v>9074</v>
      </c>
      <c r="H198" s="1" t="s">
        <v>307</v>
      </c>
      <c r="I198" s="1">
        <v>0</v>
      </c>
      <c r="J198" s="1">
        <v>598.53</v>
      </c>
      <c r="K198" s="3">
        <v>-3538.97</v>
      </c>
    </row>
    <row r="199" spans="1:11" x14ac:dyDescent="0.25">
      <c r="A199" t="s">
        <v>225</v>
      </c>
      <c r="B199" s="1" t="s">
        <v>224</v>
      </c>
      <c r="C199" s="1" t="s">
        <v>2</v>
      </c>
      <c r="D199" s="2">
        <v>46066</v>
      </c>
      <c r="E199" s="1" t="s">
        <v>1</v>
      </c>
      <c r="F199" s="1">
        <v>122</v>
      </c>
      <c r="G199" s="1">
        <v>9074</v>
      </c>
      <c r="H199" s="1" t="s">
        <v>307</v>
      </c>
      <c r="I199" s="1">
        <v>0</v>
      </c>
      <c r="J199" s="1">
        <v>252.77</v>
      </c>
      <c r="K199" s="3">
        <v>-3791.74</v>
      </c>
    </row>
    <row r="200" spans="1:11" x14ac:dyDescent="0.25">
      <c r="A200" t="s">
        <v>225</v>
      </c>
      <c r="B200" s="1" t="s">
        <v>224</v>
      </c>
      <c r="C200" s="1" t="s">
        <v>2</v>
      </c>
      <c r="D200" s="2">
        <v>46066</v>
      </c>
      <c r="E200" s="1" t="s">
        <v>1</v>
      </c>
      <c r="F200" s="1">
        <v>122</v>
      </c>
      <c r="G200" s="1">
        <v>9074</v>
      </c>
      <c r="H200" s="1" t="s">
        <v>307</v>
      </c>
      <c r="I200" s="1">
        <v>0</v>
      </c>
      <c r="J200" s="1">
        <v>252.77</v>
      </c>
      <c r="K200" s="3">
        <v>-4044.51</v>
      </c>
    </row>
    <row r="201" spans="1:11" x14ac:dyDescent="0.25">
      <c r="A201" t="s">
        <v>225</v>
      </c>
      <c r="B201" s="1" t="s">
        <v>224</v>
      </c>
      <c r="C201" s="1" t="s">
        <v>2</v>
      </c>
      <c r="D201" s="2">
        <v>46071</v>
      </c>
      <c r="E201" s="1" t="s">
        <v>1</v>
      </c>
      <c r="F201" s="1">
        <v>160</v>
      </c>
      <c r="G201" s="1">
        <v>9084</v>
      </c>
      <c r="H201" s="1" t="s">
        <v>306</v>
      </c>
      <c r="I201" s="1">
        <v>0</v>
      </c>
      <c r="J201" s="1">
        <v>252.77</v>
      </c>
      <c r="K201" s="3">
        <v>-4297.28</v>
      </c>
    </row>
    <row r="202" spans="1:11" x14ac:dyDescent="0.25">
      <c r="A202" t="s">
        <v>225</v>
      </c>
      <c r="B202" s="1" t="s">
        <v>224</v>
      </c>
      <c r="C202" s="1" t="s">
        <v>2</v>
      </c>
      <c r="D202" s="2">
        <v>46071</v>
      </c>
      <c r="E202" s="1" t="s">
        <v>1</v>
      </c>
      <c r="F202" s="1">
        <v>160</v>
      </c>
      <c r="G202" s="1">
        <v>9084</v>
      </c>
      <c r="H202" s="1" t="s">
        <v>306</v>
      </c>
      <c r="I202" s="1">
        <v>0</v>
      </c>
      <c r="J202" s="3">
        <v>1597.29</v>
      </c>
      <c r="K202" s="3">
        <v>-5894.57</v>
      </c>
    </row>
    <row r="203" spans="1:11" x14ac:dyDescent="0.25">
      <c r="A203" t="s">
        <v>225</v>
      </c>
      <c r="B203" s="1" t="s">
        <v>224</v>
      </c>
      <c r="C203" s="1" t="s">
        <v>2</v>
      </c>
      <c r="D203" s="2">
        <v>46071</v>
      </c>
      <c r="E203" s="1" t="s">
        <v>1</v>
      </c>
      <c r="F203" s="1">
        <v>160</v>
      </c>
      <c r="G203" s="1">
        <v>9084</v>
      </c>
      <c r="H203" s="1" t="s">
        <v>306</v>
      </c>
      <c r="I203" s="1">
        <v>0</v>
      </c>
      <c r="J203" s="1">
        <v>252.77</v>
      </c>
      <c r="K203" s="3">
        <v>-6147.34</v>
      </c>
    </row>
    <row r="204" spans="1:11" x14ac:dyDescent="0.25">
      <c r="A204" t="s">
        <v>225</v>
      </c>
      <c r="B204" s="1" t="s">
        <v>224</v>
      </c>
      <c r="C204" s="1" t="s">
        <v>2</v>
      </c>
      <c r="D204" s="2">
        <v>46071</v>
      </c>
      <c r="E204" s="1" t="s">
        <v>1</v>
      </c>
      <c r="F204" s="1">
        <v>160</v>
      </c>
      <c r="G204" s="1">
        <v>9084</v>
      </c>
      <c r="H204" s="1" t="s">
        <v>306</v>
      </c>
      <c r="I204" s="1">
        <v>0</v>
      </c>
      <c r="J204" s="1">
        <v>252.77</v>
      </c>
      <c r="K204" s="3">
        <v>-6400.11</v>
      </c>
    </row>
    <row r="205" spans="1:11" x14ac:dyDescent="0.25">
      <c r="A205" t="s">
        <v>225</v>
      </c>
      <c r="B205" s="1" t="s">
        <v>224</v>
      </c>
      <c r="C205" s="1" t="s">
        <v>2</v>
      </c>
      <c r="D205" s="2">
        <v>46072</v>
      </c>
      <c r="E205" s="1" t="s">
        <v>1</v>
      </c>
      <c r="F205" s="1">
        <v>162</v>
      </c>
      <c r="G205" s="1">
        <v>3183</v>
      </c>
      <c r="H205" s="1" t="s">
        <v>305</v>
      </c>
      <c r="I205" s="1">
        <v>0</v>
      </c>
      <c r="J205" s="3">
        <v>1552.54</v>
      </c>
      <c r="K205" s="3">
        <v>-7952.65</v>
      </c>
    </row>
    <row r="206" spans="1:11" x14ac:dyDescent="0.25">
      <c r="A206" t="s">
        <v>225</v>
      </c>
      <c r="B206" s="1" t="s">
        <v>224</v>
      </c>
      <c r="C206" s="1" t="s">
        <v>2</v>
      </c>
      <c r="D206" s="2">
        <v>46073</v>
      </c>
      <c r="E206" s="1" t="s">
        <v>1</v>
      </c>
      <c r="F206" s="1">
        <v>163</v>
      </c>
      <c r="G206" s="1">
        <v>3184</v>
      </c>
      <c r="H206" s="1" t="s">
        <v>304</v>
      </c>
      <c r="I206" s="1">
        <v>0</v>
      </c>
      <c r="J206" s="1">
        <v>968.89</v>
      </c>
      <c r="K206" s="3">
        <v>-8921.5400000000009</v>
      </c>
    </row>
    <row r="207" spans="1:11" x14ac:dyDescent="0.25">
      <c r="A207" t="s">
        <v>225</v>
      </c>
      <c r="B207" s="1" t="s">
        <v>224</v>
      </c>
      <c r="C207" s="1" t="s">
        <v>2</v>
      </c>
      <c r="D207" s="2">
        <v>46075</v>
      </c>
      <c r="E207" s="1" t="s">
        <v>1</v>
      </c>
      <c r="F207" s="1">
        <v>202</v>
      </c>
      <c r="G207" s="1">
        <v>239004</v>
      </c>
      <c r="H207" s="1" t="s">
        <v>303</v>
      </c>
      <c r="I207" s="1">
        <v>0</v>
      </c>
      <c r="J207" s="1">
        <v>5.03</v>
      </c>
      <c r="K207" s="3">
        <v>-8926.57</v>
      </c>
    </row>
    <row r="208" spans="1:11" x14ac:dyDescent="0.25">
      <c r="A208" t="s">
        <v>225</v>
      </c>
      <c r="B208" s="1" t="s">
        <v>224</v>
      </c>
      <c r="C208" s="1" t="s">
        <v>2</v>
      </c>
      <c r="D208" s="2">
        <v>46075</v>
      </c>
      <c r="E208" s="1" t="s">
        <v>1</v>
      </c>
      <c r="F208" s="1">
        <v>202</v>
      </c>
      <c r="G208" s="1">
        <v>239005</v>
      </c>
      <c r="H208" s="1" t="s">
        <v>302</v>
      </c>
      <c r="I208" s="1">
        <v>0</v>
      </c>
      <c r="J208" s="1">
        <v>2.44</v>
      </c>
      <c r="K208" s="3">
        <v>-8929.01</v>
      </c>
    </row>
    <row r="209" spans="1:11" x14ac:dyDescent="0.25">
      <c r="A209" t="s">
        <v>225</v>
      </c>
      <c r="B209" s="1" t="s">
        <v>224</v>
      </c>
      <c r="C209" s="1" t="s">
        <v>2</v>
      </c>
      <c r="D209" s="2">
        <v>46075</v>
      </c>
      <c r="E209" s="1" t="s">
        <v>1</v>
      </c>
      <c r="F209" s="1">
        <v>202</v>
      </c>
      <c r="G209" s="1">
        <v>239006</v>
      </c>
      <c r="H209" s="1" t="s">
        <v>301</v>
      </c>
      <c r="I209" s="1">
        <v>0</v>
      </c>
      <c r="J209" s="1">
        <v>2.4900000000000002</v>
      </c>
      <c r="K209" s="3">
        <v>-8931.5</v>
      </c>
    </row>
    <row r="210" spans="1:11" x14ac:dyDescent="0.25">
      <c r="A210" t="s">
        <v>225</v>
      </c>
      <c r="B210" s="1" t="s">
        <v>224</v>
      </c>
      <c r="C210" s="1" t="s">
        <v>2</v>
      </c>
      <c r="D210" s="2">
        <v>46077</v>
      </c>
      <c r="E210" s="1" t="s">
        <v>1</v>
      </c>
      <c r="F210" s="1">
        <v>226</v>
      </c>
      <c r="G210" s="1">
        <v>3185</v>
      </c>
      <c r="H210" s="1" t="s">
        <v>300</v>
      </c>
      <c r="I210" s="1">
        <v>0</v>
      </c>
      <c r="J210" s="3">
        <v>1578.81</v>
      </c>
      <c r="K210" s="3">
        <v>-10510.31</v>
      </c>
    </row>
    <row r="211" spans="1:11" x14ac:dyDescent="0.25">
      <c r="A211" t="s">
        <v>225</v>
      </c>
      <c r="B211" s="1" t="s">
        <v>224</v>
      </c>
      <c r="C211" s="1" t="s">
        <v>2</v>
      </c>
      <c r="D211" s="2">
        <v>46077</v>
      </c>
      <c r="E211" s="1" t="s">
        <v>1</v>
      </c>
      <c r="F211" s="1">
        <v>226</v>
      </c>
      <c r="G211" s="1">
        <v>3186</v>
      </c>
      <c r="H211" s="1" t="s">
        <v>299</v>
      </c>
      <c r="I211" s="1">
        <v>0</v>
      </c>
      <c r="J211" s="3">
        <v>1578.81</v>
      </c>
      <c r="K211" s="3">
        <v>-12089.12</v>
      </c>
    </row>
    <row r="212" spans="1:11" x14ac:dyDescent="0.25">
      <c r="A212" t="s">
        <v>225</v>
      </c>
      <c r="B212" s="1" t="s">
        <v>224</v>
      </c>
      <c r="C212" s="1" t="s">
        <v>2</v>
      </c>
      <c r="D212" s="2">
        <v>46077</v>
      </c>
      <c r="E212" s="1" t="s">
        <v>1</v>
      </c>
      <c r="F212" s="1">
        <v>226</v>
      </c>
      <c r="G212" s="1">
        <v>3187</v>
      </c>
      <c r="H212" s="1" t="s">
        <v>298</v>
      </c>
      <c r="I212" s="1">
        <v>0</v>
      </c>
      <c r="J212" s="3">
        <v>1052.54</v>
      </c>
      <c r="K212" s="3">
        <v>-13141.66</v>
      </c>
    </row>
    <row r="213" spans="1:11" x14ac:dyDescent="0.25">
      <c r="A213" t="s">
        <v>225</v>
      </c>
      <c r="B213" s="1" t="s">
        <v>224</v>
      </c>
      <c r="C213" s="1" t="s">
        <v>2</v>
      </c>
      <c r="D213" s="2">
        <v>46077</v>
      </c>
      <c r="E213" s="1" t="s">
        <v>1</v>
      </c>
      <c r="F213" s="1">
        <v>226</v>
      </c>
      <c r="G213" s="1">
        <v>3188</v>
      </c>
      <c r="H213" s="1" t="s">
        <v>297</v>
      </c>
      <c r="I213" s="1">
        <v>0</v>
      </c>
      <c r="J213" s="1">
        <v>663.76</v>
      </c>
      <c r="K213" s="3">
        <v>-13805.42</v>
      </c>
    </row>
    <row r="214" spans="1:11" x14ac:dyDescent="0.25">
      <c r="A214" t="s">
        <v>225</v>
      </c>
      <c r="B214" s="1" t="s">
        <v>224</v>
      </c>
      <c r="C214" s="1" t="s">
        <v>2</v>
      </c>
      <c r="D214" s="2">
        <v>46077</v>
      </c>
      <c r="E214" s="1" t="s">
        <v>1</v>
      </c>
      <c r="F214" s="1">
        <v>226</v>
      </c>
      <c r="G214" s="1">
        <v>3189</v>
      </c>
      <c r="H214" s="1" t="s">
        <v>296</v>
      </c>
      <c r="I214" s="1">
        <v>0</v>
      </c>
      <c r="J214" s="1">
        <v>263.13</v>
      </c>
      <c r="K214" s="3">
        <v>-14068.55</v>
      </c>
    </row>
    <row r="215" spans="1:11" x14ac:dyDescent="0.25">
      <c r="A215" t="s">
        <v>225</v>
      </c>
      <c r="B215" s="1" t="s">
        <v>224</v>
      </c>
      <c r="C215" s="1" t="s">
        <v>2</v>
      </c>
      <c r="D215" s="2">
        <v>46077</v>
      </c>
      <c r="E215" s="1" t="s">
        <v>1</v>
      </c>
      <c r="F215" s="1">
        <v>226</v>
      </c>
      <c r="G215" s="1">
        <v>3190</v>
      </c>
      <c r="H215" s="1" t="s">
        <v>295</v>
      </c>
      <c r="I215" s="1">
        <v>0</v>
      </c>
      <c r="J215" s="1">
        <v>221.25</v>
      </c>
      <c r="K215" s="3">
        <v>-14289.8</v>
      </c>
    </row>
    <row r="216" spans="1:11" x14ac:dyDescent="0.25">
      <c r="A216" t="s">
        <v>225</v>
      </c>
      <c r="B216" s="1" t="s">
        <v>224</v>
      </c>
      <c r="C216" s="1" t="s">
        <v>2</v>
      </c>
      <c r="D216" s="2">
        <v>46078</v>
      </c>
      <c r="E216" s="1" t="s">
        <v>1</v>
      </c>
      <c r="F216" s="1">
        <v>236</v>
      </c>
      <c r="G216" s="1">
        <v>9109</v>
      </c>
      <c r="H216" s="1" t="s">
        <v>294</v>
      </c>
      <c r="I216" s="1">
        <v>0</v>
      </c>
      <c r="J216" s="1">
        <v>563.01</v>
      </c>
      <c r="K216" s="3">
        <v>-14852.81</v>
      </c>
    </row>
    <row r="217" spans="1:11" x14ac:dyDescent="0.25">
      <c r="A217" t="s">
        <v>225</v>
      </c>
      <c r="B217" s="1" t="s">
        <v>224</v>
      </c>
      <c r="C217" s="1" t="s">
        <v>2</v>
      </c>
      <c r="D217" s="2">
        <v>46078</v>
      </c>
      <c r="E217" s="1" t="s">
        <v>1</v>
      </c>
      <c r="F217" s="1">
        <v>236</v>
      </c>
      <c r="G217" s="1">
        <v>9109</v>
      </c>
      <c r="H217" s="1" t="s">
        <v>294</v>
      </c>
      <c r="I217" s="1">
        <v>0</v>
      </c>
      <c r="J217" s="1">
        <v>462.41</v>
      </c>
      <c r="K217" s="3">
        <v>-15315.22</v>
      </c>
    </row>
    <row r="218" spans="1:11" x14ac:dyDescent="0.25">
      <c r="A218" t="s">
        <v>225</v>
      </c>
      <c r="B218" s="1" t="s">
        <v>224</v>
      </c>
      <c r="C218" s="1" t="s">
        <v>2</v>
      </c>
      <c r="D218" s="2">
        <v>46078</v>
      </c>
      <c r="E218" s="1" t="s">
        <v>1</v>
      </c>
      <c r="F218" s="1">
        <v>236</v>
      </c>
      <c r="G218" s="1">
        <v>9109</v>
      </c>
      <c r="H218" s="1" t="s">
        <v>294</v>
      </c>
      <c r="I218" s="1">
        <v>0</v>
      </c>
      <c r="J218" s="1">
        <v>428.23</v>
      </c>
      <c r="K218" s="3">
        <v>-15743.45</v>
      </c>
    </row>
    <row r="219" spans="1:11" x14ac:dyDescent="0.25">
      <c r="A219" t="s">
        <v>225</v>
      </c>
      <c r="B219" s="1" t="s">
        <v>224</v>
      </c>
      <c r="C219" s="1" t="s">
        <v>2</v>
      </c>
      <c r="D219" s="2">
        <v>46078</v>
      </c>
      <c r="E219" s="1" t="s">
        <v>1</v>
      </c>
      <c r="F219" s="1">
        <v>236</v>
      </c>
      <c r="G219" s="1">
        <v>9109</v>
      </c>
      <c r="H219" s="1" t="s">
        <v>294</v>
      </c>
      <c r="I219" s="1">
        <v>0</v>
      </c>
      <c r="J219" s="1">
        <v>462.41</v>
      </c>
      <c r="K219" s="3">
        <v>-16205.86</v>
      </c>
    </row>
    <row r="220" spans="1:11" x14ac:dyDescent="0.25">
      <c r="A220" t="s">
        <v>225</v>
      </c>
      <c r="B220" s="1" t="s">
        <v>224</v>
      </c>
      <c r="C220" s="1" t="s">
        <v>2</v>
      </c>
      <c r="D220" s="2">
        <v>46078</v>
      </c>
      <c r="E220" s="1" t="s">
        <v>1</v>
      </c>
      <c r="F220" s="1">
        <v>236</v>
      </c>
      <c r="G220" s="1">
        <v>9109</v>
      </c>
      <c r="H220" s="1" t="s">
        <v>294</v>
      </c>
      <c r="I220" s="1">
        <v>0</v>
      </c>
      <c r="J220" s="1">
        <v>598.53</v>
      </c>
      <c r="K220" s="3">
        <v>-16804.39</v>
      </c>
    </row>
    <row r="221" spans="1:11" x14ac:dyDescent="0.25">
      <c r="A221" t="s">
        <v>225</v>
      </c>
      <c r="B221" s="1" t="s">
        <v>224</v>
      </c>
      <c r="C221" s="1" t="s">
        <v>2</v>
      </c>
      <c r="D221" s="2">
        <v>46078</v>
      </c>
      <c r="E221" s="1" t="s">
        <v>1</v>
      </c>
      <c r="F221" s="1">
        <v>236</v>
      </c>
      <c r="G221" s="1">
        <v>9109</v>
      </c>
      <c r="H221" s="1" t="s">
        <v>294</v>
      </c>
      <c r="I221" s="1">
        <v>0</v>
      </c>
      <c r="J221" s="1">
        <v>252.77</v>
      </c>
      <c r="K221" s="3">
        <v>-17057.16</v>
      </c>
    </row>
    <row r="222" spans="1:11" x14ac:dyDescent="0.25">
      <c r="A222" t="s">
        <v>225</v>
      </c>
      <c r="B222" s="1" t="s">
        <v>224</v>
      </c>
      <c r="C222" s="1" t="s">
        <v>2</v>
      </c>
      <c r="D222" s="2">
        <v>46078</v>
      </c>
      <c r="E222" s="1" t="s">
        <v>1</v>
      </c>
      <c r="F222" s="1">
        <v>236</v>
      </c>
      <c r="G222" s="1">
        <v>3191</v>
      </c>
      <c r="H222" s="1" t="s">
        <v>293</v>
      </c>
      <c r="I222" s="1">
        <v>0</v>
      </c>
      <c r="J222" s="1">
        <v>221.25</v>
      </c>
      <c r="K222" s="3">
        <v>-17278.41</v>
      </c>
    </row>
    <row r="223" spans="1:11" x14ac:dyDescent="0.25">
      <c r="A223" t="s">
        <v>225</v>
      </c>
      <c r="B223" s="1" t="s">
        <v>224</v>
      </c>
      <c r="C223" s="1" t="s">
        <v>2</v>
      </c>
      <c r="D223" s="2">
        <v>46078</v>
      </c>
      <c r="E223" s="1" t="s">
        <v>1</v>
      </c>
      <c r="F223" s="1">
        <v>236</v>
      </c>
      <c r="G223" s="1">
        <v>3192</v>
      </c>
      <c r="H223" s="1" t="s">
        <v>292</v>
      </c>
      <c r="I223" s="1">
        <v>0</v>
      </c>
      <c r="J223" s="3">
        <v>1841.94</v>
      </c>
      <c r="K223" s="3">
        <v>-19120.349999999999</v>
      </c>
    </row>
    <row r="224" spans="1:11" x14ac:dyDescent="0.25">
      <c r="A224" t="s">
        <v>225</v>
      </c>
      <c r="B224" s="1" t="s">
        <v>224</v>
      </c>
      <c r="C224" s="1" t="s">
        <v>2</v>
      </c>
      <c r="D224" s="2">
        <v>46078</v>
      </c>
      <c r="E224" s="1" t="s">
        <v>1</v>
      </c>
      <c r="F224" s="1">
        <v>236</v>
      </c>
      <c r="G224" s="1">
        <v>3193</v>
      </c>
      <c r="H224" s="1" t="s">
        <v>291</v>
      </c>
      <c r="I224" s="1">
        <v>0</v>
      </c>
      <c r="J224" s="3">
        <v>1315.67</v>
      </c>
      <c r="K224" s="3">
        <v>-20436.02</v>
      </c>
    </row>
    <row r="225" spans="1:11" x14ac:dyDescent="0.25">
      <c r="A225" t="s">
        <v>225</v>
      </c>
      <c r="B225" s="1" t="s">
        <v>224</v>
      </c>
      <c r="C225" s="1" t="s">
        <v>2</v>
      </c>
      <c r="D225" s="2">
        <v>46078</v>
      </c>
      <c r="E225" s="1" t="s">
        <v>1</v>
      </c>
      <c r="F225" s="1">
        <v>236</v>
      </c>
      <c r="G225" s="1">
        <v>3194</v>
      </c>
      <c r="H225" s="1" t="s">
        <v>290</v>
      </c>
      <c r="I225" s="1">
        <v>0</v>
      </c>
      <c r="J225" s="3">
        <v>1315.67</v>
      </c>
      <c r="K225" s="3">
        <v>-21751.69</v>
      </c>
    </row>
    <row r="226" spans="1:11" x14ac:dyDescent="0.25">
      <c r="A226" t="s">
        <v>225</v>
      </c>
      <c r="B226" s="1" t="s">
        <v>224</v>
      </c>
      <c r="C226" s="1" t="s">
        <v>2</v>
      </c>
      <c r="D226" s="2">
        <v>46078</v>
      </c>
      <c r="E226" s="1" t="s">
        <v>1</v>
      </c>
      <c r="F226" s="1">
        <v>236</v>
      </c>
      <c r="G226" s="1">
        <v>3195</v>
      </c>
      <c r="H226" s="1" t="s">
        <v>289</v>
      </c>
      <c r="I226" s="1">
        <v>0</v>
      </c>
      <c r="J226" s="1">
        <v>885.01</v>
      </c>
      <c r="K226" s="3">
        <v>-22636.7</v>
      </c>
    </row>
    <row r="227" spans="1:11" x14ac:dyDescent="0.25">
      <c r="A227" t="s">
        <v>225</v>
      </c>
      <c r="B227" s="1" t="s">
        <v>224</v>
      </c>
      <c r="C227" s="1" t="s">
        <v>2</v>
      </c>
      <c r="D227" s="2">
        <v>46078</v>
      </c>
      <c r="E227" s="1" t="s">
        <v>1</v>
      </c>
      <c r="F227" s="1">
        <v>236</v>
      </c>
      <c r="G227" s="1">
        <v>3196</v>
      </c>
      <c r="H227" s="1" t="s">
        <v>288</v>
      </c>
      <c r="I227" s="1">
        <v>0</v>
      </c>
      <c r="J227" s="3">
        <v>1085.51</v>
      </c>
      <c r="K227" s="3">
        <v>-23722.21</v>
      </c>
    </row>
    <row r="228" spans="1:11" x14ac:dyDescent="0.25">
      <c r="A228" t="s">
        <v>225</v>
      </c>
      <c r="B228" s="1" t="s">
        <v>224</v>
      </c>
      <c r="C228" s="1" t="s">
        <v>2</v>
      </c>
      <c r="D228" s="2">
        <v>46079</v>
      </c>
      <c r="E228" s="1" t="s">
        <v>1</v>
      </c>
      <c r="F228" s="1">
        <v>258</v>
      </c>
      <c r="G228" s="1">
        <v>9120</v>
      </c>
      <c r="H228" s="1" t="s">
        <v>287</v>
      </c>
      <c r="I228" s="1">
        <v>0</v>
      </c>
      <c r="J228" s="1">
        <v>428.23</v>
      </c>
      <c r="K228" s="3">
        <v>-24150.44</v>
      </c>
    </row>
    <row r="229" spans="1:11" x14ac:dyDescent="0.25">
      <c r="A229" t="s">
        <v>225</v>
      </c>
      <c r="B229" s="1" t="s">
        <v>224</v>
      </c>
      <c r="C229" s="1" t="s">
        <v>2</v>
      </c>
      <c r="D229" s="2">
        <v>46079</v>
      </c>
      <c r="E229" s="1" t="s">
        <v>1</v>
      </c>
      <c r="F229" s="1">
        <v>258</v>
      </c>
      <c r="G229" s="1">
        <v>9120</v>
      </c>
      <c r="H229" s="1" t="s">
        <v>287</v>
      </c>
      <c r="I229" s="1">
        <v>0</v>
      </c>
      <c r="J229" s="1">
        <v>381.9</v>
      </c>
      <c r="K229" s="3">
        <v>-24532.34</v>
      </c>
    </row>
    <row r="230" spans="1:11" x14ac:dyDescent="0.25">
      <c r="A230" t="s">
        <v>225</v>
      </c>
      <c r="B230" s="1" t="s">
        <v>224</v>
      </c>
      <c r="C230" s="1" t="s">
        <v>2</v>
      </c>
      <c r="D230" s="2">
        <v>46079</v>
      </c>
      <c r="E230" s="1" t="s">
        <v>1</v>
      </c>
      <c r="F230" s="1">
        <v>258</v>
      </c>
      <c r="G230" s="1">
        <v>9120</v>
      </c>
      <c r="H230" s="1" t="s">
        <v>287</v>
      </c>
      <c r="I230" s="1">
        <v>0</v>
      </c>
      <c r="J230" s="1">
        <v>381.9</v>
      </c>
      <c r="K230" s="3">
        <v>-24914.240000000002</v>
      </c>
    </row>
    <row r="231" spans="1:11" x14ac:dyDescent="0.25">
      <c r="A231" t="s">
        <v>225</v>
      </c>
      <c r="B231" s="1" t="s">
        <v>224</v>
      </c>
      <c r="C231" s="1" t="s">
        <v>2</v>
      </c>
      <c r="D231" s="2">
        <v>46079</v>
      </c>
      <c r="E231" s="1" t="s">
        <v>1</v>
      </c>
      <c r="F231" s="1">
        <v>258</v>
      </c>
      <c r="G231" s="1">
        <v>9120</v>
      </c>
      <c r="H231" s="1" t="s">
        <v>287</v>
      </c>
      <c r="I231" s="1">
        <v>0</v>
      </c>
      <c r="J231" s="1">
        <v>381.9</v>
      </c>
      <c r="K231" s="3">
        <v>-25296.14</v>
      </c>
    </row>
    <row r="232" spans="1:11" x14ac:dyDescent="0.25">
      <c r="A232" t="s">
        <v>225</v>
      </c>
      <c r="B232" s="1" t="s">
        <v>224</v>
      </c>
      <c r="C232" s="1" t="s">
        <v>2</v>
      </c>
      <c r="D232" s="2">
        <v>46079</v>
      </c>
      <c r="E232" s="1" t="s">
        <v>1</v>
      </c>
      <c r="F232" s="1">
        <v>258</v>
      </c>
      <c r="G232" s="1">
        <v>9120</v>
      </c>
      <c r="H232" s="1" t="s">
        <v>287</v>
      </c>
      <c r="I232" s="1">
        <v>0</v>
      </c>
      <c r="J232" s="1">
        <v>381.9</v>
      </c>
      <c r="K232" s="3">
        <v>-25678.04</v>
      </c>
    </row>
    <row r="233" spans="1:11" x14ac:dyDescent="0.25">
      <c r="A233" t="s">
        <v>225</v>
      </c>
      <c r="B233" s="1" t="s">
        <v>224</v>
      </c>
      <c r="C233" s="1" t="s">
        <v>2</v>
      </c>
      <c r="D233" s="2">
        <v>46079</v>
      </c>
      <c r="E233" s="1" t="s">
        <v>1</v>
      </c>
      <c r="F233" s="1">
        <v>258</v>
      </c>
      <c r="G233" s="1">
        <v>9120</v>
      </c>
      <c r="H233" s="1" t="s">
        <v>287</v>
      </c>
      <c r="I233" s="1">
        <v>0</v>
      </c>
      <c r="J233" s="1">
        <v>381.9</v>
      </c>
      <c r="K233" s="3">
        <v>-26059.94</v>
      </c>
    </row>
    <row r="234" spans="1:11" x14ac:dyDescent="0.25">
      <c r="A234" t="s">
        <v>225</v>
      </c>
      <c r="B234" s="1" t="s">
        <v>224</v>
      </c>
      <c r="C234" s="1" t="s">
        <v>2</v>
      </c>
      <c r="D234" s="2">
        <v>46079</v>
      </c>
      <c r="E234" s="1" t="s">
        <v>1</v>
      </c>
      <c r="F234" s="1">
        <v>258</v>
      </c>
      <c r="G234" s="1">
        <v>101390</v>
      </c>
      <c r="H234" s="1" t="s">
        <v>286</v>
      </c>
      <c r="I234" s="1">
        <v>0</v>
      </c>
      <c r="J234" s="1">
        <v>169.57</v>
      </c>
      <c r="K234" s="3">
        <v>-26229.51</v>
      </c>
    </row>
    <row r="235" spans="1:11" x14ac:dyDescent="0.25">
      <c r="A235" t="s">
        <v>225</v>
      </c>
      <c r="B235" s="1" t="s">
        <v>224</v>
      </c>
      <c r="C235" s="1" t="s">
        <v>2</v>
      </c>
      <c r="D235" s="2">
        <v>46079</v>
      </c>
      <c r="E235" s="1" t="s">
        <v>1</v>
      </c>
      <c r="F235" s="1">
        <v>258</v>
      </c>
      <c r="G235" s="1">
        <v>101399</v>
      </c>
      <c r="H235" s="1" t="s">
        <v>285</v>
      </c>
      <c r="I235" s="1">
        <v>0</v>
      </c>
      <c r="J235" s="1">
        <v>97.83</v>
      </c>
      <c r="K235" s="3">
        <v>-26327.34</v>
      </c>
    </row>
    <row r="236" spans="1:11" x14ac:dyDescent="0.25">
      <c r="A236" t="s">
        <v>225</v>
      </c>
      <c r="B236" s="1" t="s">
        <v>224</v>
      </c>
      <c r="C236" s="1" t="s">
        <v>2</v>
      </c>
      <c r="D236" s="2">
        <v>46079</v>
      </c>
      <c r="E236" s="1" t="s">
        <v>1</v>
      </c>
      <c r="F236" s="1">
        <v>258</v>
      </c>
      <c r="G236" s="1">
        <v>3197</v>
      </c>
      <c r="H236" s="1" t="s">
        <v>284</v>
      </c>
      <c r="I236" s="1">
        <v>0</v>
      </c>
      <c r="J236" s="1">
        <v>287.07</v>
      </c>
      <c r="K236" s="3">
        <v>-26614.41</v>
      </c>
    </row>
    <row r="237" spans="1:11" x14ac:dyDescent="0.25">
      <c r="A237" t="s">
        <v>225</v>
      </c>
      <c r="B237" s="1" t="s">
        <v>224</v>
      </c>
      <c r="C237" s="1" t="s">
        <v>2</v>
      </c>
      <c r="D237" s="2">
        <v>46079</v>
      </c>
      <c r="E237" s="1" t="s">
        <v>1</v>
      </c>
      <c r="F237" s="1">
        <v>258</v>
      </c>
      <c r="G237" s="1">
        <v>3198</v>
      </c>
      <c r="H237" s="1" t="s">
        <v>283</v>
      </c>
      <c r="I237" s="1">
        <v>0</v>
      </c>
      <c r="J237" s="3">
        <v>1578.81</v>
      </c>
      <c r="K237" s="3">
        <v>-28193.22</v>
      </c>
    </row>
    <row r="238" spans="1:11" x14ac:dyDescent="0.25">
      <c r="A238" t="s">
        <v>225</v>
      </c>
      <c r="B238" s="1" t="s">
        <v>224</v>
      </c>
      <c r="C238" s="1" t="s">
        <v>2</v>
      </c>
      <c r="D238" s="2">
        <v>46079</v>
      </c>
      <c r="E238" s="1" t="s">
        <v>1</v>
      </c>
      <c r="F238" s="1">
        <v>258</v>
      </c>
      <c r="G238" s="1">
        <v>3199</v>
      </c>
      <c r="H238" s="1" t="s">
        <v>282</v>
      </c>
      <c r="I238" s="1">
        <v>0</v>
      </c>
      <c r="J238" s="3">
        <v>1578.81</v>
      </c>
      <c r="K238" s="3">
        <v>-29772.03</v>
      </c>
    </row>
    <row r="239" spans="1:11" x14ac:dyDescent="0.25">
      <c r="A239" t="s">
        <v>225</v>
      </c>
      <c r="B239" s="1" t="s">
        <v>224</v>
      </c>
      <c r="C239" s="1" t="s">
        <v>2</v>
      </c>
      <c r="D239" s="2">
        <v>46079</v>
      </c>
      <c r="E239" s="1" t="s">
        <v>1</v>
      </c>
      <c r="F239" s="1">
        <v>258</v>
      </c>
      <c r="G239" s="1">
        <v>3200</v>
      </c>
      <c r="H239" s="1" t="s">
        <v>281</v>
      </c>
      <c r="I239" s="1">
        <v>0</v>
      </c>
      <c r="J239" s="1">
        <v>391.79</v>
      </c>
      <c r="K239" s="3">
        <v>-30163.82</v>
      </c>
    </row>
    <row r="240" spans="1:11" x14ac:dyDescent="0.25">
      <c r="A240" t="s">
        <v>225</v>
      </c>
      <c r="B240" s="1" t="s">
        <v>224</v>
      </c>
      <c r="C240" s="1" t="s">
        <v>2</v>
      </c>
      <c r="D240" s="2">
        <v>46080</v>
      </c>
      <c r="E240" s="1" t="s">
        <v>1</v>
      </c>
      <c r="F240" s="1">
        <v>261</v>
      </c>
      <c r="G240" s="1">
        <v>3201</v>
      </c>
      <c r="H240" s="1" t="s">
        <v>280</v>
      </c>
      <c r="I240" s="1">
        <v>0</v>
      </c>
      <c r="J240" s="3">
        <v>1315.67</v>
      </c>
      <c r="K240" s="3">
        <v>-31479.49</v>
      </c>
    </row>
    <row r="241" spans="1:11" x14ac:dyDescent="0.25">
      <c r="A241" t="s">
        <v>225</v>
      </c>
      <c r="B241" s="1" t="s">
        <v>224</v>
      </c>
      <c r="C241" s="1" t="s">
        <v>2</v>
      </c>
      <c r="D241" s="2">
        <v>46080</v>
      </c>
      <c r="E241" s="1" t="s">
        <v>1</v>
      </c>
      <c r="F241" s="1">
        <v>261</v>
      </c>
      <c r="G241" s="1">
        <v>3202</v>
      </c>
      <c r="H241" s="1" t="s">
        <v>279</v>
      </c>
      <c r="I241" s="1">
        <v>0</v>
      </c>
      <c r="J241" s="3">
        <v>1327.52</v>
      </c>
      <c r="K241" s="3">
        <v>-32807.01</v>
      </c>
    </row>
    <row r="242" spans="1:11" x14ac:dyDescent="0.25">
      <c r="A242" t="s">
        <v>225</v>
      </c>
      <c r="B242" s="1" t="s">
        <v>224</v>
      </c>
      <c r="C242" s="1" t="s">
        <v>2</v>
      </c>
      <c r="D242" s="2">
        <v>46080</v>
      </c>
      <c r="E242" s="1" t="s">
        <v>1</v>
      </c>
      <c r="F242" s="1">
        <v>261</v>
      </c>
      <c r="G242" s="1">
        <v>3203</v>
      </c>
      <c r="H242" s="1" t="s">
        <v>278</v>
      </c>
      <c r="I242" s="1">
        <v>0</v>
      </c>
      <c r="J242" s="3">
        <v>1548.77</v>
      </c>
      <c r="K242" s="3">
        <v>-34355.78</v>
      </c>
    </row>
    <row r="243" spans="1:11" x14ac:dyDescent="0.25">
      <c r="A243" t="s">
        <v>225</v>
      </c>
      <c r="B243" s="1" t="s">
        <v>224</v>
      </c>
      <c r="C243" s="1" t="s">
        <v>2</v>
      </c>
      <c r="D243" s="2">
        <v>46080</v>
      </c>
      <c r="E243" s="1" t="s">
        <v>1</v>
      </c>
      <c r="F243" s="1">
        <v>261</v>
      </c>
      <c r="G243" s="1">
        <v>3204</v>
      </c>
      <c r="H243" s="1" t="s">
        <v>277</v>
      </c>
      <c r="I243" s="1">
        <v>0</v>
      </c>
      <c r="J243" s="1">
        <v>361.84</v>
      </c>
      <c r="K243" s="3">
        <v>-34717.620000000003</v>
      </c>
    </row>
    <row r="244" spans="1:11" x14ac:dyDescent="0.25">
      <c r="A244" t="s">
        <v>225</v>
      </c>
      <c r="B244" s="1" t="s">
        <v>224</v>
      </c>
      <c r="C244" s="1" t="s">
        <v>2</v>
      </c>
      <c r="D244" s="2">
        <v>46080</v>
      </c>
      <c r="E244" s="1" t="s">
        <v>1</v>
      </c>
      <c r="F244" s="1">
        <v>261</v>
      </c>
      <c r="G244" s="1">
        <v>3205</v>
      </c>
      <c r="H244" s="1" t="s">
        <v>276</v>
      </c>
      <c r="I244" s="1">
        <v>0</v>
      </c>
      <c r="J244" s="1">
        <v>391.79</v>
      </c>
      <c r="K244" s="3">
        <v>-35109.410000000003</v>
      </c>
    </row>
    <row r="245" spans="1:11" x14ac:dyDescent="0.25">
      <c r="A245" t="s">
        <v>225</v>
      </c>
      <c r="B245" s="1" t="s">
        <v>224</v>
      </c>
      <c r="C245" s="1" t="s">
        <v>2</v>
      </c>
      <c r="D245" s="2">
        <v>46055</v>
      </c>
      <c r="E245" s="1" t="s">
        <v>1</v>
      </c>
      <c r="F245" s="1">
        <v>29</v>
      </c>
      <c r="G245" s="1">
        <v>74969</v>
      </c>
      <c r="H245" s="1" t="s">
        <v>275</v>
      </c>
      <c r="I245" s="1">
        <v>0</v>
      </c>
      <c r="J245" s="1">
        <v>8.1</v>
      </c>
      <c r="K245" s="3">
        <v>-35117.51</v>
      </c>
    </row>
    <row r="246" spans="1:11" x14ac:dyDescent="0.25">
      <c r="A246" t="s">
        <v>225</v>
      </c>
      <c r="B246" s="1" t="s">
        <v>224</v>
      </c>
      <c r="C246" s="1" t="s">
        <v>2</v>
      </c>
      <c r="D246" s="2">
        <v>46081</v>
      </c>
      <c r="E246" s="1" t="s">
        <v>1</v>
      </c>
      <c r="F246" s="1">
        <v>311</v>
      </c>
      <c r="G246" s="1">
        <v>9140</v>
      </c>
      <c r="H246" s="1" t="s">
        <v>274</v>
      </c>
      <c r="I246" s="1">
        <v>0</v>
      </c>
      <c r="J246" s="1">
        <v>514.41999999999996</v>
      </c>
      <c r="K246" s="3">
        <v>-35631.93</v>
      </c>
    </row>
    <row r="247" spans="1:11" x14ac:dyDescent="0.25">
      <c r="A247" t="s">
        <v>225</v>
      </c>
      <c r="B247" s="1" t="s">
        <v>224</v>
      </c>
      <c r="C247" s="1" t="s">
        <v>2</v>
      </c>
      <c r="D247" s="2">
        <v>46081</v>
      </c>
      <c r="E247" s="1" t="s">
        <v>1</v>
      </c>
      <c r="F247" s="1">
        <v>311</v>
      </c>
      <c r="G247" s="1">
        <v>9140</v>
      </c>
      <c r="H247" s="1" t="s">
        <v>274</v>
      </c>
      <c r="I247" s="1">
        <v>0</v>
      </c>
      <c r="J247" s="1">
        <v>514.41999999999996</v>
      </c>
      <c r="K247" s="3">
        <v>-36146.35</v>
      </c>
    </row>
    <row r="248" spans="1:11" x14ac:dyDescent="0.25">
      <c r="A248" t="s">
        <v>225</v>
      </c>
      <c r="B248" s="1" t="s">
        <v>224</v>
      </c>
      <c r="C248" s="1" t="s">
        <v>2</v>
      </c>
      <c r="D248" s="2">
        <v>46081</v>
      </c>
      <c r="E248" s="1" t="s">
        <v>1</v>
      </c>
      <c r="F248" s="1">
        <v>311</v>
      </c>
      <c r="G248" s="1">
        <v>9140</v>
      </c>
      <c r="H248" s="1" t="s">
        <v>274</v>
      </c>
      <c r="I248" s="1">
        <v>0</v>
      </c>
      <c r="J248" s="1">
        <v>462.41</v>
      </c>
      <c r="K248" s="3">
        <v>-36608.76</v>
      </c>
    </row>
    <row r="249" spans="1:11" x14ac:dyDescent="0.25">
      <c r="A249" t="s">
        <v>225</v>
      </c>
      <c r="B249" s="1" t="s">
        <v>224</v>
      </c>
      <c r="C249" s="1" t="s">
        <v>2</v>
      </c>
      <c r="D249" s="2">
        <v>46081</v>
      </c>
      <c r="E249" s="1" t="s">
        <v>1</v>
      </c>
      <c r="F249" s="1">
        <v>311</v>
      </c>
      <c r="G249" s="1">
        <v>9140</v>
      </c>
      <c r="H249" s="1" t="s">
        <v>274</v>
      </c>
      <c r="I249" s="1">
        <v>0</v>
      </c>
      <c r="J249" s="1">
        <v>428.23</v>
      </c>
      <c r="K249" s="3">
        <v>-37036.99</v>
      </c>
    </row>
    <row r="250" spans="1:11" x14ac:dyDescent="0.25">
      <c r="A250" t="s">
        <v>225</v>
      </c>
      <c r="B250" s="1" t="s">
        <v>224</v>
      </c>
      <c r="C250" s="1" t="s">
        <v>2</v>
      </c>
      <c r="D250" s="2">
        <v>46081</v>
      </c>
      <c r="E250" s="1" t="s">
        <v>1</v>
      </c>
      <c r="F250" s="1">
        <v>311</v>
      </c>
      <c r="G250" s="1">
        <v>9140</v>
      </c>
      <c r="H250" s="1" t="s">
        <v>274</v>
      </c>
      <c r="I250" s="1">
        <v>0</v>
      </c>
      <c r="J250" s="1">
        <v>462.41</v>
      </c>
      <c r="K250" s="3">
        <v>-37499.4</v>
      </c>
    </row>
    <row r="251" spans="1:11" x14ac:dyDescent="0.25">
      <c r="A251" t="s">
        <v>225</v>
      </c>
      <c r="B251" s="1" t="s">
        <v>224</v>
      </c>
      <c r="C251" s="1" t="s">
        <v>2</v>
      </c>
      <c r="D251" s="2">
        <v>46081</v>
      </c>
      <c r="E251" s="1" t="s">
        <v>1</v>
      </c>
      <c r="F251" s="1">
        <v>311</v>
      </c>
      <c r="G251" s="1">
        <v>9140</v>
      </c>
      <c r="H251" s="1" t="s">
        <v>274</v>
      </c>
      <c r="I251" s="1">
        <v>0</v>
      </c>
      <c r="J251" s="1">
        <v>428.23</v>
      </c>
      <c r="K251" s="3">
        <v>-37927.629999999997</v>
      </c>
    </row>
    <row r="252" spans="1:11" x14ac:dyDescent="0.25">
      <c r="A252" t="s">
        <v>225</v>
      </c>
      <c r="B252" s="1" t="s">
        <v>224</v>
      </c>
      <c r="C252" s="1" t="s">
        <v>2</v>
      </c>
      <c r="D252" s="2">
        <v>46081</v>
      </c>
      <c r="E252" s="1" t="s">
        <v>1</v>
      </c>
      <c r="F252" s="1">
        <v>311</v>
      </c>
      <c r="G252" s="1">
        <v>9140</v>
      </c>
      <c r="H252" s="1" t="s">
        <v>274</v>
      </c>
      <c r="I252" s="1">
        <v>0</v>
      </c>
      <c r="J252" s="1">
        <v>381.9</v>
      </c>
      <c r="K252" s="3">
        <v>-38309.53</v>
      </c>
    </row>
    <row r="253" spans="1:11" x14ac:dyDescent="0.25">
      <c r="A253" t="s">
        <v>225</v>
      </c>
      <c r="B253" s="1" t="s">
        <v>224</v>
      </c>
      <c r="C253" s="1" t="s">
        <v>2</v>
      </c>
      <c r="D253" s="2">
        <v>46081</v>
      </c>
      <c r="E253" s="1" t="s">
        <v>1</v>
      </c>
      <c r="F253" s="1">
        <v>311</v>
      </c>
      <c r="G253" s="1">
        <v>9140</v>
      </c>
      <c r="H253" s="1" t="s">
        <v>274</v>
      </c>
      <c r="I253" s="1">
        <v>0</v>
      </c>
      <c r="J253" s="1">
        <v>381.9</v>
      </c>
      <c r="K253" s="3">
        <v>-38691.43</v>
      </c>
    </row>
    <row r="254" spans="1:11" x14ac:dyDescent="0.25">
      <c r="A254" t="s">
        <v>225</v>
      </c>
      <c r="B254" s="1" t="s">
        <v>224</v>
      </c>
      <c r="C254" s="1" t="s">
        <v>2</v>
      </c>
      <c r="D254" s="2">
        <v>46081</v>
      </c>
      <c r="E254" s="1" t="s">
        <v>1</v>
      </c>
      <c r="F254" s="1">
        <v>311</v>
      </c>
      <c r="G254" s="1">
        <v>9140</v>
      </c>
      <c r="H254" s="1" t="s">
        <v>274</v>
      </c>
      <c r="I254" s="1">
        <v>0</v>
      </c>
      <c r="J254" s="1">
        <v>375.25</v>
      </c>
      <c r="K254" s="3">
        <v>-39066.68</v>
      </c>
    </row>
    <row r="255" spans="1:11" x14ac:dyDescent="0.25">
      <c r="A255" t="s">
        <v>225</v>
      </c>
      <c r="B255" s="1" t="s">
        <v>224</v>
      </c>
      <c r="C255" s="1" t="s">
        <v>2</v>
      </c>
      <c r="D255" s="2">
        <v>46081</v>
      </c>
      <c r="E255" s="1" t="s">
        <v>1</v>
      </c>
      <c r="F255" s="1">
        <v>311</v>
      </c>
      <c r="G255" s="1">
        <v>9141</v>
      </c>
      <c r="H255" s="1" t="s">
        <v>273</v>
      </c>
      <c r="I255" s="1">
        <v>0</v>
      </c>
      <c r="J255" s="1">
        <v>683.91</v>
      </c>
      <c r="K255" s="3">
        <v>-39750.589999999997</v>
      </c>
    </row>
    <row r="256" spans="1:11" x14ac:dyDescent="0.25">
      <c r="A256" t="s">
        <v>225</v>
      </c>
      <c r="B256" s="1" t="s">
        <v>224</v>
      </c>
      <c r="C256" s="1" t="s">
        <v>2</v>
      </c>
      <c r="D256" s="2">
        <v>46081</v>
      </c>
      <c r="E256" s="1" t="s">
        <v>1</v>
      </c>
      <c r="F256" s="1">
        <v>311</v>
      </c>
      <c r="G256" s="1">
        <v>9141</v>
      </c>
      <c r="H256" s="1" t="s">
        <v>273</v>
      </c>
      <c r="I256" s="1">
        <v>0</v>
      </c>
      <c r="J256" s="1">
        <v>428.23</v>
      </c>
      <c r="K256" s="3">
        <v>-40178.82</v>
      </c>
    </row>
    <row r="257" spans="1:11" x14ac:dyDescent="0.25">
      <c r="A257" t="s">
        <v>225</v>
      </c>
      <c r="B257" s="1" t="s">
        <v>224</v>
      </c>
      <c r="C257" s="1" t="s">
        <v>2</v>
      </c>
      <c r="D257" s="2">
        <v>46081</v>
      </c>
      <c r="E257" s="1" t="s">
        <v>1</v>
      </c>
      <c r="F257" s="1">
        <v>311</v>
      </c>
      <c r="G257" s="1">
        <v>101378</v>
      </c>
      <c r="H257" s="1" t="s">
        <v>272</v>
      </c>
      <c r="I257" s="1">
        <v>0</v>
      </c>
      <c r="J257" s="1">
        <v>169.57</v>
      </c>
      <c r="K257" s="3">
        <v>-40348.39</v>
      </c>
    </row>
    <row r="258" spans="1:11" x14ac:dyDescent="0.25">
      <c r="A258" t="s">
        <v>225</v>
      </c>
      <c r="B258" s="1" t="s">
        <v>224</v>
      </c>
      <c r="C258" s="1" t="s">
        <v>2</v>
      </c>
      <c r="D258" s="2">
        <v>46081</v>
      </c>
      <c r="E258" s="1" t="s">
        <v>1</v>
      </c>
      <c r="F258" s="1">
        <v>311</v>
      </c>
      <c r="G258" s="1">
        <v>101380</v>
      </c>
      <c r="H258" s="1" t="s">
        <v>271</v>
      </c>
      <c r="I258" s="1">
        <v>0</v>
      </c>
      <c r="J258" s="1">
        <v>169.57</v>
      </c>
      <c r="K258" s="3">
        <v>-40517.96</v>
      </c>
    </row>
    <row r="259" spans="1:11" x14ac:dyDescent="0.25">
      <c r="A259" t="s">
        <v>225</v>
      </c>
      <c r="B259" s="1" t="s">
        <v>224</v>
      </c>
      <c r="C259" s="1" t="s">
        <v>2</v>
      </c>
      <c r="D259" s="2">
        <v>46081</v>
      </c>
      <c r="E259" s="1" t="s">
        <v>1</v>
      </c>
      <c r="F259" s="1">
        <v>311</v>
      </c>
      <c r="G259" s="1">
        <v>101382</v>
      </c>
      <c r="H259" s="1" t="s">
        <v>270</v>
      </c>
      <c r="I259" s="1">
        <v>0</v>
      </c>
      <c r="J259" s="1">
        <v>169.57</v>
      </c>
      <c r="K259" s="3">
        <v>-40687.53</v>
      </c>
    </row>
    <row r="260" spans="1:11" x14ac:dyDescent="0.25">
      <c r="A260" t="s">
        <v>225</v>
      </c>
      <c r="B260" s="1" t="s">
        <v>224</v>
      </c>
      <c r="C260" s="1" t="s">
        <v>2</v>
      </c>
      <c r="D260" s="2">
        <v>46081</v>
      </c>
      <c r="E260" s="1" t="s">
        <v>1</v>
      </c>
      <c r="F260" s="1">
        <v>311</v>
      </c>
      <c r="G260" s="1">
        <v>101384</v>
      </c>
      <c r="H260" s="1" t="s">
        <v>269</v>
      </c>
      <c r="I260" s="1">
        <v>0</v>
      </c>
      <c r="J260" s="1">
        <v>169.57</v>
      </c>
      <c r="K260" s="3">
        <v>-40857.1</v>
      </c>
    </row>
    <row r="261" spans="1:11" x14ac:dyDescent="0.25">
      <c r="A261" t="s">
        <v>225</v>
      </c>
      <c r="B261" s="1" t="s">
        <v>224</v>
      </c>
      <c r="C261" s="1" t="s">
        <v>2</v>
      </c>
      <c r="D261" s="2">
        <v>46081</v>
      </c>
      <c r="E261" s="1" t="s">
        <v>1</v>
      </c>
      <c r="F261" s="1">
        <v>311</v>
      </c>
      <c r="G261" s="1">
        <v>101386</v>
      </c>
      <c r="H261" s="1" t="s">
        <v>268</v>
      </c>
      <c r="I261" s="1">
        <v>0</v>
      </c>
      <c r="J261" s="1">
        <v>169.57</v>
      </c>
      <c r="K261" s="3">
        <v>-41026.67</v>
      </c>
    </row>
    <row r="262" spans="1:11" x14ac:dyDescent="0.25">
      <c r="A262" t="s">
        <v>225</v>
      </c>
      <c r="B262" s="1" t="s">
        <v>224</v>
      </c>
      <c r="C262" s="1" t="s">
        <v>2</v>
      </c>
      <c r="D262" s="2">
        <v>46081</v>
      </c>
      <c r="E262" s="1" t="s">
        <v>1</v>
      </c>
      <c r="F262" s="1">
        <v>311</v>
      </c>
      <c r="G262" s="1">
        <v>101388</v>
      </c>
      <c r="H262" s="1" t="s">
        <v>267</v>
      </c>
      <c r="I262" s="1">
        <v>0</v>
      </c>
      <c r="J262" s="1">
        <v>169.57</v>
      </c>
      <c r="K262" s="3">
        <v>-41196.239999999998</v>
      </c>
    </row>
    <row r="263" spans="1:11" x14ac:dyDescent="0.25">
      <c r="A263" t="s">
        <v>225</v>
      </c>
      <c r="B263" s="1" t="s">
        <v>224</v>
      </c>
      <c r="C263" s="1" t="s">
        <v>2</v>
      </c>
      <c r="D263" s="2">
        <v>46081</v>
      </c>
      <c r="E263" s="1" t="s">
        <v>1</v>
      </c>
      <c r="F263" s="1">
        <v>311</v>
      </c>
      <c r="G263" s="1">
        <v>101392</v>
      </c>
      <c r="H263" s="1" t="s">
        <v>266</v>
      </c>
      <c r="I263" s="1">
        <v>0</v>
      </c>
      <c r="J263" s="1">
        <v>97.83</v>
      </c>
      <c r="K263" s="3">
        <v>-41294.07</v>
      </c>
    </row>
    <row r="264" spans="1:11" x14ac:dyDescent="0.25">
      <c r="A264" t="s">
        <v>225</v>
      </c>
      <c r="B264" s="1" t="s">
        <v>224</v>
      </c>
      <c r="C264" s="1" t="s">
        <v>2</v>
      </c>
      <c r="D264" s="2">
        <v>46081</v>
      </c>
      <c r="E264" s="1" t="s">
        <v>1</v>
      </c>
      <c r="F264" s="1">
        <v>311</v>
      </c>
      <c r="G264" s="1">
        <v>101394</v>
      </c>
      <c r="H264" s="1" t="s">
        <v>265</v>
      </c>
      <c r="I264" s="1">
        <v>0</v>
      </c>
      <c r="J264" s="1">
        <v>97.83</v>
      </c>
      <c r="K264" s="3">
        <v>-41391.9</v>
      </c>
    </row>
    <row r="265" spans="1:11" x14ac:dyDescent="0.25">
      <c r="A265" t="s">
        <v>225</v>
      </c>
      <c r="B265" s="1" t="s">
        <v>224</v>
      </c>
      <c r="C265" s="1" t="s">
        <v>2</v>
      </c>
      <c r="D265" s="2">
        <v>46081</v>
      </c>
      <c r="E265" s="1" t="s">
        <v>1</v>
      </c>
      <c r="F265" s="1">
        <v>311</v>
      </c>
      <c r="G265" s="1">
        <v>101401</v>
      </c>
      <c r="H265" s="1" t="s">
        <v>264</v>
      </c>
      <c r="I265" s="1">
        <v>0</v>
      </c>
      <c r="J265" s="1">
        <v>97.83</v>
      </c>
      <c r="K265" s="3">
        <v>-41489.730000000003</v>
      </c>
    </row>
    <row r="266" spans="1:11" x14ac:dyDescent="0.25">
      <c r="A266" t="s">
        <v>225</v>
      </c>
      <c r="B266" s="1" t="s">
        <v>224</v>
      </c>
      <c r="C266" s="1" t="s">
        <v>2</v>
      </c>
      <c r="D266" s="2">
        <v>46081</v>
      </c>
      <c r="E266" s="1" t="s">
        <v>1</v>
      </c>
      <c r="F266" s="1">
        <v>311</v>
      </c>
      <c r="G266" s="1">
        <v>101403</v>
      </c>
      <c r="H266" s="1" t="s">
        <v>263</v>
      </c>
      <c r="I266" s="1">
        <v>0</v>
      </c>
      <c r="J266" s="1">
        <v>97.83</v>
      </c>
      <c r="K266" s="3">
        <v>-41587.56</v>
      </c>
    </row>
    <row r="267" spans="1:11" x14ac:dyDescent="0.25">
      <c r="A267" t="s">
        <v>225</v>
      </c>
      <c r="B267" s="1" t="s">
        <v>224</v>
      </c>
      <c r="C267" s="1" t="s">
        <v>2</v>
      </c>
      <c r="D267" s="2">
        <v>46081</v>
      </c>
      <c r="E267" s="1" t="s">
        <v>1</v>
      </c>
      <c r="F267" s="1">
        <v>311</v>
      </c>
      <c r="G267" s="1">
        <v>101405</v>
      </c>
      <c r="H267" s="1" t="s">
        <v>262</v>
      </c>
      <c r="I267" s="1">
        <v>0</v>
      </c>
      <c r="J267" s="1">
        <v>97.83</v>
      </c>
      <c r="K267" s="3">
        <v>-41685.39</v>
      </c>
    </row>
    <row r="268" spans="1:11" x14ac:dyDescent="0.25">
      <c r="A268" t="s">
        <v>225</v>
      </c>
      <c r="B268" s="1" t="s">
        <v>224</v>
      </c>
      <c r="C268" s="1" t="s">
        <v>2</v>
      </c>
      <c r="D268" s="2">
        <v>46081</v>
      </c>
      <c r="E268" s="1" t="s">
        <v>1</v>
      </c>
      <c r="F268" s="1">
        <v>311</v>
      </c>
      <c r="G268" s="1">
        <v>101407</v>
      </c>
      <c r="H268" s="1" t="s">
        <v>261</v>
      </c>
      <c r="I268" s="1">
        <v>0</v>
      </c>
      <c r="J268" s="1">
        <v>97.83</v>
      </c>
      <c r="K268" s="3">
        <v>-41783.22</v>
      </c>
    </row>
    <row r="269" spans="1:11" x14ac:dyDescent="0.25">
      <c r="A269" t="s">
        <v>225</v>
      </c>
      <c r="B269" s="1" t="s">
        <v>224</v>
      </c>
      <c r="C269" s="1" t="s">
        <v>2</v>
      </c>
      <c r="D269" s="2">
        <v>46081</v>
      </c>
      <c r="E269" s="1" t="s">
        <v>1</v>
      </c>
      <c r="F269" s="1">
        <v>311</v>
      </c>
      <c r="G269" s="1">
        <v>101410</v>
      </c>
      <c r="H269" s="1" t="s">
        <v>260</v>
      </c>
      <c r="I269" s="1">
        <v>0</v>
      </c>
      <c r="J269" s="1">
        <v>169.57</v>
      </c>
      <c r="K269" s="3">
        <v>-41952.79</v>
      </c>
    </row>
    <row r="270" spans="1:11" x14ac:dyDescent="0.25">
      <c r="A270" t="s">
        <v>225</v>
      </c>
      <c r="B270" s="1" t="s">
        <v>224</v>
      </c>
      <c r="C270" s="1" t="s">
        <v>2</v>
      </c>
      <c r="D270" s="2">
        <v>46081</v>
      </c>
      <c r="E270" s="1" t="s">
        <v>1</v>
      </c>
      <c r="F270" s="1">
        <v>311</v>
      </c>
      <c r="G270" s="1">
        <v>101412</v>
      </c>
      <c r="H270" s="1" t="s">
        <v>259</v>
      </c>
      <c r="I270" s="1">
        <v>0</v>
      </c>
      <c r="J270" s="1">
        <v>169.57</v>
      </c>
      <c r="K270" s="3">
        <v>-42122.36</v>
      </c>
    </row>
    <row r="271" spans="1:11" x14ac:dyDescent="0.25">
      <c r="A271" t="s">
        <v>225</v>
      </c>
      <c r="B271" s="1" t="s">
        <v>224</v>
      </c>
      <c r="C271" s="1" t="s">
        <v>2</v>
      </c>
      <c r="D271" s="2">
        <v>46081</v>
      </c>
      <c r="E271" s="1" t="s">
        <v>1</v>
      </c>
      <c r="F271" s="1">
        <v>311</v>
      </c>
      <c r="G271" s="1">
        <v>101414</v>
      </c>
      <c r="H271" s="1" t="s">
        <v>258</v>
      </c>
      <c r="I271" s="1">
        <v>0</v>
      </c>
      <c r="J271" s="1">
        <v>169.57</v>
      </c>
      <c r="K271" s="3">
        <v>-42291.93</v>
      </c>
    </row>
    <row r="272" spans="1:11" x14ac:dyDescent="0.25">
      <c r="A272" t="s">
        <v>225</v>
      </c>
      <c r="B272" s="1" t="s">
        <v>224</v>
      </c>
      <c r="C272" s="1" t="s">
        <v>2</v>
      </c>
      <c r="D272" s="2">
        <v>46081</v>
      </c>
      <c r="E272" s="1" t="s">
        <v>1</v>
      </c>
      <c r="F272" s="1">
        <v>311</v>
      </c>
      <c r="G272" s="1">
        <v>101416</v>
      </c>
      <c r="H272" s="1" t="s">
        <v>257</v>
      </c>
      <c r="I272" s="1">
        <v>0</v>
      </c>
      <c r="J272" s="1">
        <v>117.39</v>
      </c>
      <c r="K272" s="3">
        <v>-42409.32</v>
      </c>
    </row>
    <row r="273" spans="1:11" x14ac:dyDescent="0.25">
      <c r="A273" t="s">
        <v>225</v>
      </c>
      <c r="B273" s="1" t="s">
        <v>224</v>
      </c>
      <c r="C273" s="1" t="s">
        <v>2</v>
      </c>
      <c r="D273" s="2">
        <v>46081</v>
      </c>
      <c r="E273" s="1" t="s">
        <v>1</v>
      </c>
      <c r="F273" s="1">
        <v>311</v>
      </c>
      <c r="G273" s="1">
        <v>101418</v>
      </c>
      <c r="H273" s="1" t="s">
        <v>256</v>
      </c>
      <c r="I273" s="1">
        <v>0</v>
      </c>
      <c r="J273" s="1">
        <v>117.39</v>
      </c>
      <c r="K273" s="3">
        <v>-42526.71</v>
      </c>
    </row>
    <row r="274" spans="1:11" x14ac:dyDescent="0.25">
      <c r="A274" t="s">
        <v>225</v>
      </c>
      <c r="B274" s="1" t="s">
        <v>224</v>
      </c>
      <c r="C274" s="1" t="s">
        <v>2</v>
      </c>
      <c r="D274" s="2">
        <v>46081</v>
      </c>
      <c r="E274" s="1" t="s">
        <v>1</v>
      </c>
      <c r="F274" s="1">
        <v>311</v>
      </c>
      <c r="G274" s="1">
        <v>101420</v>
      </c>
      <c r="H274" s="1" t="s">
        <v>255</v>
      </c>
      <c r="I274" s="1">
        <v>0</v>
      </c>
      <c r="J274" s="1">
        <v>97.83</v>
      </c>
      <c r="K274" s="3">
        <v>-42624.54</v>
      </c>
    </row>
    <row r="275" spans="1:11" x14ac:dyDescent="0.25">
      <c r="A275" t="s">
        <v>225</v>
      </c>
      <c r="B275" s="1" t="s">
        <v>224</v>
      </c>
      <c r="C275" s="1" t="s">
        <v>2</v>
      </c>
      <c r="D275" s="2">
        <v>46081</v>
      </c>
      <c r="E275" s="1" t="s">
        <v>1</v>
      </c>
      <c r="F275" s="1">
        <v>311</v>
      </c>
      <c r="G275" s="1">
        <v>101422</v>
      </c>
      <c r="H275" s="1" t="s">
        <v>254</v>
      </c>
      <c r="I275" s="1">
        <v>0</v>
      </c>
      <c r="J275" s="1">
        <v>97.83</v>
      </c>
      <c r="K275" s="3">
        <v>-42722.37</v>
      </c>
    </row>
    <row r="276" spans="1:11" x14ac:dyDescent="0.25">
      <c r="A276" t="s">
        <v>225</v>
      </c>
      <c r="B276" s="1" t="s">
        <v>224</v>
      </c>
      <c r="C276" s="1" t="s">
        <v>2</v>
      </c>
      <c r="D276" s="2">
        <v>46081</v>
      </c>
      <c r="E276" s="1" t="s">
        <v>1</v>
      </c>
      <c r="F276" s="1">
        <v>311</v>
      </c>
      <c r="G276" s="1">
        <v>101424</v>
      </c>
      <c r="H276" s="1" t="s">
        <v>253</v>
      </c>
      <c r="I276" s="1">
        <v>0</v>
      </c>
      <c r="J276" s="1">
        <v>97.83</v>
      </c>
      <c r="K276" s="3">
        <v>-42820.2</v>
      </c>
    </row>
    <row r="277" spans="1:11" x14ac:dyDescent="0.25">
      <c r="A277" t="s">
        <v>225</v>
      </c>
      <c r="B277" s="1" t="s">
        <v>224</v>
      </c>
      <c r="C277" s="1" t="s">
        <v>2</v>
      </c>
      <c r="D277" s="2">
        <v>46058</v>
      </c>
      <c r="E277" s="1" t="s">
        <v>1</v>
      </c>
      <c r="F277" s="1">
        <v>57</v>
      </c>
      <c r="G277" s="1">
        <v>3181</v>
      </c>
      <c r="H277" s="1" t="s">
        <v>252</v>
      </c>
      <c r="I277" s="1">
        <v>0</v>
      </c>
      <c r="J277" s="1">
        <v>331.67</v>
      </c>
      <c r="K277" s="3">
        <v>-43151.87</v>
      </c>
    </row>
    <row r="278" spans="1:11" x14ac:dyDescent="0.25">
      <c r="A278" t="s">
        <v>225</v>
      </c>
      <c r="B278" s="1" t="s">
        <v>224</v>
      </c>
      <c r="C278" s="1" t="s">
        <v>2</v>
      </c>
      <c r="D278" s="2">
        <v>46061</v>
      </c>
      <c r="E278" s="1" t="s">
        <v>1</v>
      </c>
      <c r="F278" s="1">
        <v>70</v>
      </c>
      <c r="G278" s="1">
        <v>730023</v>
      </c>
      <c r="H278" s="1" t="s">
        <v>251</v>
      </c>
      <c r="I278" s="1">
        <v>0</v>
      </c>
      <c r="J278" s="1">
        <v>1.1100000000000001</v>
      </c>
      <c r="K278" s="3">
        <v>-43152.98</v>
      </c>
    </row>
    <row r="279" spans="1:11" x14ac:dyDescent="0.25">
      <c r="A279" t="s">
        <v>225</v>
      </c>
      <c r="B279" s="1" t="s">
        <v>224</v>
      </c>
      <c r="C279" s="1" t="s">
        <v>2</v>
      </c>
      <c r="D279" s="2">
        <v>46065</v>
      </c>
      <c r="E279" s="1" t="s">
        <v>101</v>
      </c>
      <c r="F279" s="1">
        <v>120</v>
      </c>
      <c r="G279" s="1">
        <v>31419</v>
      </c>
      <c r="H279" s="1" t="s">
        <v>250</v>
      </c>
      <c r="I279" s="1">
        <v>0</v>
      </c>
      <c r="J279" s="1">
        <v>39.89</v>
      </c>
      <c r="K279" s="3">
        <v>-43192.87</v>
      </c>
    </row>
    <row r="280" spans="1:11" x14ac:dyDescent="0.25">
      <c r="A280" t="s">
        <v>225</v>
      </c>
      <c r="B280" s="1" t="s">
        <v>224</v>
      </c>
      <c r="C280" s="1" t="s">
        <v>2</v>
      </c>
      <c r="D280" s="2">
        <v>46065</v>
      </c>
      <c r="E280" s="1" t="s">
        <v>101</v>
      </c>
      <c r="F280" s="1">
        <v>120</v>
      </c>
      <c r="G280" s="1">
        <v>31420</v>
      </c>
      <c r="H280" s="1" t="s">
        <v>249</v>
      </c>
      <c r="I280" s="1">
        <v>0</v>
      </c>
      <c r="J280" s="1">
        <v>39.89</v>
      </c>
      <c r="K280" s="3">
        <v>-43232.76</v>
      </c>
    </row>
    <row r="281" spans="1:11" x14ac:dyDescent="0.25">
      <c r="A281" t="s">
        <v>225</v>
      </c>
      <c r="B281" s="1" t="s">
        <v>224</v>
      </c>
      <c r="C281" s="1" t="s">
        <v>2</v>
      </c>
      <c r="D281" s="2">
        <v>46065</v>
      </c>
      <c r="E281" s="1" t="s">
        <v>101</v>
      </c>
      <c r="F281" s="1">
        <v>120</v>
      </c>
      <c r="G281" s="1">
        <v>31421</v>
      </c>
      <c r="H281" s="1" t="s">
        <v>248</v>
      </c>
      <c r="I281" s="1">
        <v>0</v>
      </c>
      <c r="J281" s="1">
        <v>39.89</v>
      </c>
      <c r="K281" s="3">
        <v>-43272.65</v>
      </c>
    </row>
    <row r="282" spans="1:11" x14ac:dyDescent="0.25">
      <c r="A282" t="s">
        <v>225</v>
      </c>
      <c r="B282" s="1" t="s">
        <v>224</v>
      </c>
      <c r="C282" s="1" t="s">
        <v>2</v>
      </c>
      <c r="D282" s="2">
        <v>46077</v>
      </c>
      <c r="E282" s="1" t="s">
        <v>101</v>
      </c>
      <c r="F282" s="1">
        <v>222</v>
      </c>
      <c r="G282" s="1">
        <v>1519</v>
      </c>
      <c r="H282" s="1" t="s">
        <v>247</v>
      </c>
      <c r="I282" s="1">
        <v>0</v>
      </c>
      <c r="J282" s="1">
        <v>10.029999999999999</v>
      </c>
      <c r="K282" s="3">
        <v>-43282.68</v>
      </c>
    </row>
    <row r="283" spans="1:11" x14ac:dyDescent="0.25">
      <c r="A283" t="s">
        <v>225</v>
      </c>
      <c r="B283" s="1" t="s">
        <v>224</v>
      </c>
      <c r="C283" s="1" t="s">
        <v>2</v>
      </c>
      <c r="D283" s="2">
        <v>46078</v>
      </c>
      <c r="E283" s="1" t="s">
        <v>101</v>
      </c>
      <c r="F283" s="1">
        <v>230</v>
      </c>
      <c r="G283" s="1">
        <v>31450</v>
      </c>
      <c r="H283" s="1" t="s">
        <v>246</v>
      </c>
      <c r="I283" s="1">
        <v>0</v>
      </c>
      <c r="J283" s="1">
        <v>39.89</v>
      </c>
      <c r="K283" s="3">
        <v>-43322.57</v>
      </c>
    </row>
    <row r="284" spans="1:11" x14ac:dyDescent="0.25">
      <c r="A284" t="s">
        <v>225</v>
      </c>
      <c r="B284" s="1" t="s">
        <v>224</v>
      </c>
      <c r="C284" s="1" t="s">
        <v>2</v>
      </c>
      <c r="D284" s="2">
        <v>46078</v>
      </c>
      <c r="E284" s="1" t="s">
        <v>101</v>
      </c>
      <c r="F284" s="1">
        <v>230</v>
      </c>
      <c r="G284" s="1">
        <v>31451</v>
      </c>
      <c r="H284" s="1" t="s">
        <v>245</v>
      </c>
      <c r="I284" s="1">
        <v>0</v>
      </c>
      <c r="J284" s="1">
        <v>32.99</v>
      </c>
      <c r="K284" s="3">
        <v>-43355.56</v>
      </c>
    </row>
    <row r="285" spans="1:11" x14ac:dyDescent="0.25">
      <c r="A285" t="s">
        <v>225</v>
      </c>
      <c r="B285" s="1" t="s">
        <v>224</v>
      </c>
      <c r="C285" s="1" t="s">
        <v>2</v>
      </c>
      <c r="D285" s="2">
        <v>46078</v>
      </c>
      <c r="E285" s="1" t="s">
        <v>101</v>
      </c>
      <c r="F285" s="1">
        <v>231</v>
      </c>
      <c r="G285" s="1">
        <v>1520</v>
      </c>
      <c r="H285" s="1" t="s">
        <v>244</v>
      </c>
      <c r="I285" s="1">
        <v>0</v>
      </c>
      <c r="J285" s="1">
        <v>36.520000000000003</v>
      </c>
      <c r="K285" s="3">
        <v>-43392.08</v>
      </c>
    </row>
    <row r="286" spans="1:11" x14ac:dyDescent="0.25">
      <c r="A286" t="s">
        <v>225</v>
      </c>
      <c r="B286" s="1" t="s">
        <v>224</v>
      </c>
      <c r="C286" s="1" t="s">
        <v>2</v>
      </c>
      <c r="D286" s="2">
        <v>46078</v>
      </c>
      <c r="E286" s="1" t="s">
        <v>101</v>
      </c>
      <c r="F286" s="1">
        <v>231</v>
      </c>
      <c r="G286" s="1">
        <v>1521</v>
      </c>
      <c r="H286" s="1" t="s">
        <v>243</v>
      </c>
      <c r="I286" s="1">
        <v>0</v>
      </c>
      <c r="J286" s="1">
        <v>10.029999999999999</v>
      </c>
      <c r="K286" s="3">
        <v>-43402.11</v>
      </c>
    </row>
    <row r="287" spans="1:11" x14ac:dyDescent="0.25">
      <c r="A287" t="s">
        <v>225</v>
      </c>
      <c r="B287" s="1" t="s">
        <v>224</v>
      </c>
      <c r="C287" s="1" t="s">
        <v>2</v>
      </c>
      <c r="D287" s="2">
        <v>46078</v>
      </c>
      <c r="E287" s="1" t="s">
        <v>101</v>
      </c>
      <c r="F287" s="1">
        <v>231</v>
      </c>
      <c r="G287" s="1">
        <v>1522</v>
      </c>
      <c r="H287" s="1" t="s">
        <v>242</v>
      </c>
      <c r="I287" s="1">
        <v>0</v>
      </c>
      <c r="J287" s="1">
        <v>66.52</v>
      </c>
      <c r="K287" s="3">
        <v>-43468.63</v>
      </c>
    </row>
    <row r="288" spans="1:11" x14ac:dyDescent="0.25">
      <c r="A288" t="s">
        <v>225</v>
      </c>
      <c r="B288" s="1" t="s">
        <v>224</v>
      </c>
      <c r="C288" s="1" t="s">
        <v>2</v>
      </c>
      <c r="D288" s="2">
        <v>46079</v>
      </c>
      <c r="E288" s="1" t="s">
        <v>101</v>
      </c>
      <c r="F288" s="1">
        <v>256</v>
      </c>
      <c r="G288" s="1">
        <v>31458</v>
      </c>
      <c r="H288" s="1" t="s">
        <v>241</v>
      </c>
      <c r="I288" s="1">
        <v>0</v>
      </c>
      <c r="J288" s="1">
        <v>34.01</v>
      </c>
      <c r="K288" s="3">
        <v>-43502.64</v>
      </c>
    </row>
    <row r="289" spans="1:11" x14ac:dyDescent="0.25">
      <c r="A289" t="s">
        <v>225</v>
      </c>
      <c r="B289" s="1" t="s">
        <v>224</v>
      </c>
      <c r="C289" s="1" t="s">
        <v>2</v>
      </c>
      <c r="D289" s="2">
        <v>46079</v>
      </c>
      <c r="E289" s="1" t="s">
        <v>101</v>
      </c>
      <c r="F289" s="1">
        <v>256</v>
      </c>
      <c r="G289" s="1">
        <v>31459</v>
      </c>
      <c r="H289" s="1" t="s">
        <v>240</v>
      </c>
      <c r="I289" s="1">
        <v>0</v>
      </c>
      <c r="J289" s="1">
        <v>34.01</v>
      </c>
      <c r="K289" s="3">
        <v>-43536.65</v>
      </c>
    </row>
    <row r="290" spans="1:11" x14ac:dyDescent="0.25">
      <c r="A290" t="s">
        <v>225</v>
      </c>
      <c r="B290" s="1" t="s">
        <v>224</v>
      </c>
      <c r="C290" s="1" t="s">
        <v>2</v>
      </c>
      <c r="D290" s="2">
        <v>46079</v>
      </c>
      <c r="E290" s="1" t="s">
        <v>101</v>
      </c>
      <c r="F290" s="1">
        <v>256</v>
      </c>
      <c r="G290" s="1">
        <v>31460</v>
      </c>
      <c r="H290" s="1" t="s">
        <v>239</v>
      </c>
      <c r="I290" s="1">
        <v>0</v>
      </c>
      <c r="J290" s="1">
        <v>34.01</v>
      </c>
      <c r="K290" s="3">
        <v>-43570.66</v>
      </c>
    </row>
    <row r="291" spans="1:11" x14ac:dyDescent="0.25">
      <c r="A291" t="s">
        <v>225</v>
      </c>
      <c r="B291" s="1" t="s">
        <v>224</v>
      </c>
      <c r="C291" s="1" t="s">
        <v>2</v>
      </c>
      <c r="D291" s="2">
        <v>46079</v>
      </c>
      <c r="E291" s="1" t="s">
        <v>101</v>
      </c>
      <c r="F291" s="1">
        <v>256</v>
      </c>
      <c r="G291" s="1">
        <v>31461</v>
      </c>
      <c r="H291" s="1" t="s">
        <v>238</v>
      </c>
      <c r="I291" s="1">
        <v>0</v>
      </c>
      <c r="J291" s="1">
        <v>34.01</v>
      </c>
      <c r="K291" s="3">
        <v>-43604.67</v>
      </c>
    </row>
    <row r="292" spans="1:11" x14ac:dyDescent="0.25">
      <c r="A292" t="s">
        <v>225</v>
      </c>
      <c r="B292" s="1" t="s">
        <v>224</v>
      </c>
      <c r="C292" s="1" t="s">
        <v>2</v>
      </c>
      <c r="D292" s="2">
        <v>46079</v>
      </c>
      <c r="E292" s="1" t="s">
        <v>101</v>
      </c>
      <c r="F292" s="1">
        <v>256</v>
      </c>
      <c r="G292" s="1">
        <v>31462</v>
      </c>
      <c r="H292" s="1" t="s">
        <v>237</v>
      </c>
      <c r="I292" s="1">
        <v>0</v>
      </c>
      <c r="J292" s="1">
        <v>34.01</v>
      </c>
      <c r="K292" s="3">
        <v>-43638.68</v>
      </c>
    </row>
    <row r="293" spans="1:11" x14ac:dyDescent="0.25">
      <c r="A293" t="s">
        <v>225</v>
      </c>
      <c r="B293" s="1" t="s">
        <v>224</v>
      </c>
      <c r="C293" s="1" t="s">
        <v>2</v>
      </c>
      <c r="D293" s="2">
        <v>46079</v>
      </c>
      <c r="E293" s="1" t="s">
        <v>101</v>
      </c>
      <c r="F293" s="1">
        <v>257</v>
      </c>
      <c r="G293" s="1">
        <v>1523</v>
      </c>
      <c r="H293" s="1" t="s">
        <v>236</v>
      </c>
      <c r="I293" s="1">
        <v>0</v>
      </c>
      <c r="J293" s="1">
        <v>22.17</v>
      </c>
      <c r="K293" s="3">
        <v>-43660.85</v>
      </c>
    </row>
    <row r="294" spans="1:11" x14ac:dyDescent="0.25">
      <c r="A294" t="s">
        <v>225</v>
      </c>
      <c r="B294" s="1" t="s">
        <v>224</v>
      </c>
      <c r="C294" s="1" t="s">
        <v>2</v>
      </c>
      <c r="D294" s="2">
        <v>46080</v>
      </c>
      <c r="E294" s="1" t="s">
        <v>101</v>
      </c>
      <c r="F294" s="1">
        <v>260</v>
      </c>
      <c r="G294" s="1">
        <v>385</v>
      </c>
      <c r="H294" s="1" t="s">
        <v>235</v>
      </c>
      <c r="I294" s="1">
        <v>0</v>
      </c>
      <c r="J294" s="1">
        <v>23.85</v>
      </c>
      <c r="K294" s="3">
        <v>-43684.7</v>
      </c>
    </row>
    <row r="295" spans="1:11" x14ac:dyDescent="0.25">
      <c r="A295" t="s">
        <v>225</v>
      </c>
      <c r="B295" s="1" t="s">
        <v>224</v>
      </c>
      <c r="C295" s="1" t="s">
        <v>2</v>
      </c>
      <c r="D295" s="2">
        <v>46080</v>
      </c>
      <c r="E295" s="1" t="s">
        <v>101</v>
      </c>
      <c r="F295" s="1">
        <v>260</v>
      </c>
      <c r="G295" s="1">
        <v>1524</v>
      </c>
      <c r="H295" s="1" t="s">
        <v>234</v>
      </c>
      <c r="I295" s="1">
        <v>0</v>
      </c>
      <c r="J295" s="1">
        <v>31.1</v>
      </c>
      <c r="K295" s="3">
        <v>-43715.8</v>
      </c>
    </row>
    <row r="296" spans="1:11" x14ac:dyDescent="0.25">
      <c r="A296" t="s">
        <v>225</v>
      </c>
      <c r="B296" s="1" t="s">
        <v>224</v>
      </c>
      <c r="C296" s="1" t="s">
        <v>2</v>
      </c>
      <c r="D296" s="2">
        <v>46080</v>
      </c>
      <c r="E296" s="1" t="s">
        <v>101</v>
      </c>
      <c r="F296" s="1">
        <v>260</v>
      </c>
      <c r="G296" s="1">
        <v>1525</v>
      </c>
      <c r="H296" s="1" t="s">
        <v>233</v>
      </c>
      <c r="I296" s="1">
        <v>0</v>
      </c>
      <c r="J296" s="1">
        <v>22.17</v>
      </c>
      <c r="K296" s="3">
        <v>-43737.97</v>
      </c>
    </row>
    <row r="297" spans="1:11" x14ac:dyDescent="0.25">
      <c r="A297" t="s">
        <v>225</v>
      </c>
      <c r="B297" s="1" t="s">
        <v>224</v>
      </c>
      <c r="C297" s="1" t="s">
        <v>2</v>
      </c>
      <c r="D297" s="2">
        <v>46080</v>
      </c>
      <c r="E297" s="1" t="s">
        <v>101</v>
      </c>
      <c r="F297" s="1">
        <v>260</v>
      </c>
      <c r="G297" s="1">
        <v>1526</v>
      </c>
      <c r="H297" s="1" t="s">
        <v>232</v>
      </c>
      <c r="I297" s="1">
        <v>0</v>
      </c>
      <c r="J297" s="1">
        <v>22.17</v>
      </c>
      <c r="K297" s="3">
        <v>-43760.14</v>
      </c>
    </row>
    <row r="298" spans="1:11" x14ac:dyDescent="0.25">
      <c r="A298" t="s">
        <v>225</v>
      </c>
      <c r="B298" s="1" t="s">
        <v>224</v>
      </c>
      <c r="C298" s="1" t="s">
        <v>2</v>
      </c>
      <c r="D298" s="2">
        <v>46081</v>
      </c>
      <c r="E298" s="1" t="s">
        <v>101</v>
      </c>
      <c r="F298" s="1">
        <v>262</v>
      </c>
      <c r="G298" s="1">
        <v>31483</v>
      </c>
      <c r="H298" s="1" t="s">
        <v>231</v>
      </c>
      <c r="I298" s="1">
        <v>0</v>
      </c>
      <c r="J298" s="1">
        <v>34.01</v>
      </c>
      <c r="K298" s="3">
        <v>-43794.15</v>
      </c>
    </row>
    <row r="299" spans="1:11" x14ac:dyDescent="0.25">
      <c r="A299" t="s">
        <v>225</v>
      </c>
      <c r="B299" s="1" t="s">
        <v>224</v>
      </c>
      <c r="C299" s="1" t="s">
        <v>2</v>
      </c>
      <c r="D299" s="2">
        <v>46081</v>
      </c>
      <c r="E299" s="1" t="s">
        <v>101</v>
      </c>
      <c r="F299" s="1">
        <v>262</v>
      </c>
      <c r="G299" s="1">
        <v>31484</v>
      </c>
      <c r="H299" s="1" t="s">
        <v>230</v>
      </c>
      <c r="I299" s="1">
        <v>0</v>
      </c>
      <c r="J299" s="1">
        <v>32.99</v>
      </c>
      <c r="K299" s="3">
        <v>-43827.14</v>
      </c>
    </row>
    <row r="300" spans="1:11" x14ac:dyDescent="0.25">
      <c r="A300" t="s">
        <v>225</v>
      </c>
      <c r="B300" s="1" t="s">
        <v>224</v>
      </c>
      <c r="C300" s="1" t="s">
        <v>2</v>
      </c>
      <c r="D300" s="2">
        <v>46081</v>
      </c>
      <c r="E300" s="1" t="s">
        <v>101</v>
      </c>
      <c r="F300" s="1">
        <v>262</v>
      </c>
      <c r="G300" s="1">
        <v>31485</v>
      </c>
      <c r="H300" s="1" t="s">
        <v>229</v>
      </c>
      <c r="I300" s="1">
        <v>0</v>
      </c>
      <c r="J300" s="1">
        <v>35.72</v>
      </c>
      <c r="K300" s="3">
        <v>-43862.86</v>
      </c>
    </row>
    <row r="301" spans="1:11" x14ac:dyDescent="0.25">
      <c r="A301" t="s">
        <v>225</v>
      </c>
      <c r="B301" s="1" t="s">
        <v>224</v>
      </c>
      <c r="C301" s="1" t="s">
        <v>2</v>
      </c>
      <c r="D301" s="2">
        <v>46081</v>
      </c>
      <c r="E301" s="1" t="s">
        <v>101</v>
      </c>
      <c r="F301" s="1">
        <v>262</v>
      </c>
      <c r="G301" s="1">
        <v>31486</v>
      </c>
      <c r="H301" s="1" t="s">
        <v>228</v>
      </c>
      <c r="I301" s="1">
        <v>0</v>
      </c>
      <c r="J301" s="1">
        <v>34.01</v>
      </c>
      <c r="K301" s="3">
        <v>-43896.87</v>
      </c>
    </row>
    <row r="302" spans="1:11" x14ac:dyDescent="0.25">
      <c r="A302" t="s">
        <v>225</v>
      </c>
      <c r="B302" s="1" t="s">
        <v>224</v>
      </c>
      <c r="C302" s="1" t="s">
        <v>2</v>
      </c>
      <c r="D302" s="2">
        <v>46081</v>
      </c>
      <c r="E302" s="1" t="s">
        <v>101</v>
      </c>
      <c r="F302" s="1">
        <v>262</v>
      </c>
      <c r="G302" s="1">
        <v>31487</v>
      </c>
      <c r="H302" s="1" t="s">
        <v>227</v>
      </c>
      <c r="I302" s="1">
        <v>0</v>
      </c>
      <c r="J302" s="1">
        <v>32.99</v>
      </c>
      <c r="K302" s="3">
        <v>-43929.86</v>
      </c>
    </row>
    <row r="303" spans="1:11" x14ac:dyDescent="0.25">
      <c r="A303" t="s">
        <v>225</v>
      </c>
      <c r="B303" s="1" t="s">
        <v>224</v>
      </c>
      <c r="C303" s="1" t="s">
        <v>2</v>
      </c>
      <c r="D303" s="2">
        <v>46081</v>
      </c>
      <c r="E303" s="1" t="s">
        <v>101</v>
      </c>
      <c r="F303" s="1">
        <v>262</v>
      </c>
      <c r="G303" s="1">
        <v>31488</v>
      </c>
      <c r="H303" s="1" t="s">
        <v>226</v>
      </c>
      <c r="I303" s="1">
        <v>0</v>
      </c>
      <c r="J303" s="1">
        <v>39.89</v>
      </c>
      <c r="K303" s="3">
        <v>-43969.75</v>
      </c>
    </row>
    <row r="304" spans="1:11" x14ac:dyDescent="0.25">
      <c r="A304" t="s">
        <v>225</v>
      </c>
      <c r="B304" s="1" t="s">
        <v>224</v>
      </c>
      <c r="C304" s="1" t="s">
        <v>2</v>
      </c>
      <c r="D304" s="2">
        <v>46058</v>
      </c>
      <c r="E304" s="1" t="s">
        <v>101</v>
      </c>
      <c r="F304" s="1">
        <v>56</v>
      </c>
      <c r="G304" s="1">
        <v>1518</v>
      </c>
      <c r="H304" s="1" t="s">
        <v>223</v>
      </c>
      <c r="I304" s="1">
        <v>0</v>
      </c>
      <c r="J304" s="1">
        <v>6.52</v>
      </c>
      <c r="K304" s="3">
        <v>-43976.27</v>
      </c>
    </row>
    <row r="305" spans="1:11" x14ac:dyDescent="0.25">
      <c r="A305" t="s">
        <v>184</v>
      </c>
      <c r="B305" s="1" t="s">
        <v>183</v>
      </c>
      <c r="C305" s="1" t="s">
        <v>2</v>
      </c>
      <c r="D305" s="2">
        <v>46063</v>
      </c>
      <c r="E305" s="1" t="s">
        <v>1</v>
      </c>
      <c r="F305" s="1">
        <v>104</v>
      </c>
      <c r="G305" s="1">
        <v>50774</v>
      </c>
      <c r="H305" s="1" t="s">
        <v>222</v>
      </c>
      <c r="I305" s="1">
        <v>0</v>
      </c>
      <c r="J305" s="1">
        <v>6.05</v>
      </c>
      <c r="K305" s="1">
        <v>-6.05</v>
      </c>
    </row>
    <row r="306" spans="1:11" x14ac:dyDescent="0.25">
      <c r="A306" t="s">
        <v>184</v>
      </c>
      <c r="B306" s="1" t="s">
        <v>183</v>
      </c>
      <c r="C306" s="1" t="s">
        <v>2</v>
      </c>
      <c r="D306" s="2">
        <v>46063</v>
      </c>
      <c r="E306" s="1" t="s">
        <v>1</v>
      </c>
      <c r="F306" s="1">
        <v>104</v>
      </c>
      <c r="G306" s="1">
        <v>50792</v>
      </c>
      <c r="H306" s="1" t="s">
        <v>221</v>
      </c>
      <c r="I306" s="1">
        <v>0</v>
      </c>
      <c r="J306" s="1">
        <v>30.24</v>
      </c>
      <c r="K306" s="1">
        <v>-36.29</v>
      </c>
    </row>
    <row r="307" spans="1:11" x14ac:dyDescent="0.25">
      <c r="A307" t="s">
        <v>184</v>
      </c>
      <c r="B307" s="1" t="s">
        <v>183</v>
      </c>
      <c r="C307" s="1" t="s">
        <v>2</v>
      </c>
      <c r="D307" s="2">
        <v>46064</v>
      </c>
      <c r="E307" s="1" t="s">
        <v>1</v>
      </c>
      <c r="F307" s="1">
        <v>105</v>
      </c>
      <c r="G307" s="1">
        <v>226448</v>
      </c>
      <c r="H307" s="1" t="s">
        <v>220</v>
      </c>
      <c r="I307" s="1">
        <v>0</v>
      </c>
      <c r="J307" s="1">
        <v>11.4</v>
      </c>
      <c r="K307" s="1">
        <v>-47.69</v>
      </c>
    </row>
    <row r="308" spans="1:11" x14ac:dyDescent="0.25">
      <c r="A308" t="s">
        <v>184</v>
      </c>
      <c r="B308" s="1" t="s">
        <v>183</v>
      </c>
      <c r="C308" s="1" t="s">
        <v>2</v>
      </c>
      <c r="D308" s="2">
        <v>46064</v>
      </c>
      <c r="E308" s="1" t="s">
        <v>1</v>
      </c>
      <c r="F308" s="1">
        <v>105</v>
      </c>
      <c r="G308" s="1">
        <v>226449</v>
      </c>
      <c r="H308" s="1" t="s">
        <v>219</v>
      </c>
      <c r="I308" s="1">
        <v>0</v>
      </c>
      <c r="J308" s="1">
        <v>4.1900000000000004</v>
      </c>
      <c r="K308" s="1">
        <v>-51.88</v>
      </c>
    </row>
    <row r="309" spans="1:11" x14ac:dyDescent="0.25">
      <c r="A309" t="s">
        <v>184</v>
      </c>
      <c r="B309" s="1" t="s">
        <v>183</v>
      </c>
      <c r="C309" s="1" t="s">
        <v>2</v>
      </c>
      <c r="D309" s="2">
        <v>46065</v>
      </c>
      <c r="E309" s="1" t="s">
        <v>1</v>
      </c>
      <c r="F309" s="1">
        <v>121</v>
      </c>
      <c r="G309" s="1">
        <v>17835092</v>
      </c>
      <c r="H309" s="1" t="s">
        <v>218</v>
      </c>
      <c r="I309" s="1">
        <v>0</v>
      </c>
      <c r="J309" s="1">
        <v>49.33</v>
      </c>
      <c r="K309" s="1">
        <v>-101.21</v>
      </c>
    </row>
    <row r="310" spans="1:11" x14ac:dyDescent="0.25">
      <c r="A310" t="s">
        <v>184</v>
      </c>
      <c r="B310" s="1" t="s">
        <v>183</v>
      </c>
      <c r="C310" s="1" t="s">
        <v>2</v>
      </c>
      <c r="D310" s="2">
        <v>46065</v>
      </c>
      <c r="E310" s="1" t="s">
        <v>1</v>
      </c>
      <c r="F310" s="1">
        <v>121</v>
      </c>
      <c r="G310" s="1" t="s">
        <v>217</v>
      </c>
      <c r="H310" s="1" t="s">
        <v>216</v>
      </c>
      <c r="I310" s="1">
        <v>0</v>
      </c>
      <c r="J310" s="1">
        <v>49.33</v>
      </c>
      <c r="K310" s="1">
        <v>-150.54</v>
      </c>
    </row>
    <row r="311" spans="1:11" x14ac:dyDescent="0.25">
      <c r="A311" t="s">
        <v>184</v>
      </c>
      <c r="B311" s="1" t="s">
        <v>183</v>
      </c>
      <c r="C311" s="1" t="s">
        <v>2</v>
      </c>
      <c r="D311" s="2">
        <v>46071</v>
      </c>
      <c r="E311" s="1" t="s">
        <v>1</v>
      </c>
      <c r="F311" s="1">
        <v>160</v>
      </c>
      <c r="G311" s="1">
        <v>29230</v>
      </c>
      <c r="H311" s="1" t="s">
        <v>215</v>
      </c>
      <c r="I311" s="1">
        <v>0</v>
      </c>
      <c r="J311" s="1">
        <v>23.53</v>
      </c>
      <c r="K311" s="1">
        <v>-174.07</v>
      </c>
    </row>
    <row r="312" spans="1:11" x14ac:dyDescent="0.25">
      <c r="A312" t="s">
        <v>184</v>
      </c>
      <c r="B312" s="1" t="s">
        <v>183</v>
      </c>
      <c r="C312" s="1" t="s">
        <v>2</v>
      </c>
      <c r="D312" s="2">
        <v>46075</v>
      </c>
      <c r="E312" s="1" t="s">
        <v>1</v>
      </c>
      <c r="F312" s="1">
        <v>202</v>
      </c>
      <c r="G312" s="1">
        <v>131697</v>
      </c>
      <c r="H312" s="1" t="s">
        <v>214</v>
      </c>
      <c r="I312" s="1">
        <v>0</v>
      </c>
      <c r="J312" s="1">
        <v>7.39</v>
      </c>
      <c r="K312" s="1">
        <v>-181.46</v>
      </c>
    </row>
    <row r="313" spans="1:11" x14ac:dyDescent="0.25">
      <c r="A313" t="s">
        <v>184</v>
      </c>
      <c r="B313" s="1" t="s">
        <v>183</v>
      </c>
      <c r="C313" s="1" t="s">
        <v>2</v>
      </c>
      <c r="D313" s="2">
        <v>46075</v>
      </c>
      <c r="E313" s="1" t="s">
        <v>1</v>
      </c>
      <c r="F313" s="1">
        <v>202</v>
      </c>
      <c r="G313" s="1">
        <v>17835055</v>
      </c>
      <c r="H313" s="1" t="s">
        <v>213</v>
      </c>
      <c r="I313" s="1">
        <v>49.33</v>
      </c>
      <c r="J313" s="1">
        <v>0</v>
      </c>
      <c r="K313" s="1">
        <v>-132.13</v>
      </c>
    </row>
    <row r="314" spans="1:11" x14ac:dyDescent="0.25">
      <c r="A314" t="s">
        <v>184</v>
      </c>
      <c r="B314" s="1" t="s">
        <v>183</v>
      </c>
      <c r="C314" s="1" t="s">
        <v>2</v>
      </c>
      <c r="D314" s="2">
        <v>46076</v>
      </c>
      <c r="E314" s="1" t="s">
        <v>1</v>
      </c>
      <c r="F314" s="1">
        <v>205</v>
      </c>
      <c r="G314" s="1">
        <v>227570</v>
      </c>
      <c r="H314" s="1" t="s">
        <v>212</v>
      </c>
      <c r="I314" s="1">
        <v>0</v>
      </c>
      <c r="J314" s="1">
        <v>4.2</v>
      </c>
      <c r="K314" s="1">
        <v>-136.33000000000001</v>
      </c>
    </row>
    <row r="315" spans="1:11" x14ac:dyDescent="0.25">
      <c r="A315" t="s">
        <v>184</v>
      </c>
      <c r="B315" s="1" t="s">
        <v>183</v>
      </c>
      <c r="C315" s="1" t="s">
        <v>2</v>
      </c>
      <c r="D315" s="2">
        <v>46076</v>
      </c>
      <c r="E315" s="1" t="s">
        <v>1</v>
      </c>
      <c r="F315" s="1">
        <v>205</v>
      </c>
      <c r="G315" s="1">
        <v>227571</v>
      </c>
      <c r="H315" s="1" t="s">
        <v>211</v>
      </c>
      <c r="I315" s="1">
        <v>0</v>
      </c>
      <c r="J315" s="1">
        <v>4.1900000000000004</v>
      </c>
      <c r="K315" s="1">
        <v>-140.52000000000001</v>
      </c>
    </row>
    <row r="316" spans="1:11" x14ac:dyDescent="0.25">
      <c r="A316" t="s">
        <v>184</v>
      </c>
      <c r="B316" s="1" t="s">
        <v>183</v>
      </c>
      <c r="C316" s="1" t="s">
        <v>2</v>
      </c>
      <c r="D316" s="2">
        <v>46079</v>
      </c>
      <c r="E316" s="1" t="s">
        <v>1</v>
      </c>
      <c r="F316" s="1">
        <v>258</v>
      </c>
      <c r="G316" s="1">
        <v>101391</v>
      </c>
      <c r="H316" s="1" t="s">
        <v>210</v>
      </c>
      <c r="I316" s="1">
        <v>0</v>
      </c>
      <c r="J316" s="1">
        <v>3.26</v>
      </c>
      <c r="K316" s="1">
        <v>-143.78</v>
      </c>
    </row>
    <row r="317" spans="1:11" x14ac:dyDescent="0.25">
      <c r="A317" t="s">
        <v>184</v>
      </c>
      <c r="B317" s="1" t="s">
        <v>183</v>
      </c>
      <c r="C317" s="1" t="s">
        <v>2</v>
      </c>
      <c r="D317" s="2">
        <v>46079</v>
      </c>
      <c r="E317" s="1" t="s">
        <v>1</v>
      </c>
      <c r="F317" s="1">
        <v>258</v>
      </c>
      <c r="G317" s="1">
        <v>101400</v>
      </c>
      <c r="H317" s="1" t="s">
        <v>209</v>
      </c>
      <c r="I317" s="1">
        <v>0</v>
      </c>
      <c r="J317" s="1">
        <v>3.26</v>
      </c>
      <c r="K317" s="1">
        <v>-147.04</v>
      </c>
    </row>
    <row r="318" spans="1:11" x14ac:dyDescent="0.25">
      <c r="A318" t="s">
        <v>184</v>
      </c>
      <c r="B318" s="1" t="s">
        <v>183</v>
      </c>
      <c r="C318" s="1" t="s">
        <v>2</v>
      </c>
      <c r="D318" s="2">
        <v>46055</v>
      </c>
      <c r="E318" s="1" t="s">
        <v>1</v>
      </c>
      <c r="F318" s="1">
        <v>29</v>
      </c>
      <c r="G318" s="1">
        <v>423457</v>
      </c>
      <c r="H318" s="1" t="s">
        <v>208</v>
      </c>
      <c r="I318" s="1">
        <v>0</v>
      </c>
      <c r="J318" s="1">
        <v>11.16</v>
      </c>
      <c r="K318" s="1">
        <v>-158.19999999999999</v>
      </c>
    </row>
    <row r="319" spans="1:11" x14ac:dyDescent="0.25">
      <c r="A319" t="s">
        <v>184</v>
      </c>
      <c r="B319" s="1" t="s">
        <v>183</v>
      </c>
      <c r="C319" s="1" t="s">
        <v>2</v>
      </c>
      <c r="D319" s="2">
        <v>46081</v>
      </c>
      <c r="E319" s="1" t="s">
        <v>1</v>
      </c>
      <c r="F319" s="1">
        <v>311</v>
      </c>
      <c r="G319" s="1">
        <v>101379</v>
      </c>
      <c r="H319" s="1" t="s">
        <v>207</v>
      </c>
      <c r="I319" s="1">
        <v>0</v>
      </c>
      <c r="J319" s="1">
        <v>3.26</v>
      </c>
      <c r="K319" s="1">
        <v>-161.46</v>
      </c>
    </row>
    <row r="320" spans="1:11" x14ac:dyDescent="0.25">
      <c r="A320" t="s">
        <v>184</v>
      </c>
      <c r="B320" s="1" t="s">
        <v>183</v>
      </c>
      <c r="C320" s="1" t="s">
        <v>2</v>
      </c>
      <c r="D320" s="2">
        <v>46081</v>
      </c>
      <c r="E320" s="1" t="s">
        <v>1</v>
      </c>
      <c r="F320" s="1">
        <v>311</v>
      </c>
      <c r="G320" s="1">
        <v>101381</v>
      </c>
      <c r="H320" s="1" t="s">
        <v>206</v>
      </c>
      <c r="I320" s="1">
        <v>0</v>
      </c>
      <c r="J320" s="1">
        <v>3.26</v>
      </c>
      <c r="K320" s="1">
        <v>-164.72</v>
      </c>
    </row>
    <row r="321" spans="1:11" x14ac:dyDescent="0.25">
      <c r="A321" t="s">
        <v>184</v>
      </c>
      <c r="B321" s="1" t="s">
        <v>183</v>
      </c>
      <c r="C321" s="1" t="s">
        <v>2</v>
      </c>
      <c r="D321" s="2">
        <v>46081</v>
      </c>
      <c r="E321" s="1" t="s">
        <v>1</v>
      </c>
      <c r="F321" s="1">
        <v>311</v>
      </c>
      <c r="G321" s="1">
        <v>101383</v>
      </c>
      <c r="H321" s="1" t="s">
        <v>205</v>
      </c>
      <c r="I321" s="1">
        <v>0</v>
      </c>
      <c r="J321" s="1">
        <v>3.26</v>
      </c>
      <c r="K321" s="1">
        <v>-167.98</v>
      </c>
    </row>
    <row r="322" spans="1:11" x14ac:dyDescent="0.25">
      <c r="A322" t="s">
        <v>184</v>
      </c>
      <c r="B322" s="1" t="s">
        <v>183</v>
      </c>
      <c r="C322" s="1" t="s">
        <v>2</v>
      </c>
      <c r="D322" s="2">
        <v>46081</v>
      </c>
      <c r="E322" s="1" t="s">
        <v>1</v>
      </c>
      <c r="F322" s="1">
        <v>311</v>
      </c>
      <c r="G322" s="1">
        <v>101385</v>
      </c>
      <c r="H322" s="1" t="s">
        <v>204</v>
      </c>
      <c r="I322" s="1">
        <v>0</v>
      </c>
      <c r="J322" s="1">
        <v>3.26</v>
      </c>
      <c r="K322" s="1">
        <v>-171.24</v>
      </c>
    </row>
    <row r="323" spans="1:11" x14ac:dyDescent="0.25">
      <c r="A323" t="s">
        <v>184</v>
      </c>
      <c r="B323" s="1" t="s">
        <v>183</v>
      </c>
      <c r="C323" s="1" t="s">
        <v>2</v>
      </c>
      <c r="D323" s="2">
        <v>46081</v>
      </c>
      <c r="E323" s="1" t="s">
        <v>1</v>
      </c>
      <c r="F323" s="1">
        <v>311</v>
      </c>
      <c r="G323" s="1">
        <v>101387</v>
      </c>
      <c r="H323" s="1" t="s">
        <v>203</v>
      </c>
      <c r="I323" s="1">
        <v>0</v>
      </c>
      <c r="J323" s="1">
        <v>3.26</v>
      </c>
      <c r="K323" s="1">
        <v>-174.5</v>
      </c>
    </row>
    <row r="324" spans="1:11" x14ac:dyDescent="0.25">
      <c r="A324" t="s">
        <v>184</v>
      </c>
      <c r="B324" s="1" t="s">
        <v>183</v>
      </c>
      <c r="C324" s="1" t="s">
        <v>2</v>
      </c>
      <c r="D324" s="2">
        <v>46081</v>
      </c>
      <c r="E324" s="1" t="s">
        <v>1</v>
      </c>
      <c r="F324" s="1">
        <v>311</v>
      </c>
      <c r="G324" s="1">
        <v>101389</v>
      </c>
      <c r="H324" s="1" t="s">
        <v>202</v>
      </c>
      <c r="I324" s="1">
        <v>0</v>
      </c>
      <c r="J324" s="1">
        <v>3.26</v>
      </c>
      <c r="K324" s="1">
        <v>-177.76</v>
      </c>
    </row>
    <row r="325" spans="1:11" x14ac:dyDescent="0.25">
      <c r="A325" t="s">
        <v>184</v>
      </c>
      <c r="B325" s="1" t="s">
        <v>183</v>
      </c>
      <c r="C325" s="1" t="s">
        <v>2</v>
      </c>
      <c r="D325" s="2">
        <v>46081</v>
      </c>
      <c r="E325" s="1" t="s">
        <v>1</v>
      </c>
      <c r="F325" s="1">
        <v>311</v>
      </c>
      <c r="G325" s="1">
        <v>101393</v>
      </c>
      <c r="H325" s="1" t="s">
        <v>201</v>
      </c>
      <c r="I325" s="1">
        <v>0</v>
      </c>
      <c r="J325" s="1">
        <v>3.26</v>
      </c>
      <c r="K325" s="1">
        <v>-181.02</v>
      </c>
    </row>
    <row r="326" spans="1:11" x14ac:dyDescent="0.25">
      <c r="A326" t="s">
        <v>184</v>
      </c>
      <c r="B326" s="1" t="s">
        <v>183</v>
      </c>
      <c r="C326" s="1" t="s">
        <v>2</v>
      </c>
      <c r="D326" s="2">
        <v>46081</v>
      </c>
      <c r="E326" s="1" t="s">
        <v>1</v>
      </c>
      <c r="F326" s="1">
        <v>311</v>
      </c>
      <c r="G326" s="1">
        <v>101395</v>
      </c>
      <c r="H326" s="1" t="s">
        <v>200</v>
      </c>
      <c r="I326" s="1">
        <v>0</v>
      </c>
      <c r="J326" s="1">
        <v>3.26</v>
      </c>
      <c r="K326" s="1">
        <v>-184.28</v>
      </c>
    </row>
    <row r="327" spans="1:11" x14ac:dyDescent="0.25">
      <c r="A327" t="s">
        <v>184</v>
      </c>
      <c r="B327" s="1" t="s">
        <v>183</v>
      </c>
      <c r="C327" s="1" t="s">
        <v>2</v>
      </c>
      <c r="D327" s="2">
        <v>46081</v>
      </c>
      <c r="E327" s="1" t="s">
        <v>1</v>
      </c>
      <c r="F327" s="1">
        <v>311</v>
      </c>
      <c r="G327" s="1">
        <v>101402</v>
      </c>
      <c r="H327" s="1" t="s">
        <v>199</v>
      </c>
      <c r="I327" s="1">
        <v>0</v>
      </c>
      <c r="J327" s="1">
        <v>3.26</v>
      </c>
      <c r="K327" s="1">
        <v>-187.54</v>
      </c>
    </row>
    <row r="328" spans="1:11" x14ac:dyDescent="0.25">
      <c r="A328" t="s">
        <v>184</v>
      </c>
      <c r="B328" s="1" t="s">
        <v>183</v>
      </c>
      <c r="C328" s="1" t="s">
        <v>2</v>
      </c>
      <c r="D328" s="2">
        <v>46081</v>
      </c>
      <c r="E328" s="1" t="s">
        <v>1</v>
      </c>
      <c r="F328" s="1">
        <v>311</v>
      </c>
      <c r="G328" s="1">
        <v>101404</v>
      </c>
      <c r="H328" s="1" t="s">
        <v>198</v>
      </c>
      <c r="I328" s="1">
        <v>0</v>
      </c>
      <c r="J328" s="1">
        <v>3.26</v>
      </c>
      <c r="K328" s="1">
        <v>-190.8</v>
      </c>
    </row>
    <row r="329" spans="1:11" x14ac:dyDescent="0.25">
      <c r="A329" t="s">
        <v>184</v>
      </c>
      <c r="B329" s="1" t="s">
        <v>183</v>
      </c>
      <c r="C329" s="1" t="s">
        <v>2</v>
      </c>
      <c r="D329" s="2">
        <v>46081</v>
      </c>
      <c r="E329" s="1" t="s">
        <v>1</v>
      </c>
      <c r="F329" s="1">
        <v>311</v>
      </c>
      <c r="G329" s="1">
        <v>101406</v>
      </c>
      <c r="H329" s="1" t="s">
        <v>197</v>
      </c>
      <c r="I329" s="1">
        <v>0</v>
      </c>
      <c r="J329" s="1">
        <v>3.26</v>
      </c>
      <c r="K329" s="1">
        <v>-194.06</v>
      </c>
    </row>
    <row r="330" spans="1:11" x14ac:dyDescent="0.25">
      <c r="A330" t="s">
        <v>184</v>
      </c>
      <c r="B330" s="1" t="s">
        <v>183</v>
      </c>
      <c r="C330" s="1" t="s">
        <v>2</v>
      </c>
      <c r="D330" s="2">
        <v>46081</v>
      </c>
      <c r="E330" s="1" t="s">
        <v>1</v>
      </c>
      <c r="F330" s="1">
        <v>311</v>
      </c>
      <c r="G330" s="1">
        <v>101408</v>
      </c>
      <c r="H330" s="1" t="s">
        <v>196</v>
      </c>
      <c r="I330" s="1">
        <v>0</v>
      </c>
      <c r="J330" s="1">
        <v>3.26</v>
      </c>
      <c r="K330" s="1">
        <v>-197.32</v>
      </c>
    </row>
    <row r="331" spans="1:11" x14ac:dyDescent="0.25">
      <c r="A331" t="s">
        <v>184</v>
      </c>
      <c r="B331" s="1" t="s">
        <v>183</v>
      </c>
      <c r="C331" s="1" t="s">
        <v>2</v>
      </c>
      <c r="D331" s="2">
        <v>46081</v>
      </c>
      <c r="E331" s="1" t="s">
        <v>1</v>
      </c>
      <c r="F331" s="1">
        <v>311</v>
      </c>
      <c r="G331" s="1">
        <v>101411</v>
      </c>
      <c r="H331" s="1" t="s">
        <v>195</v>
      </c>
      <c r="I331" s="1">
        <v>0</v>
      </c>
      <c r="J331" s="1">
        <v>3.26</v>
      </c>
      <c r="K331" s="1">
        <v>-200.58</v>
      </c>
    </row>
    <row r="332" spans="1:11" x14ac:dyDescent="0.25">
      <c r="A332" t="s">
        <v>184</v>
      </c>
      <c r="B332" s="1" t="s">
        <v>183</v>
      </c>
      <c r="C332" s="1" t="s">
        <v>2</v>
      </c>
      <c r="D332" s="2">
        <v>46081</v>
      </c>
      <c r="E332" s="1" t="s">
        <v>1</v>
      </c>
      <c r="F332" s="1">
        <v>311</v>
      </c>
      <c r="G332" s="1">
        <v>101413</v>
      </c>
      <c r="H332" s="1" t="s">
        <v>194</v>
      </c>
      <c r="I332" s="1">
        <v>0</v>
      </c>
      <c r="J332" s="1">
        <v>3.26</v>
      </c>
      <c r="K332" s="1">
        <v>-203.84</v>
      </c>
    </row>
    <row r="333" spans="1:11" x14ac:dyDescent="0.25">
      <c r="A333" t="s">
        <v>184</v>
      </c>
      <c r="B333" s="1" t="s">
        <v>183</v>
      </c>
      <c r="C333" s="1" t="s">
        <v>2</v>
      </c>
      <c r="D333" s="2">
        <v>46081</v>
      </c>
      <c r="E333" s="1" t="s">
        <v>1</v>
      </c>
      <c r="F333" s="1">
        <v>311</v>
      </c>
      <c r="G333" s="1">
        <v>101415</v>
      </c>
      <c r="H333" s="1" t="s">
        <v>193</v>
      </c>
      <c r="I333" s="1">
        <v>0</v>
      </c>
      <c r="J333" s="1">
        <v>3.26</v>
      </c>
      <c r="K333" s="1">
        <v>-207.1</v>
      </c>
    </row>
    <row r="334" spans="1:11" x14ac:dyDescent="0.25">
      <c r="A334" t="s">
        <v>184</v>
      </c>
      <c r="B334" s="1" t="s">
        <v>183</v>
      </c>
      <c r="C334" s="1" t="s">
        <v>2</v>
      </c>
      <c r="D334" s="2">
        <v>46081</v>
      </c>
      <c r="E334" s="1" t="s">
        <v>1</v>
      </c>
      <c r="F334" s="1">
        <v>311</v>
      </c>
      <c r="G334" s="1">
        <v>101417</v>
      </c>
      <c r="H334" s="1" t="s">
        <v>192</v>
      </c>
      <c r="I334" s="1">
        <v>0</v>
      </c>
      <c r="J334" s="1">
        <v>3.26</v>
      </c>
      <c r="K334" s="1">
        <v>-210.36</v>
      </c>
    </row>
    <row r="335" spans="1:11" x14ac:dyDescent="0.25">
      <c r="A335" t="s">
        <v>184</v>
      </c>
      <c r="B335" s="1" t="s">
        <v>183</v>
      </c>
      <c r="C335" s="1" t="s">
        <v>2</v>
      </c>
      <c r="D335" s="2">
        <v>46081</v>
      </c>
      <c r="E335" s="1" t="s">
        <v>1</v>
      </c>
      <c r="F335" s="1">
        <v>311</v>
      </c>
      <c r="G335" s="1">
        <v>101419</v>
      </c>
      <c r="H335" s="1" t="s">
        <v>191</v>
      </c>
      <c r="I335" s="1">
        <v>0</v>
      </c>
      <c r="J335" s="1">
        <v>3.26</v>
      </c>
      <c r="K335" s="1">
        <v>-213.62</v>
      </c>
    </row>
    <row r="336" spans="1:11" x14ac:dyDescent="0.25">
      <c r="A336" t="s">
        <v>184</v>
      </c>
      <c r="B336" s="1" t="s">
        <v>183</v>
      </c>
      <c r="C336" s="1" t="s">
        <v>2</v>
      </c>
      <c r="D336" s="2">
        <v>46081</v>
      </c>
      <c r="E336" s="1" t="s">
        <v>1</v>
      </c>
      <c r="F336" s="1">
        <v>311</v>
      </c>
      <c r="G336" s="1">
        <v>101421</v>
      </c>
      <c r="H336" s="1" t="s">
        <v>190</v>
      </c>
      <c r="I336" s="1">
        <v>0</v>
      </c>
      <c r="J336" s="1">
        <v>3.26</v>
      </c>
      <c r="K336" s="1">
        <v>-216.88</v>
      </c>
    </row>
    <row r="337" spans="1:11" x14ac:dyDescent="0.25">
      <c r="A337" t="s">
        <v>184</v>
      </c>
      <c r="B337" s="1" t="s">
        <v>183</v>
      </c>
      <c r="C337" s="1" t="s">
        <v>2</v>
      </c>
      <c r="D337" s="2">
        <v>46081</v>
      </c>
      <c r="E337" s="1" t="s">
        <v>1</v>
      </c>
      <c r="F337" s="1">
        <v>311</v>
      </c>
      <c r="G337" s="1">
        <v>101423</v>
      </c>
      <c r="H337" s="1" t="s">
        <v>189</v>
      </c>
      <c r="I337" s="1">
        <v>0</v>
      </c>
      <c r="J337" s="1">
        <v>3.26</v>
      </c>
      <c r="K337" s="1">
        <v>-220.14</v>
      </c>
    </row>
    <row r="338" spans="1:11" x14ac:dyDescent="0.25">
      <c r="A338" t="s">
        <v>184</v>
      </c>
      <c r="B338" s="1" t="s">
        <v>183</v>
      </c>
      <c r="C338" s="1" t="s">
        <v>2</v>
      </c>
      <c r="D338" s="2">
        <v>46081</v>
      </c>
      <c r="E338" s="1" t="s">
        <v>1</v>
      </c>
      <c r="F338" s="1">
        <v>311</v>
      </c>
      <c r="G338" s="1">
        <v>101425</v>
      </c>
      <c r="H338" s="1" t="s">
        <v>188</v>
      </c>
      <c r="I338" s="1">
        <v>0</v>
      </c>
      <c r="J338" s="1">
        <v>3.26</v>
      </c>
      <c r="K338" s="1">
        <v>-223.4</v>
      </c>
    </row>
    <row r="339" spans="1:11" x14ac:dyDescent="0.25">
      <c r="A339" t="s">
        <v>184</v>
      </c>
      <c r="B339" s="1" t="s">
        <v>183</v>
      </c>
      <c r="C339" s="1" t="s">
        <v>2</v>
      </c>
      <c r="D339" s="2">
        <v>46058</v>
      </c>
      <c r="E339" s="1" t="s">
        <v>1</v>
      </c>
      <c r="F339" s="1">
        <v>57</v>
      </c>
      <c r="G339" s="1">
        <v>50763</v>
      </c>
      <c r="H339" s="1" t="s">
        <v>187</v>
      </c>
      <c r="I339" s="1">
        <v>0</v>
      </c>
      <c r="J339" s="1">
        <v>14.56</v>
      </c>
      <c r="K339" s="1">
        <v>-237.96</v>
      </c>
    </row>
    <row r="340" spans="1:11" x14ac:dyDescent="0.25">
      <c r="A340" t="s">
        <v>184</v>
      </c>
      <c r="B340" s="1" t="s">
        <v>183</v>
      </c>
      <c r="C340" s="1" t="s">
        <v>2</v>
      </c>
      <c r="D340" s="2">
        <v>46058</v>
      </c>
      <c r="E340" s="1" t="s">
        <v>1</v>
      </c>
      <c r="F340" s="1">
        <v>57</v>
      </c>
      <c r="G340" s="1">
        <v>123259</v>
      </c>
      <c r="H340" s="1" t="s">
        <v>186</v>
      </c>
      <c r="I340" s="1">
        <v>0</v>
      </c>
      <c r="J340" s="1">
        <v>1.02</v>
      </c>
      <c r="K340" s="1">
        <v>-238.98</v>
      </c>
    </row>
    <row r="341" spans="1:11" x14ac:dyDescent="0.25">
      <c r="A341" t="s">
        <v>184</v>
      </c>
      <c r="B341" s="1" t="s">
        <v>183</v>
      </c>
      <c r="C341" s="1" t="s">
        <v>2</v>
      </c>
      <c r="D341" s="2">
        <v>46058</v>
      </c>
      <c r="E341" s="1" t="s">
        <v>1</v>
      </c>
      <c r="F341" s="1">
        <v>57</v>
      </c>
      <c r="G341" s="1">
        <v>123260</v>
      </c>
      <c r="H341" s="1" t="s">
        <v>185</v>
      </c>
      <c r="I341" s="1">
        <v>0</v>
      </c>
      <c r="J341" s="1">
        <v>2.0699999999999998</v>
      </c>
      <c r="K341" s="1">
        <v>-241.05</v>
      </c>
    </row>
    <row r="342" spans="1:11" x14ac:dyDescent="0.25">
      <c r="A342" t="s">
        <v>184</v>
      </c>
      <c r="B342" s="1" t="s">
        <v>183</v>
      </c>
      <c r="C342" s="1" t="s">
        <v>2</v>
      </c>
      <c r="D342" s="2">
        <v>46062</v>
      </c>
      <c r="E342" s="1" t="s">
        <v>1</v>
      </c>
      <c r="F342" s="1">
        <v>84</v>
      </c>
      <c r="G342" s="1">
        <v>932</v>
      </c>
      <c r="H342" s="1" t="s">
        <v>182</v>
      </c>
      <c r="I342" s="1">
        <v>0</v>
      </c>
      <c r="J342" s="1">
        <v>48.13</v>
      </c>
      <c r="K342" s="1">
        <v>-289.18</v>
      </c>
    </row>
    <row r="343" spans="1:11" x14ac:dyDescent="0.25">
      <c r="A343" t="s">
        <v>103</v>
      </c>
      <c r="B343" s="1" t="s">
        <v>102</v>
      </c>
      <c r="C343" s="1" t="s">
        <v>2</v>
      </c>
      <c r="D343" s="2">
        <v>46063</v>
      </c>
      <c r="E343" s="1" t="s">
        <v>1</v>
      </c>
      <c r="F343" s="1">
        <v>104</v>
      </c>
      <c r="G343" s="1">
        <v>413</v>
      </c>
      <c r="H343" s="1" t="s">
        <v>181</v>
      </c>
      <c r="I343" s="1">
        <v>0</v>
      </c>
      <c r="J343" s="1">
        <v>55.41</v>
      </c>
      <c r="K343" s="1">
        <v>-55.41</v>
      </c>
    </row>
    <row r="344" spans="1:11" x14ac:dyDescent="0.25">
      <c r="A344" t="s">
        <v>103</v>
      </c>
      <c r="B344" s="1" t="s">
        <v>102</v>
      </c>
      <c r="C344" s="1" t="s">
        <v>2</v>
      </c>
      <c r="D344" s="2">
        <v>46063</v>
      </c>
      <c r="E344" s="1" t="s">
        <v>1</v>
      </c>
      <c r="F344" s="1">
        <v>104</v>
      </c>
      <c r="G344" s="1">
        <v>14882</v>
      </c>
      <c r="H344" s="1" t="s">
        <v>180</v>
      </c>
      <c r="I344" s="1">
        <v>0</v>
      </c>
      <c r="J344" s="1">
        <v>5.85</v>
      </c>
      <c r="K344" s="1">
        <v>-61.26</v>
      </c>
    </row>
    <row r="345" spans="1:11" x14ac:dyDescent="0.25">
      <c r="A345" t="s">
        <v>103</v>
      </c>
      <c r="B345" s="1" t="s">
        <v>102</v>
      </c>
      <c r="C345" s="1" t="s">
        <v>2</v>
      </c>
      <c r="D345" s="2">
        <v>46065</v>
      </c>
      <c r="E345" s="1" t="s">
        <v>1</v>
      </c>
      <c r="F345" s="1">
        <v>121</v>
      </c>
      <c r="G345" s="1">
        <v>6871</v>
      </c>
      <c r="H345" s="1" t="s">
        <v>179</v>
      </c>
      <c r="I345" s="1">
        <v>0</v>
      </c>
      <c r="J345" s="1">
        <v>5.69</v>
      </c>
      <c r="K345" s="1">
        <v>-66.95</v>
      </c>
    </row>
    <row r="346" spans="1:11" x14ac:dyDescent="0.25">
      <c r="A346" t="s">
        <v>103</v>
      </c>
      <c r="B346" s="1" t="s">
        <v>102</v>
      </c>
      <c r="C346" s="1" t="s">
        <v>2</v>
      </c>
      <c r="D346" s="2">
        <v>46065</v>
      </c>
      <c r="E346" s="1" t="s">
        <v>1</v>
      </c>
      <c r="F346" s="1">
        <v>121</v>
      </c>
      <c r="G346" s="1">
        <v>651</v>
      </c>
      <c r="H346" s="1" t="s">
        <v>178</v>
      </c>
      <c r="I346" s="1">
        <v>0</v>
      </c>
      <c r="J346" s="1">
        <v>629.14</v>
      </c>
      <c r="K346" s="1">
        <v>-696.09</v>
      </c>
    </row>
    <row r="347" spans="1:11" x14ac:dyDescent="0.25">
      <c r="A347" t="s">
        <v>103</v>
      </c>
      <c r="B347" s="1" t="s">
        <v>102</v>
      </c>
      <c r="C347" s="1" t="s">
        <v>2</v>
      </c>
      <c r="D347" s="2">
        <v>46067</v>
      </c>
      <c r="E347" s="1" t="s">
        <v>1</v>
      </c>
      <c r="F347" s="1">
        <v>123</v>
      </c>
      <c r="G347" s="1">
        <v>659</v>
      </c>
      <c r="H347" s="1" t="s">
        <v>177</v>
      </c>
      <c r="I347" s="1">
        <v>0</v>
      </c>
      <c r="J347" s="1">
        <v>615.85</v>
      </c>
      <c r="K347" s="3">
        <v>-1311.94</v>
      </c>
    </row>
    <row r="348" spans="1:11" x14ac:dyDescent="0.25">
      <c r="A348" t="s">
        <v>103</v>
      </c>
      <c r="B348" s="1" t="s">
        <v>102</v>
      </c>
      <c r="C348" s="1" t="s">
        <v>2</v>
      </c>
      <c r="D348" s="2">
        <v>46067</v>
      </c>
      <c r="E348" s="1" t="s">
        <v>1</v>
      </c>
      <c r="F348" s="1">
        <v>123</v>
      </c>
      <c r="G348" s="1">
        <v>660</v>
      </c>
      <c r="H348" s="1" t="s">
        <v>176</v>
      </c>
      <c r="I348" s="1">
        <v>0</v>
      </c>
      <c r="J348" s="1">
        <v>615.85</v>
      </c>
      <c r="K348" s="3">
        <v>-1927.79</v>
      </c>
    </row>
    <row r="349" spans="1:11" x14ac:dyDescent="0.25">
      <c r="A349" t="s">
        <v>103</v>
      </c>
      <c r="B349" s="1" t="s">
        <v>102</v>
      </c>
      <c r="C349" s="1" t="s">
        <v>2</v>
      </c>
      <c r="D349" s="2">
        <v>46067</v>
      </c>
      <c r="E349" s="1" t="s">
        <v>1</v>
      </c>
      <c r="F349" s="1">
        <v>123</v>
      </c>
      <c r="G349" s="1">
        <v>661</v>
      </c>
      <c r="H349" s="1" t="s">
        <v>175</v>
      </c>
      <c r="I349" s="1">
        <v>0</v>
      </c>
      <c r="J349" s="1">
        <v>615.85</v>
      </c>
      <c r="K349" s="3">
        <v>-2543.64</v>
      </c>
    </row>
    <row r="350" spans="1:11" x14ac:dyDescent="0.25">
      <c r="A350" t="s">
        <v>103</v>
      </c>
      <c r="B350" s="1" t="s">
        <v>102</v>
      </c>
      <c r="C350" s="1" t="s">
        <v>2</v>
      </c>
      <c r="D350" s="2">
        <v>46067</v>
      </c>
      <c r="E350" s="1" t="s">
        <v>1</v>
      </c>
      <c r="F350" s="1">
        <v>123</v>
      </c>
      <c r="G350" s="1">
        <v>662</v>
      </c>
      <c r="H350" s="1" t="s">
        <v>174</v>
      </c>
      <c r="I350" s="1">
        <v>0</v>
      </c>
      <c r="J350" s="1">
        <v>615.85</v>
      </c>
      <c r="K350" s="3">
        <v>-3159.49</v>
      </c>
    </row>
    <row r="351" spans="1:11" x14ac:dyDescent="0.25">
      <c r="A351" t="s">
        <v>103</v>
      </c>
      <c r="B351" s="1" t="s">
        <v>102</v>
      </c>
      <c r="C351" s="1" t="s">
        <v>2</v>
      </c>
      <c r="D351" s="2">
        <v>46067</v>
      </c>
      <c r="E351" s="1" t="s">
        <v>1</v>
      </c>
      <c r="F351" s="1">
        <v>123</v>
      </c>
      <c r="G351" s="1">
        <v>664</v>
      </c>
      <c r="H351" s="1" t="s">
        <v>173</v>
      </c>
      <c r="I351" s="1">
        <v>0</v>
      </c>
      <c r="J351" s="1">
        <v>615.85</v>
      </c>
      <c r="K351" s="3">
        <v>-3775.34</v>
      </c>
    </row>
    <row r="352" spans="1:11" x14ac:dyDescent="0.25">
      <c r="A352" t="s">
        <v>103</v>
      </c>
      <c r="B352" s="1" t="s">
        <v>102</v>
      </c>
      <c r="C352" s="1" t="s">
        <v>2</v>
      </c>
      <c r="D352" s="2">
        <v>46071</v>
      </c>
      <c r="E352" s="1" t="s">
        <v>1</v>
      </c>
      <c r="F352" s="1">
        <v>160</v>
      </c>
      <c r="G352" s="1">
        <v>1096</v>
      </c>
      <c r="H352" s="1" t="s">
        <v>172</v>
      </c>
      <c r="I352" s="1">
        <v>0</v>
      </c>
      <c r="J352" s="1">
        <v>45</v>
      </c>
      <c r="K352" s="3">
        <v>-3820.34</v>
      </c>
    </row>
    <row r="353" spans="1:11" x14ac:dyDescent="0.25">
      <c r="A353" t="s">
        <v>103</v>
      </c>
      <c r="B353" s="1" t="s">
        <v>102</v>
      </c>
      <c r="C353" s="1" t="s">
        <v>2</v>
      </c>
      <c r="D353" s="2">
        <v>46071</v>
      </c>
      <c r="E353" s="1" t="s">
        <v>1</v>
      </c>
      <c r="F353" s="1">
        <v>160</v>
      </c>
      <c r="G353" s="1">
        <v>5950</v>
      </c>
      <c r="H353" s="1" t="s">
        <v>171</v>
      </c>
      <c r="I353" s="1">
        <v>0</v>
      </c>
      <c r="J353" s="1">
        <v>0.92</v>
      </c>
      <c r="K353" s="3">
        <v>-3821.26</v>
      </c>
    </row>
    <row r="354" spans="1:11" x14ac:dyDescent="0.25">
      <c r="A354" t="s">
        <v>103</v>
      </c>
      <c r="B354" s="1" t="s">
        <v>102</v>
      </c>
      <c r="C354" s="1" t="s">
        <v>2</v>
      </c>
      <c r="D354" s="2">
        <v>46071</v>
      </c>
      <c r="E354" s="1" t="s">
        <v>1</v>
      </c>
      <c r="F354" s="1">
        <v>160</v>
      </c>
      <c r="G354" s="1">
        <v>3622</v>
      </c>
      <c r="H354" s="1" t="s">
        <v>170</v>
      </c>
      <c r="I354" s="1">
        <v>0</v>
      </c>
      <c r="J354" s="1">
        <v>3.15</v>
      </c>
      <c r="K354" s="3">
        <v>-3824.41</v>
      </c>
    </row>
    <row r="355" spans="1:11" x14ac:dyDescent="0.25">
      <c r="A355" t="s">
        <v>103</v>
      </c>
      <c r="B355" s="1" t="s">
        <v>102</v>
      </c>
      <c r="C355" s="1" t="s">
        <v>2</v>
      </c>
      <c r="D355" s="2">
        <v>46071</v>
      </c>
      <c r="E355" s="1" t="s">
        <v>1</v>
      </c>
      <c r="F355" s="1">
        <v>160</v>
      </c>
      <c r="G355" s="1">
        <v>3630</v>
      </c>
      <c r="H355" s="1" t="s">
        <v>169</v>
      </c>
      <c r="I355" s="1">
        <v>0</v>
      </c>
      <c r="J355" s="1">
        <v>4.16</v>
      </c>
      <c r="K355" s="3">
        <v>-3828.57</v>
      </c>
    </row>
    <row r="356" spans="1:11" x14ac:dyDescent="0.25">
      <c r="A356" t="s">
        <v>103</v>
      </c>
      <c r="B356" s="1" t="s">
        <v>102</v>
      </c>
      <c r="C356" s="1" t="s">
        <v>2</v>
      </c>
      <c r="D356" s="2">
        <v>46071</v>
      </c>
      <c r="E356" s="1" t="s">
        <v>1</v>
      </c>
      <c r="F356" s="1">
        <v>160</v>
      </c>
      <c r="G356" s="1">
        <v>3631</v>
      </c>
      <c r="H356" s="1" t="s">
        <v>168</v>
      </c>
      <c r="I356" s="1">
        <v>0</v>
      </c>
      <c r="J356" s="1">
        <v>10.46</v>
      </c>
      <c r="K356" s="3">
        <v>-3839.03</v>
      </c>
    </row>
    <row r="357" spans="1:11" x14ac:dyDescent="0.25">
      <c r="A357" t="s">
        <v>103</v>
      </c>
      <c r="B357" s="1" t="s">
        <v>102</v>
      </c>
      <c r="C357" s="1" t="s">
        <v>2</v>
      </c>
      <c r="D357" s="2">
        <v>46071</v>
      </c>
      <c r="E357" s="1" t="s">
        <v>1</v>
      </c>
      <c r="F357" s="1">
        <v>160</v>
      </c>
      <c r="G357" s="1">
        <v>3632</v>
      </c>
      <c r="H357" s="1" t="s">
        <v>167</v>
      </c>
      <c r="I357" s="1">
        <v>0</v>
      </c>
      <c r="J357" s="1">
        <v>13.46</v>
      </c>
      <c r="K357" s="3">
        <v>-3852.49</v>
      </c>
    </row>
    <row r="358" spans="1:11" x14ac:dyDescent="0.25">
      <c r="A358" t="s">
        <v>103</v>
      </c>
      <c r="B358" s="1" t="s">
        <v>102</v>
      </c>
      <c r="C358" s="1" t="s">
        <v>2</v>
      </c>
      <c r="D358" s="2">
        <v>46071</v>
      </c>
      <c r="E358" s="1" t="s">
        <v>1</v>
      </c>
      <c r="F358" s="1">
        <v>160</v>
      </c>
      <c r="G358" s="1">
        <v>3633</v>
      </c>
      <c r="H358" s="1" t="s">
        <v>166</v>
      </c>
      <c r="I358" s="1">
        <v>0</v>
      </c>
      <c r="J358" s="1">
        <v>5.76</v>
      </c>
      <c r="K358" s="3">
        <v>-3858.25</v>
      </c>
    </row>
    <row r="359" spans="1:11" x14ac:dyDescent="0.25">
      <c r="A359" t="s">
        <v>103</v>
      </c>
      <c r="B359" s="1" t="s">
        <v>102</v>
      </c>
      <c r="C359" s="1" t="s">
        <v>2</v>
      </c>
      <c r="D359" s="2">
        <v>46071</v>
      </c>
      <c r="E359" s="1" t="s">
        <v>1</v>
      </c>
      <c r="F359" s="1">
        <v>160</v>
      </c>
      <c r="G359" s="1">
        <v>3634</v>
      </c>
      <c r="H359" s="1" t="s">
        <v>165</v>
      </c>
      <c r="I359" s="1">
        <v>0</v>
      </c>
      <c r="J359" s="1">
        <v>10.37</v>
      </c>
      <c r="K359" s="3">
        <v>-3868.62</v>
      </c>
    </row>
    <row r="360" spans="1:11" x14ac:dyDescent="0.25">
      <c r="A360" t="s">
        <v>103</v>
      </c>
      <c r="B360" s="1" t="s">
        <v>102</v>
      </c>
      <c r="C360" s="1" t="s">
        <v>2</v>
      </c>
      <c r="D360" s="2">
        <v>46071</v>
      </c>
      <c r="E360" s="1" t="s">
        <v>1</v>
      </c>
      <c r="F360" s="1">
        <v>160</v>
      </c>
      <c r="G360" s="1">
        <v>6894</v>
      </c>
      <c r="H360" s="1" t="s">
        <v>164</v>
      </c>
      <c r="I360" s="1">
        <v>0</v>
      </c>
      <c r="J360" s="1">
        <v>1.34</v>
      </c>
      <c r="K360" s="3">
        <v>-3869.96</v>
      </c>
    </row>
    <row r="361" spans="1:11" x14ac:dyDescent="0.25">
      <c r="A361" t="s">
        <v>103</v>
      </c>
      <c r="B361" s="1" t="s">
        <v>102</v>
      </c>
      <c r="C361" s="1" t="s">
        <v>2</v>
      </c>
      <c r="D361" s="2">
        <v>46075</v>
      </c>
      <c r="E361" s="1" t="s">
        <v>1</v>
      </c>
      <c r="F361" s="1">
        <v>202</v>
      </c>
      <c r="G361" s="1">
        <v>7371</v>
      </c>
      <c r="H361" s="1" t="s">
        <v>163</v>
      </c>
      <c r="I361" s="1">
        <v>0</v>
      </c>
      <c r="J361" s="1">
        <v>9.4499999999999993</v>
      </c>
      <c r="K361" s="3">
        <v>-3879.41</v>
      </c>
    </row>
    <row r="362" spans="1:11" x14ac:dyDescent="0.25">
      <c r="A362" t="s">
        <v>103</v>
      </c>
      <c r="B362" s="1" t="s">
        <v>102</v>
      </c>
      <c r="C362" s="1" t="s">
        <v>2</v>
      </c>
      <c r="D362" s="2">
        <v>46075</v>
      </c>
      <c r="E362" s="1" t="s">
        <v>1</v>
      </c>
      <c r="F362" s="1">
        <v>202</v>
      </c>
      <c r="G362" s="1">
        <v>178</v>
      </c>
      <c r="H362" s="1" t="s">
        <v>162</v>
      </c>
      <c r="I362" s="1">
        <v>0</v>
      </c>
      <c r="J362" s="1">
        <v>495.72</v>
      </c>
      <c r="K362" s="3">
        <v>-4375.13</v>
      </c>
    </row>
    <row r="363" spans="1:11" x14ac:dyDescent="0.25">
      <c r="A363" t="s">
        <v>103</v>
      </c>
      <c r="B363" s="1" t="s">
        <v>102</v>
      </c>
      <c r="C363" s="1" t="s">
        <v>2</v>
      </c>
      <c r="D363" s="2">
        <v>46075</v>
      </c>
      <c r="E363" s="1" t="s">
        <v>1</v>
      </c>
      <c r="F363" s="1">
        <v>202</v>
      </c>
      <c r="G363" s="1">
        <v>5599</v>
      </c>
      <c r="H363" s="1" t="s">
        <v>161</v>
      </c>
      <c r="I363" s="1">
        <v>0</v>
      </c>
      <c r="J363" s="1">
        <v>2.44</v>
      </c>
      <c r="K363" s="3">
        <v>-4377.57</v>
      </c>
    </row>
    <row r="364" spans="1:11" x14ac:dyDescent="0.25">
      <c r="A364" t="s">
        <v>103</v>
      </c>
      <c r="B364" s="1" t="s">
        <v>102</v>
      </c>
      <c r="C364" s="1" t="s">
        <v>2</v>
      </c>
      <c r="D364" s="2">
        <v>46075</v>
      </c>
      <c r="E364" s="1" t="s">
        <v>1</v>
      </c>
      <c r="F364" s="1">
        <v>202</v>
      </c>
      <c r="G364" s="1">
        <v>5600</v>
      </c>
      <c r="H364" s="1" t="s">
        <v>160</v>
      </c>
      <c r="I364" s="1">
        <v>0</v>
      </c>
      <c r="J364" s="1">
        <v>1.65</v>
      </c>
      <c r="K364" s="3">
        <v>-4379.22</v>
      </c>
    </row>
    <row r="365" spans="1:11" x14ac:dyDescent="0.25">
      <c r="A365" t="s">
        <v>103</v>
      </c>
      <c r="B365" s="1" t="s">
        <v>102</v>
      </c>
      <c r="C365" s="1" t="s">
        <v>2</v>
      </c>
      <c r="D365" s="2">
        <v>46075</v>
      </c>
      <c r="E365" s="1" t="s">
        <v>1</v>
      </c>
      <c r="F365" s="1">
        <v>202</v>
      </c>
      <c r="G365" s="1">
        <v>5602</v>
      </c>
      <c r="H365" s="1" t="s">
        <v>159</v>
      </c>
      <c r="I365" s="1">
        <v>0</v>
      </c>
      <c r="J365" s="1">
        <v>1.36</v>
      </c>
      <c r="K365" s="3">
        <v>-4380.58</v>
      </c>
    </row>
    <row r="366" spans="1:11" x14ac:dyDescent="0.25">
      <c r="A366" t="s">
        <v>103</v>
      </c>
      <c r="B366" s="1" t="s">
        <v>102</v>
      </c>
      <c r="C366" s="1" t="s">
        <v>2</v>
      </c>
      <c r="D366" s="2">
        <v>46075</v>
      </c>
      <c r="E366" s="1" t="s">
        <v>1</v>
      </c>
      <c r="F366" s="1">
        <v>202</v>
      </c>
      <c r="G366" s="1">
        <v>5603</v>
      </c>
      <c r="H366" s="1" t="s">
        <v>158</v>
      </c>
      <c r="I366" s="1">
        <v>0</v>
      </c>
      <c r="J366" s="1">
        <v>2.74</v>
      </c>
      <c r="K366" s="3">
        <v>-4383.32</v>
      </c>
    </row>
    <row r="367" spans="1:11" x14ac:dyDescent="0.25">
      <c r="A367" t="s">
        <v>103</v>
      </c>
      <c r="B367" s="1" t="s">
        <v>102</v>
      </c>
      <c r="C367" s="1" t="s">
        <v>2</v>
      </c>
      <c r="D367" s="2">
        <v>46075</v>
      </c>
      <c r="E367" s="1" t="s">
        <v>1</v>
      </c>
      <c r="F367" s="1">
        <v>202</v>
      </c>
      <c r="G367" s="1">
        <v>5606</v>
      </c>
      <c r="H367" s="1" t="s">
        <v>157</v>
      </c>
      <c r="I367" s="1">
        <v>0</v>
      </c>
      <c r="J367" s="1">
        <v>4.24</v>
      </c>
      <c r="K367" s="3">
        <v>-4387.5600000000004</v>
      </c>
    </row>
    <row r="368" spans="1:11" x14ac:dyDescent="0.25">
      <c r="A368" t="s">
        <v>103</v>
      </c>
      <c r="B368" s="1" t="s">
        <v>102</v>
      </c>
      <c r="C368" s="1" t="s">
        <v>2</v>
      </c>
      <c r="D368" s="2">
        <v>46075</v>
      </c>
      <c r="E368" s="1" t="s">
        <v>1</v>
      </c>
      <c r="F368" s="1">
        <v>202</v>
      </c>
      <c r="G368" s="1">
        <v>5607</v>
      </c>
      <c r="H368" s="1" t="s">
        <v>156</v>
      </c>
      <c r="I368" s="1">
        <v>0</v>
      </c>
      <c r="J368" s="1">
        <v>0.93</v>
      </c>
      <c r="K368" s="3">
        <v>-4388.49</v>
      </c>
    </row>
    <row r="369" spans="1:11" x14ac:dyDescent="0.25">
      <c r="A369" t="s">
        <v>103</v>
      </c>
      <c r="B369" s="1" t="s">
        <v>102</v>
      </c>
      <c r="C369" s="1" t="s">
        <v>2</v>
      </c>
      <c r="D369" s="2">
        <v>46075</v>
      </c>
      <c r="E369" s="1" t="s">
        <v>1</v>
      </c>
      <c r="F369" s="1">
        <v>202</v>
      </c>
      <c r="G369" s="1">
        <v>1443</v>
      </c>
      <c r="H369" s="1" t="s">
        <v>155</v>
      </c>
      <c r="I369" s="1">
        <v>0</v>
      </c>
      <c r="J369" s="1">
        <v>22.48</v>
      </c>
      <c r="K369" s="3">
        <v>-4410.97</v>
      </c>
    </row>
    <row r="370" spans="1:11" x14ac:dyDescent="0.25">
      <c r="A370" t="s">
        <v>103</v>
      </c>
      <c r="B370" s="1" t="s">
        <v>102</v>
      </c>
      <c r="C370" s="1" t="s">
        <v>2</v>
      </c>
      <c r="D370" s="2">
        <v>46075</v>
      </c>
      <c r="E370" s="1" t="s">
        <v>1</v>
      </c>
      <c r="F370" s="1">
        <v>202</v>
      </c>
      <c r="G370" s="1">
        <v>6915</v>
      </c>
      <c r="H370" s="1" t="s">
        <v>154</v>
      </c>
      <c r="I370" s="1">
        <v>0</v>
      </c>
      <c r="J370" s="1">
        <v>11.7</v>
      </c>
      <c r="K370" s="3">
        <v>-4422.67</v>
      </c>
    </row>
    <row r="371" spans="1:11" x14ac:dyDescent="0.25">
      <c r="A371" t="s">
        <v>103</v>
      </c>
      <c r="B371" s="1" t="s">
        <v>102</v>
      </c>
      <c r="C371" s="1" t="s">
        <v>2</v>
      </c>
      <c r="D371" s="2">
        <v>46075</v>
      </c>
      <c r="E371" s="1" t="s">
        <v>1</v>
      </c>
      <c r="F371" s="1">
        <v>202</v>
      </c>
      <c r="G371" s="1">
        <v>7752</v>
      </c>
      <c r="H371" s="1" t="s">
        <v>153</v>
      </c>
      <c r="I371" s="1">
        <v>0</v>
      </c>
      <c r="J371" s="1">
        <v>15.73</v>
      </c>
      <c r="K371" s="3">
        <v>-4438.3999999999996</v>
      </c>
    </row>
    <row r="372" spans="1:11" x14ac:dyDescent="0.25">
      <c r="A372" t="s">
        <v>103</v>
      </c>
      <c r="B372" s="1" t="s">
        <v>102</v>
      </c>
      <c r="C372" s="1" t="s">
        <v>2</v>
      </c>
      <c r="D372" s="2">
        <v>46076</v>
      </c>
      <c r="E372" s="1" t="s">
        <v>1</v>
      </c>
      <c r="F372" s="1">
        <v>205</v>
      </c>
      <c r="G372" s="1">
        <v>684</v>
      </c>
      <c r="H372" s="1" t="s">
        <v>152</v>
      </c>
      <c r="I372" s="1">
        <v>0</v>
      </c>
      <c r="J372" s="1">
        <v>919.99</v>
      </c>
      <c r="K372" s="3">
        <v>-5358.39</v>
      </c>
    </row>
    <row r="373" spans="1:11" x14ac:dyDescent="0.25">
      <c r="A373" t="s">
        <v>103</v>
      </c>
      <c r="B373" s="1" t="s">
        <v>102</v>
      </c>
      <c r="C373" s="1" t="s">
        <v>2</v>
      </c>
      <c r="D373" s="2">
        <v>46077</v>
      </c>
      <c r="E373" s="1" t="s">
        <v>1</v>
      </c>
      <c r="F373" s="1">
        <v>226</v>
      </c>
      <c r="G373" s="1">
        <v>629</v>
      </c>
      <c r="H373" s="1" t="s">
        <v>151</v>
      </c>
      <c r="I373" s="1">
        <v>0</v>
      </c>
      <c r="J373" s="1">
        <v>0.67</v>
      </c>
      <c r="K373" s="3">
        <v>-5359.06</v>
      </c>
    </row>
    <row r="374" spans="1:11" x14ac:dyDescent="0.25">
      <c r="A374" t="s">
        <v>103</v>
      </c>
      <c r="B374" s="1" t="s">
        <v>102</v>
      </c>
      <c r="C374" s="1" t="s">
        <v>2</v>
      </c>
      <c r="D374" s="2">
        <v>46079</v>
      </c>
      <c r="E374" s="1" t="s">
        <v>1</v>
      </c>
      <c r="F374" s="1">
        <v>258</v>
      </c>
      <c r="G374" s="1">
        <v>125851</v>
      </c>
      <c r="H374" s="1" t="s">
        <v>150</v>
      </c>
      <c r="I374" s="1">
        <v>0</v>
      </c>
      <c r="J374" s="1">
        <v>2.58</v>
      </c>
      <c r="K374" s="3">
        <v>-5361.64</v>
      </c>
    </row>
    <row r="375" spans="1:11" x14ac:dyDescent="0.25">
      <c r="A375" t="s">
        <v>103</v>
      </c>
      <c r="B375" s="1" t="s">
        <v>102</v>
      </c>
      <c r="C375" s="1" t="s">
        <v>2</v>
      </c>
      <c r="D375" s="2">
        <v>46079</v>
      </c>
      <c r="E375" s="1" t="s">
        <v>1</v>
      </c>
      <c r="F375" s="1">
        <v>258</v>
      </c>
      <c r="G375" s="1">
        <v>697</v>
      </c>
      <c r="H375" s="1" t="s">
        <v>149</v>
      </c>
      <c r="I375" s="1">
        <v>0</v>
      </c>
      <c r="J375" s="3">
        <v>1318.81</v>
      </c>
      <c r="K375" s="3">
        <v>-6680.45</v>
      </c>
    </row>
    <row r="376" spans="1:11" x14ac:dyDescent="0.25">
      <c r="A376" t="s">
        <v>103</v>
      </c>
      <c r="B376" s="1" t="s">
        <v>102</v>
      </c>
      <c r="C376" s="1" t="s">
        <v>2</v>
      </c>
      <c r="D376" s="2">
        <v>46055</v>
      </c>
      <c r="E376" s="1" t="s">
        <v>1</v>
      </c>
      <c r="F376" s="1">
        <v>29</v>
      </c>
      <c r="G376" s="1">
        <v>31786</v>
      </c>
      <c r="H376" s="1" t="s">
        <v>148</v>
      </c>
      <c r="I376" s="1">
        <v>0</v>
      </c>
      <c r="J376" s="1">
        <v>7.65</v>
      </c>
      <c r="K376" s="3">
        <v>-6688.1</v>
      </c>
    </row>
    <row r="377" spans="1:11" x14ac:dyDescent="0.25">
      <c r="A377" t="s">
        <v>103</v>
      </c>
      <c r="B377" s="1" t="s">
        <v>102</v>
      </c>
      <c r="C377" s="1" t="s">
        <v>2</v>
      </c>
      <c r="D377" s="2">
        <v>46081</v>
      </c>
      <c r="E377" s="1" t="s">
        <v>1</v>
      </c>
      <c r="F377" s="1">
        <v>311</v>
      </c>
      <c r="G377" s="1">
        <v>866</v>
      </c>
      <c r="H377" s="1" t="s">
        <v>147</v>
      </c>
      <c r="I377" s="1">
        <v>0</v>
      </c>
      <c r="J377" s="1">
        <v>206.95</v>
      </c>
      <c r="K377" s="3">
        <v>-6895.05</v>
      </c>
    </row>
    <row r="378" spans="1:11" x14ac:dyDescent="0.25">
      <c r="A378" t="s">
        <v>103</v>
      </c>
      <c r="B378" s="1" t="s">
        <v>102</v>
      </c>
      <c r="C378" s="1" t="s">
        <v>2</v>
      </c>
      <c r="D378" s="2">
        <v>46081</v>
      </c>
      <c r="E378" s="1" t="s">
        <v>1</v>
      </c>
      <c r="F378" s="1">
        <v>311</v>
      </c>
      <c r="G378" s="1">
        <v>867</v>
      </c>
      <c r="H378" s="1" t="s">
        <v>146</v>
      </c>
      <c r="I378" s="1">
        <v>0</v>
      </c>
      <c r="J378" s="1">
        <v>42.25</v>
      </c>
      <c r="K378" s="3">
        <v>-6937.3</v>
      </c>
    </row>
    <row r="379" spans="1:11" x14ac:dyDescent="0.25">
      <c r="A379" t="s">
        <v>103</v>
      </c>
      <c r="B379" s="1" t="s">
        <v>102</v>
      </c>
      <c r="C379" s="1" t="s">
        <v>2</v>
      </c>
      <c r="D379" s="2">
        <v>46081</v>
      </c>
      <c r="E379" s="1" t="s">
        <v>1</v>
      </c>
      <c r="F379" s="1">
        <v>311</v>
      </c>
      <c r="G379" s="1">
        <v>53045</v>
      </c>
      <c r="H379" s="1" t="s">
        <v>145</v>
      </c>
      <c r="I379" s="1">
        <v>0</v>
      </c>
      <c r="J379" s="1">
        <v>0.23</v>
      </c>
      <c r="K379" s="3">
        <v>-6937.53</v>
      </c>
    </row>
    <row r="380" spans="1:11" x14ac:dyDescent="0.25">
      <c r="A380" t="s">
        <v>103</v>
      </c>
      <c r="B380" s="1" t="s">
        <v>102</v>
      </c>
      <c r="C380" s="1" t="s">
        <v>2</v>
      </c>
      <c r="D380" s="2">
        <v>46081</v>
      </c>
      <c r="E380" s="1" t="s">
        <v>1</v>
      </c>
      <c r="F380" s="1">
        <v>311</v>
      </c>
      <c r="G380" s="1">
        <v>714</v>
      </c>
      <c r="H380" s="1" t="s">
        <v>144</v>
      </c>
      <c r="I380" s="1">
        <v>0</v>
      </c>
      <c r="J380" s="1">
        <v>615.85</v>
      </c>
      <c r="K380" s="3">
        <v>-7553.38</v>
      </c>
    </row>
    <row r="381" spans="1:11" x14ac:dyDescent="0.25">
      <c r="A381" t="s">
        <v>103</v>
      </c>
      <c r="B381" s="1" t="s">
        <v>102</v>
      </c>
      <c r="C381" s="1" t="s">
        <v>2</v>
      </c>
      <c r="D381" s="2">
        <v>46081</v>
      </c>
      <c r="E381" s="1" t="s">
        <v>1</v>
      </c>
      <c r="F381" s="1">
        <v>311</v>
      </c>
      <c r="G381" s="1">
        <v>716</v>
      </c>
      <c r="H381" s="1" t="s">
        <v>143</v>
      </c>
      <c r="I381" s="1">
        <v>0</v>
      </c>
      <c r="J381" s="1">
        <v>890.03</v>
      </c>
      <c r="K381" s="3">
        <v>-8443.41</v>
      </c>
    </row>
    <row r="382" spans="1:11" x14ac:dyDescent="0.25">
      <c r="A382" t="s">
        <v>103</v>
      </c>
      <c r="B382" s="1" t="s">
        <v>102</v>
      </c>
      <c r="C382" s="1" t="s">
        <v>2</v>
      </c>
      <c r="D382" s="2">
        <v>46056</v>
      </c>
      <c r="E382" s="1" t="s">
        <v>1</v>
      </c>
      <c r="F382" s="1">
        <v>37</v>
      </c>
      <c r="G382" s="1">
        <v>3601</v>
      </c>
      <c r="H382" s="1" t="s">
        <v>142</v>
      </c>
      <c r="I382" s="1">
        <v>0</v>
      </c>
      <c r="J382" s="1">
        <v>20.7</v>
      </c>
      <c r="K382" s="3">
        <v>-8464.11</v>
      </c>
    </row>
    <row r="383" spans="1:11" x14ac:dyDescent="0.25">
      <c r="A383" t="s">
        <v>103</v>
      </c>
      <c r="B383" s="1" t="s">
        <v>102</v>
      </c>
      <c r="C383" s="1" t="s">
        <v>2</v>
      </c>
      <c r="D383" s="2">
        <v>46056</v>
      </c>
      <c r="E383" s="1" t="s">
        <v>1</v>
      </c>
      <c r="F383" s="1">
        <v>37</v>
      </c>
      <c r="G383" s="1">
        <v>3602</v>
      </c>
      <c r="H383" s="1" t="s">
        <v>141</v>
      </c>
      <c r="I383" s="1">
        <v>0</v>
      </c>
      <c r="J383" s="1">
        <v>2.16</v>
      </c>
      <c r="K383" s="3">
        <v>-8466.27</v>
      </c>
    </row>
    <row r="384" spans="1:11" x14ac:dyDescent="0.25">
      <c r="A384" t="s">
        <v>103</v>
      </c>
      <c r="B384" s="1" t="s">
        <v>102</v>
      </c>
      <c r="C384" s="1" t="s">
        <v>2</v>
      </c>
      <c r="D384" s="2">
        <v>46056</v>
      </c>
      <c r="E384" s="1" t="s">
        <v>1</v>
      </c>
      <c r="F384" s="1">
        <v>37</v>
      </c>
      <c r="G384" s="1">
        <v>3603</v>
      </c>
      <c r="H384" s="1" t="s">
        <v>140</v>
      </c>
      <c r="I384" s="1">
        <v>0</v>
      </c>
      <c r="J384" s="1">
        <v>3.42</v>
      </c>
      <c r="K384" s="3">
        <v>-8469.69</v>
      </c>
    </row>
    <row r="385" spans="1:11" x14ac:dyDescent="0.25">
      <c r="A385" t="s">
        <v>103</v>
      </c>
      <c r="B385" s="1" t="s">
        <v>102</v>
      </c>
      <c r="C385" s="1" t="s">
        <v>2</v>
      </c>
      <c r="D385" s="2">
        <v>46056</v>
      </c>
      <c r="E385" s="1" t="s">
        <v>1</v>
      </c>
      <c r="F385" s="1">
        <v>37</v>
      </c>
      <c r="G385" s="1">
        <v>31801</v>
      </c>
      <c r="H385" s="1" t="s">
        <v>139</v>
      </c>
      <c r="I385" s="1">
        <v>0</v>
      </c>
      <c r="J385" s="1">
        <v>22.95</v>
      </c>
      <c r="K385" s="3">
        <v>-8492.64</v>
      </c>
    </row>
    <row r="386" spans="1:11" x14ac:dyDescent="0.25">
      <c r="A386" t="s">
        <v>103</v>
      </c>
      <c r="B386" s="1" t="s">
        <v>102</v>
      </c>
      <c r="C386" s="1" t="s">
        <v>2</v>
      </c>
      <c r="D386" s="2">
        <v>46056</v>
      </c>
      <c r="E386" s="1" t="s">
        <v>1</v>
      </c>
      <c r="F386" s="1">
        <v>37</v>
      </c>
      <c r="G386" s="1">
        <v>1912</v>
      </c>
      <c r="H386" s="1" t="s">
        <v>138</v>
      </c>
      <c r="I386" s="1">
        <v>0</v>
      </c>
      <c r="J386" s="1">
        <v>1.8</v>
      </c>
      <c r="K386" s="3">
        <v>-8494.44</v>
      </c>
    </row>
    <row r="387" spans="1:11" x14ac:dyDescent="0.25">
      <c r="A387" t="s">
        <v>103</v>
      </c>
      <c r="B387" s="1" t="s">
        <v>102</v>
      </c>
      <c r="C387" s="1" t="s">
        <v>2</v>
      </c>
      <c r="D387" s="2">
        <v>46056</v>
      </c>
      <c r="E387" s="1" t="s">
        <v>1</v>
      </c>
      <c r="F387" s="1">
        <v>37</v>
      </c>
      <c r="G387" s="1">
        <v>629</v>
      </c>
      <c r="H387" s="1" t="s">
        <v>137</v>
      </c>
      <c r="I387" s="1">
        <v>0</v>
      </c>
      <c r="J387" s="1">
        <v>592.47</v>
      </c>
      <c r="K387" s="3">
        <v>-9086.91</v>
      </c>
    </row>
    <row r="388" spans="1:11" x14ac:dyDescent="0.25">
      <c r="A388" t="s">
        <v>103</v>
      </c>
      <c r="B388" s="1" t="s">
        <v>102</v>
      </c>
      <c r="C388" s="1" t="s">
        <v>2</v>
      </c>
      <c r="D388" s="2">
        <v>46057</v>
      </c>
      <c r="E388" s="1" t="s">
        <v>1</v>
      </c>
      <c r="F388" s="1">
        <v>53</v>
      </c>
      <c r="G388" s="1">
        <v>52804</v>
      </c>
      <c r="H388" s="1" t="s">
        <v>136</v>
      </c>
      <c r="I388" s="1">
        <v>0</v>
      </c>
      <c r="J388" s="1">
        <v>2.87</v>
      </c>
      <c r="K388" s="3">
        <v>-9089.7800000000007</v>
      </c>
    </row>
    <row r="389" spans="1:11" x14ac:dyDescent="0.25">
      <c r="A389" t="s">
        <v>103</v>
      </c>
      <c r="B389" s="1" t="s">
        <v>102</v>
      </c>
      <c r="C389" s="1" t="s">
        <v>2</v>
      </c>
      <c r="D389" s="2">
        <v>46061</v>
      </c>
      <c r="E389" s="1" t="s">
        <v>1</v>
      </c>
      <c r="F389" s="1">
        <v>70</v>
      </c>
      <c r="G389" s="1">
        <v>1176</v>
      </c>
      <c r="H389" s="1" t="s">
        <v>135</v>
      </c>
      <c r="I389" s="1">
        <v>0</v>
      </c>
      <c r="J389" s="1">
        <v>4.2300000000000004</v>
      </c>
      <c r="K389" s="3">
        <v>-9094.01</v>
      </c>
    </row>
    <row r="390" spans="1:11" x14ac:dyDescent="0.25">
      <c r="A390" t="s">
        <v>103</v>
      </c>
      <c r="B390" s="1" t="s">
        <v>102</v>
      </c>
      <c r="C390" s="1" t="s">
        <v>2</v>
      </c>
      <c r="D390" s="2">
        <v>46061</v>
      </c>
      <c r="E390" s="1" t="s">
        <v>1</v>
      </c>
      <c r="F390" s="1">
        <v>70</v>
      </c>
      <c r="G390" s="1">
        <v>125378</v>
      </c>
      <c r="H390" s="1" t="s">
        <v>134</v>
      </c>
      <c r="I390" s="1">
        <v>0</v>
      </c>
      <c r="J390" s="1">
        <v>3.51</v>
      </c>
      <c r="K390" s="3">
        <v>-9097.52</v>
      </c>
    </row>
    <row r="391" spans="1:11" x14ac:dyDescent="0.25">
      <c r="A391" t="s">
        <v>103</v>
      </c>
      <c r="B391" s="1" t="s">
        <v>102</v>
      </c>
      <c r="C391" s="1" t="s">
        <v>2</v>
      </c>
      <c r="D391" s="2">
        <v>46061</v>
      </c>
      <c r="E391" s="1" t="s">
        <v>1</v>
      </c>
      <c r="F391" s="1">
        <v>70</v>
      </c>
      <c r="G391" s="1">
        <v>3607</v>
      </c>
      <c r="H391" s="1" t="s">
        <v>133</v>
      </c>
      <c r="I391" s="1">
        <v>0</v>
      </c>
      <c r="J391" s="1">
        <v>2.7</v>
      </c>
      <c r="K391" s="3">
        <v>-9100.2199999999993</v>
      </c>
    </row>
    <row r="392" spans="1:11" x14ac:dyDescent="0.25">
      <c r="A392" t="s">
        <v>103</v>
      </c>
      <c r="B392" s="1" t="s">
        <v>102</v>
      </c>
      <c r="C392" s="1" t="s">
        <v>2</v>
      </c>
      <c r="D392" s="2">
        <v>46061</v>
      </c>
      <c r="E392" s="1" t="s">
        <v>1</v>
      </c>
      <c r="F392" s="1">
        <v>70</v>
      </c>
      <c r="G392" s="1">
        <v>53</v>
      </c>
      <c r="H392" s="1" t="s">
        <v>132</v>
      </c>
      <c r="I392" s="1">
        <v>0</v>
      </c>
      <c r="J392" s="1">
        <v>3.15</v>
      </c>
      <c r="K392" s="3">
        <v>-9103.3700000000008</v>
      </c>
    </row>
    <row r="393" spans="1:11" x14ac:dyDescent="0.25">
      <c r="A393" t="s">
        <v>103</v>
      </c>
      <c r="B393" s="1" t="s">
        <v>102</v>
      </c>
      <c r="C393" s="1" t="s">
        <v>2</v>
      </c>
      <c r="D393" s="2">
        <v>46061</v>
      </c>
      <c r="E393" s="1" t="s">
        <v>1</v>
      </c>
      <c r="F393" s="1">
        <v>70</v>
      </c>
      <c r="G393" s="1">
        <v>54</v>
      </c>
      <c r="H393" s="1" t="s">
        <v>131</v>
      </c>
      <c r="I393" s="1">
        <v>0</v>
      </c>
      <c r="J393" s="1">
        <v>3.15</v>
      </c>
      <c r="K393" s="3">
        <v>-9106.52</v>
      </c>
    </row>
    <row r="394" spans="1:11" x14ac:dyDescent="0.25">
      <c r="A394" t="s">
        <v>103</v>
      </c>
      <c r="B394" s="1" t="s">
        <v>102</v>
      </c>
      <c r="C394" s="1" t="s">
        <v>2</v>
      </c>
      <c r="D394" s="2">
        <v>46061</v>
      </c>
      <c r="E394" s="1" t="s">
        <v>1</v>
      </c>
      <c r="F394" s="1">
        <v>70</v>
      </c>
      <c r="G394" s="1">
        <v>6831</v>
      </c>
      <c r="H394" s="1" t="s">
        <v>130</v>
      </c>
      <c r="I394" s="1">
        <v>0</v>
      </c>
      <c r="J394" s="1">
        <v>1.4</v>
      </c>
      <c r="K394" s="3">
        <v>-9107.92</v>
      </c>
    </row>
    <row r="395" spans="1:11" x14ac:dyDescent="0.25">
      <c r="A395" t="s">
        <v>103</v>
      </c>
      <c r="B395" s="1" t="s">
        <v>102</v>
      </c>
      <c r="C395" s="1" t="s">
        <v>2</v>
      </c>
      <c r="D395" s="2">
        <v>46061</v>
      </c>
      <c r="E395" s="1" t="s">
        <v>1</v>
      </c>
      <c r="F395" s="1">
        <v>70</v>
      </c>
      <c r="G395" s="1">
        <v>6833</v>
      </c>
      <c r="H395" s="1" t="s">
        <v>129</v>
      </c>
      <c r="I395" s="1">
        <v>0</v>
      </c>
      <c r="J395" s="1">
        <v>1.34</v>
      </c>
      <c r="K395" s="3">
        <v>-9109.26</v>
      </c>
    </row>
    <row r="396" spans="1:11" x14ac:dyDescent="0.25">
      <c r="A396" t="s">
        <v>103</v>
      </c>
      <c r="B396" s="1" t="s">
        <v>102</v>
      </c>
      <c r="C396" s="1" t="s">
        <v>2</v>
      </c>
      <c r="D396" s="2">
        <v>46062</v>
      </c>
      <c r="E396" s="1" t="s">
        <v>1</v>
      </c>
      <c r="F396" s="1">
        <v>84</v>
      </c>
      <c r="G396" s="1">
        <v>55</v>
      </c>
      <c r="H396" s="1" t="s">
        <v>128</v>
      </c>
      <c r="I396" s="1">
        <v>0</v>
      </c>
      <c r="J396" s="1">
        <v>3.15</v>
      </c>
      <c r="K396" s="3">
        <v>-9112.41</v>
      </c>
    </row>
    <row r="397" spans="1:11" x14ac:dyDescent="0.25">
      <c r="A397" t="s">
        <v>103</v>
      </c>
      <c r="B397" s="1" t="s">
        <v>102</v>
      </c>
      <c r="C397" s="1" t="s">
        <v>2</v>
      </c>
      <c r="D397" s="2">
        <v>46062</v>
      </c>
      <c r="E397" s="1" t="s">
        <v>1</v>
      </c>
      <c r="F397" s="1">
        <v>84</v>
      </c>
      <c r="G397" s="1">
        <v>640</v>
      </c>
      <c r="H397" s="1" t="s">
        <v>127</v>
      </c>
      <c r="I397" s="1">
        <v>0</v>
      </c>
      <c r="J397" s="1">
        <v>629.14</v>
      </c>
      <c r="K397" s="3">
        <v>-9741.5499999999993</v>
      </c>
    </row>
    <row r="398" spans="1:11" x14ac:dyDescent="0.25">
      <c r="A398" t="s">
        <v>103</v>
      </c>
      <c r="B398" s="1" t="s">
        <v>102</v>
      </c>
      <c r="C398" s="1" t="s">
        <v>2</v>
      </c>
      <c r="D398" s="2">
        <v>46063</v>
      </c>
      <c r="E398" s="1" t="s">
        <v>101</v>
      </c>
      <c r="F398" s="1">
        <v>103</v>
      </c>
      <c r="G398" s="1">
        <v>14881</v>
      </c>
      <c r="H398" s="1" t="s">
        <v>126</v>
      </c>
      <c r="I398" s="1">
        <v>0</v>
      </c>
      <c r="J398" s="1">
        <v>30.43</v>
      </c>
      <c r="K398" s="3">
        <v>-9771.98</v>
      </c>
    </row>
    <row r="399" spans="1:11" x14ac:dyDescent="0.25">
      <c r="A399" t="s">
        <v>103</v>
      </c>
      <c r="B399" s="1" t="s">
        <v>102</v>
      </c>
      <c r="C399" s="1" t="s">
        <v>2</v>
      </c>
      <c r="D399" s="2">
        <v>46071</v>
      </c>
      <c r="E399" s="1" t="s">
        <v>101</v>
      </c>
      <c r="F399" s="1">
        <v>159</v>
      </c>
      <c r="G399" s="1">
        <v>14894</v>
      </c>
      <c r="H399" s="1" t="s">
        <v>125</v>
      </c>
      <c r="I399" s="1">
        <v>0</v>
      </c>
      <c r="J399" s="1">
        <v>30.71</v>
      </c>
      <c r="K399" s="3">
        <v>-9802.69</v>
      </c>
    </row>
    <row r="400" spans="1:11" x14ac:dyDescent="0.25">
      <c r="A400" t="s">
        <v>103</v>
      </c>
      <c r="B400" s="1" t="s">
        <v>102</v>
      </c>
      <c r="C400" s="1" t="s">
        <v>2</v>
      </c>
      <c r="D400" s="2">
        <v>46071</v>
      </c>
      <c r="E400" s="1" t="s">
        <v>101</v>
      </c>
      <c r="F400" s="1">
        <v>159</v>
      </c>
      <c r="G400" s="1">
        <v>14895</v>
      </c>
      <c r="H400" s="1" t="s">
        <v>124</v>
      </c>
      <c r="I400" s="1">
        <v>0</v>
      </c>
      <c r="J400" s="1">
        <v>9.9</v>
      </c>
      <c r="K400" s="3">
        <v>-9812.59</v>
      </c>
    </row>
    <row r="401" spans="1:11" x14ac:dyDescent="0.25">
      <c r="A401" t="s">
        <v>103</v>
      </c>
      <c r="B401" s="1" t="s">
        <v>102</v>
      </c>
      <c r="C401" s="1" t="s">
        <v>2</v>
      </c>
      <c r="D401" s="2">
        <v>46072</v>
      </c>
      <c r="E401" s="1" t="s">
        <v>101</v>
      </c>
      <c r="F401" s="1">
        <v>161</v>
      </c>
      <c r="G401" s="1">
        <v>545</v>
      </c>
      <c r="H401" s="1" t="s">
        <v>123</v>
      </c>
      <c r="I401" s="1">
        <v>0</v>
      </c>
      <c r="J401" s="1">
        <v>1.17</v>
      </c>
      <c r="K401" s="3">
        <v>-9813.76</v>
      </c>
    </row>
    <row r="402" spans="1:11" x14ac:dyDescent="0.25">
      <c r="A402" t="s">
        <v>103</v>
      </c>
      <c r="B402" s="1" t="s">
        <v>102</v>
      </c>
      <c r="C402" s="1" t="s">
        <v>2</v>
      </c>
      <c r="D402" s="2">
        <v>46076</v>
      </c>
      <c r="E402" s="1" t="s">
        <v>101</v>
      </c>
      <c r="F402" s="1">
        <v>203</v>
      </c>
      <c r="G402" s="1">
        <v>561</v>
      </c>
      <c r="H402" s="1" t="s">
        <v>122</v>
      </c>
      <c r="I402" s="1">
        <v>0</v>
      </c>
      <c r="J402" s="1">
        <v>1.17</v>
      </c>
      <c r="K402" s="3">
        <v>-9814.93</v>
      </c>
    </row>
    <row r="403" spans="1:11" x14ac:dyDescent="0.25">
      <c r="A403" t="s">
        <v>103</v>
      </c>
      <c r="B403" s="1" t="s">
        <v>102</v>
      </c>
      <c r="C403" s="1" t="s">
        <v>2</v>
      </c>
      <c r="D403" s="2">
        <v>46076</v>
      </c>
      <c r="E403" s="1" t="s">
        <v>101</v>
      </c>
      <c r="F403" s="1">
        <v>204</v>
      </c>
      <c r="G403" s="1">
        <v>14906</v>
      </c>
      <c r="H403" s="1" t="s">
        <v>121</v>
      </c>
      <c r="I403" s="1">
        <v>0</v>
      </c>
      <c r="J403" s="1">
        <v>9.9</v>
      </c>
      <c r="K403" s="3">
        <v>-9824.83</v>
      </c>
    </row>
    <row r="404" spans="1:11" x14ac:dyDescent="0.25">
      <c r="A404" t="s">
        <v>103</v>
      </c>
      <c r="B404" s="1" t="s">
        <v>102</v>
      </c>
      <c r="C404" s="1" t="s">
        <v>2</v>
      </c>
      <c r="D404" s="2">
        <v>46077</v>
      </c>
      <c r="E404" s="1" t="s">
        <v>101</v>
      </c>
      <c r="F404" s="1">
        <v>221</v>
      </c>
      <c r="G404" s="1">
        <v>14907</v>
      </c>
      <c r="H404" s="1" t="s">
        <v>120</v>
      </c>
      <c r="I404" s="1">
        <v>0</v>
      </c>
      <c r="J404" s="1">
        <v>4.8099999999999996</v>
      </c>
      <c r="K404" s="3">
        <v>-9829.64</v>
      </c>
    </row>
    <row r="405" spans="1:11" x14ac:dyDescent="0.25">
      <c r="A405" t="s">
        <v>103</v>
      </c>
      <c r="B405" s="1" t="s">
        <v>102</v>
      </c>
      <c r="C405" s="1" t="s">
        <v>2</v>
      </c>
      <c r="D405" s="2">
        <v>46078</v>
      </c>
      <c r="E405" s="1" t="s">
        <v>101</v>
      </c>
      <c r="F405" s="1">
        <v>230</v>
      </c>
      <c r="G405" s="1">
        <v>14912</v>
      </c>
      <c r="H405" s="1" t="s">
        <v>119</v>
      </c>
      <c r="I405" s="1">
        <v>0</v>
      </c>
      <c r="J405" s="1">
        <v>4.8099999999999996</v>
      </c>
      <c r="K405" s="3">
        <v>-9834.4500000000007</v>
      </c>
    </row>
    <row r="406" spans="1:11" x14ac:dyDescent="0.25">
      <c r="A406" t="s">
        <v>103</v>
      </c>
      <c r="B406" s="1" t="s">
        <v>102</v>
      </c>
      <c r="C406" s="1" t="s">
        <v>2</v>
      </c>
      <c r="D406" s="2">
        <v>46078</v>
      </c>
      <c r="E406" s="1" t="s">
        <v>101</v>
      </c>
      <c r="F406" s="1">
        <v>230</v>
      </c>
      <c r="G406" s="1">
        <v>14918</v>
      </c>
      <c r="H406" s="1" t="s">
        <v>118</v>
      </c>
      <c r="I406" s="1">
        <v>0</v>
      </c>
      <c r="J406" s="1">
        <v>30.71</v>
      </c>
      <c r="K406" s="3">
        <v>-9865.16</v>
      </c>
    </row>
    <row r="407" spans="1:11" x14ac:dyDescent="0.25">
      <c r="A407" t="s">
        <v>103</v>
      </c>
      <c r="B407" s="1" t="s">
        <v>102</v>
      </c>
      <c r="C407" s="1" t="s">
        <v>2</v>
      </c>
      <c r="D407" s="2">
        <v>46078</v>
      </c>
      <c r="E407" s="1" t="s">
        <v>101</v>
      </c>
      <c r="F407" s="1">
        <v>230</v>
      </c>
      <c r="G407" s="1">
        <v>14919</v>
      </c>
      <c r="H407" s="1" t="s">
        <v>117</v>
      </c>
      <c r="I407" s="1">
        <v>0</v>
      </c>
      <c r="J407" s="1">
        <v>34.54</v>
      </c>
      <c r="K407" s="3">
        <v>-9899.7000000000007</v>
      </c>
    </row>
    <row r="408" spans="1:11" x14ac:dyDescent="0.25">
      <c r="A408" t="s">
        <v>103</v>
      </c>
      <c r="B408" s="1" t="s">
        <v>102</v>
      </c>
      <c r="C408" s="1" t="s">
        <v>2</v>
      </c>
      <c r="D408" s="2">
        <v>46078</v>
      </c>
      <c r="E408" s="1" t="s">
        <v>101</v>
      </c>
      <c r="F408" s="1">
        <v>231</v>
      </c>
      <c r="G408" s="1">
        <v>6942</v>
      </c>
      <c r="H408" s="1" t="s">
        <v>116</v>
      </c>
      <c r="I408" s="1">
        <v>0</v>
      </c>
      <c r="J408" s="1">
        <v>24.57</v>
      </c>
      <c r="K408" s="3">
        <v>-9924.27</v>
      </c>
    </row>
    <row r="409" spans="1:11" x14ac:dyDescent="0.25">
      <c r="A409" t="s">
        <v>103</v>
      </c>
      <c r="B409" s="1" t="s">
        <v>102</v>
      </c>
      <c r="C409" s="1" t="s">
        <v>2</v>
      </c>
      <c r="D409" s="2">
        <v>46079</v>
      </c>
      <c r="E409" s="1" t="s">
        <v>101</v>
      </c>
      <c r="F409" s="1">
        <v>255</v>
      </c>
      <c r="G409" s="1">
        <v>573</v>
      </c>
      <c r="H409" s="1" t="s">
        <v>115</v>
      </c>
      <c r="I409" s="1">
        <v>0</v>
      </c>
      <c r="J409" s="1">
        <v>1.17</v>
      </c>
      <c r="K409" s="3">
        <v>-9925.44</v>
      </c>
    </row>
    <row r="410" spans="1:11" x14ac:dyDescent="0.25">
      <c r="A410" t="s">
        <v>103</v>
      </c>
      <c r="B410" s="1" t="s">
        <v>102</v>
      </c>
      <c r="C410" s="1" t="s">
        <v>2</v>
      </c>
      <c r="D410" s="2">
        <v>46080</v>
      </c>
      <c r="E410" s="1" t="s">
        <v>101</v>
      </c>
      <c r="F410" s="1">
        <v>259</v>
      </c>
      <c r="G410" s="1">
        <v>14923</v>
      </c>
      <c r="H410" s="1" t="s">
        <v>114</v>
      </c>
      <c r="I410" s="1">
        <v>0</v>
      </c>
      <c r="J410" s="1">
        <v>27.95</v>
      </c>
      <c r="K410" s="3">
        <v>-9953.39</v>
      </c>
    </row>
    <row r="411" spans="1:11" x14ac:dyDescent="0.25">
      <c r="A411" t="s">
        <v>103</v>
      </c>
      <c r="B411" s="1" t="s">
        <v>102</v>
      </c>
      <c r="C411" s="1" t="s">
        <v>2</v>
      </c>
      <c r="D411" s="2">
        <v>46080</v>
      </c>
      <c r="E411" s="1" t="s">
        <v>101</v>
      </c>
      <c r="F411" s="1">
        <v>259</v>
      </c>
      <c r="G411" s="1">
        <v>14924</v>
      </c>
      <c r="H411" s="1" t="s">
        <v>113</v>
      </c>
      <c r="I411" s="1">
        <v>0</v>
      </c>
      <c r="J411" s="1">
        <v>27.95</v>
      </c>
      <c r="K411" s="3">
        <v>-9981.34</v>
      </c>
    </row>
    <row r="412" spans="1:11" x14ac:dyDescent="0.25">
      <c r="A412" t="s">
        <v>103</v>
      </c>
      <c r="B412" s="1" t="s">
        <v>102</v>
      </c>
      <c r="C412" s="1" t="s">
        <v>2</v>
      </c>
      <c r="D412" s="2">
        <v>46080</v>
      </c>
      <c r="E412" s="1" t="s">
        <v>101</v>
      </c>
      <c r="F412" s="1">
        <v>259</v>
      </c>
      <c r="G412" s="1">
        <v>14925</v>
      </c>
      <c r="H412" s="1" t="s">
        <v>112</v>
      </c>
      <c r="I412" s="1">
        <v>0</v>
      </c>
      <c r="J412" s="1">
        <v>27.95</v>
      </c>
      <c r="K412" s="3">
        <v>-10009.290000000001</v>
      </c>
    </row>
    <row r="413" spans="1:11" x14ac:dyDescent="0.25">
      <c r="A413" t="s">
        <v>103</v>
      </c>
      <c r="B413" s="1" t="s">
        <v>102</v>
      </c>
      <c r="C413" s="1" t="s">
        <v>2</v>
      </c>
      <c r="D413" s="2">
        <v>46080</v>
      </c>
      <c r="E413" s="1" t="s">
        <v>101</v>
      </c>
      <c r="F413" s="1">
        <v>259</v>
      </c>
      <c r="G413" s="1">
        <v>14926</v>
      </c>
      <c r="H413" s="1" t="s">
        <v>111</v>
      </c>
      <c r="I413" s="1">
        <v>0</v>
      </c>
      <c r="J413" s="1">
        <v>27.95</v>
      </c>
      <c r="K413" s="3">
        <v>-10037.24</v>
      </c>
    </row>
    <row r="414" spans="1:11" x14ac:dyDescent="0.25">
      <c r="A414" t="s">
        <v>103</v>
      </c>
      <c r="B414" s="1" t="s">
        <v>102</v>
      </c>
      <c r="C414" s="1" t="s">
        <v>2</v>
      </c>
      <c r="D414" s="2">
        <v>46080</v>
      </c>
      <c r="E414" s="1" t="s">
        <v>101</v>
      </c>
      <c r="F414" s="1">
        <v>259</v>
      </c>
      <c r="G414" s="1">
        <v>14927</v>
      </c>
      <c r="H414" s="1" t="s">
        <v>110</v>
      </c>
      <c r="I414" s="1">
        <v>0</v>
      </c>
      <c r="J414" s="1">
        <v>27.95</v>
      </c>
      <c r="K414" s="3">
        <v>-10065.19</v>
      </c>
    </row>
    <row r="415" spans="1:11" x14ac:dyDescent="0.25">
      <c r="A415" t="s">
        <v>103</v>
      </c>
      <c r="B415" s="1" t="s">
        <v>102</v>
      </c>
      <c r="C415" s="1" t="s">
        <v>2</v>
      </c>
      <c r="D415" s="2">
        <v>46080</v>
      </c>
      <c r="E415" s="1" t="s">
        <v>101</v>
      </c>
      <c r="F415" s="1">
        <v>259</v>
      </c>
      <c r="G415" s="1">
        <v>14931</v>
      </c>
      <c r="H415" s="1" t="s">
        <v>109</v>
      </c>
      <c r="I415" s="1">
        <v>0</v>
      </c>
      <c r="J415" s="1">
        <v>27.95</v>
      </c>
      <c r="K415" s="3">
        <v>-10093.14</v>
      </c>
    </row>
    <row r="416" spans="1:11" x14ac:dyDescent="0.25">
      <c r="A416" t="s">
        <v>103</v>
      </c>
      <c r="B416" s="1" t="s">
        <v>102</v>
      </c>
      <c r="C416" s="1" t="s">
        <v>2</v>
      </c>
      <c r="D416" s="2">
        <v>46080</v>
      </c>
      <c r="E416" s="1" t="s">
        <v>101</v>
      </c>
      <c r="F416" s="1">
        <v>259</v>
      </c>
      <c r="G416" s="1">
        <v>14932</v>
      </c>
      <c r="H416" s="1" t="s">
        <v>108</v>
      </c>
      <c r="I416" s="1">
        <v>0</v>
      </c>
      <c r="J416" s="1">
        <v>27.95</v>
      </c>
      <c r="K416" s="3">
        <v>-10121.09</v>
      </c>
    </row>
    <row r="417" spans="1:11" x14ac:dyDescent="0.25">
      <c r="A417" t="s">
        <v>103</v>
      </c>
      <c r="B417" s="1" t="s">
        <v>102</v>
      </c>
      <c r="C417" s="1" t="s">
        <v>2</v>
      </c>
      <c r="D417" s="2">
        <v>46057</v>
      </c>
      <c r="E417" s="1" t="s">
        <v>101</v>
      </c>
      <c r="F417" s="1">
        <v>51</v>
      </c>
      <c r="G417" s="1">
        <v>523</v>
      </c>
      <c r="H417" s="1" t="s">
        <v>107</v>
      </c>
      <c r="I417" s="1">
        <v>0</v>
      </c>
      <c r="J417" s="1">
        <v>15.65</v>
      </c>
      <c r="K417" s="3">
        <v>-10136.74</v>
      </c>
    </row>
    <row r="418" spans="1:11" x14ac:dyDescent="0.25">
      <c r="A418" t="s">
        <v>103</v>
      </c>
      <c r="B418" s="1" t="s">
        <v>102</v>
      </c>
      <c r="C418" s="1" t="s">
        <v>2</v>
      </c>
      <c r="D418" s="2">
        <v>46057</v>
      </c>
      <c r="E418" s="1" t="s">
        <v>101</v>
      </c>
      <c r="F418" s="1">
        <v>52</v>
      </c>
      <c r="G418" s="1">
        <v>17622</v>
      </c>
      <c r="H418" s="1" t="s">
        <v>106</v>
      </c>
      <c r="I418" s="1">
        <v>0</v>
      </c>
      <c r="J418" s="1">
        <v>91.8</v>
      </c>
      <c r="K418" s="3">
        <v>-10228.540000000001</v>
      </c>
    </row>
    <row r="419" spans="1:11" x14ac:dyDescent="0.25">
      <c r="A419" t="s">
        <v>103</v>
      </c>
      <c r="B419" s="1" t="s">
        <v>102</v>
      </c>
      <c r="C419" s="1" t="s">
        <v>2</v>
      </c>
      <c r="D419" s="2">
        <v>46058</v>
      </c>
      <c r="E419" s="1" t="s">
        <v>101</v>
      </c>
      <c r="F419" s="1">
        <v>54</v>
      </c>
      <c r="G419" s="1">
        <v>17621</v>
      </c>
      <c r="H419" s="1" t="s">
        <v>105</v>
      </c>
      <c r="I419" s="1">
        <v>0</v>
      </c>
      <c r="J419" s="1">
        <v>91.8</v>
      </c>
      <c r="K419" s="3">
        <v>-10320.34</v>
      </c>
    </row>
    <row r="420" spans="1:11" x14ac:dyDescent="0.25">
      <c r="A420" t="s">
        <v>103</v>
      </c>
      <c r="B420" s="1" t="s">
        <v>102</v>
      </c>
      <c r="C420" s="1" t="s">
        <v>2</v>
      </c>
      <c r="D420" s="2">
        <v>46058</v>
      </c>
      <c r="E420" s="1" t="s">
        <v>101</v>
      </c>
      <c r="F420" s="1">
        <v>55</v>
      </c>
      <c r="G420" s="1">
        <v>14870</v>
      </c>
      <c r="H420" s="1" t="s">
        <v>104</v>
      </c>
      <c r="I420" s="1">
        <v>0</v>
      </c>
      <c r="J420" s="1">
        <v>30.63</v>
      </c>
      <c r="K420" s="3">
        <v>-10350.969999999999</v>
      </c>
    </row>
    <row r="421" spans="1:11" x14ac:dyDescent="0.25">
      <c r="A421" t="s">
        <v>103</v>
      </c>
      <c r="B421" s="1" t="s">
        <v>102</v>
      </c>
      <c r="C421" s="1" t="s">
        <v>2</v>
      </c>
      <c r="D421" s="2">
        <v>46059</v>
      </c>
      <c r="E421" s="1" t="s">
        <v>101</v>
      </c>
      <c r="F421" s="1">
        <v>58</v>
      </c>
      <c r="G421" s="1">
        <v>14871</v>
      </c>
      <c r="H421" s="1" t="s">
        <v>100</v>
      </c>
      <c r="I421" s="1">
        <v>0</v>
      </c>
      <c r="J421" s="1">
        <v>9.2100000000000009</v>
      </c>
      <c r="K421" s="3">
        <v>-10360.18</v>
      </c>
    </row>
    <row r="422" spans="1:11" x14ac:dyDescent="0.25">
      <c r="A422" t="s">
        <v>9</v>
      </c>
      <c r="B422" s="1" t="s">
        <v>8</v>
      </c>
      <c r="C422" s="1" t="s">
        <v>2</v>
      </c>
      <c r="D422" s="2">
        <v>46063</v>
      </c>
      <c r="E422" s="1" t="s">
        <v>1</v>
      </c>
      <c r="F422" s="1">
        <v>104</v>
      </c>
      <c r="G422" s="1">
        <v>414</v>
      </c>
      <c r="H422" s="1" t="s">
        <v>99</v>
      </c>
      <c r="I422" s="1">
        <v>0</v>
      </c>
      <c r="J422" s="1">
        <v>13.65</v>
      </c>
      <c r="K422" s="1">
        <v>-13.65</v>
      </c>
    </row>
    <row r="423" spans="1:11" x14ac:dyDescent="0.25">
      <c r="A423" t="s">
        <v>9</v>
      </c>
      <c r="B423" s="1" t="s">
        <v>8</v>
      </c>
      <c r="C423" s="1" t="s">
        <v>2</v>
      </c>
      <c r="D423" s="2">
        <v>46063</v>
      </c>
      <c r="E423" s="1" t="s">
        <v>1</v>
      </c>
      <c r="F423" s="1">
        <v>104</v>
      </c>
      <c r="G423" s="1">
        <v>134</v>
      </c>
      <c r="H423" s="1" t="s">
        <v>98</v>
      </c>
      <c r="I423" s="1">
        <v>0</v>
      </c>
      <c r="J423" s="1">
        <v>4.2</v>
      </c>
      <c r="K423" s="1">
        <v>-17.850000000000001</v>
      </c>
    </row>
    <row r="424" spans="1:11" x14ac:dyDescent="0.25">
      <c r="A424" t="s">
        <v>9</v>
      </c>
      <c r="B424" s="1" t="s">
        <v>8</v>
      </c>
      <c r="C424" s="1" t="s">
        <v>2</v>
      </c>
      <c r="D424" s="2">
        <v>46064</v>
      </c>
      <c r="E424" s="1" t="s">
        <v>1</v>
      </c>
      <c r="F424" s="1">
        <v>105</v>
      </c>
      <c r="G424" s="1">
        <v>12507</v>
      </c>
      <c r="H424" s="1" t="s">
        <v>97</v>
      </c>
      <c r="I424" s="1">
        <v>0</v>
      </c>
      <c r="J424" s="1">
        <v>2.1</v>
      </c>
      <c r="K424" s="1">
        <v>-19.95</v>
      </c>
    </row>
    <row r="425" spans="1:11" x14ac:dyDescent="0.25">
      <c r="A425" t="s">
        <v>9</v>
      </c>
      <c r="B425" s="1" t="s">
        <v>8</v>
      </c>
      <c r="C425" s="1" t="s">
        <v>2</v>
      </c>
      <c r="D425" s="2">
        <v>46065</v>
      </c>
      <c r="E425" s="1" t="s">
        <v>1</v>
      </c>
      <c r="F425" s="1">
        <v>121</v>
      </c>
      <c r="G425" s="1">
        <v>1550</v>
      </c>
      <c r="H425" s="1" t="s">
        <v>96</v>
      </c>
      <c r="I425" s="1">
        <v>0</v>
      </c>
      <c r="J425" s="1">
        <v>17.350000000000001</v>
      </c>
      <c r="K425" s="1">
        <v>-37.299999999999997</v>
      </c>
    </row>
    <row r="426" spans="1:11" x14ac:dyDescent="0.25">
      <c r="A426" t="s">
        <v>9</v>
      </c>
      <c r="B426" s="1" t="s">
        <v>8</v>
      </c>
      <c r="C426" s="1" t="s">
        <v>2</v>
      </c>
      <c r="D426" s="2">
        <v>46065</v>
      </c>
      <c r="E426" s="1" t="s">
        <v>1</v>
      </c>
      <c r="F426" s="1">
        <v>121</v>
      </c>
      <c r="G426" s="1">
        <v>6283</v>
      </c>
      <c r="H426" s="1" t="s">
        <v>95</v>
      </c>
      <c r="I426" s="1">
        <v>0</v>
      </c>
      <c r="J426" s="1">
        <v>5.25</v>
      </c>
      <c r="K426" s="1">
        <v>-42.55</v>
      </c>
    </row>
    <row r="427" spans="1:11" x14ac:dyDescent="0.25">
      <c r="A427" t="s">
        <v>9</v>
      </c>
      <c r="B427" s="1" t="s">
        <v>8</v>
      </c>
      <c r="C427" s="1" t="s">
        <v>2</v>
      </c>
      <c r="D427" s="2">
        <v>46065</v>
      </c>
      <c r="E427" s="1" t="s">
        <v>1</v>
      </c>
      <c r="F427" s="1">
        <v>121</v>
      </c>
      <c r="G427" s="1">
        <v>76914</v>
      </c>
      <c r="H427" s="1" t="s">
        <v>94</v>
      </c>
      <c r="I427" s="1">
        <v>0</v>
      </c>
      <c r="J427" s="1">
        <v>11.49</v>
      </c>
      <c r="K427" s="1">
        <v>-54.04</v>
      </c>
    </row>
    <row r="428" spans="1:11" x14ac:dyDescent="0.25">
      <c r="A428" t="s">
        <v>9</v>
      </c>
      <c r="B428" s="1" t="s">
        <v>8</v>
      </c>
      <c r="C428" s="1" t="s">
        <v>2</v>
      </c>
      <c r="D428" s="2">
        <v>46065</v>
      </c>
      <c r="E428" s="1" t="s">
        <v>1</v>
      </c>
      <c r="F428" s="1">
        <v>121</v>
      </c>
      <c r="G428" s="1">
        <v>76915</v>
      </c>
      <c r="H428" s="1" t="s">
        <v>93</v>
      </c>
      <c r="I428" s="1">
        <v>0</v>
      </c>
      <c r="J428" s="1">
        <v>1.1299999999999999</v>
      </c>
      <c r="K428" s="1">
        <v>-55.17</v>
      </c>
    </row>
    <row r="429" spans="1:11" x14ac:dyDescent="0.25">
      <c r="A429" t="s">
        <v>9</v>
      </c>
      <c r="B429" s="1" t="s">
        <v>8</v>
      </c>
      <c r="C429" s="1" t="s">
        <v>2</v>
      </c>
      <c r="D429" s="2">
        <v>46065</v>
      </c>
      <c r="E429" s="1" t="s">
        <v>1</v>
      </c>
      <c r="F429" s="1">
        <v>121</v>
      </c>
      <c r="G429" s="1">
        <v>46</v>
      </c>
      <c r="H429" s="1" t="s">
        <v>92</v>
      </c>
      <c r="I429" s="1">
        <v>0</v>
      </c>
      <c r="J429" s="1">
        <v>288.89</v>
      </c>
      <c r="K429" s="1">
        <v>-344.06</v>
      </c>
    </row>
    <row r="430" spans="1:11" x14ac:dyDescent="0.25">
      <c r="A430" t="s">
        <v>9</v>
      </c>
      <c r="B430" s="1" t="s">
        <v>8</v>
      </c>
      <c r="C430" s="1" t="s">
        <v>2</v>
      </c>
      <c r="D430" s="2">
        <v>46065</v>
      </c>
      <c r="E430" s="1" t="s">
        <v>1</v>
      </c>
      <c r="F430" s="1">
        <v>121</v>
      </c>
      <c r="G430" s="1">
        <v>7220</v>
      </c>
      <c r="H430" s="1" t="s">
        <v>91</v>
      </c>
      <c r="I430" s="1">
        <v>0</v>
      </c>
      <c r="J430" s="1">
        <v>6.63</v>
      </c>
      <c r="K430" s="1">
        <v>-350.69</v>
      </c>
    </row>
    <row r="431" spans="1:11" x14ac:dyDescent="0.25">
      <c r="A431" t="s">
        <v>9</v>
      </c>
      <c r="B431" s="1" t="s">
        <v>8</v>
      </c>
      <c r="C431" s="1" t="s">
        <v>2</v>
      </c>
      <c r="D431" s="2">
        <v>46065</v>
      </c>
      <c r="E431" s="1" t="s">
        <v>1</v>
      </c>
      <c r="F431" s="1">
        <v>121</v>
      </c>
      <c r="G431" s="1">
        <v>6870</v>
      </c>
      <c r="H431" s="1" t="s">
        <v>90</v>
      </c>
      <c r="I431" s="1">
        <v>0</v>
      </c>
      <c r="J431" s="1">
        <v>4.78</v>
      </c>
      <c r="K431" s="1">
        <v>-355.47</v>
      </c>
    </row>
    <row r="432" spans="1:11" x14ac:dyDescent="0.25">
      <c r="A432" t="s">
        <v>9</v>
      </c>
      <c r="B432" s="1" t="s">
        <v>8</v>
      </c>
      <c r="C432" s="1" t="s">
        <v>2</v>
      </c>
      <c r="D432" s="2">
        <v>46070</v>
      </c>
      <c r="E432" s="1" t="s">
        <v>1</v>
      </c>
      <c r="F432" s="1">
        <v>135</v>
      </c>
      <c r="G432" s="1">
        <v>2</v>
      </c>
      <c r="H432" s="1" t="s">
        <v>89</v>
      </c>
      <c r="I432" s="1">
        <v>0</v>
      </c>
      <c r="J432" s="1">
        <v>330.75</v>
      </c>
      <c r="K432" s="1">
        <v>-686.22</v>
      </c>
    </row>
    <row r="433" spans="1:11" x14ac:dyDescent="0.25">
      <c r="A433" t="s">
        <v>9</v>
      </c>
      <c r="B433" s="1" t="s">
        <v>8</v>
      </c>
      <c r="C433" s="1" t="s">
        <v>2</v>
      </c>
      <c r="D433" s="2">
        <v>46071</v>
      </c>
      <c r="E433" s="1" t="s">
        <v>1</v>
      </c>
      <c r="F433" s="1">
        <v>160</v>
      </c>
      <c r="G433" s="1">
        <v>1113</v>
      </c>
      <c r="H433" s="1" t="s">
        <v>88</v>
      </c>
      <c r="I433" s="1">
        <v>0</v>
      </c>
      <c r="J433" s="1">
        <v>199.5</v>
      </c>
      <c r="K433" s="1">
        <v>-885.72</v>
      </c>
    </row>
    <row r="434" spans="1:11" x14ac:dyDescent="0.25">
      <c r="A434" t="s">
        <v>9</v>
      </c>
      <c r="B434" s="1" t="s">
        <v>8</v>
      </c>
      <c r="C434" s="1" t="s">
        <v>2</v>
      </c>
      <c r="D434" s="2">
        <v>46071</v>
      </c>
      <c r="E434" s="1" t="s">
        <v>1</v>
      </c>
      <c r="F434" s="1">
        <v>160</v>
      </c>
      <c r="G434" s="1">
        <v>1114</v>
      </c>
      <c r="H434" s="1" t="s">
        <v>87</v>
      </c>
      <c r="I434" s="1">
        <v>0</v>
      </c>
      <c r="J434" s="1">
        <v>199.5</v>
      </c>
      <c r="K434" s="3">
        <v>-1085.22</v>
      </c>
    </row>
    <row r="435" spans="1:11" x14ac:dyDescent="0.25">
      <c r="A435" t="s">
        <v>9</v>
      </c>
      <c r="B435" s="1" t="s">
        <v>8</v>
      </c>
      <c r="C435" s="1" t="s">
        <v>2</v>
      </c>
      <c r="D435" s="2">
        <v>46071</v>
      </c>
      <c r="E435" s="1" t="s">
        <v>1</v>
      </c>
      <c r="F435" s="1">
        <v>160</v>
      </c>
      <c r="G435" s="1">
        <v>451</v>
      </c>
      <c r="H435" s="1" t="s">
        <v>86</v>
      </c>
      <c r="I435" s="1">
        <v>0</v>
      </c>
      <c r="J435" s="1">
        <v>63.84</v>
      </c>
      <c r="K435" s="3">
        <v>-1149.06</v>
      </c>
    </row>
    <row r="436" spans="1:11" x14ac:dyDescent="0.25">
      <c r="A436" t="s">
        <v>9</v>
      </c>
      <c r="B436" s="1" t="s">
        <v>8</v>
      </c>
      <c r="C436" s="1" t="s">
        <v>2</v>
      </c>
      <c r="D436" s="2">
        <v>46071</v>
      </c>
      <c r="E436" s="1" t="s">
        <v>1</v>
      </c>
      <c r="F436" s="1">
        <v>160</v>
      </c>
      <c r="G436" s="1">
        <v>454</v>
      </c>
      <c r="H436" s="1" t="s">
        <v>85</v>
      </c>
      <c r="I436" s="1">
        <v>0</v>
      </c>
      <c r="J436" s="1">
        <v>47.64</v>
      </c>
      <c r="K436" s="3">
        <v>-1196.7</v>
      </c>
    </row>
    <row r="437" spans="1:11" x14ac:dyDescent="0.25">
      <c r="A437" t="s">
        <v>9</v>
      </c>
      <c r="B437" s="1" t="s">
        <v>8</v>
      </c>
      <c r="C437" s="1" t="s">
        <v>2</v>
      </c>
      <c r="D437" s="2">
        <v>46071</v>
      </c>
      <c r="E437" s="1" t="s">
        <v>1</v>
      </c>
      <c r="F437" s="1">
        <v>160</v>
      </c>
      <c r="G437" s="1">
        <v>456</v>
      </c>
      <c r="H437" s="1" t="s">
        <v>84</v>
      </c>
      <c r="I437" s="1">
        <v>0</v>
      </c>
      <c r="J437" s="1">
        <v>104.25</v>
      </c>
      <c r="K437" s="3">
        <v>-1300.95</v>
      </c>
    </row>
    <row r="438" spans="1:11" x14ac:dyDescent="0.25">
      <c r="A438" t="s">
        <v>9</v>
      </c>
      <c r="B438" s="1" t="s">
        <v>8</v>
      </c>
      <c r="C438" s="1" t="s">
        <v>2</v>
      </c>
      <c r="D438" s="2">
        <v>46071</v>
      </c>
      <c r="E438" s="1" t="s">
        <v>1</v>
      </c>
      <c r="F438" s="1">
        <v>160</v>
      </c>
      <c r="G438" s="1">
        <v>7432</v>
      </c>
      <c r="H438" s="1" t="s">
        <v>83</v>
      </c>
      <c r="I438" s="1">
        <v>0</v>
      </c>
      <c r="J438" s="1">
        <v>173.25</v>
      </c>
      <c r="K438" s="3">
        <v>-1474.2</v>
      </c>
    </row>
    <row r="439" spans="1:11" x14ac:dyDescent="0.25">
      <c r="A439" t="s">
        <v>9</v>
      </c>
      <c r="B439" s="1" t="s">
        <v>8</v>
      </c>
      <c r="C439" s="1" t="s">
        <v>2</v>
      </c>
      <c r="D439" s="2">
        <v>46071</v>
      </c>
      <c r="E439" s="1" t="s">
        <v>1</v>
      </c>
      <c r="F439" s="1">
        <v>160</v>
      </c>
      <c r="G439" s="1">
        <v>550</v>
      </c>
      <c r="H439" s="1" t="s">
        <v>82</v>
      </c>
      <c r="I439" s="1">
        <v>0</v>
      </c>
      <c r="J439" s="1">
        <v>10.5</v>
      </c>
      <c r="K439" s="3">
        <v>-1484.7</v>
      </c>
    </row>
    <row r="440" spans="1:11" x14ac:dyDescent="0.25">
      <c r="A440" t="s">
        <v>9</v>
      </c>
      <c r="B440" s="1" t="s">
        <v>8</v>
      </c>
      <c r="C440" s="1" t="s">
        <v>2</v>
      </c>
      <c r="D440" s="2">
        <v>46071</v>
      </c>
      <c r="E440" s="1" t="s">
        <v>1</v>
      </c>
      <c r="F440" s="1">
        <v>160</v>
      </c>
      <c r="G440" s="1">
        <v>3635</v>
      </c>
      <c r="H440" s="1" t="s">
        <v>81</v>
      </c>
      <c r="I440" s="1">
        <v>0</v>
      </c>
      <c r="J440" s="1">
        <v>51.14</v>
      </c>
      <c r="K440" s="3">
        <v>-1535.84</v>
      </c>
    </row>
    <row r="441" spans="1:11" x14ac:dyDescent="0.25">
      <c r="A441" t="s">
        <v>9</v>
      </c>
      <c r="B441" s="1" t="s">
        <v>8</v>
      </c>
      <c r="C441" s="1" t="s">
        <v>2</v>
      </c>
      <c r="D441" s="2">
        <v>46071</v>
      </c>
      <c r="E441" s="1" t="s">
        <v>1</v>
      </c>
      <c r="F441" s="1">
        <v>160</v>
      </c>
      <c r="G441" s="1">
        <v>137</v>
      </c>
      <c r="H441" s="1" t="s">
        <v>80</v>
      </c>
      <c r="I441" s="1">
        <v>0</v>
      </c>
      <c r="J441" s="1">
        <v>5.25</v>
      </c>
      <c r="K441" s="3">
        <v>-1541.09</v>
      </c>
    </row>
    <row r="442" spans="1:11" x14ac:dyDescent="0.25">
      <c r="A442" t="s">
        <v>9</v>
      </c>
      <c r="B442" s="1" t="s">
        <v>8</v>
      </c>
      <c r="C442" s="1" t="s">
        <v>2</v>
      </c>
      <c r="D442" s="2">
        <v>46071</v>
      </c>
      <c r="E442" s="1" t="s">
        <v>1</v>
      </c>
      <c r="F442" s="1">
        <v>160</v>
      </c>
      <c r="G442" s="1">
        <v>139</v>
      </c>
      <c r="H442" s="1" t="s">
        <v>79</v>
      </c>
      <c r="I442" s="1">
        <v>0</v>
      </c>
      <c r="J442" s="1">
        <v>4.2</v>
      </c>
      <c r="K442" s="3">
        <v>-1545.29</v>
      </c>
    </row>
    <row r="443" spans="1:11" x14ac:dyDescent="0.25">
      <c r="A443" t="s">
        <v>9</v>
      </c>
      <c r="B443" s="1" t="s">
        <v>8</v>
      </c>
      <c r="C443" s="1" t="s">
        <v>2</v>
      </c>
      <c r="D443" s="2">
        <v>46071</v>
      </c>
      <c r="E443" s="1" t="s">
        <v>1</v>
      </c>
      <c r="F443" s="1">
        <v>160</v>
      </c>
      <c r="G443" s="1">
        <v>140</v>
      </c>
      <c r="H443" s="1" t="s">
        <v>78</v>
      </c>
      <c r="I443" s="1">
        <v>0</v>
      </c>
      <c r="J443" s="1">
        <v>4.2</v>
      </c>
      <c r="K443" s="3">
        <v>-1549.49</v>
      </c>
    </row>
    <row r="444" spans="1:11" x14ac:dyDescent="0.25">
      <c r="A444" t="s">
        <v>9</v>
      </c>
      <c r="B444" s="1" t="s">
        <v>8</v>
      </c>
      <c r="C444" s="1" t="s">
        <v>2</v>
      </c>
      <c r="D444" s="2">
        <v>46071</v>
      </c>
      <c r="E444" s="1" t="s">
        <v>1</v>
      </c>
      <c r="F444" s="1">
        <v>160</v>
      </c>
      <c r="G444" s="1">
        <v>141</v>
      </c>
      <c r="H444" s="1" t="s">
        <v>77</v>
      </c>
      <c r="I444" s="1">
        <v>0</v>
      </c>
      <c r="J444" s="1">
        <v>4.2</v>
      </c>
      <c r="K444" s="3">
        <v>-1553.69</v>
      </c>
    </row>
    <row r="445" spans="1:11" x14ac:dyDescent="0.25">
      <c r="A445" t="s">
        <v>9</v>
      </c>
      <c r="B445" s="1" t="s">
        <v>8</v>
      </c>
      <c r="C445" s="1" t="s">
        <v>2</v>
      </c>
      <c r="D445" s="2">
        <v>46071</v>
      </c>
      <c r="E445" s="1" t="s">
        <v>1</v>
      </c>
      <c r="F445" s="1">
        <v>160</v>
      </c>
      <c r="G445" s="1">
        <v>142</v>
      </c>
      <c r="H445" s="1" t="s">
        <v>76</v>
      </c>
      <c r="I445" s="1">
        <v>0</v>
      </c>
      <c r="J445" s="1">
        <v>4.2</v>
      </c>
      <c r="K445" s="3">
        <v>-1557.89</v>
      </c>
    </row>
    <row r="446" spans="1:11" x14ac:dyDescent="0.25">
      <c r="A446" t="s">
        <v>9</v>
      </c>
      <c r="B446" s="1" t="s">
        <v>8</v>
      </c>
      <c r="C446" s="1" t="s">
        <v>2</v>
      </c>
      <c r="D446" s="2">
        <v>46071</v>
      </c>
      <c r="E446" s="1" t="s">
        <v>1</v>
      </c>
      <c r="F446" s="1">
        <v>160</v>
      </c>
      <c r="G446" s="1">
        <v>143</v>
      </c>
      <c r="H446" s="1" t="s">
        <v>75</v>
      </c>
      <c r="I446" s="1">
        <v>0</v>
      </c>
      <c r="J446" s="1">
        <v>4.2</v>
      </c>
      <c r="K446" s="3">
        <v>-1562.09</v>
      </c>
    </row>
    <row r="447" spans="1:11" x14ac:dyDescent="0.25">
      <c r="A447" t="s">
        <v>9</v>
      </c>
      <c r="B447" s="1" t="s">
        <v>8</v>
      </c>
      <c r="C447" s="1" t="s">
        <v>2</v>
      </c>
      <c r="D447" s="2">
        <v>46071</v>
      </c>
      <c r="E447" s="1" t="s">
        <v>1</v>
      </c>
      <c r="F447" s="1">
        <v>160</v>
      </c>
      <c r="G447" s="1">
        <v>6895</v>
      </c>
      <c r="H447" s="1" t="s">
        <v>74</v>
      </c>
      <c r="I447" s="1">
        <v>0</v>
      </c>
      <c r="J447" s="1">
        <v>2.27</v>
      </c>
      <c r="K447" s="3">
        <v>-1564.36</v>
      </c>
    </row>
    <row r="448" spans="1:11" x14ac:dyDescent="0.25">
      <c r="A448" t="s">
        <v>9</v>
      </c>
      <c r="B448" s="1" t="s">
        <v>8</v>
      </c>
      <c r="C448" s="1" t="s">
        <v>2</v>
      </c>
      <c r="D448" s="2">
        <v>46071</v>
      </c>
      <c r="E448" s="1" t="s">
        <v>1</v>
      </c>
      <c r="F448" s="1">
        <v>160</v>
      </c>
      <c r="G448" s="1">
        <v>3</v>
      </c>
      <c r="H448" s="1" t="s">
        <v>73</v>
      </c>
      <c r="I448" s="1">
        <v>0</v>
      </c>
      <c r="J448" s="1">
        <v>330.75</v>
      </c>
      <c r="K448" s="3">
        <v>-1895.11</v>
      </c>
    </row>
    <row r="449" spans="1:11" x14ac:dyDescent="0.25">
      <c r="A449" t="s">
        <v>9</v>
      </c>
      <c r="B449" s="1" t="s">
        <v>8</v>
      </c>
      <c r="C449" s="1" t="s">
        <v>2</v>
      </c>
      <c r="D449" s="2">
        <v>46072</v>
      </c>
      <c r="E449" s="1" t="s">
        <v>1</v>
      </c>
      <c r="F449" s="1">
        <v>162</v>
      </c>
      <c r="G449" s="1">
        <v>193539</v>
      </c>
      <c r="H449" s="1" t="s">
        <v>72</v>
      </c>
      <c r="I449" s="1">
        <v>0</v>
      </c>
      <c r="J449" s="1">
        <v>7.78</v>
      </c>
      <c r="K449" s="3">
        <v>-1902.89</v>
      </c>
    </row>
    <row r="450" spans="1:11" x14ac:dyDescent="0.25">
      <c r="A450" t="s">
        <v>9</v>
      </c>
      <c r="B450" s="1" t="s">
        <v>8</v>
      </c>
      <c r="C450" s="1" t="s">
        <v>2</v>
      </c>
      <c r="D450" s="2">
        <v>46075</v>
      </c>
      <c r="E450" s="1" t="s">
        <v>1</v>
      </c>
      <c r="F450" s="1">
        <v>202</v>
      </c>
      <c r="G450" s="1">
        <v>21000</v>
      </c>
      <c r="H450" s="1" t="s">
        <v>71</v>
      </c>
      <c r="I450" s="1">
        <v>0</v>
      </c>
      <c r="J450" s="1">
        <v>11.42</v>
      </c>
      <c r="K450" s="3">
        <v>-1914.31</v>
      </c>
    </row>
    <row r="451" spans="1:11" x14ac:dyDescent="0.25">
      <c r="A451" t="s">
        <v>9</v>
      </c>
      <c r="B451" s="1" t="s">
        <v>8</v>
      </c>
      <c r="C451" s="1" t="s">
        <v>2</v>
      </c>
      <c r="D451" s="2">
        <v>46075</v>
      </c>
      <c r="E451" s="1" t="s">
        <v>1</v>
      </c>
      <c r="F451" s="1">
        <v>202</v>
      </c>
      <c r="G451" s="1">
        <v>538</v>
      </c>
      <c r="H451" s="1" t="s">
        <v>70</v>
      </c>
      <c r="I451" s="1">
        <v>0</v>
      </c>
      <c r="J451" s="1">
        <v>18.38</v>
      </c>
      <c r="K451" s="3">
        <v>-1932.69</v>
      </c>
    </row>
    <row r="452" spans="1:11" x14ac:dyDescent="0.25">
      <c r="A452" t="s">
        <v>9</v>
      </c>
      <c r="B452" s="1" t="s">
        <v>8</v>
      </c>
      <c r="C452" s="1" t="s">
        <v>2</v>
      </c>
      <c r="D452" s="2">
        <v>46075</v>
      </c>
      <c r="E452" s="1" t="s">
        <v>1</v>
      </c>
      <c r="F452" s="1">
        <v>202</v>
      </c>
      <c r="G452" s="1">
        <v>2690</v>
      </c>
      <c r="H452" s="1" t="s">
        <v>69</v>
      </c>
      <c r="I452" s="1">
        <v>0</v>
      </c>
      <c r="J452" s="1">
        <v>2.56</v>
      </c>
      <c r="K452" s="3">
        <v>-1935.25</v>
      </c>
    </row>
    <row r="453" spans="1:11" x14ac:dyDescent="0.25">
      <c r="A453" t="s">
        <v>9</v>
      </c>
      <c r="B453" s="1" t="s">
        <v>8</v>
      </c>
      <c r="C453" s="1" t="s">
        <v>2</v>
      </c>
      <c r="D453" s="2">
        <v>46075</v>
      </c>
      <c r="E453" s="1" t="s">
        <v>1</v>
      </c>
      <c r="F453" s="1">
        <v>202</v>
      </c>
      <c r="G453" s="1">
        <v>2699</v>
      </c>
      <c r="H453" s="1" t="s">
        <v>68</v>
      </c>
      <c r="I453" s="1">
        <v>0</v>
      </c>
      <c r="J453" s="1">
        <v>2.56</v>
      </c>
      <c r="K453" s="3">
        <v>-1937.81</v>
      </c>
    </row>
    <row r="454" spans="1:11" x14ac:dyDescent="0.25">
      <c r="A454" t="s">
        <v>9</v>
      </c>
      <c r="B454" s="1" t="s">
        <v>8</v>
      </c>
      <c r="C454" s="1" t="s">
        <v>2</v>
      </c>
      <c r="D454" s="2">
        <v>46075</v>
      </c>
      <c r="E454" s="1" t="s">
        <v>1</v>
      </c>
      <c r="F454" s="1">
        <v>202</v>
      </c>
      <c r="G454" s="1">
        <v>2706</v>
      </c>
      <c r="H454" s="1" t="s">
        <v>67</v>
      </c>
      <c r="I454" s="1">
        <v>0</v>
      </c>
      <c r="J454" s="1">
        <v>2.56</v>
      </c>
      <c r="K454" s="3">
        <v>-1940.37</v>
      </c>
    </row>
    <row r="455" spans="1:11" x14ac:dyDescent="0.25">
      <c r="A455" t="s">
        <v>9</v>
      </c>
      <c r="B455" s="1" t="s">
        <v>8</v>
      </c>
      <c r="C455" s="1" t="s">
        <v>2</v>
      </c>
      <c r="D455" s="2">
        <v>46075</v>
      </c>
      <c r="E455" s="1" t="s">
        <v>1</v>
      </c>
      <c r="F455" s="1">
        <v>202</v>
      </c>
      <c r="G455" s="1">
        <v>2708</v>
      </c>
      <c r="H455" s="1" t="s">
        <v>66</v>
      </c>
      <c r="I455" s="1">
        <v>0</v>
      </c>
      <c r="J455" s="1">
        <v>2.56</v>
      </c>
      <c r="K455" s="3">
        <v>-1942.93</v>
      </c>
    </row>
    <row r="456" spans="1:11" x14ac:dyDescent="0.25">
      <c r="A456" t="s">
        <v>9</v>
      </c>
      <c r="B456" s="1" t="s">
        <v>8</v>
      </c>
      <c r="C456" s="1" t="s">
        <v>2</v>
      </c>
      <c r="D456" s="2">
        <v>46075</v>
      </c>
      <c r="E456" s="1" t="s">
        <v>1</v>
      </c>
      <c r="F456" s="1">
        <v>202</v>
      </c>
      <c r="G456" s="1">
        <v>177</v>
      </c>
      <c r="H456" s="1" t="s">
        <v>65</v>
      </c>
      <c r="I456" s="1">
        <v>0</v>
      </c>
      <c r="J456" s="3">
        <v>2061.87</v>
      </c>
      <c r="K456" s="3">
        <v>-4004.8</v>
      </c>
    </row>
    <row r="457" spans="1:11" x14ac:dyDescent="0.25">
      <c r="A457" t="s">
        <v>9</v>
      </c>
      <c r="B457" s="1" t="s">
        <v>8</v>
      </c>
      <c r="C457" s="1" t="s">
        <v>2</v>
      </c>
      <c r="D457" s="2">
        <v>46075</v>
      </c>
      <c r="E457" s="1" t="s">
        <v>1</v>
      </c>
      <c r="F457" s="1">
        <v>202</v>
      </c>
      <c r="G457" s="1">
        <v>3768</v>
      </c>
      <c r="H457" s="1" t="s">
        <v>64</v>
      </c>
      <c r="I457" s="1">
        <v>0</v>
      </c>
      <c r="J457" s="1">
        <v>280.45999999999998</v>
      </c>
      <c r="K457" s="3">
        <v>-4285.26</v>
      </c>
    </row>
    <row r="458" spans="1:11" x14ac:dyDescent="0.25">
      <c r="A458" t="s">
        <v>9</v>
      </c>
      <c r="B458" s="1" t="s">
        <v>8</v>
      </c>
      <c r="C458" s="1" t="s">
        <v>2</v>
      </c>
      <c r="D458" s="2">
        <v>46075</v>
      </c>
      <c r="E458" s="1" t="s">
        <v>1</v>
      </c>
      <c r="F458" s="1">
        <v>202</v>
      </c>
      <c r="G458" s="1">
        <v>2993</v>
      </c>
      <c r="H458" s="1" t="s">
        <v>63</v>
      </c>
      <c r="I458" s="1">
        <v>0</v>
      </c>
      <c r="J458" s="1">
        <v>42</v>
      </c>
      <c r="K458" s="3">
        <v>-4327.26</v>
      </c>
    </row>
    <row r="459" spans="1:11" x14ac:dyDescent="0.25">
      <c r="A459" t="s">
        <v>9</v>
      </c>
      <c r="B459" s="1" t="s">
        <v>8</v>
      </c>
      <c r="C459" s="1" t="s">
        <v>2</v>
      </c>
      <c r="D459" s="2">
        <v>46075</v>
      </c>
      <c r="E459" s="1" t="s">
        <v>1</v>
      </c>
      <c r="F459" s="1">
        <v>202</v>
      </c>
      <c r="G459" s="1">
        <v>1442</v>
      </c>
      <c r="H459" s="1" t="s">
        <v>62</v>
      </c>
      <c r="I459" s="1">
        <v>0</v>
      </c>
      <c r="J459" s="1">
        <v>43.35</v>
      </c>
      <c r="K459" s="3">
        <v>-4370.6099999999997</v>
      </c>
    </row>
    <row r="460" spans="1:11" x14ac:dyDescent="0.25">
      <c r="A460" t="s">
        <v>9</v>
      </c>
      <c r="B460" s="1" t="s">
        <v>8</v>
      </c>
      <c r="C460" s="1" t="s">
        <v>2</v>
      </c>
      <c r="D460" s="2">
        <v>46075</v>
      </c>
      <c r="E460" s="1" t="s">
        <v>1</v>
      </c>
      <c r="F460" s="1">
        <v>202</v>
      </c>
      <c r="G460" s="1">
        <v>6916</v>
      </c>
      <c r="H460" s="1" t="s">
        <v>61</v>
      </c>
      <c r="I460" s="1">
        <v>0</v>
      </c>
      <c r="J460" s="1">
        <v>1.51</v>
      </c>
      <c r="K460" s="3">
        <v>-4372.12</v>
      </c>
    </row>
    <row r="461" spans="1:11" x14ac:dyDescent="0.25">
      <c r="A461" t="s">
        <v>9</v>
      </c>
      <c r="B461" s="1" t="s">
        <v>8</v>
      </c>
      <c r="C461" s="1" t="s">
        <v>2</v>
      </c>
      <c r="D461" s="2">
        <v>46075</v>
      </c>
      <c r="E461" s="1" t="s">
        <v>1</v>
      </c>
      <c r="F461" s="1">
        <v>202</v>
      </c>
      <c r="G461" s="1">
        <v>7753</v>
      </c>
      <c r="H461" s="1" t="s">
        <v>60</v>
      </c>
      <c r="I461" s="1">
        <v>0</v>
      </c>
      <c r="J461" s="1">
        <v>9.65</v>
      </c>
      <c r="K461" s="3">
        <v>-4381.7700000000004</v>
      </c>
    </row>
    <row r="462" spans="1:11" x14ac:dyDescent="0.25">
      <c r="A462" t="s">
        <v>9</v>
      </c>
      <c r="B462" s="1" t="s">
        <v>8</v>
      </c>
      <c r="C462" s="1" t="s">
        <v>2</v>
      </c>
      <c r="D462" s="2">
        <v>46077</v>
      </c>
      <c r="E462" s="1" t="s">
        <v>1</v>
      </c>
      <c r="F462" s="1">
        <v>226</v>
      </c>
      <c r="G462" s="1">
        <v>628</v>
      </c>
      <c r="H462" s="1" t="s">
        <v>59</v>
      </c>
      <c r="I462" s="1">
        <v>0</v>
      </c>
      <c r="J462" s="1">
        <v>3.68</v>
      </c>
      <c r="K462" s="3">
        <v>-4385.45</v>
      </c>
    </row>
    <row r="463" spans="1:11" x14ac:dyDescent="0.25">
      <c r="A463" t="s">
        <v>9</v>
      </c>
      <c r="B463" s="1" t="s">
        <v>8</v>
      </c>
      <c r="C463" s="1" t="s">
        <v>2</v>
      </c>
      <c r="D463" s="2">
        <v>46077</v>
      </c>
      <c r="E463" s="1" t="s">
        <v>1</v>
      </c>
      <c r="F463" s="1">
        <v>226</v>
      </c>
      <c r="G463" s="1">
        <v>7757</v>
      </c>
      <c r="H463" s="1" t="s">
        <v>58</v>
      </c>
      <c r="I463" s="1">
        <v>0</v>
      </c>
      <c r="J463" s="1">
        <v>5.25</v>
      </c>
      <c r="K463" s="3">
        <v>-4390.7</v>
      </c>
    </row>
    <row r="464" spans="1:11" x14ac:dyDescent="0.25">
      <c r="A464" t="s">
        <v>9</v>
      </c>
      <c r="B464" s="1" t="s">
        <v>8</v>
      </c>
      <c r="C464" s="1" t="s">
        <v>2</v>
      </c>
      <c r="D464" s="2">
        <v>46077</v>
      </c>
      <c r="E464" s="1" t="s">
        <v>1</v>
      </c>
      <c r="F464" s="1">
        <v>226</v>
      </c>
      <c r="G464" s="1">
        <v>7758</v>
      </c>
      <c r="H464" s="1" t="s">
        <v>57</v>
      </c>
      <c r="I464" s="1">
        <v>0</v>
      </c>
      <c r="J464" s="1">
        <v>14.7</v>
      </c>
      <c r="K464" s="3">
        <v>-4405.3999999999996</v>
      </c>
    </row>
    <row r="465" spans="1:11" x14ac:dyDescent="0.25">
      <c r="A465" t="s">
        <v>9</v>
      </c>
      <c r="B465" s="1" t="s">
        <v>8</v>
      </c>
      <c r="C465" s="1" t="s">
        <v>2</v>
      </c>
      <c r="D465" s="2">
        <v>46077</v>
      </c>
      <c r="E465" s="1" t="s">
        <v>1</v>
      </c>
      <c r="F465" s="1">
        <v>226</v>
      </c>
      <c r="G465" s="1">
        <v>7759</v>
      </c>
      <c r="H465" s="1" t="s">
        <v>56</v>
      </c>
      <c r="I465" s="1">
        <v>0</v>
      </c>
      <c r="J465" s="1">
        <v>39.380000000000003</v>
      </c>
      <c r="K465" s="3">
        <v>-4444.78</v>
      </c>
    </row>
    <row r="466" spans="1:11" x14ac:dyDescent="0.25">
      <c r="A466" t="s">
        <v>9</v>
      </c>
      <c r="B466" s="1" t="s">
        <v>8</v>
      </c>
      <c r="C466" s="1" t="s">
        <v>2</v>
      </c>
      <c r="D466" s="2">
        <v>46077</v>
      </c>
      <c r="E466" s="1" t="s">
        <v>1</v>
      </c>
      <c r="F466" s="1">
        <v>226</v>
      </c>
      <c r="G466" s="1">
        <v>7760</v>
      </c>
      <c r="H466" s="1" t="s">
        <v>55</v>
      </c>
      <c r="I466" s="1">
        <v>0</v>
      </c>
      <c r="J466" s="1">
        <v>6.3</v>
      </c>
      <c r="K466" s="3">
        <v>-4451.08</v>
      </c>
    </row>
    <row r="467" spans="1:11" x14ac:dyDescent="0.25">
      <c r="A467" t="s">
        <v>9</v>
      </c>
      <c r="B467" s="1" t="s">
        <v>8</v>
      </c>
      <c r="C467" s="1" t="s">
        <v>2</v>
      </c>
      <c r="D467" s="2">
        <v>46077</v>
      </c>
      <c r="E467" s="1" t="s">
        <v>1</v>
      </c>
      <c r="F467" s="1">
        <v>226</v>
      </c>
      <c r="G467" s="1">
        <v>7761</v>
      </c>
      <c r="H467" s="1" t="s">
        <v>54</v>
      </c>
      <c r="I467" s="1">
        <v>0</v>
      </c>
      <c r="J467" s="1">
        <v>6.3</v>
      </c>
      <c r="K467" s="3">
        <v>-4457.38</v>
      </c>
    </row>
    <row r="468" spans="1:11" x14ac:dyDescent="0.25">
      <c r="A468" t="s">
        <v>9</v>
      </c>
      <c r="B468" s="1" t="s">
        <v>8</v>
      </c>
      <c r="C468" s="1" t="s">
        <v>2</v>
      </c>
      <c r="D468" s="2">
        <v>46079</v>
      </c>
      <c r="E468" s="1" t="s">
        <v>1</v>
      </c>
      <c r="F468" s="1">
        <v>258</v>
      </c>
      <c r="G468" s="1">
        <v>11919</v>
      </c>
      <c r="H468" s="1" t="s">
        <v>53</v>
      </c>
      <c r="I468" s="1">
        <v>0</v>
      </c>
      <c r="J468" s="1">
        <v>20.55</v>
      </c>
      <c r="K468" s="3">
        <v>-4477.93</v>
      </c>
    </row>
    <row r="469" spans="1:11" x14ac:dyDescent="0.25">
      <c r="A469" t="s">
        <v>9</v>
      </c>
      <c r="B469" s="1" t="s">
        <v>8</v>
      </c>
      <c r="C469" s="1" t="s">
        <v>2</v>
      </c>
      <c r="D469" s="2">
        <v>46079</v>
      </c>
      <c r="E469" s="1" t="s">
        <v>1</v>
      </c>
      <c r="F469" s="1">
        <v>258</v>
      </c>
      <c r="G469" s="1">
        <v>914</v>
      </c>
      <c r="H469" s="1" t="s">
        <v>52</v>
      </c>
      <c r="I469" s="1">
        <v>0</v>
      </c>
      <c r="J469" s="1">
        <v>1.58</v>
      </c>
      <c r="K469" s="3">
        <v>-4479.51</v>
      </c>
    </row>
    <row r="470" spans="1:11" x14ac:dyDescent="0.25">
      <c r="A470" t="s">
        <v>9</v>
      </c>
      <c r="B470" s="1" t="s">
        <v>8</v>
      </c>
      <c r="C470" s="1" t="s">
        <v>2</v>
      </c>
      <c r="D470" s="2">
        <v>46079</v>
      </c>
      <c r="E470" s="1" t="s">
        <v>1</v>
      </c>
      <c r="F470" s="1">
        <v>258</v>
      </c>
      <c r="G470" s="1">
        <v>7768</v>
      </c>
      <c r="H470" s="1" t="s">
        <v>51</v>
      </c>
      <c r="I470" s="1">
        <v>0</v>
      </c>
      <c r="J470" s="1">
        <v>6.3</v>
      </c>
      <c r="K470" s="3">
        <v>-4485.8100000000004</v>
      </c>
    </row>
    <row r="471" spans="1:11" x14ac:dyDescent="0.25">
      <c r="A471" t="s">
        <v>9</v>
      </c>
      <c r="B471" s="1" t="s">
        <v>8</v>
      </c>
      <c r="C471" s="1" t="s">
        <v>2</v>
      </c>
      <c r="D471" s="2">
        <v>46079</v>
      </c>
      <c r="E471" s="1" t="s">
        <v>1</v>
      </c>
      <c r="F471" s="1">
        <v>258</v>
      </c>
      <c r="G471" s="1">
        <v>7769</v>
      </c>
      <c r="H471" s="1" t="s">
        <v>50</v>
      </c>
      <c r="I471" s="1">
        <v>0</v>
      </c>
      <c r="J471" s="1">
        <v>6.3</v>
      </c>
      <c r="K471" s="3">
        <v>-4492.1099999999997</v>
      </c>
    </row>
    <row r="472" spans="1:11" x14ac:dyDescent="0.25">
      <c r="A472" t="s">
        <v>9</v>
      </c>
      <c r="B472" s="1" t="s">
        <v>8</v>
      </c>
      <c r="C472" s="1" t="s">
        <v>2</v>
      </c>
      <c r="D472" s="2">
        <v>46079</v>
      </c>
      <c r="E472" s="1" t="s">
        <v>1</v>
      </c>
      <c r="F472" s="1">
        <v>258</v>
      </c>
      <c r="G472" s="1">
        <v>7770</v>
      </c>
      <c r="H472" s="1" t="s">
        <v>49</v>
      </c>
      <c r="I472" s="1">
        <v>0</v>
      </c>
      <c r="J472" s="1">
        <v>6.3</v>
      </c>
      <c r="K472" s="3">
        <v>-4498.41</v>
      </c>
    </row>
    <row r="473" spans="1:11" x14ac:dyDescent="0.25">
      <c r="A473" t="s">
        <v>9</v>
      </c>
      <c r="B473" s="1" t="s">
        <v>8</v>
      </c>
      <c r="C473" s="1" t="s">
        <v>2</v>
      </c>
      <c r="D473" s="2">
        <v>46055</v>
      </c>
      <c r="E473" s="1" t="s">
        <v>1</v>
      </c>
      <c r="F473" s="1">
        <v>29</v>
      </c>
      <c r="G473" s="1">
        <v>195</v>
      </c>
      <c r="H473" s="1" t="s">
        <v>48</v>
      </c>
      <c r="I473" s="1">
        <v>0</v>
      </c>
      <c r="J473" s="3">
        <v>1271.3499999999999</v>
      </c>
      <c r="K473" s="3">
        <v>-5769.76</v>
      </c>
    </row>
    <row r="474" spans="1:11" x14ac:dyDescent="0.25">
      <c r="A474" t="s">
        <v>9</v>
      </c>
      <c r="B474" s="1" t="s">
        <v>8</v>
      </c>
      <c r="C474" s="1" t="s">
        <v>2</v>
      </c>
      <c r="D474" s="2">
        <v>46055</v>
      </c>
      <c r="E474" s="1" t="s">
        <v>1</v>
      </c>
      <c r="F474" s="1">
        <v>29</v>
      </c>
      <c r="G474" s="1">
        <v>196</v>
      </c>
      <c r="H474" s="1" t="s">
        <v>47</v>
      </c>
      <c r="I474" s="1">
        <v>0</v>
      </c>
      <c r="J474" s="1">
        <v>787.5</v>
      </c>
      <c r="K474" s="3">
        <v>-6557.26</v>
      </c>
    </row>
    <row r="475" spans="1:11" x14ac:dyDescent="0.25">
      <c r="A475" t="s">
        <v>9</v>
      </c>
      <c r="B475" s="1" t="s">
        <v>8</v>
      </c>
      <c r="C475" s="1" t="s">
        <v>2</v>
      </c>
      <c r="D475" s="2">
        <v>46055</v>
      </c>
      <c r="E475" s="1" t="s">
        <v>1</v>
      </c>
      <c r="F475" s="1">
        <v>29</v>
      </c>
      <c r="G475" s="1">
        <v>820</v>
      </c>
      <c r="H475" s="1" t="s">
        <v>46</v>
      </c>
      <c r="I475" s="1">
        <v>0</v>
      </c>
      <c r="J475" s="1">
        <v>26.25</v>
      </c>
      <c r="K475" s="3">
        <v>-6583.51</v>
      </c>
    </row>
    <row r="476" spans="1:11" x14ac:dyDescent="0.25">
      <c r="A476" t="s">
        <v>9</v>
      </c>
      <c r="B476" s="1" t="s">
        <v>8</v>
      </c>
      <c r="C476" s="1" t="s">
        <v>2</v>
      </c>
      <c r="D476" s="2">
        <v>46055</v>
      </c>
      <c r="E476" s="1" t="s">
        <v>1</v>
      </c>
      <c r="F476" s="1">
        <v>29</v>
      </c>
      <c r="G476" s="1">
        <v>448</v>
      </c>
      <c r="H476" s="1" t="s">
        <v>45</v>
      </c>
      <c r="I476" s="1">
        <v>0</v>
      </c>
      <c r="J476" s="1">
        <v>735</v>
      </c>
      <c r="K476" s="3">
        <v>-7318.51</v>
      </c>
    </row>
    <row r="477" spans="1:11" x14ac:dyDescent="0.25">
      <c r="A477" t="s">
        <v>9</v>
      </c>
      <c r="B477" s="1" t="s">
        <v>8</v>
      </c>
      <c r="C477" s="1" t="s">
        <v>2</v>
      </c>
      <c r="D477" s="2">
        <v>46055</v>
      </c>
      <c r="E477" s="1" t="s">
        <v>1</v>
      </c>
      <c r="F477" s="1">
        <v>29</v>
      </c>
      <c r="G477" s="1">
        <v>811</v>
      </c>
      <c r="H477" s="1" t="s">
        <v>44</v>
      </c>
      <c r="I477" s="1">
        <v>0</v>
      </c>
      <c r="J477" s="1">
        <v>45.65</v>
      </c>
      <c r="K477" s="3">
        <v>-7364.16</v>
      </c>
    </row>
    <row r="478" spans="1:11" x14ac:dyDescent="0.25">
      <c r="A478" t="s">
        <v>9</v>
      </c>
      <c r="B478" s="1" t="s">
        <v>8</v>
      </c>
      <c r="C478" s="1" t="s">
        <v>2</v>
      </c>
      <c r="D478" s="2">
        <v>46055</v>
      </c>
      <c r="E478" s="1" t="s">
        <v>1</v>
      </c>
      <c r="F478" s="1">
        <v>29</v>
      </c>
      <c r="G478" s="1">
        <v>170</v>
      </c>
      <c r="H478" s="1" t="s">
        <v>43</v>
      </c>
      <c r="I478" s="1">
        <v>0</v>
      </c>
      <c r="J478" s="1">
        <v>8.4</v>
      </c>
      <c r="K478" s="3">
        <v>-7372.56</v>
      </c>
    </row>
    <row r="479" spans="1:11" x14ac:dyDescent="0.25">
      <c r="A479" t="s">
        <v>9</v>
      </c>
      <c r="B479" s="1" t="s">
        <v>8</v>
      </c>
      <c r="C479" s="1" t="s">
        <v>2</v>
      </c>
      <c r="D479" s="2">
        <v>46055</v>
      </c>
      <c r="E479" s="1" t="s">
        <v>1</v>
      </c>
      <c r="F479" s="1">
        <v>29</v>
      </c>
      <c r="G479" s="1">
        <v>116</v>
      </c>
      <c r="H479" s="1" t="s">
        <v>42</v>
      </c>
      <c r="I479" s="1">
        <v>0</v>
      </c>
      <c r="J479" s="1">
        <v>5.25</v>
      </c>
      <c r="K479" s="3">
        <v>-7377.81</v>
      </c>
    </row>
    <row r="480" spans="1:11" x14ac:dyDescent="0.25">
      <c r="A480" t="s">
        <v>9</v>
      </c>
      <c r="B480" s="1" t="s">
        <v>8</v>
      </c>
      <c r="C480" s="1" t="s">
        <v>2</v>
      </c>
      <c r="D480" s="2">
        <v>46055</v>
      </c>
      <c r="E480" s="1" t="s">
        <v>1</v>
      </c>
      <c r="F480" s="1">
        <v>29</v>
      </c>
      <c r="G480" s="1">
        <v>118</v>
      </c>
      <c r="H480" s="1" t="s">
        <v>41</v>
      </c>
      <c r="I480" s="1">
        <v>0</v>
      </c>
      <c r="J480" s="1">
        <v>5.25</v>
      </c>
      <c r="K480" s="3">
        <v>-7383.06</v>
      </c>
    </row>
    <row r="481" spans="1:11" x14ac:dyDescent="0.25">
      <c r="A481" t="s">
        <v>9</v>
      </c>
      <c r="B481" s="1" t="s">
        <v>8</v>
      </c>
      <c r="C481" s="1" t="s">
        <v>2</v>
      </c>
      <c r="D481" s="2">
        <v>46055</v>
      </c>
      <c r="E481" s="1" t="s">
        <v>1</v>
      </c>
      <c r="F481" s="1">
        <v>29</v>
      </c>
      <c r="G481" s="1">
        <v>119</v>
      </c>
      <c r="H481" s="1" t="s">
        <v>40</v>
      </c>
      <c r="I481" s="1">
        <v>0</v>
      </c>
      <c r="J481" s="1">
        <v>5.25</v>
      </c>
      <c r="K481" s="3">
        <v>-7388.31</v>
      </c>
    </row>
    <row r="482" spans="1:11" x14ac:dyDescent="0.25">
      <c r="A482" t="s">
        <v>9</v>
      </c>
      <c r="B482" s="1" t="s">
        <v>8</v>
      </c>
      <c r="C482" s="1" t="s">
        <v>2</v>
      </c>
      <c r="D482" s="2">
        <v>46055</v>
      </c>
      <c r="E482" s="1" t="s">
        <v>1</v>
      </c>
      <c r="F482" s="1">
        <v>29</v>
      </c>
      <c r="G482" s="1">
        <v>120</v>
      </c>
      <c r="H482" s="1" t="s">
        <v>39</v>
      </c>
      <c r="I482" s="1">
        <v>0</v>
      </c>
      <c r="J482" s="1">
        <v>5.25</v>
      </c>
      <c r="K482" s="3">
        <v>-7393.56</v>
      </c>
    </row>
    <row r="483" spans="1:11" x14ac:dyDescent="0.25">
      <c r="A483" t="s">
        <v>9</v>
      </c>
      <c r="B483" s="1" t="s">
        <v>8</v>
      </c>
      <c r="C483" s="1" t="s">
        <v>2</v>
      </c>
      <c r="D483" s="2">
        <v>46081</v>
      </c>
      <c r="E483" s="1" t="s">
        <v>1</v>
      </c>
      <c r="F483" s="1">
        <v>311</v>
      </c>
      <c r="G483" s="1">
        <v>53046</v>
      </c>
      <c r="H483" s="1" t="s">
        <v>38</v>
      </c>
      <c r="I483" s="1">
        <v>0</v>
      </c>
      <c r="J483" s="1">
        <v>88.83</v>
      </c>
      <c r="K483" s="3">
        <v>-7482.39</v>
      </c>
    </row>
    <row r="484" spans="1:11" x14ac:dyDescent="0.25">
      <c r="A484" t="s">
        <v>9</v>
      </c>
      <c r="B484" s="1" t="s">
        <v>8</v>
      </c>
      <c r="C484" s="1" t="s">
        <v>2</v>
      </c>
      <c r="D484" s="2">
        <v>46056</v>
      </c>
      <c r="E484" s="1" t="s">
        <v>1</v>
      </c>
      <c r="F484" s="1">
        <v>37</v>
      </c>
      <c r="G484" s="1">
        <v>5489</v>
      </c>
      <c r="H484" s="1" t="s">
        <v>37</v>
      </c>
      <c r="I484" s="1">
        <v>0</v>
      </c>
      <c r="J484" s="1">
        <v>69.3</v>
      </c>
      <c r="K484" s="3">
        <v>-7551.69</v>
      </c>
    </row>
    <row r="485" spans="1:11" x14ac:dyDescent="0.25">
      <c r="A485" t="s">
        <v>9</v>
      </c>
      <c r="B485" s="1" t="s">
        <v>8</v>
      </c>
      <c r="C485" s="1" t="s">
        <v>2</v>
      </c>
      <c r="D485" s="2">
        <v>46056</v>
      </c>
      <c r="E485" s="1" t="s">
        <v>1</v>
      </c>
      <c r="F485" s="1">
        <v>37</v>
      </c>
      <c r="G485" s="1">
        <v>13391</v>
      </c>
      <c r="H485" s="1" t="s">
        <v>36</v>
      </c>
      <c r="I485" s="1">
        <v>0</v>
      </c>
      <c r="J485" s="1">
        <v>34.159999999999997</v>
      </c>
      <c r="K485" s="3">
        <v>-7585.85</v>
      </c>
    </row>
    <row r="486" spans="1:11" x14ac:dyDescent="0.25">
      <c r="A486" t="s">
        <v>9</v>
      </c>
      <c r="B486" s="1" t="s">
        <v>8</v>
      </c>
      <c r="C486" s="1" t="s">
        <v>2</v>
      </c>
      <c r="D486" s="2">
        <v>46056</v>
      </c>
      <c r="E486" s="1" t="s">
        <v>1</v>
      </c>
      <c r="F486" s="1">
        <v>37</v>
      </c>
      <c r="G486" s="1">
        <v>122</v>
      </c>
      <c r="H486" s="1" t="s">
        <v>35</v>
      </c>
      <c r="I486" s="1">
        <v>0</v>
      </c>
      <c r="J486" s="1">
        <v>4.2</v>
      </c>
      <c r="K486" s="3">
        <v>-7590.05</v>
      </c>
    </row>
    <row r="487" spans="1:11" x14ac:dyDescent="0.25">
      <c r="A487" t="s">
        <v>9</v>
      </c>
      <c r="B487" s="1" t="s">
        <v>8</v>
      </c>
      <c r="C487" s="1" t="s">
        <v>2</v>
      </c>
      <c r="D487" s="2">
        <v>46056</v>
      </c>
      <c r="E487" s="1" t="s">
        <v>1</v>
      </c>
      <c r="F487" s="1">
        <v>37</v>
      </c>
      <c r="G487" s="1">
        <v>123</v>
      </c>
      <c r="H487" s="1" t="s">
        <v>34</v>
      </c>
      <c r="I487" s="1">
        <v>0</v>
      </c>
      <c r="J487" s="1">
        <v>4.2</v>
      </c>
      <c r="K487" s="3">
        <v>-7594.25</v>
      </c>
    </row>
    <row r="488" spans="1:11" x14ac:dyDescent="0.25">
      <c r="A488" t="s">
        <v>9</v>
      </c>
      <c r="B488" s="1" t="s">
        <v>8</v>
      </c>
      <c r="C488" s="1" t="s">
        <v>2</v>
      </c>
      <c r="D488" s="2">
        <v>46056</v>
      </c>
      <c r="E488" s="1" t="s">
        <v>1</v>
      </c>
      <c r="F488" s="1">
        <v>37</v>
      </c>
      <c r="G488" s="1">
        <v>124</v>
      </c>
      <c r="H488" s="1" t="s">
        <v>33</v>
      </c>
      <c r="I488" s="1">
        <v>0</v>
      </c>
      <c r="J488" s="1">
        <v>15.75</v>
      </c>
      <c r="K488" s="3">
        <v>-7610</v>
      </c>
    </row>
    <row r="489" spans="1:11" x14ac:dyDescent="0.25">
      <c r="A489" t="s">
        <v>9</v>
      </c>
      <c r="B489" s="1" t="s">
        <v>8</v>
      </c>
      <c r="C489" s="1" t="s">
        <v>2</v>
      </c>
      <c r="D489" s="2">
        <v>46056</v>
      </c>
      <c r="E489" s="1" t="s">
        <v>1</v>
      </c>
      <c r="F489" s="1">
        <v>37</v>
      </c>
      <c r="G489" s="1">
        <v>125</v>
      </c>
      <c r="H489" s="1" t="s">
        <v>32</v>
      </c>
      <c r="I489" s="1">
        <v>0</v>
      </c>
      <c r="J489" s="1">
        <v>4.2</v>
      </c>
      <c r="K489" s="3">
        <v>-7614.2</v>
      </c>
    </row>
    <row r="490" spans="1:11" x14ac:dyDescent="0.25">
      <c r="A490" t="s">
        <v>9</v>
      </c>
      <c r="B490" s="1" t="s">
        <v>8</v>
      </c>
      <c r="C490" s="1" t="s">
        <v>2</v>
      </c>
      <c r="D490" s="2">
        <v>46057</v>
      </c>
      <c r="E490" s="1" t="s">
        <v>1</v>
      </c>
      <c r="F490" s="1">
        <v>53</v>
      </c>
      <c r="G490" s="1">
        <v>377</v>
      </c>
      <c r="H490" s="1" t="s">
        <v>31</v>
      </c>
      <c r="I490" s="1">
        <v>0</v>
      </c>
      <c r="J490" s="1">
        <v>10.5</v>
      </c>
      <c r="K490" s="3">
        <v>-7624.7</v>
      </c>
    </row>
    <row r="491" spans="1:11" x14ac:dyDescent="0.25">
      <c r="A491" t="s">
        <v>9</v>
      </c>
      <c r="B491" s="1" t="s">
        <v>8</v>
      </c>
      <c r="C491" s="1" t="s">
        <v>2</v>
      </c>
      <c r="D491" s="2">
        <v>46057</v>
      </c>
      <c r="E491" s="1" t="s">
        <v>1</v>
      </c>
      <c r="F491" s="1">
        <v>53</v>
      </c>
      <c r="G491" s="1">
        <v>1804</v>
      </c>
      <c r="H491" s="1" t="s">
        <v>30</v>
      </c>
      <c r="I491" s="1">
        <v>0</v>
      </c>
      <c r="J491" s="1">
        <v>21.94</v>
      </c>
      <c r="K491" s="3">
        <v>-7646.64</v>
      </c>
    </row>
    <row r="492" spans="1:11" x14ac:dyDescent="0.25">
      <c r="A492" t="s">
        <v>9</v>
      </c>
      <c r="B492" s="1" t="s">
        <v>8</v>
      </c>
      <c r="C492" s="1" t="s">
        <v>2</v>
      </c>
      <c r="D492" s="2">
        <v>46057</v>
      </c>
      <c r="E492" s="1" t="s">
        <v>1</v>
      </c>
      <c r="F492" s="1">
        <v>53</v>
      </c>
      <c r="G492" s="1">
        <v>76818</v>
      </c>
      <c r="H492" s="1" t="s">
        <v>29</v>
      </c>
      <c r="I492" s="1">
        <v>0</v>
      </c>
      <c r="J492" s="1">
        <v>7.19</v>
      </c>
      <c r="K492" s="3">
        <v>-7653.83</v>
      </c>
    </row>
    <row r="493" spans="1:11" x14ac:dyDescent="0.25">
      <c r="A493" t="s">
        <v>9</v>
      </c>
      <c r="B493" s="1" t="s">
        <v>8</v>
      </c>
      <c r="C493" s="1" t="s">
        <v>2</v>
      </c>
      <c r="D493" s="2">
        <v>46057</v>
      </c>
      <c r="E493" s="1" t="s">
        <v>1</v>
      </c>
      <c r="F493" s="1">
        <v>53</v>
      </c>
      <c r="G493" s="1">
        <v>76819</v>
      </c>
      <c r="H493" s="1" t="s">
        <v>28</v>
      </c>
      <c r="I493" s="1">
        <v>0</v>
      </c>
      <c r="J493" s="1">
        <v>1.1299999999999999</v>
      </c>
      <c r="K493" s="3">
        <v>-7654.96</v>
      </c>
    </row>
    <row r="494" spans="1:11" x14ac:dyDescent="0.25">
      <c r="A494" t="s">
        <v>9</v>
      </c>
      <c r="B494" s="1" t="s">
        <v>8</v>
      </c>
      <c r="C494" s="1" t="s">
        <v>2</v>
      </c>
      <c r="D494" s="2">
        <v>46057</v>
      </c>
      <c r="E494" s="1" t="s">
        <v>1</v>
      </c>
      <c r="F494" s="1">
        <v>53</v>
      </c>
      <c r="G494" s="1">
        <v>52803</v>
      </c>
      <c r="H494" s="1" t="s">
        <v>27</v>
      </c>
      <c r="I494" s="1">
        <v>0</v>
      </c>
      <c r="J494" s="1">
        <v>2.04</v>
      </c>
      <c r="K494" s="3">
        <v>-7657</v>
      </c>
    </row>
    <row r="495" spans="1:11" x14ac:dyDescent="0.25">
      <c r="A495" t="s">
        <v>9</v>
      </c>
      <c r="B495" s="1" t="s">
        <v>8</v>
      </c>
      <c r="C495" s="1" t="s">
        <v>2</v>
      </c>
      <c r="D495" s="2">
        <v>46058</v>
      </c>
      <c r="E495" s="1" t="s">
        <v>1</v>
      </c>
      <c r="F495" s="1">
        <v>57</v>
      </c>
      <c r="G495" s="1">
        <v>212880</v>
      </c>
      <c r="H495" s="1" t="s">
        <v>26</v>
      </c>
      <c r="I495" s="1">
        <v>0</v>
      </c>
      <c r="J495" s="1">
        <v>10.6</v>
      </c>
      <c r="K495" s="3">
        <v>-7667.6</v>
      </c>
    </row>
    <row r="496" spans="1:11" x14ac:dyDescent="0.25">
      <c r="A496" t="s">
        <v>9</v>
      </c>
      <c r="B496" s="1" t="s">
        <v>8</v>
      </c>
      <c r="C496" s="1" t="s">
        <v>2</v>
      </c>
      <c r="D496" s="2">
        <v>46058</v>
      </c>
      <c r="E496" s="1" t="s">
        <v>1</v>
      </c>
      <c r="F496" s="1">
        <v>57</v>
      </c>
      <c r="G496" s="1">
        <v>776</v>
      </c>
      <c r="H496" s="1" t="s">
        <v>25</v>
      </c>
      <c r="I496" s="1">
        <v>0</v>
      </c>
      <c r="J496" s="1">
        <v>16.8</v>
      </c>
      <c r="K496" s="3">
        <v>-7684.4</v>
      </c>
    </row>
    <row r="497" spans="1:11" x14ac:dyDescent="0.25">
      <c r="A497" t="s">
        <v>9</v>
      </c>
      <c r="B497" s="1" t="s">
        <v>8</v>
      </c>
      <c r="C497" s="1" t="s">
        <v>2</v>
      </c>
      <c r="D497" s="2">
        <v>46058</v>
      </c>
      <c r="E497" s="1" t="s">
        <v>1</v>
      </c>
      <c r="F497" s="1">
        <v>57</v>
      </c>
      <c r="G497" s="1">
        <v>2473</v>
      </c>
      <c r="H497" s="1" t="s">
        <v>24</v>
      </c>
      <c r="I497" s="1">
        <v>0</v>
      </c>
      <c r="J497" s="1">
        <v>119.18</v>
      </c>
      <c r="K497" s="3">
        <v>-7803.58</v>
      </c>
    </row>
    <row r="498" spans="1:11" x14ac:dyDescent="0.25">
      <c r="A498" t="s">
        <v>9</v>
      </c>
      <c r="B498" s="1" t="s">
        <v>8</v>
      </c>
      <c r="C498" s="1" t="s">
        <v>2</v>
      </c>
      <c r="D498" s="2">
        <v>46058</v>
      </c>
      <c r="E498" s="1" t="s">
        <v>1</v>
      </c>
      <c r="F498" s="1">
        <v>57</v>
      </c>
      <c r="G498" s="1">
        <v>126</v>
      </c>
      <c r="H498" s="1" t="s">
        <v>23</v>
      </c>
      <c r="I498" s="1">
        <v>0</v>
      </c>
      <c r="J498" s="1">
        <v>5.25</v>
      </c>
      <c r="K498" s="3">
        <v>-7808.83</v>
      </c>
    </row>
    <row r="499" spans="1:11" x14ac:dyDescent="0.25">
      <c r="A499" t="s">
        <v>9</v>
      </c>
      <c r="B499" s="1" t="s">
        <v>8</v>
      </c>
      <c r="C499" s="1" t="s">
        <v>2</v>
      </c>
      <c r="D499" s="2">
        <v>46058</v>
      </c>
      <c r="E499" s="1" t="s">
        <v>1</v>
      </c>
      <c r="F499" s="1">
        <v>57</v>
      </c>
      <c r="G499" s="1">
        <v>127</v>
      </c>
      <c r="H499" s="1" t="s">
        <v>22</v>
      </c>
      <c r="I499" s="1">
        <v>0</v>
      </c>
      <c r="J499" s="1">
        <v>5.25</v>
      </c>
      <c r="K499" s="3">
        <v>-7814.08</v>
      </c>
    </row>
    <row r="500" spans="1:11" x14ac:dyDescent="0.25">
      <c r="A500" t="s">
        <v>9</v>
      </c>
      <c r="B500" s="1" t="s">
        <v>8</v>
      </c>
      <c r="C500" s="1" t="s">
        <v>2</v>
      </c>
      <c r="D500" s="2">
        <v>46058</v>
      </c>
      <c r="E500" s="1" t="s">
        <v>1</v>
      </c>
      <c r="F500" s="1">
        <v>57</v>
      </c>
      <c r="G500" s="1">
        <v>128</v>
      </c>
      <c r="H500" s="1" t="s">
        <v>21</v>
      </c>
      <c r="I500" s="1">
        <v>0</v>
      </c>
      <c r="J500" s="1">
        <v>4.2</v>
      </c>
      <c r="K500" s="3">
        <v>-7818.28</v>
      </c>
    </row>
    <row r="501" spans="1:11" x14ac:dyDescent="0.25">
      <c r="A501" t="s">
        <v>9</v>
      </c>
      <c r="B501" s="1" t="s">
        <v>8</v>
      </c>
      <c r="C501" s="1" t="s">
        <v>2</v>
      </c>
      <c r="D501" s="2">
        <v>46058</v>
      </c>
      <c r="E501" s="1" t="s">
        <v>1</v>
      </c>
      <c r="F501" s="1">
        <v>57</v>
      </c>
      <c r="G501" s="1">
        <v>129</v>
      </c>
      <c r="H501" s="1" t="s">
        <v>20</v>
      </c>
      <c r="I501" s="1">
        <v>0</v>
      </c>
      <c r="J501" s="1">
        <v>5.25</v>
      </c>
      <c r="K501" s="3">
        <v>-7823.53</v>
      </c>
    </row>
    <row r="502" spans="1:11" x14ac:dyDescent="0.25">
      <c r="A502" t="s">
        <v>9</v>
      </c>
      <c r="B502" s="1" t="s">
        <v>8</v>
      </c>
      <c r="C502" s="1" t="s">
        <v>2</v>
      </c>
      <c r="D502" s="2">
        <v>46058</v>
      </c>
      <c r="E502" s="1" t="s">
        <v>1</v>
      </c>
      <c r="F502" s="1">
        <v>57</v>
      </c>
      <c r="G502" s="1">
        <v>48</v>
      </c>
      <c r="H502" s="1" t="s">
        <v>19</v>
      </c>
      <c r="I502" s="1">
        <v>0</v>
      </c>
      <c r="J502" s="1">
        <v>42</v>
      </c>
      <c r="K502" s="3">
        <v>-7865.53</v>
      </c>
    </row>
    <row r="503" spans="1:11" x14ac:dyDescent="0.25">
      <c r="A503" t="s">
        <v>9</v>
      </c>
      <c r="B503" s="1" t="s">
        <v>8</v>
      </c>
      <c r="C503" s="1" t="s">
        <v>2</v>
      </c>
      <c r="D503" s="2">
        <v>46058</v>
      </c>
      <c r="E503" s="1" t="s">
        <v>1</v>
      </c>
      <c r="F503" s="1">
        <v>57</v>
      </c>
      <c r="G503" s="1">
        <v>5286</v>
      </c>
      <c r="H503" s="1" t="s">
        <v>18</v>
      </c>
      <c r="I503" s="1">
        <v>0</v>
      </c>
      <c r="J503" s="1">
        <v>9.42</v>
      </c>
      <c r="K503" s="3">
        <v>-7874.95</v>
      </c>
    </row>
    <row r="504" spans="1:11" x14ac:dyDescent="0.25">
      <c r="A504" t="s">
        <v>9</v>
      </c>
      <c r="B504" s="1" t="s">
        <v>8</v>
      </c>
      <c r="C504" s="1" t="s">
        <v>2</v>
      </c>
      <c r="D504" s="2">
        <v>46058</v>
      </c>
      <c r="E504" s="1" t="s">
        <v>1</v>
      </c>
      <c r="F504" s="1">
        <v>57</v>
      </c>
      <c r="G504" s="1">
        <v>52828</v>
      </c>
      <c r="H504" s="1" t="s">
        <v>17</v>
      </c>
      <c r="I504" s="1">
        <v>0</v>
      </c>
      <c r="J504" s="1">
        <v>5.0999999999999996</v>
      </c>
      <c r="K504" s="3">
        <v>-7880.05</v>
      </c>
    </row>
    <row r="505" spans="1:11" x14ac:dyDescent="0.25">
      <c r="A505" t="s">
        <v>9</v>
      </c>
      <c r="B505" s="1" t="s">
        <v>8</v>
      </c>
      <c r="C505" s="1" t="s">
        <v>2</v>
      </c>
      <c r="D505" s="2">
        <v>46059</v>
      </c>
      <c r="E505" s="1" t="s">
        <v>1</v>
      </c>
      <c r="F505" s="1">
        <v>59</v>
      </c>
      <c r="G505" s="1">
        <v>6748</v>
      </c>
      <c r="H505" s="1" t="s">
        <v>16</v>
      </c>
      <c r="I505" s="1">
        <v>0</v>
      </c>
      <c r="J505" s="1">
        <v>189</v>
      </c>
      <c r="K505" s="3">
        <v>-8069.05</v>
      </c>
    </row>
    <row r="506" spans="1:11" x14ac:dyDescent="0.25">
      <c r="A506" t="s">
        <v>9</v>
      </c>
      <c r="B506" s="1" t="s">
        <v>8</v>
      </c>
      <c r="C506" s="1" t="s">
        <v>2</v>
      </c>
      <c r="D506" s="2">
        <v>46061</v>
      </c>
      <c r="E506" s="1" t="s">
        <v>1</v>
      </c>
      <c r="F506" s="1">
        <v>70</v>
      </c>
      <c r="G506" s="1">
        <v>52</v>
      </c>
      <c r="H506" s="1" t="s">
        <v>15</v>
      </c>
      <c r="I506" s="1">
        <v>0</v>
      </c>
      <c r="J506" s="1">
        <v>9.4499999999999993</v>
      </c>
      <c r="K506" s="3">
        <v>-8078.5</v>
      </c>
    </row>
    <row r="507" spans="1:11" x14ac:dyDescent="0.25">
      <c r="A507" t="s">
        <v>9</v>
      </c>
      <c r="B507" s="1" t="s">
        <v>8</v>
      </c>
      <c r="C507" s="1" t="s">
        <v>2</v>
      </c>
      <c r="D507" s="2">
        <v>46061</v>
      </c>
      <c r="E507" s="1" t="s">
        <v>1</v>
      </c>
      <c r="F507" s="1">
        <v>70</v>
      </c>
      <c r="G507" s="1">
        <v>6832</v>
      </c>
      <c r="H507" s="1" t="s">
        <v>14</v>
      </c>
      <c r="I507" s="1">
        <v>0</v>
      </c>
      <c r="J507" s="1">
        <v>1.45</v>
      </c>
      <c r="K507" s="3">
        <v>-8079.95</v>
      </c>
    </row>
    <row r="508" spans="1:11" x14ac:dyDescent="0.25">
      <c r="A508" t="s">
        <v>9</v>
      </c>
      <c r="B508" s="1" t="s">
        <v>8</v>
      </c>
      <c r="C508" s="1" t="s">
        <v>2</v>
      </c>
      <c r="D508" s="2">
        <v>46061</v>
      </c>
      <c r="E508" s="1" t="s">
        <v>1</v>
      </c>
      <c r="F508" s="1">
        <v>70</v>
      </c>
      <c r="G508" s="1">
        <v>6834</v>
      </c>
      <c r="H508" s="1" t="s">
        <v>13</v>
      </c>
      <c r="I508" s="1">
        <v>0</v>
      </c>
      <c r="J508" s="1">
        <v>1.45</v>
      </c>
      <c r="K508" s="3">
        <v>-8081.4</v>
      </c>
    </row>
    <row r="509" spans="1:11" x14ac:dyDescent="0.25">
      <c r="A509" t="s">
        <v>9</v>
      </c>
      <c r="B509" s="1" t="s">
        <v>8</v>
      </c>
      <c r="C509" s="1" t="s">
        <v>2</v>
      </c>
      <c r="D509" s="2">
        <v>46061</v>
      </c>
      <c r="E509" s="1" t="s">
        <v>1</v>
      </c>
      <c r="F509" s="1">
        <v>70</v>
      </c>
      <c r="G509" s="1">
        <v>52829</v>
      </c>
      <c r="H509" s="1" t="s">
        <v>12</v>
      </c>
      <c r="I509" s="1">
        <v>0</v>
      </c>
      <c r="J509" s="1">
        <v>18.899999999999999</v>
      </c>
      <c r="K509" s="3">
        <v>-8100.3</v>
      </c>
    </row>
    <row r="510" spans="1:11" x14ac:dyDescent="0.25">
      <c r="A510" t="s">
        <v>9</v>
      </c>
      <c r="B510" s="1" t="s">
        <v>8</v>
      </c>
      <c r="C510" s="1" t="s">
        <v>2</v>
      </c>
      <c r="D510" s="2">
        <v>46062</v>
      </c>
      <c r="E510" s="1" t="s">
        <v>1</v>
      </c>
      <c r="F510" s="1">
        <v>84</v>
      </c>
      <c r="G510" s="1">
        <v>6770</v>
      </c>
      <c r="H510" s="1" t="s">
        <v>11</v>
      </c>
      <c r="I510" s="1">
        <v>0</v>
      </c>
      <c r="J510" s="1">
        <v>64.05</v>
      </c>
      <c r="K510" s="3">
        <v>-8164.35</v>
      </c>
    </row>
    <row r="511" spans="1:11" x14ac:dyDescent="0.25">
      <c r="A511" t="s">
        <v>9</v>
      </c>
      <c r="B511" s="1" t="s">
        <v>8</v>
      </c>
      <c r="C511" s="1" t="s">
        <v>2</v>
      </c>
      <c r="D511" s="2">
        <v>46062</v>
      </c>
      <c r="E511" s="1" t="s">
        <v>1</v>
      </c>
      <c r="F511" s="1">
        <v>84</v>
      </c>
      <c r="G511" s="1">
        <v>10912</v>
      </c>
      <c r="H511" s="1" t="s">
        <v>10</v>
      </c>
      <c r="I511" s="1">
        <v>0</v>
      </c>
      <c r="J511" s="1">
        <v>18.899999999999999</v>
      </c>
      <c r="K511" s="3">
        <v>-8183.25</v>
      </c>
    </row>
    <row r="512" spans="1:11" x14ac:dyDescent="0.25">
      <c r="A512" t="s">
        <v>9</v>
      </c>
      <c r="B512" s="1" t="s">
        <v>8</v>
      </c>
      <c r="C512" s="1" t="s">
        <v>2</v>
      </c>
      <c r="D512" s="2">
        <v>46062</v>
      </c>
      <c r="E512" s="1" t="s">
        <v>1</v>
      </c>
      <c r="F512" s="1">
        <v>84</v>
      </c>
      <c r="G512" s="1">
        <v>56</v>
      </c>
      <c r="H512" s="1" t="s">
        <v>7</v>
      </c>
      <c r="I512" s="1">
        <v>0</v>
      </c>
      <c r="J512" s="1">
        <v>9.4499999999999993</v>
      </c>
      <c r="K512" s="3">
        <v>-8192.7000000000007</v>
      </c>
    </row>
    <row r="513" spans="1:11" x14ac:dyDescent="0.25">
      <c r="A513" t="s">
        <v>4</v>
      </c>
      <c r="B513" s="1" t="s">
        <v>3</v>
      </c>
      <c r="C513" s="1" t="s">
        <v>2</v>
      </c>
      <c r="D513" s="2">
        <v>46056</v>
      </c>
      <c r="E513" s="1" t="s">
        <v>1</v>
      </c>
      <c r="F513" s="1">
        <v>37</v>
      </c>
      <c r="G513" s="1">
        <v>50</v>
      </c>
      <c r="H513" s="1" t="s">
        <v>6</v>
      </c>
      <c r="I513" s="1">
        <v>0</v>
      </c>
      <c r="J513" s="1">
        <v>166.67</v>
      </c>
      <c r="K513" s="1">
        <v>-166.67</v>
      </c>
    </row>
    <row r="514" spans="1:11" x14ac:dyDescent="0.25">
      <c r="A514" t="s">
        <v>4</v>
      </c>
      <c r="B514" s="1" t="s">
        <v>3</v>
      </c>
      <c r="C514" s="1" t="s">
        <v>2</v>
      </c>
      <c r="D514" s="2">
        <v>46058</v>
      </c>
      <c r="E514" s="1" t="s">
        <v>1</v>
      </c>
      <c r="F514" s="1">
        <v>57</v>
      </c>
      <c r="G514" s="1">
        <v>91</v>
      </c>
      <c r="H514" s="1" t="s">
        <v>5</v>
      </c>
      <c r="I514" s="1">
        <v>0</v>
      </c>
      <c r="J514" s="1">
        <v>133.47999999999999</v>
      </c>
      <c r="K514" s="1">
        <v>-300.14999999999998</v>
      </c>
    </row>
    <row r="515" spans="1:11" x14ac:dyDescent="0.25">
      <c r="A515" t="s">
        <v>4</v>
      </c>
      <c r="B515" s="1" t="s">
        <v>3</v>
      </c>
      <c r="C515" s="1" t="s">
        <v>2</v>
      </c>
      <c r="D515" s="2">
        <v>46058</v>
      </c>
      <c r="E515" s="1" t="s">
        <v>1</v>
      </c>
      <c r="F515" s="1">
        <v>57</v>
      </c>
      <c r="G515" s="1">
        <v>21</v>
      </c>
      <c r="H515" s="1" t="s">
        <v>0</v>
      </c>
      <c r="I515" s="1">
        <v>0</v>
      </c>
      <c r="J515" s="1">
        <v>675</v>
      </c>
      <c r="K515" s="1">
        <v>-975.15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MAYOR 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Moyolema</dc:creator>
  <cp:lastModifiedBy>Kevin Moyolema</cp:lastModifiedBy>
  <dcterms:created xsi:type="dcterms:W3CDTF">2026-03-09T14:33:49Z</dcterms:created>
  <dcterms:modified xsi:type="dcterms:W3CDTF">2026-03-09T14:37:27Z</dcterms:modified>
</cp:coreProperties>
</file>