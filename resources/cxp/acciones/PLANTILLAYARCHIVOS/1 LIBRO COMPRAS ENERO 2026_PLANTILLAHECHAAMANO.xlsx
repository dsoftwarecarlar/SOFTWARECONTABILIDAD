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 3\OneDrive - Automotores Carlos Larrea CIA. LTDA\Desktop\CXP EMPRESAS\TOYOTASERVICIOS\LIBRO COMPRAS\"/>
    </mc:Choice>
  </mc:AlternateContent>
  <xr:revisionPtr revIDLastSave="0" documentId="13_ncr:1_{80B2DA66-2E5B-4510-AB06-2CD34EFF0D87}" xr6:coauthVersionLast="47" xr6:coauthVersionMax="47" xr10:uidLastSave="{00000000-0000-0000-0000-000000000000}"/>
  <bookViews>
    <workbookView xWindow="-120" yWindow="-120" windowWidth="20730" windowHeight="11040" activeTab="2" xr2:uid="{3427A18A-FAA6-4E70-959B-99EBA68831B3}"/>
  </bookViews>
  <sheets>
    <sheet name="SCB" sheetId="1" r:id="rId1"/>
    <sheet name="SRI" sheetId="2" r:id="rId2"/>
    <sheet name="RESUMEN DE VENTAS" sheetId="5" r:id="rId3"/>
    <sheet name="LIBRO COMPRAS" sheetId="3" r:id="rId4"/>
    <sheet name="RET PROV" sheetId="4" r:id="rId5"/>
    <sheet name="MAYOR RET" sheetId="6" r:id="rId6"/>
    <sheet name="MAYOR IVA" sheetId="7" r:id="rId7"/>
  </sheets>
  <definedNames>
    <definedName name="_xlnm._FilterDatabase" localSheetId="3" hidden="1">'LIBRO COMPRAS'!$A$1:$L$504</definedName>
    <definedName name="_xlnm._FilterDatabase" localSheetId="5" hidden="1">'MAYOR RET'!$A$14:$K$303</definedName>
    <definedName name="_xlnm._FilterDatabase" localSheetId="4" hidden="1">'RET PROV'!$A$1:$J$788</definedName>
  </definedNames>
  <calcPr calcId="191029"/>
  <pivotCaches>
    <pivotCache cacheId="1" r:id="rId8"/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5" l="1"/>
  <c r="K411" i="7"/>
  <c r="K392" i="7"/>
  <c r="J391" i="7"/>
  <c r="I391" i="7"/>
  <c r="J408" i="7" l="1"/>
  <c r="J409" i="7" s="1"/>
  <c r="I408" i="7"/>
  <c r="J504" i="3" l="1"/>
  <c r="H504" i="3"/>
  <c r="J305" i="7"/>
  <c r="I305" i="7"/>
  <c r="O4" i="4"/>
  <c r="P21" i="6"/>
  <c r="P16" i="6"/>
  <c r="O10" i="4" s="1"/>
  <c r="O12" i="4"/>
  <c r="O11" i="4"/>
  <c r="O6" i="4"/>
  <c r="O5" i="4"/>
  <c r="O3" i="4"/>
  <c r="P20" i="6"/>
  <c r="P17" i="6"/>
  <c r="Q16" i="6"/>
  <c r="P15" i="6"/>
  <c r="P22" i="6"/>
  <c r="Q21" i="6"/>
  <c r="P18" i="6"/>
  <c r="P19" i="6"/>
  <c r="K306" i="7" l="1"/>
  <c r="K504" i="3" s="1"/>
  <c r="L504" i="3" s="1"/>
  <c r="O9" i="4"/>
  <c r="C24" i="5" l="1"/>
  <c r="B24" i="5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D16" i="5"/>
  <c r="F16" i="5" s="1"/>
  <c r="G16" i="5" s="1"/>
  <c r="D15" i="5"/>
  <c r="F15" i="5" s="1"/>
  <c r="G15" i="5" s="1"/>
  <c r="D14" i="5"/>
  <c r="F14" i="5" s="1"/>
  <c r="G14" i="5" s="1"/>
  <c r="D13" i="5"/>
  <c r="F13" i="5" s="1"/>
  <c r="G13" i="5" s="1"/>
  <c r="D12" i="5"/>
  <c r="F12" i="5" s="1"/>
  <c r="G12" i="5" s="1"/>
  <c r="D11" i="5"/>
  <c r="F11" i="5" s="1"/>
  <c r="G11" i="5" s="1"/>
  <c r="D10" i="5"/>
  <c r="F10" i="5" s="1"/>
  <c r="G10" i="5" s="1"/>
  <c r="D9" i="5"/>
  <c r="G9" i="5" s="1"/>
  <c r="G8" i="5"/>
  <c r="D8" i="5"/>
  <c r="D7" i="5"/>
  <c r="F7" i="5" s="1"/>
  <c r="G7" i="5" s="1"/>
  <c r="D6" i="5"/>
  <c r="F6" i="5" s="1"/>
  <c r="D5" i="5"/>
  <c r="F5" i="5" s="1"/>
  <c r="G5" i="5" s="1"/>
  <c r="D4" i="5"/>
  <c r="F4" i="5" s="1"/>
  <c r="G4" i="5" s="1"/>
  <c r="E24" i="5"/>
  <c r="D3" i="5"/>
  <c r="F3" i="5" s="1"/>
  <c r="G6" i="5" l="1"/>
  <c r="D24" i="5"/>
  <c r="F24" i="5"/>
  <c r="G24" i="5" s="1"/>
  <c r="G3" i="5"/>
  <c r="J502" i="3" l="1"/>
  <c r="I502" i="3"/>
  <c r="H502" i="3"/>
  <c r="I693" i="3"/>
  <c r="I504" i="3" s="1"/>
  <c r="H693" i="3"/>
</calcChain>
</file>

<file path=xl/sharedStrings.xml><?xml version="1.0" encoding="utf-8"?>
<sst xmlns="http://schemas.openxmlformats.org/spreadsheetml/2006/main" count="10476" uniqueCount="1087">
  <si>
    <t>CODIGO</t>
  </si>
  <si>
    <t>CEDULA</t>
  </si>
  <si>
    <t>NOMBRE</t>
  </si>
  <si>
    <t>FECHA</t>
  </si>
  <si>
    <t>TIPO</t>
  </si>
  <si>
    <t>BASE IVA</t>
  </si>
  <si>
    <t>BASE 0</t>
  </si>
  <si>
    <t>IMPUESTOS</t>
  </si>
  <si>
    <t>RETENCION</t>
  </si>
  <si>
    <t>SALDO</t>
  </si>
  <si>
    <t>DOCUMENTO</t>
  </si>
  <si>
    <t>MONTO</t>
  </si>
  <si>
    <t>ASEGURADORA DEL SUR C.A.</t>
  </si>
  <si>
    <t>FE</t>
  </si>
  <si>
    <t>MONTALVO POVEDA IVETTE ANDREA</t>
  </si>
  <si>
    <t>VIZUETE MATA ZOILA TERESA</t>
  </si>
  <si>
    <t>CHAVEZ ZULA ZOILA</t>
  </si>
  <si>
    <t>BV</t>
  </si>
  <si>
    <t>COLCHA LEMA LUIS GONZALO</t>
  </si>
  <si>
    <t>VALVERDE ROBALINO ANGEL BENEDICTO</t>
  </si>
  <si>
    <t>LEMA QUINZO LUIS FERNANDO</t>
  </si>
  <si>
    <t>LC</t>
  </si>
  <si>
    <t>CIFUENTES ROSERO ESTHEFANNY MELISSA</t>
  </si>
  <si>
    <t>AREVALO COLCHA CESAR AUGUSTO</t>
  </si>
  <si>
    <t>EMPRESA ELECTRICA RIOBAMBA S.A</t>
  </si>
  <si>
    <t>VICUÑA ARAUJO MICHAEL JOSUE</t>
  </si>
  <si>
    <t>CONAUTO C. A.</t>
  </si>
  <si>
    <t xml:space="preserve">SERVIENTREGA ECUADOR S.A </t>
  </si>
  <si>
    <t>CORPORACION NEXUM NEXUMCORP S.A.</t>
  </si>
  <si>
    <t>IMPORTADORA AUDIO-ALARMAS AUDA S.A.</t>
  </si>
  <si>
    <t>CORP. NAC.DE TELECOMUNICACIONES CNT E.P.</t>
  </si>
  <si>
    <t>ND</t>
  </si>
  <si>
    <t>CASABACA S.A</t>
  </si>
  <si>
    <t>NE</t>
  </si>
  <si>
    <t xml:space="preserve">COMERCIAL KYWI S.A. </t>
  </si>
  <si>
    <t>OTECEL S.A.</t>
  </si>
  <si>
    <t>DATAFAST S. A.</t>
  </si>
  <si>
    <t>PANAMERICANA VIAL S.A</t>
  </si>
  <si>
    <t>COMONTEKSA S A</t>
  </si>
  <si>
    <t>FILTROFAST CIA.LTDA.</t>
  </si>
  <si>
    <t>MEGAWATT-ECUADOR S.A.</t>
  </si>
  <si>
    <t>A000001751</t>
  </si>
  <si>
    <t>PROBEMOTOR CIA.LTDA.</t>
  </si>
  <si>
    <t>SZK DEL ECUADOR S.A.</t>
  </si>
  <si>
    <t>A00007724</t>
  </si>
  <si>
    <t>TR</t>
  </si>
  <si>
    <t>YANGTSE-AUTO DEL ECUADOR S.A.</t>
  </si>
  <si>
    <t>CENTRO DE SERVICIOS COMPARTIDOS GBV S.A.</t>
  </si>
  <si>
    <t>MERA VASQUEZ NELLY MAGDALENA</t>
  </si>
  <si>
    <t>PROANO COBO NELLY MARGOT</t>
  </si>
  <si>
    <t>BEDON VACA JOSE LUIS</t>
  </si>
  <si>
    <t>VELA JIMENEZ LUIS ALFREDO</t>
  </si>
  <si>
    <t>VARGAS TORRES WALTTER DARIO</t>
  </si>
  <si>
    <t>PULLUQUINGA LASLUISA JORGE LUIS</t>
  </si>
  <si>
    <t>TOASA PILAMUNGA HERNAN ISIDRO</t>
  </si>
  <si>
    <t>NOBOA CABRERA GALO HERNAN</t>
  </si>
  <si>
    <t>ORTIZ LOPEZ EDGAR ENRIQUE</t>
  </si>
  <si>
    <t>PAEZ ORTIZ CHRISTIAN GONZALO</t>
  </si>
  <si>
    <t>QUISINTUNA MASABANDA MARCO ROBALINO</t>
  </si>
  <si>
    <t>LOPEZ PACA EDWIN MARCELO</t>
  </si>
  <si>
    <t>SOLIS SOLIS MARCO VINICIO</t>
  </si>
  <si>
    <t>PAREDES PADILLA JAZMINA MABEL</t>
  </si>
  <si>
    <t>LARA ESCOBAR PAUL ENRIQUE</t>
  </si>
  <si>
    <t>GOMEZ CORDOVA EDWIN ROLANDO</t>
  </si>
  <si>
    <t>POMBOZA MUYULEMA FRANKLIN EDUARDO</t>
  </si>
  <si>
    <t>CUNALATA VILLACIS HOLGER RAMIRO</t>
  </si>
  <si>
    <t>ESTRELLA VELASTEGUI FAUSTO XAVIER</t>
  </si>
  <si>
    <t>CERON CORDOVA JUAN SEBASTIAN</t>
  </si>
  <si>
    <t>CRIOLLO ANALUISA GEOVANNY EFRAIN</t>
  </si>
  <si>
    <t>VARGAS VILLENA BELGICA MARGARITA</t>
  </si>
  <si>
    <t>ARIAS MANTILLA JUAN FERNANDO</t>
  </si>
  <si>
    <t>ALLAS BONILLA HECTOR RUBEN</t>
  </si>
  <si>
    <t>NUNEZ NUNEZ OSCAR VINICIO</t>
  </si>
  <si>
    <t>TUSTON HIDALGO CARLOS HERNAN</t>
  </si>
  <si>
    <t>REINOSO SALAS YAJAIRA CAROLINA</t>
  </si>
  <si>
    <t>MANTILLA MARIÑO ISAAC GIOVANNI</t>
  </si>
  <si>
    <t>A000000029</t>
  </si>
  <si>
    <t>NARANJO ROMERO PRISCILA GRACE</t>
  </si>
  <si>
    <t>SILVA MESIAS GRACIELA ELIZABETH</t>
  </si>
  <si>
    <t>G.A.D. MUNICIPALIDAD DE AMBATO</t>
  </si>
  <si>
    <t>OT</t>
  </si>
  <si>
    <t>EP-EMAPA-A</t>
  </si>
  <si>
    <t>EMPRESA PUBLICA MUNICIPAL PARA LA GESTION INTEGRAL DE LOS DE</t>
  </si>
  <si>
    <t>EMPRESA ELECTRICA AMBATO  S.A.</t>
  </si>
  <si>
    <t>CORPORACION ECONOMICA DE LA SIERRA S.A.</t>
  </si>
  <si>
    <t>CAMARA DE COMERCIO DE AMBATO</t>
  </si>
  <si>
    <t>GONZALEZ VEGA EL MOTOR CIA LTDA</t>
  </si>
  <si>
    <t>COMPUMATICA CIA. LTDA.</t>
  </si>
  <si>
    <t>PINTURAS VERDESOTO CIA. LTDA.</t>
  </si>
  <si>
    <t>LUBRIMEX CIA.LTDA.</t>
  </si>
  <si>
    <t>CARLARSERVICE CIA. LTDA</t>
  </si>
  <si>
    <t>S.C. TAMAYO MOYA</t>
  </si>
  <si>
    <t>BACLT INMOBILIARIA S.A.S.</t>
  </si>
  <si>
    <t>DISTRIBUIDORA PC-T S.A.S</t>
  </si>
  <si>
    <t>C&amp;A CONSULTING S.C.</t>
  </si>
  <si>
    <t>RUC_EMISOR</t>
  </si>
  <si>
    <t>RAZON_SOCIAL_EMISOR</t>
  </si>
  <si>
    <t>TIPO_COMPROBANTE</t>
  </si>
  <si>
    <t>SERIE_COMPROBANTE</t>
  </si>
  <si>
    <t>CLAVE_ACCESO</t>
  </si>
  <si>
    <t>FECHA_AUTORIZACION</t>
  </si>
  <si>
    <t>FECHA_EMISION</t>
  </si>
  <si>
    <t>IDENTIFICACION_RECEPTOR</t>
  </si>
  <si>
    <t>VALOR_SIN_IMPUESTOS</t>
  </si>
  <si>
    <t>IVA</t>
  </si>
  <si>
    <t>IMPORTE_TOTAL</t>
  </si>
  <si>
    <t>NUMERO_DOCUMENTO_MODIFICADO</t>
  </si>
  <si>
    <t>BANCO DINERS CLUB DEL ECUADOR S.A.</t>
  </si>
  <si>
    <t>Factura</t>
  </si>
  <si>
    <t>001-020-002684239</t>
  </si>
  <si>
    <t>001-020-002678992</t>
  </si>
  <si>
    <t>EMPRESA PUBLICA - EMPRESA MUNICIPAL DE AGUA POTABLE Y ALCANTARILLADO DE AMBATO</t>
  </si>
  <si>
    <t>001-010-004268390</t>
  </si>
  <si>
    <t>001-014-008333084</t>
  </si>
  <si>
    <t>001-014-008325157</t>
  </si>
  <si>
    <t>001-020-002685621</t>
  </si>
  <si>
    <t>001-019-005479265</t>
  </si>
  <si>
    <t>001-014-008338053</t>
  </si>
  <si>
    <t>001-014-008249798</t>
  </si>
  <si>
    <t>001-014-008248148</t>
  </si>
  <si>
    <t>001-014-008273033</t>
  </si>
  <si>
    <t>001-014-008268154</t>
  </si>
  <si>
    <t>001-019-005423310</t>
  </si>
  <si>
    <t>001-019-005429997</t>
  </si>
  <si>
    <t>001-019-005431308</t>
  </si>
  <si>
    <t>EMPRESA ELECTRICA AMBATO REGIONAL CENTRO NORTE S.A.</t>
  </si>
  <si>
    <t>001-030-012252332</t>
  </si>
  <si>
    <t>BANCO PICHINCHA CA</t>
  </si>
  <si>
    <t>001-171-020895339</t>
  </si>
  <si>
    <t>EMPRESA PUBLICA MUNICIPAL PARA LA GESTION INTEGRAL DE LOS DESECHOS SOLIDOS DEL CANTON AMBATO</t>
  </si>
  <si>
    <t>001-004-000111085</t>
  </si>
  <si>
    <t>001-001-000002513</t>
  </si>
  <si>
    <t>001-001-000002512</t>
  </si>
  <si>
    <t>001-001-000000192</t>
  </si>
  <si>
    <t>001-100-000000161</t>
  </si>
  <si>
    <t>001-001-000002514</t>
  </si>
  <si>
    <t>CASABACA S.A.</t>
  </si>
  <si>
    <t>004-501-000085315</t>
  </si>
  <si>
    <t>GONZALEZ VEGA EL MOTOR CIA. LTDA</t>
  </si>
  <si>
    <t>003-001-000070816</t>
  </si>
  <si>
    <t>001-001-000001423</t>
  </si>
  <si>
    <t>001-001-000001422</t>
  </si>
  <si>
    <t>007-501-000004023</t>
  </si>
  <si>
    <t>002-001-000000670</t>
  </si>
  <si>
    <t>DATAFAST S.A.</t>
  </si>
  <si>
    <t>001-003-001453160</t>
  </si>
  <si>
    <t>007-501-000004022</t>
  </si>
  <si>
    <t>001-001-000001424</t>
  </si>
  <si>
    <t>001-003-000006232</t>
  </si>
  <si>
    <t>BANCO GUAYAQUIL S.A.</t>
  </si>
  <si>
    <t>001-003-020414222</t>
  </si>
  <si>
    <t>001-003-020405139</t>
  </si>
  <si>
    <t>001-001-000000193</t>
  </si>
  <si>
    <t>001-002-000000438</t>
  </si>
  <si>
    <t>001-002-000001555</t>
  </si>
  <si>
    <t>004-501-000085330</t>
  </si>
  <si>
    <t>002-501-000007691</t>
  </si>
  <si>
    <t>001-003-000006231</t>
  </si>
  <si>
    <t>001-001-000000047</t>
  </si>
  <si>
    <t>001-020-002725306</t>
  </si>
  <si>
    <t>001-019-005493083</t>
  </si>
  <si>
    <t>001-001-000001421</t>
  </si>
  <si>
    <t>001-001-000001420</t>
  </si>
  <si>
    <t>002-001-000000666</t>
  </si>
  <si>
    <t>001-002-000003553</t>
  </si>
  <si>
    <t>002-001-000000667</t>
  </si>
  <si>
    <t>005-501-000005321</t>
  </si>
  <si>
    <t>002-501-000007686</t>
  </si>
  <si>
    <t>001-001-000000002</t>
  </si>
  <si>
    <t>001-100-000001037</t>
  </si>
  <si>
    <t>002-001-000000664</t>
  </si>
  <si>
    <t>002-001-000000663</t>
  </si>
  <si>
    <t>CAMPOS GUARANDA CRISTIAN SEGUNDO</t>
  </si>
  <si>
    <t>001-100-000000267</t>
  </si>
  <si>
    <t>005-501-000005329</t>
  </si>
  <si>
    <t>MORALES ALTAMIRANO JUAN CARLOS</t>
  </si>
  <si>
    <t>003-100-000002926</t>
  </si>
  <si>
    <t>002-501-000007705</t>
  </si>
  <si>
    <t>002-501-000007701</t>
  </si>
  <si>
    <t>002-501-000007700</t>
  </si>
  <si>
    <t>005-501-000005338</t>
  </si>
  <si>
    <t>005-501-000005335</t>
  </si>
  <si>
    <t>005-501-000005337</t>
  </si>
  <si>
    <t>001-003-000000250</t>
  </si>
  <si>
    <t>001-002-000001841</t>
  </si>
  <si>
    <t>QUISINTUÑA MASABANDA MARCO ROBALINO</t>
  </si>
  <si>
    <t>001-100-000000382</t>
  </si>
  <si>
    <t>005-501-000000508</t>
  </si>
  <si>
    <t>005-501-000000509</t>
  </si>
  <si>
    <t>001-001-000001434</t>
  </si>
  <si>
    <t>001-001-000001433</t>
  </si>
  <si>
    <t>001-001-000002519</t>
  </si>
  <si>
    <t>001-001-000001432</t>
  </si>
  <si>
    <t>001-001-000001431</t>
  </si>
  <si>
    <t>004-501-000085364</t>
  </si>
  <si>
    <t>001-002-000031473</t>
  </si>
  <si>
    <t>005-501-000005336</t>
  </si>
  <si>
    <t>002-001-000000679</t>
  </si>
  <si>
    <t>005-501-000005333</t>
  </si>
  <si>
    <t>EMPRESA ELECTRICA RIOBAMBA S. A.</t>
  </si>
  <si>
    <t>001-041-016130207</t>
  </si>
  <si>
    <t>001-003-000000251</t>
  </si>
  <si>
    <t>001-002-000004556</t>
  </si>
  <si>
    <t>001-001-000001427</t>
  </si>
  <si>
    <t>001-001-000001428</t>
  </si>
  <si>
    <t>001-001-000001429</t>
  </si>
  <si>
    <t>002-001-000000675</t>
  </si>
  <si>
    <t>002-001-000000674</t>
  </si>
  <si>
    <t>002-001-000000676</t>
  </si>
  <si>
    <t>002-001-000000677</t>
  </si>
  <si>
    <t>001-003-020427285</t>
  </si>
  <si>
    <t>005-501-000005334</t>
  </si>
  <si>
    <t>001-100-000000383</t>
  </si>
  <si>
    <t>002-001-000000678</t>
  </si>
  <si>
    <t>002-501-000007698</t>
  </si>
  <si>
    <t>002-501-000007710</t>
  </si>
  <si>
    <t>002-501-000007709</t>
  </si>
  <si>
    <t>005-501-000000515</t>
  </si>
  <si>
    <t>001-101-000002087</t>
  </si>
  <si>
    <t>CORPORACION DE ELITE OCUPACIONAL (CEO-ELITE) S.A.S.</t>
  </si>
  <si>
    <t>001-001-000000089</t>
  </si>
  <si>
    <t>001-010-001183095</t>
  </si>
  <si>
    <t>001-010-001183096</t>
  </si>
  <si>
    <t>001-001-000002532</t>
  </si>
  <si>
    <t>005-501-000005344</t>
  </si>
  <si>
    <t>001-001-000002533</t>
  </si>
  <si>
    <t>005-501-000000514</t>
  </si>
  <si>
    <t>002-501-000007708</t>
  </si>
  <si>
    <t>001-001-000001436</t>
  </si>
  <si>
    <t>002-001-000000685</t>
  </si>
  <si>
    <t>002-001-000000686</t>
  </si>
  <si>
    <t>001-100-000000029</t>
  </si>
  <si>
    <t>001-001-000002537</t>
  </si>
  <si>
    <t>005-501-000005343</t>
  </si>
  <si>
    <t>001-100-000000077</t>
  </si>
  <si>
    <t>055-014-000000679</t>
  </si>
  <si>
    <t>001-001-000001437</t>
  </si>
  <si>
    <t>002-002-000062845</t>
  </si>
  <si>
    <t>001-019-005503281</t>
  </si>
  <si>
    <t>001-001-000001435</t>
  </si>
  <si>
    <t>001-003-020446470</t>
  </si>
  <si>
    <t>001-001-000002534</t>
  </si>
  <si>
    <t>004-501-000085378</t>
  </si>
  <si>
    <t>001-010-001183246</t>
  </si>
  <si>
    <t>002-001-000000687</t>
  </si>
  <si>
    <t>001-001-000002528</t>
  </si>
  <si>
    <t>004-501-000085427</t>
  </si>
  <si>
    <t>NUÑEZ NUÑEZ OSCAR VINICIO</t>
  </si>
  <si>
    <t>001-100-000000268</t>
  </si>
  <si>
    <t>002-001-000000690</t>
  </si>
  <si>
    <t>001-001-000001438</t>
  </si>
  <si>
    <t>001-001-000001439</t>
  </si>
  <si>
    <t>002-001-000000691</t>
  </si>
  <si>
    <t>004-501-000085408</t>
  </si>
  <si>
    <t>001-100-000000269</t>
  </si>
  <si>
    <t>001-100-000000270</t>
  </si>
  <si>
    <t>001-100-000000271</t>
  </si>
  <si>
    <t>001-001-000001440</t>
  </si>
  <si>
    <t>001-001-000001441</t>
  </si>
  <si>
    <t>005-501-000005351</t>
  </si>
  <si>
    <t>001-001-000001442</t>
  </si>
  <si>
    <t>001-001-000002549</t>
  </si>
  <si>
    <t>001-001-000001443</t>
  </si>
  <si>
    <t>002-501-000007719</t>
  </si>
  <si>
    <t>001-001-000002551</t>
  </si>
  <si>
    <t>002-501-000007718</t>
  </si>
  <si>
    <t>001-019-005504237</t>
  </si>
  <si>
    <t>002-001-000000693</t>
  </si>
  <si>
    <t>001-003-020453724</t>
  </si>
  <si>
    <t>001-001-000002544</t>
  </si>
  <si>
    <t>004-501-000085430</t>
  </si>
  <si>
    <t>002-501-000007721</t>
  </si>
  <si>
    <t>002-001-000000695</t>
  </si>
  <si>
    <t>002-001-000000696</t>
  </si>
  <si>
    <t>005-501-000005357</t>
  </si>
  <si>
    <t>001-001-000001444</t>
  </si>
  <si>
    <t>001-001-000001445</t>
  </si>
  <si>
    <t>002-001-000000697</t>
  </si>
  <si>
    <t>005-501-000000519</t>
  </si>
  <si>
    <t>004-501-000085402</t>
  </si>
  <si>
    <t>001-001-000002561</t>
  </si>
  <si>
    <t>005-501-000005368</t>
  </si>
  <si>
    <t>001-014-008376841</t>
  </si>
  <si>
    <t>002-501-000007730</t>
  </si>
  <si>
    <t>005-501-000000523</t>
  </si>
  <si>
    <t>004-501-000085464</t>
  </si>
  <si>
    <t>001-500-000000919</t>
  </si>
  <si>
    <t>001-001-000002555</t>
  </si>
  <si>
    <t>001-003-020466265</t>
  </si>
  <si>
    <t>004-501-000085451</t>
  </si>
  <si>
    <t>001-100-000000360</t>
  </si>
  <si>
    <t>002-001-000000702</t>
  </si>
  <si>
    <t>002-501-000007727</t>
  </si>
  <si>
    <t>001-001-000001448</t>
  </si>
  <si>
    <t>001-020-002735907</t>
  </si>
  <si>
    <t>005-501-000000521</t>
  </si>
  <si>
    <t>002-001-000000699</t>
  </si>
  <si>
    <t>002-501-000007724</t>
  </si>
  <si>
    <t>001-001-000001449</t>
  </si>
  <si>
    <t>001-002-000008168</t>
  </si>
  <si>
    <t>001-019-005506559</t>
  </si>
  <si>
    <t>002-001-000000698</t>
  </si>
  <si>
    <t>001-001-000001447</t>
  </si>
  <si>
    <t>001-001-000001446</t>
  </si>
  <si>
    <t>002-001-000000703</t>
  </si>
  <si>
    <t>001-019-005508504</t>
  </si>
  <si>
    <t>CONSORCIO ECUATORIANO DE TELECOMUNICACIONES S.A. CONECEL</t>
  </si>
  <si>
    <t>001-064-034133417</t>
  </si>
  <si>
    <t>002-001-000000704</t>
  </si>
  <si>
    <t>001-014-008379865</t>
  </si>
  <si>
    <t>001-001-000001450</t>
  </si>
  <si>
    <t>001-001-000001451</t>
  </si>
  <si>
    <t>002-001-000000712</t>
  </si>
  <si>
    <t>001-001-000001459</t>
  </si>
  <si>
    <t>001-001-000001458</t>
  </si>
  <si>
    <t>002-001-000000711</t>
  </si>
  <si>
    <t>004-501-000085503</t>
  </si>
  <si>
    <t>001-001-000001457</t>
  </si>
  <si>
    <t>001-001-000001456</t>
  </si>
  <si>
    <t>001-003-020496856</t>
  </si>
  <si>
    <t>002-501-000007737</t>
  </si>
  <si>
    <t>002-501-000007740</t>
  </si>
  <si>
    <t>001-003-020489761</t>
  </si>
  <si>
    <t>005-501-000005381</t>
  </si>
  <si>
    <t>005-501-000000528</t>
  </si>
  <si>
    <t>002-001-000000706</t>
  </si>
  <si>
    <t>001-001-000001452</t>
  </si>
  <si>
    <t>001-001-000001454</t>
  </si>
  <si>
    <t>001-001-000001453</t>
  </si>
  <si>
    <t>002-001-000000707</t>
  </si>
  <si>
    <t>002-001-000000709</t>
  </si>
  <si>
    <t>002-001-000000710</t>
  </si>
  <si>
    <t>001-327-122556998</t>
  </si>
  <si>
    <t>CORPORACION ECONOMICA DE LA SIERRA SA</t>
  </si>
  <si>
    <t>001-002-000035294</t>
  </si>
  <si>
    <t>002-001-000000705</t>
  </si>
  <si>
    <t>002-501-000007741</t>
  </si>
  <si>
    <t>002-501-000007746</t>
  </si>
  <si>
    <t>CONAUTO C.A.</t>
  </si>
  <si>
    <t>004-901-000137292</t>
  </si>
  <si>
    <t>005-501-000005391</t>
  </si>
  <si>
    <t>001-001-000001465</t>
  </si>
  <si>
    <t>001-001-000001463</t>
  </si>
  <si>
    <t>055-014-000000695</t>
  </si>
  <si>
    <t>001-019-005510928</t>
  </si>
  <si>
    <t>001-020-002739217</t>
  </si>
  <si>
    <t>001-100-000001049</t>
  </si>
  <si>
    <t>002-001-000000715</t>
  </si>
  <si>
    <t>002-001-000000716</t>
  </si>
  <si>
    <t>004-501-000085544</t>
  </si>
  <si>
    <t>005-501-000005386</t>
  </si>
  <si>
    <t>001-014-008384179</t>
  </si>
  <si>
    <t>002-501-000007756</t>
  </si>
  <si>
    <t>001-003-000002759</t>
  </si>
  <si>
    <t>004-501-000085530</t>
  </si>
  <si>
    <t>001-002-000003567</t>
  </si>
  <si>
    <t>001-100-000001348</t>
  </si>
  <si>
    <t>001-100-000001349</t>
  </si>
  <si>
    <t>002-101-000020594</t>
  </si>
  <si>
    <t>002-001-000000722</t>
  </si>
  <si>
    <t>002-001-000000721</t>
  </si>
  <si>
    <t>005-501-000000535</t>
  </si>
  <si>
    <t>002-501-000007760</t>
  </si>
  <si>
    <t>001-100-000001344</t>
  </si>
  <si>
    <t>004-501-000085582</t>
  </si>
  <si>
    <t>001-003-020513003</t>
  </si>
  <si>
    <t>001-020-002743137</t>
  </si>
  <si>
    <t>001-019-005513236</t>
  </si>
  <si>
    <t>001-001-000001470</t>
  </si>
  <si>
    <t>001-100-000001347</t>
  </si>
  <si>
    <t>001-001-000001469</t>
  </si>
  <si>
    <t>001-001-000001468</t>
  </si>
  <si>
    <t>001-100-000000386</t>
  </si>
  <si>
    <t>001-014-008387271</t>
  </si>
  <si>
    <t>001-100-000001345</t>
  </si>
  <si>
    <t>001-100-000000164</t>
  </si>
  <si>
    <t>001-100-000000163</t>
  </si>
  <si>
    <t>001-100-000000165</t>
  </si>
  <si>
    <t>005-501-000005396</t>
  </si>
  <si>
    <t>001-100-000001346</t>
  </si>
  <si>
    <t>005-501-000005397</t>
  </si>
  <si>
    <t>001-001-000001471</t>
  </si>
  <si>
    <t>005-501-000000536</t>
  </si>
  <si>
    <t>001-014-008393130</t>
  </si>
  <si>
    <t>001-019-005515614</t>
  </si>
  <si>
    <t>002-002-000062991</t>
  </si>
  <si>
    <t>001-001-000001474</t>
  </si>
  <si>
    <t>CASTRO MORALES OMAR VLADIMIR</t>
  </si>
  <si>
    <t>003-100-000002663</t>
  </si>
  <si>
    <t>005-501-000005406</t>
  </si>
  <si>
    <t>001-010-001187275</t>
  </si>
  <si>
    <t>001-010-001187274</t>
  </si>
  <si>
    <t>005-501-000005404</t>
  </si>
  <si>
    <t>004-901-000137406</t>
  </si>
  <si>
    <t>001-001-000001472</t>
  </si>
  <si>
    <t>001-001-000001473</t>
  </si>
  <si>
    <t>001-200-000000002</t>
  </si>
  <si>
    <t>001-002-000031613</t>
  </si>
  <si>
    <t>001-003-020530589</t>
  </si>
  <si>
    <t>004-501-000085627</t>
  </si>
  <si>
    <t>001-020-002748625</t>
  </si>
  <si>
    <t>001-001-000002589</t>
  </si>
  <si>
    <t>002-501-000007772</t>
  </si>
  <si>
    <t>005-501-000000539</t>
  </si>
  <si>
    <t>002-501-000007774</t>
  </si>
  <si>
    <t>001-001-000002597</t>
  </si>
  <si>
    <t>011-902-000645084</t>
  </si>
  <si>
    <t>004-501-000085647</t>
  </si>
  <si>
    <t>001-002-000000441</t>
  </si>
  <si>
    <t>001-002-000000443</t>
  </si>
  <si>
    <t>002-501-000007784</t>
  </si>
  <si>
    <t>001-001-000001476</t>
  </si>
  <si>
    <t>001-001-000001477</t>
  </si>
  <si>
    <t>COOPERATIVA DE TRANSPORTES PESADOS LOS ANDES</t>
  </si>
  <si>
    <t>003-012-000293240</t>
  </si>
  <si>
    <t>001-001-000001478</t>
  </si>
  <si>
    <t>002-001-000000727</t>
  </si>
  <si>
    <t>002-001-000000728</t>
  </si>
  <si>
    <t>001-001-000002595</t>
  </si>
  <si>
    <t>002-001-000000730</t>
  </si>
  <si>
    <t>002-001-000000729</t>
  </si>
  <si>
    <t>001-019-005520391</t>
  </si>
  <si>
    <t>004-501-000085639</t>
  </si>
  <si>
    <t>001-001-000001481</t>
  </si>
  <si>
    <t>001-014-008401431</t>
  </si>
  <si>
    <t>005-501-000000542</t>
  </si>
  <si>
    <t>001-010-001187831</t>
  </si>
  <si>
    <t>001-010-001187832</t>
  </si>
  <si>
    <t>001-010-001187857</t>
  </si>
  <si>
    <t>005-501-000005415</t>
  </si>
  <si>
    <t>001-001-000002599</t>
  </si>
  <si>
    <t>001-002-000000445</t>
  </si>
  <si>
    <t>001-001-000001479</t>
  </si>
  <si>
    <t>001-010-001187829</t>
  </si>
  <si>
    <t>002-001-000000731</t>
  </si>
  <si>
    <t>002-001-000000732</t>
  </si>
  <si>
    <t>002-501-000007781</t>
  </si>
  <si>
    <t>001-010-001187860</t>
  </si>
  <si>
    <t>PANAMERICANA VIAL S A PANAVIAL</t>
  </si>
  <si>
    <t>003-033-009946333</t>
  </si>
  <si>
    <t>002-042-002626582</t>
  </si>
  <si>
    <t>002-044-003583119</t>
  </si>
  <si>
    <t>003-038-010049931</t>
  </si>
  <si>
    <t>001-014-008404186</t>
  </si>
  <si>
    <t>SERVIENTREGA ECUADOR S.A.</t>
  </si>
  <si>
    <t>225-025-000128858</t>
  </si>
  <si>
    <t>001-019-005522963</t>
  </si>
  <si>
    <t>001-020-002750206</t>
  </si>
  <si>
    <t>004-023-008249394</t>
  </si>
  <si>
    <t>004-025-001139694</t>
  </si>
  <si>
    <t>001-003-020552390</t>
  </si>
  <si>
    <t>001-003-000000253</t>
  </si>
  <si>
    <t>002-501-000007790</t>
  </si>
  <si>
    <t>DISTRIBUIDORA PC-T S.A.S.</t>
  </si>
  <si>
    <t>001-003-000002987</t>
  </si>
  <si>
    <t>001-001-000002616</t>
  </si>
  <si>
    <t>001-100-000000366</t>
  </si>
  <si>
    <t>001-010-000009674</t>
  </si>
  <si>
    <t>001-001-000001483</t>
  </si>
  <si>
    <t>002-501-000007794</t>
  </si>
  <si>
    <t>004-501-000085678</t>
  </si>
  <si>
    <t>004-501-000085677</t>
  </si>
  <si>
    <t>001-001-000001486</t>
  </si>
  <si>
    <t>001-001-000001485</t>
  </si>
  <si>
    <t>001-100-000000367</t>
  </si>
  <si>
    <t>055-014-000000715</t>
  </si>
  <si>
    <t>002-501-000007788</t>
  </si>
  <si>
    <t>001-010-000010399</t>
  </si>
  <si>
    <t>001-030-012446456</t>
  </si>
  <si>
    <t>COMPAÑIA INFORMATICA SALINAS COMPUMATICA CIA. LTDA.</t>
  </si>
  <si>
    <t>001-005-000001429</t>
  </si>
  <si>
    <t>001-125-000000104</t>
  </si>
  <si>
    <t>002-501-000007795</t>
  </si>
  <si>
    <t>001-001-000002614</t>
  </si>
  <si>
    <t>005-501-000000549</t>
  </si>
  <si>
    <t>001-003-020573885</t>
  </si>
  <si>
    <t>001-019-005523589</t>
  </si>
  <si>
    <t>002-501-000007796</t>
  </si>
  <si>
    <t>001-001-000001490</t>
  </si>
  <si>
    <t>001-001-000001489</t>
  </si>
  <si>
    <t>001-014-008408355</t>
  </si>
  <si>
    <t>001-002-000004672</t>
  </si>
  <si>
    <t>001-001-000002623</t>
  </si>
  <si>
    <t>004-501-000085694</t>
  </si>
  <si>
    <t>004-501-000085692</t>
  </si>
  <si>
    <t>005-501-000000554</t>
  </si>
  <si>
    <t>004-501-000085696</t>
  </si>
  <si>
    <t>ASEGURADORA DEL SUR C. A.</t>
  </si>
  <si>
    <t>004-001-000050638</t>
  </si>
  <si>
    <t>001-001-000002624</t>
  </si>
  <si>
    <t>002-001-000000744</t>
  </si>
  <si>
    <t>002-001-000000743</t>
  </si>
  <si>
    <t>002-001-000000742</t>
  </si>
  <si>
    <t>002-001-000000741</t>
  </si>
  <si>
    <t>005-501-000000553</t>
  </si>
  <si>
    <t>001-001-000001491</t>
  </si>
  <si>
    <t>001-002-000031647</t>
  </si>
  <si>
    <t>005-501-000005433</t>
  </si>
  <si>
    <t>001-001-000001492</t>
  </si>
  <si>
    <t>002-501-000007798</t>
  </si>
  <si>
    <t>002-501-000007797</t>
  </si>
  <si>
    <t>002-001-000000748</t>
  </si>
  <si>
    <t>005-501-000005439</t>
  </si>
  <si>
    <t>002-001-000000757</t>
  </si>
  <si>
    <t>002-001-000000758</t>
  </si>
  <si>
    <t>002-001-000000755</t>
  </si>
  <si>
    <t>002-001-000000756</t>
  </si>
  <si>
    <t>005-501-000000558</t>
  </si>
  <si>
    <t>001-001-000001493</t>
  </si>
  <si>
    <t>001-001-000001494</t>
  </si>
  <si>
    <t>001-014-008415295</t>
  </si>
  <si>
    <t>011-902-000646143</t>
  </si>
  <si>
    <t>001-014-008410865</t>
  </si>
  <si>
    <t>001-019-005526414</t>
  </si>
  <si>
    <t>001-001-000002634</t>
  </si>
  <si>
    <t>002-001-000000753</t>
  </si>
  <si>
    <t>001-001-000002627</t>
  </si>
  <si>
    <t>005-501-000005442</t>
  </si>
  <si>
    <t>004-501-000085736</t>
  </si>
  <si>
    <t>001-002-000000238</t>
  </si>
  <si>
    <t>002-001-000000750</t>
  </si>
  <si>
    <t>001-020-002753844</t>
  </si>
  <si>
    <t>002-001-000000751</t>
  </si>
  <si>
    <t>002-001-000000749</t>
  </si>
  <si>
    <t>001-003-020586573</t>
  </si>
  <si>
    <t>002-501-000007806</t>
  </si>
  <si>
    <t>002-001-000000761</t>
  </si>
  <si>
    <t>001-001-000002635</t>
  </si>
  <si>
    <t>001-001-000002636</t>
  </si>
  <si>
    <t>002-501-000007809</t>
  </si>
  <si>
    <t>002-501-000007810</t>
  </si>
  <si>
    <t>001-002-000004700</t>
  </si>
  <si>
    <t>001-100-000000627</t>
  </si>
  <si>
    <t>001-014-008415955</t>
  </si>
  <si>
    <t>001-019-005526640</t>
  </si>
  <si>
    <t>001-002-000031673</t>
  </si>
  <si>
    <t>002-100-000000081</t>
  </si>
  <si>
    <t>005-501-000005447</t>
  </si>
  <si>
    <t>001-001-000001496</t>
  </si>
  <si>
    <t>001-001-000001495</t>
  </si>
  <si>
    <t>001-001-000001497</t>
  </si>
  <si>
    <t>002-501-000007813</t>
  </si>
  <si>
    <t>001-001-000001500</t>
  </si>
  <si>
    <t>005-501-000005449</t>
  </si>
  <si>
    <t>005-501-000005450</t>
  </si>
  <si>
    <t>004-501-000085759</t>
  </si>
  <si>
    <t>001-001-000001499</t>
  </si>
  <si>
    <t>001-001-000001498</t>
  </si>
  <si>
    <t>001-002-000000240</t>
  </si>
  <si>
    <t>005-501-000000565</t>
  </si>
  <si>
    <t>001-003-020605256</t>
  </si>
  <si>
    <t>002-001-000000767</t>
  </si>
  <si>
    <t>002-001-000000768</t>
  </si>
  <si>
    <t>002-001-000000769</t>
  </si>
  <si>
    <t>002-001-000000766</t>
  </si>
  <si>
    <t>002-001-000000765</t>
  </si>
  <si>
    <t>001-011-000164842</t>
  </si>
  <si>
    <t>005-501-000005451</t>
  </si>
  <si>
    <t>002-001-000000762</t>
  </si>
  <si>
    <t>002-001-000000763</t>
  </si>
  <si>
    <t>001-001-000002640</t>
  </si>
  <si>
    <t>001-019-005528407</t>
  </si>
  <si>
    <t>002-501-000007817</t>
  </si>
  <si>
    <t>001-020-002755452</t>
  </si>
  <si>
    <t>002-001-000000773</t>
  </si>
  <si>
    <t>002-001-000000772</t>
  </si>
  <si>
    <t>001-002-000003579</t>
  </si>
  <si>
    <t>001-002-000003580</t>
  </si>
  <si>
    <t>004-501-000085794</t>
  </si>
  <si>
    <t>002-501-000007821</t>
  </si>
  <si>
    <t>001-001-000001505</t>
  </si>
  <si>
    <t>002-501-000007820</t>
  </si>
  <si>
    <t>001-001-000001503</t>
  </si>
  <si>
    <t>001-001-000001502</t>
  </si>
  <si>
    <t>001-001-000001501</t>
  </si>
  <si>
    <t>005-501-000005462</t>
  </si>
  <si>
    <t>049-006-000003276</t>
  </si>
  <si>
    <t>049-006-000003277</t>
  </si>
  <si>
    <t>049-006-000003278</t>
  </si>
  <si>
    <t>004-501-000085763</t>
  </si>
  <si>
    <t>049-006-000003279</t>
  </si>
  <si>
    <t>001-100-000000167</t>
  </si>
  <si>
    <t>001-100-000007347</t>
  </si>
  <si>
    <t>002-001-000000771</t>
  </si>
  <si>
    <t>001-002-000003585</t>
  </si>
  <si>
    <t>001-002-000033279</t>
  </si>
  <si>
    <t>001-100-000000392</t>
  </si>
  <si>
    <t>001-014-008420340</t>
  </si>
  <si>
    <t>005-501-000005466</t>
  </si>
  <si>
    <t>001-001-000001508</t>
  </si>
  <si>
    <t>001-001-000001507</t>
  </si>
  <si>
    <t>001-020-002755998</t>
  </si>
  <si>
    <t>001-001-000001509</t>
  </si>
  <si>
    <t>001-019-005528707</t>
  </si>
  <si>
    <t>004-501-000085813</t>
  </si>
  <si>
    <t>002-001-000000776</t>
  </si>
  <si>
    <t>002-001-000000777</t>
  </si>
  <si>
    <t>002-501-000007822</t>
  </si>
  <si>
    <t>001-001-000002647</t>
  </si>
  <si>
    <t>001-001-000002651</t>
  </si>
  <si>
    <t>004-501-000085823</t>
  </si>
  <si>
    <t>001-001-000001510</t>
  </si>
  <si>
    <t>001-001-000001511</t>
  </si>
  <si>
    <t>004-501-000085826</t>
  </si>
  <si>
    <t>004-501-000085806</t>
  </si>
  <si>
    <t>002-501-000007824</t>
  </si>
  <si>
    <t>001-100-000000372</t>
  </si>
  <si>
    <t>005-501-000005476</t>
  </si>
  <si>
    <t>002-501-000007834</t>
  </si>
  <si>
    <t>001-003-020626067</t>
  </si>
  <si>
    <t>002-501-000007829</t>
  </si>
  <si>
    <t>002-501-000007832</t>
  </si>
  <si>
    <t>001-001-000002652</t>
  </si>
  <si>
    <t>002-501-000007823</t>
  </si>
  <si>
    <t>001-001-000001512</t>
  </si>
  <si>
    <t>055-014-000000737</t>
  </si>
  <si>
    <t>001-014-008423962</t>
  </si>
  <si>
    <t>001-019-005530309</t>
  </si>
  <si>
    <t>005-501-000000571</t>
  </si>
  <si>
    <t>001-001-000001516</t>
  </si>
  <si>
    <t>001-010-001193633</t>
  </si>
  <si>
    <t>001-001-000001514</t>
  </si>
  <si>
    <t>001-001-000001515</t>
  </si>
  <si>
    <t>004-501-000085841</t>
  </si>
  <si>
    <t>001-003-000004714</t>
  </si>
  <si>
    <t>001-001-000019434</t>
  </si>
  <si>
    <t>002-501-000007845</t>
  </si>
  <si>
    <t>003-003-000000082</t>
  </si>
  <si>
    <t>001-010-001193631</t>
  </si>
  <si>
    <t>001-001-000002661</t>
  </si>
  <si>
    <t>001-001-000001513</t>
  </si>
  <si>
    <t>002-001-000000783</t>
  </si>
  <si>
    <t>002-001-000000784</t>
  </si>
  <si>
    <t>001-010-000010465</t>
  </si>
  <si>
    <t>004-501-000085848</t>
  </si>
  <si>
    <t>001-001-000001524</t>
  </si>
  <si>
    <t>002-501-000007853</t>
  </si>
  <si>
    <t>001-100-000000394</t>
  </si>
  <si>
    <t>001-011-001593475</t>
  </si>
  <si>
    <t>004-501-000085870</t>
  </si>
  <si>
    <t>005-501-000005492</t>
  </si>
  <si>
    <t>001-019-005531593</t>
  </si>
  <si>
    <t>001-001-000001519</t>
  </si>
  <si>
    <t>001-014-008426059</t>
  </si>
  <si>
    <t>001-020-002758467</t>
  </si>
  <si>
    <t>001-001-000001520</t>
  </si>
  <si>
    <t>001-001-000002664</t>
  </si>
  <si>
    <t>002-501-000007849</t>
  </si>
  <si>
    <t>001-001-000001522</t>
  </si>
  <si>
    <t>001-001-000001521</t>
  </si>
  <si>
    <t>001-003-020659017</t>
  </si>
  <si>
    <t>001-501-000031334</t>
  </si>
  <si>
    <t>004-501-000085875</t>
  </si>
  <si>
    <t>001-010-000010474</t>
  </si>
  <si>
    <t>005-501-000000576</t>
  </si>
  <si>
    <t>001-001-000002663</t>
  </si>
  <si>
    <t>001-003-000000254</t>
  </si>
  <si>
    <t>002-501-000007855</t>
  </si>
  <si>
    <t>001-001-000001523</t>
  </si>
  <si>
    <t>001-010-000010475</t>
  </si>
  <si>
    <t>005-501-000005490</t>
  </si>
  <si>
    <t>002-501-000007852</t>
  </si>
  <si>
    <t>001-010-001193916</t>
  </si>
  <si>
    <t>002-001-000000793</t>
  </si>
  <si>
    <t>001-001-000001529</t>
  </si>
  <si>
    <t>005-501-000005494</t>
  </si>
  <si>
    <t>001-001-000001527</t>
  </si>
  <si>
    <t>001-002-000031752</t>
  </si>
  <si>
    <t>001-001-000001526</t>
  </si>
  <si>
    <t>001-125-000000113</t>
  </si>
  <si>
    <t>001-125-000000114</t>
  </si>
  <si>
    <t>001-003-000002810</t>
  </si>
  <si>
    <t>004-501-000085899</t>
  </si>
  <si>
    <t>001-001-000001528</t>
  </si>
  <si>
    <t>001-002-000008230</t>
  </si>
  <si>
    <t>049-006-000003313</t>
  </si>
  <si>
    <t>001-019-005532999</t>
  </si>
  <si>
    <t>002-001-000000791</t>
  </si>
  <si>
    <t>002-001-000000792</t>
  </si>
  <si>
    <t>002-501-000007858</t>
  </si>
  <si>
    <t>002-501-000007862</t>
  </si>
  <si>
    <t>002-501-000007860</t>
  </si>
  <si>
    <t>002-501-000007861</t>
  </si>
  <si>
    <t>002-501-000007859</t>
  </si>
  <si>
    <t>004-501-000085908</t>
  </si>
  <si>
    <t>001-001-000002672</t>
  </si>
  <si>
    <t>005-501-000000583</t>
  </si>
  <si>
    <t>001-003-020677169</t>
  </si>
  <si>
    <t>002-501-000007867</t>
  </si>
  <si>
    <t>002-501-000007868</t>
  </si>
  <si>
    <t>005-501-000000585</t>
  </si>
  <si>
    <t>004-501-000085922</t>
  </si>
  <si>
    <t>001-003-000002818</t>
  </si>
  <si>
    <t>001-001-000001531</t>
  </si>
  <si>
    <t>001-019-005533880</t>
  </si>
  <si>
    <t>001-014-008432148</t>
  </si>
  <si>
    <t>002-001-000000797</t>
  </si>
  <si>
    <t>002-001-000000798</t>
  </si>
  <si>
    <t>002-001-000000803</t>
  </si>
  <si>
    <t>002-001-000000804</t>
  </si>
  <si>
    <t>005-501-000000587</t>
  </si>
  <si>
    <t>001-002-000031770</t>
  </si>
  <si>
    <t>004-501-000085938</t>
  </si>
  <si>
    <t>002-001-000000802</t>
  </si>
  <si>
    <t>002-001-000000801</t>
  </si>
  <si>
    <t>BANCO BOLIVARIANO C.A.</t>
  </si>
  <si>
    <t>001-004-200044024</t>
  </si>
  <si>
    <t>001-004-200044145</t>
  </si>
  <si>
    <t>001-003-020684384</t>
  </si>
  <si>
    <t>001-003-020689514</t>
  </si>
  <si>
    <t>001-005-055617215</t>
  </si>
  <si>
    <t>001-014-008437587</t>
  </si>
  <si>
    <t>BANCO DEL PACIFICO S.A.</t>
  </si>
  <si>
    <t>100-002-004292627</t>
  </si>
  <si>
    <t>100-002-004302592</t>
  </si>
  <si>
    <t>100-002-004282610</t>
  </si>
  <si>
    <t>001-019-005536058</t>
  </si>
  <si>
    <t>001-020-002761703</t>
  </si>
  <si>
    <t>001-001-000001532</t>
  </si>
  <si>
    <t>ND,OT,TR</t>
  </si>
  <si>
    <t>PROVEEDOR</t>
  </si>
  <si>
    <t>FECHA DOC.</t>
  </si>
  <si>
    <t>% RETEN</t>
  </si>
  <si>
    <t>VALOR RETEN</t>
  </si>
  <si>
    <t>NUM RET</t>
  </si>
  <si>
    <t>COD</t>
  </si>
  <si>
    <t>NUM FACT</t>
  </si>
  <si>
    <t>BASE</t>
  </si>
  <si>
    <t>VENTAS BRUTAS</t>
  </si>
  <si>
    <t>NOTAS DE CREDITO</t>
  </si>
  <si>
    <t>VENTAS NETAS</t>
  </si>
  <si>
    <t>IVA CALCULADO</t>
  </si>
  <si>
    <t>SERVICIOS TOYOTA CON IVA</t>
  </si>
  <si>
    <t>SERVICIOS SUZUKI CON IVA</t>
  </si>
  <si>
    <t>SERVICIOS CHANGAN CON IVA</t>
  </si>
  <si>
    <t>SERVICIOS PEUGEOT CON IVA</t>
  </si>
  <si>
    <t>SERVICIOS OPEL CON IVA</t>
  </si>
  <si>
    <t>SERVICIOS TOYOTA SIN IVA</t>
  </si>
  <si>
    <t>SERVICIOS SUZUKI SIN IVA</t>
  </si>
  <si>
    <t>SERVICIOS CHANGAN SIN IVA</t>
  </si>
  <si>
    <t>SERVICIOS PEUGEOT SIN IVA</t>
  </si>
  <si>
    <t>SERVICIOS OPEL SIN IVA</t>
  </si>
  <si>
    <t>REPUESTOS TOYOTA CON IVA</t>
  </si>
  <si>
    <t>REPUESTOS SUZUKI CON IVA</t>
  </si>
  <si>
    <t>REPUESTOS CHANGAN CON IVA</t>
  </si>
  <si>
    <t>REPUESTOS PEUGEOT CON IVA</t>
  </si>
  <si>
    <t>REPUESTOS OPEL CON IVA</t>
  </si>
  <si>
    <t>REPUESTOS TOYOTA SIN IVA</t>
  </si>
  <si>
    <t>REPUESTOS SUZUKI SIN IVA</t>
  </si>
  <si>
    <t>REPUESTOS CHANGAN SIN IVA</t>
  </si>
  <si>
    <t>REPUESTOS PEUGEOT SIN IVA</t>
  </si>
  <si>
    <t>REPUESTOS OPEL SIN IVA</t>
  </si>
  <si>
    <t>OTROS LINEA 7- NO OBJETO IVA</t>
  </si>
  <si>
    <t>RENTA</t>
  </si>
  <si>
    <t>Etiquetas de fila</t>
  </si>
  <si>
    <t>Total general</t>
  </si>
  <si>
    <t>Suma de BASE</t>
  </si>
  <si>
    <t>Suma de VALOR RETEN</t>
  </si>
  <si>
    <t>CUENTA</t>
  </si>
  <si>
    <t>N/M</t>
  </si>
  <si>
    <t>NO.</t>
  </si>
  <si>
    <t>EST.</t>
  </si>
  <si>
    <t>DETALLE</t>
  </si>
  <si>
    <t>DEBITO</t>
  </si>
  <si>
    <t>CREDITO</t>
  </si>
  <si>
    <t>02.01.06.01.0004</t>
  </si>
  <si>
    <t>RETENCION 30% IVA - COMPRAS</t>
  </si>
  <si>
    <t>N</t>
  </si>
  <si>
    <t>21-JAN-26</t>
  </si>
  <si>
    <t>BCPI</t>
  </si>
  <si>
    <t>ND ND PAGO SRI DECLARACION IVA DI 56970273</t>
  </si>
  <si>
    <t>08-JAN-26</t>
  </si>
  <si>
    <t>CP</t>
  </si>
  <si>
    <t>FE NUNEZ NUNEZ OSCAR VINICIO 000000268</t>
  </si>
  <si>
    <t>FE NUNEZ NUNEZ OSCAR VINICIO 000000269</t>
  </si>
  <si>
    <t>FE NUNEZ NUNEZ OSCAR VINICIO 000000270</t>
  </si>
  <si>
    <t>FE NUNEZ NUNEZ OSCAR VINICIO 000000271</t>
  </si>
  <si>
    <t>14-JAN-26</t>
  </si>
  <si>
    <t>FE CUNALATA VILLACIS HOLGER RA 000001345</t>
  </si>
  <si>
    <t>FE CUNALATA VILLACIS HOLGER RA 000001347</t>
  </si>
  <si>
    <t>FE NUNEZ NUNEZ OSCAR VINICIO 000000267</t>
  </si>
  <si>
    <t>15-JAN-26</t>
  </si>
  <si>
    <t>FE CUNALATA VILLACIS HOLGER RA 000001349</t>
  </si>
  <si>
    <t>FE GONZALEZ VEGA EL MOTOR CIA  000062991</t>
  </si>
  <si>
    <t>FE PAEZ ORTIZ CHRISTIAN GONZAL 000003567</t>
  </si>
  <si>
    <t>19-JAN-26</t>
  </si>
  <si>
    <t>FE COMPUMATICA CIA. LTDA. 000001429</t>
  </si>
  <si>
    <t>FE DISTRIBUIDORA PC-T S.A.S 000002987</t>
  </si>
  <si>
    <t>23-JAN-26</t>
  </si>
  <si>
    <t>FE BEDON VACA JOSE LUIS 000000167</t>
  </si>
  <si>
    <t>FE PAEZ ORTIZ CHRISTIAN GONZAL 000003579</t>
  </si>
  <si>
    <t>FE PAEZ ORTIZ CHRISTIAN GONZAL 000003580</t>
  </si>
  <si>
    <t>FE PAEZ ORTIZ CHRISTIAN GONZAL 000003585</t>
  </si>
  <si>
    <t>31-JAN-26</t>
  </si>
  <si>
    <t>ND MEGAWATT-ECUADOR S.A. 000001751</t>
  </si>
  <si>
    <t>05-JAN-26</t>
  </si>
  <si>
    <t>FE PAEZ ORTIZ CHRISTIAN GONZAL 000003553</t>
  </si>
  <si>
    <t>12-JAN-26</t>
  </si>
  <si>
    <t>INVEN</t>
  </si>
  <si>
    <t>IN YANGTSE-AUTO DEL ECUADOR S.A. 000000521</t>
  </si>
  <si>
    <t>13-JAN-26</t>
  </si>
  <si>
    <t>IN PULLUQUINGA LASLUISA JORGE LUIS 000001049</t>
  </si>
  <si>
    <t>IN SOLIS SOLIS MARCO VINICIO 000002759</t>
  </si>
  <si>
    <t>IN YANGTSE-AUTO DEL ECUADOR S.A. 000000523</t>
  </si>
  <si>
    <t>IN YANGTSE-AUTO DEL ECUADOR S.A. 000000528</t>
  </si>
  <si>
    <t>IN YANGTSE-AUTO DEL ECUADOR S.A. 000000535</t>
  </si>
  <si>
    <t>IN YANGTSE-AUTO DEL ECUADOR S.A. 000000536</t>
  </si>
  <si>
    <t>IN VARGAS TORRES WALTTER DARIO 000031613</t>
  </si>
  <si>
    <t>IN CIFUENTES ROSERO ESTHEFANNY MELISSA 000000002</t>
  </si>
  <si>
    <t>IN REINOSO SALAS YAJAIRA CAROLINA 000000104</t>
  </si>
  <si>
    <t>IN LARA ESCOBAR PAUL ENRIQUE 000009674</t>
  </si>
  <si>
    <t>20-JAN-26</t>
  </si>
  <si>
    <t>IN IMPORTADORA AUDIO-ALARMAS AUDA S.A. 000004672</t>
  </si>
  <si>
    <t>IN VARGAS TORRES WALTTER DARIO 000031647</t>
  </si>
  <si>
    <t>IN YANGTSE-AUTO DEL ECUADOR S.A. 000000549</t>
  </si>
  <si>
    <t>IN YANGTSE-AUTO DEL ECUADOR S.A. 000000553</t>
  </si>
  <si>
    <t>IN YANGTSE-AUTO DEL ECUADOR S.A. 000000554</t>
  </si>
  <si>
    <t>22-JAN-26</t>
  </si>
  <si>
    <t>IN YANGTSE-AUTO DEL ECUADOR S.A. 000000558</t>
  </si>
  <si>
    <t>IN IMPORTADORA AUDIO-ALARMAS AUDA S.A. 000004700</t>
  </si>
  <si>
    <t>IN VARGAS TORRES WALTTER DARIO 000031673</t>
  </si>
  <si>
    <t>IN COMONTEKSA S A 000007347</t>
  </si>
  <si>
    <t>24-JAN-26</t>
  </si>
  <si>
    <t>IN YANGTSE-AUTO DEL ECUADOR S.A. 000000565</t>
  </si>
  <si>
    <t>29-JAN-26</t>
  </si>
  <si>
    <t>IN REINOSO SALAS YAJAIRA CAROLINA 000000113</t>
  </si>
  <si>
    <t>IN REINOSO SALAS YAJAIRA CAROLINA 000000114</t>
  </si>
  <si>
    <t>IN SOLIS SOLIS MARCO VINICIO 000002810</t>
  </si>
  <si>
    <t>IN VARGAS TORRES WALTTER DARIO 000031752</t>
  </si>
  <si>
    <t>30-JAN-26</t>
  </si>
  <si>
    <t>IN PROBEMOTOR CIA.LTDA. 000019434</t>
  </si>
  <si>
    <t>IN YANGTSE-AUTO DEL ECUADOR S.A. 000000571</t>
  </si>
  <si>
    <t>IN YANGTSE-AUTO DEL ECUADOR S.A. 000000576</t>
  </si>
  <si>
    <t>IN YANGTSE-AUTO DEL ECUADOR S.A. 000000583</t>
  </si>
  <si>
    <t>IN YANGTSE-AUTO DEL ECUADOR S.A. 000000585</t>
  </si>
  <si>
    <t>IN SOLIS SOLIS MARCO VINICIO 000002818</t>
  </si>
  <si>
    <t>IN VARGAS TORRES WALTTER DARIO 000031770</t>
  </si>
  <si>
    <t>IN MEGAWATT-ECUADOR S.A. 000001751</t>
  </si>
  <si>
    <t>IN YANGTSE-AUTO DEL ECUADOR S.A. 000000587</t>
  </si>
  <si>
    <t>IN PAREDES PADILLA JAZMINA MABEL 000006232</t>
  </si>
  <si>
    <t>IN GONZALEZ VEGA EL MOTOR CIA LTDA 000070816</t>
  </si>
  <si>
    <t>06-JAN-26</t>
  </si>
  <si>
    <t>IN IMPORTADORA AUDIO-ALARMAS AUDA S.A. 000004556</t>
  </si>
  <si>
    <t>IN PULLUQUINGA LASLUISA JORGE LUIS 000001037</t>
  </si>
  <si>
    <t>IN VARGAS TORRES WALTTER DARIO 000031473</t>
  </si>
  <si>
    <t>07-JAN-26</t>
  </si>
  <si>
    <t>IN GONZALEZ VEGA EL MOTOR CIA LTDA 000062845</t>
  </si>
  <si>
    <t>IN QUISINTUNA MASABANDA MARCO ROBALINO 000000383</t>
  </si>
  <si>
    <t>IN VALVERDE ROBALINO ANGEL BENEDICTO 000001841</t>
  </si>
  <si>
    <t>IN YANGTSE-AUTO DEL ECUADOR S.A. 000000508</t>
  </si>
  <si>
    <t>IN YANGTSE-AUTO DEL ECUADOR S.A. 000000509</t>
  </si>
  <si>
    <t>IN VARGAS VILLENA BELGICA MARGARITA 000002087</t>
  </si>
  <si>
    <t>10-JAN-26</t>
  </si>
  <si>
    <t>IN YANGTSE-AUTO DEL ECUADOR S.A. 000000514</t>
  </si>
  <si>
    <t>IN YANGTSE-AUTO DEL ECUADOR S.A. 000000515</t>
  </si>
  <si>
    <t>IN YANGTSE-AUTO DEL ECUADOR S.A. 000000519</t>
  </si>
  <si>
    <t>09-JAN-26</t>
  </si>
  <si>
    <t>INVSE</t>
  </si>
  <si>
    <t>MOV. DE INVENTARIO</t>
  </si>
  <si>
    <t>28-JAN-26</t>
  </si>
  <si>
    <t>02.01.06.01.0005</t>
  </si>
  <si>
    <t>RETENCION 70% IVA - SERVICIOS</t>
  </si>
  <si>
    <t>FE CUNALATA VILLACIS HOLGER RA 000001344</t>
  </si>
  <si>
    <t>FE CUNALATA VILLACIS HOLGER RA 000001346</t>
  </si>
  <si>
    <t>FE BEDON VACA JOSE LUIS 000000163</t>
  </si>
  <si>
    <t>FE BEDON VACA JOSE LUIS 000000164</t>
  </si>
  <si>
    <t>FE BEDON VACA JOSE LUIS 000000165</t>
  </si>
  <si>
    <t>FE CAMARA DE COMERCIO DE AMBAT 000020594</t>
  </si>
  <si>
    <t>FE CUNALATA VILLACIS HOLGER RA 000001348</t>
  </si>
  <si>
    <t>17-JAN-26</t>
  </si>
  <si>
    <t>FE CARLARSERVICE CIA. LTDA 000000441</t>
  </si>
  <si>
    <t>FE CARLARSERVICE CIA. LTDA 000000443</t>
  </si>
  <si>
    <t>FE CARLARSERVICE CIA. LTDA 000000445</t>
  </si>
  <si>
    <t>FE BACLT INMOBILIARIA S.A.S. 000000192</t>
  </si>
  <si>
    <t>FE BACLT INMOBILIARIA S.A.S. 000000193</t>
  </si>
  <si>
    <t>FE CA CONSULTING S.C. 000000047</t>
  </si>
  <si>
    <t>FE CARLARSERVICE CIA. LTDA 000000438</t>
  </si>
  <si>
    <t>FE BEDON VACA JOSE LUIS 000000161</t>
  </si>
  <si>
    <t>SUBCO</t>
  </si>
  <si>
    <t>SUBCONTRATOS</t>
  </si>
  <si>
    <t>16-JAN-26</t>
  </si>
  <si>
    <t>26-JAN-26</t>
  </si>
  <si>
    <t>27-JAN-26</t>
  </si>
  <si>
    <t>02.01.06.01.0006</t>
  </si>
  <si>
    <t>100% RETENCION IVA</t>
  </si>
  <si>
    <t>FE MERA VASQUEZ NELLY MAGDALEN 000000077</t>
  </si>
  <si>
    <t>FE VIZUETE MATA ZOILA TERESA 000000002</t>
  </si>
  <si>
    <t>FE ARIAS MANTILLA JUAN FERNAND 000001555</t>
  </si>
  <si>
    <t>02.01.06.02.0002</t>
  </si>
  <si>
    <t>1% RETENCION FUENTE</t>
  </si>
  <si>
    <t>ND ND PAGO SRI DECLARACION RENTA 56744543</t>
  </si>
  <si>
    <t>FE GOMEZ CORDOVA EDWIN ROLANDO 000000627</t>
  </si>
  <si>
    <t>02.01.06.02.0003</t>
  </si>
  <si>
    <t>2 % RETENCION FUENTE</t>
  </si>
  <si>
    <t>02.01.06.02.0005</t>
  </si>
  <si>
    <t>10 % RETENCION FUENTE</t>
  </si>
  <si>
    <t>02.01.06.02.0006</t>
  </si>
  <si>
    <t>IMPTO. RENTA DE EMPLEADOS</t>
  </si>
  <si>
    <t>Suma de DEBITO</t>
  </si>
  <si>
    <t>Suma de CREDITO</t>
  </si>
  <si>
    <t>02.01.06.02.0012</t>
  </si>
  <si>
    <t>1.75% RETENCION FUENTE</t>
  </si>
  <si>
    <t>FE MONTALVO POVEDA IVETTE ANDR 000000238</t>
  </si>
  <si>
    <t>FE MONTALVO POVEDA IVETTE ANDR 000000240</t>
  </si>
  <si>
    <t>02.01.06.02.0013</t>
  </si>
  <si>
    <t>2.75% RETENCION FUENTE</t>
  </si>
  <si>
    <t>02.01.06.02.0021</t>
  </si>
  <si>
    <t>3% RETENCION FUENTE</t>
  </si>
  <si>
    <t>FE CENTRO DE SERVICIOS COMPART 000000919</t>
  </si>
  <si>
    <t>02.01.06.01.0018</t>
  </si>
  <si>
    <t>15% IVA</t>
  </si>
  <si>
    <t>FE CORP. NAC.DE TELECOMUNICACI 245293033</t>
  </si>
  <si>
    <t>FE CORP. NAC.DE TELECOMUNICACI 245293038</t>
  </si>
  <si>
    <t>FE OTECEL S.A. 122556998</t>
  </si>
  <si>
    <t>FE SZK DEL ECUADOR S.A. 000007724</t>
  </si>
  <si>
    <t>ND SZK DEL ECUADOR S.A. 900007724</t>
  </si>
  <si>
    <t>FE S.C. TAMAYO MOYA 001183095</t>
  </si>
  <si>
    <t>FE S.C. TAMAYO MOYA 001183096</t>
  </si>
  <si>
    <t>FE S.C. TAMAYO MOYA 001183246</t>
  </si>
  <si>
    <t>FE S.C. TAMAYO MOYA 001187274</t>
  </si>
  <si>
    <t>FE S.C. TAMAYO MOYA 001187275</t>
  </si>
  <si>
    <t>FE SERVIENTREGA ECUADOR S.A 000128858</t>
  </si>
  <si>
    <t>FE COMERCIAL KYWI S.A. 000645084</t>
  </si>
  <si>
    <t>FE DATAFAST S. A. 001453160</t>
  </si>
  <si>
    <t>FE ASEGURADORA DEL SUR C.A. 000050638</t>
  </si>
  <si>
    <t>FE COMERCIAL KYWI S.A. 000646143</t>
  </si>
  <si>
    <t>FE S.C. TAMAYO MOYA 001187829</t>
  </si>
  <si>
    <t>FE S.C. TAMAYO MOYA 001187831</t>
  </si>
  <si>
    <t>FE S.C. TAMAYO MOYA 001187832</t>
  </si>
  <si>
    <t>FE S.C. TAMAYO MOYA 001187857</t>
  </si>
  <si>
    <t>FE S.C. TAMAYO MOYA 001187860</t>
  </si>
  <si>
    <t>LC LEMA QUINZO LUIS FERNANDO 000000231</t>
  </si>
  <si>
    <t>LC LEMA QUINZO LUIS FERNANDO 000000234</t>
  </si>
  <si>
    <t>LC SILVA MESIAS GRACIELA ELIZA 000000233</t>
  </si>
  <si>
    <t>LC TUSTON HIDALGO CARLOS HERNA 000000235</t>
  </si>
  <si>
    <t>FE S.C. TAMAYO MOYA 001193631</t>
  </si>
  <si>
    <t>FE S.C. TAMAYO MOYA 001193633</t>
  </si>
  <si>
    <t>FE S.C. TAMAYO MOYA 001193916</t>
  </si>
  <si>
    <t>FE S.C. TAMAYO MOYA 001593475</t>
  </si>
  <si>
    <t>FE SZK DEL ECUADOR S.A. 000005333</t>
  </si>
  <si>
    <t>IN CASABACA S.A 000085503</t>
  </si>
  <si>
    <t>IN SZK DEL ECUADOR S.A. 000007737</t>
  </si>
  <si>
    <t>IN SZK DEL ECUADOR S.A. 000007740</t>
  </si>
  <si>
    <t>IN SZK DEL ECUADOR S.A. 000007741</t>
  </si>
  <si>
    <t>IN SZK DEL ECUADOR S.A. 000007746</t>
  </si>
  <si>
    <t>IN CASABACA S.A 000085530</t>
  </si>
  <si>
    <t>IN CASABACA S.A 000085544</t>
  </si>
  <si>
    <t>IN CORPORACION NEXUM NEXUMCORP S.A. 000000695</t>
  </si>
  <si>
    <t>IN SZK DEL ECUADOR S.A. 000005391</t>
  </si>
  <si>
    <t>IN SZK DEL ECUADOR S.A. 000007756</t>
  </si>
  <si>
    <t>IN SZK DEL ECUADOR S.A. 000005386</t>
  </si>
  <si>
    <t>IN CASABACA S.A 000085582</t>
  </si>
  <si>
    <t>IN SZK DEL ECUADOR S.A. 000005396</t>
  </si>
  <si>
    <t>IN SZK DEL ECUADOR S.A. 000007760</t>
  </si>
  <si>
    <t>IN SZK DEL ECUADOR S.A. 000005397</t>
  </si>
  <si>
    <t>IN CASABACA S.A 000085627</t>
  </si>
  <si>
    <t>IN SZK DEL ECUADOR S.A. 000005406</t>
  </si>
  <si>
    <t>IN SZK DEL ECUADOR S.A. 000007772</t>
  </si>
  <si>
    <t>IN SZK DEL ECUADOR S.A. 000007774</t>
  </si>
  <si>
    <t>IN CASABACA S.A 000085639</t>
  </si>
  <si>
    <t>IN CASABACA S.A 000085647</t>
  </si>
  <si>
    <t>IN SZK DEL ECUADOR S.A. 000007781</t>
  </si>
  <si>
    <t>IN SZK DEL ECUADOR S.A. 000007784</t>
  </si>
  <si>
    <t>IN SZK DEL ECUADOR S.A. 000005415</t>
  </si>
  <si>
    <t>IN CASABACA S.A 000085677</t>
  </si>
  <si>
    <t>IN CORPORACION NEXUM NEXUMCORP S.A. 000000715</t>
  </si>
  <si>
    <t>IN SZK DEL ECUADOR S.A. 000007788</t>
  </si>
  <si>
    <t>IN SZK DEL ECUADOR S.A. 000007790</t>
  </si>
  <si>
    <t>IN SZK DEL ECUADOR S.A. 000007794</t>
  </si>
  <si>
    <t>IN SZK DEL ECUADOR S.A. 000007795</t>
  </si>
  <si>
    <t>IN CASABACA S.A 000085692</t>
  </si>
  <si>
    <t>IN CASABACA S.A 000085694</t>
  </si>
  <si>
    <t>IN CASABACA S.A 000085696</t>
  </si>
  <si>
    <t>IN SZK DEL ECUADOR S.A. 000005433</t>
  </si>
  <si>
    <t>IN SZK DEL ECUADOR S.A. 000007796</t>
  </si>
  <si>
    <t>IN SZK DEL ECUADOR S.A. 000007798</t>
  </si>
  <si>
    <t>IN SZK DEL ECUADOR S.A. 000007797</t>
  </si>
  <si>
    <t>IN CASABACA S.A 000085736</t>
  </si>
  <si>
    <t>IN SZK DEL ECUADOR S.A. 000005439</t>
  </si>
  <si>
    <t>IN SZK DEL ECUADOR S.A. 000005451</t>
  </si>
  <si>
    <t>IN SZK DEL ECUADOR S.A. 000007806</t>
  </si>
  <si>
    <t>IN SZK DEL ECUADOR S.A. 000007810</t>
  </si>
  <si>
    <t>IN CORPORACION NEXUM NEXUMCORP S.A. 000003276</t>
  </si>
  <si>
    <t>IN CORPORACION NEXUM NEXUMCORP S.A. 000003277</t>
  </si>
  <si>
    <t>IN CORPORACION NEXUM NEXUMCORP S.A. 000003278</t>
  </si>
  <si>
    <t>IN CORPORACION NEXUM NEXUMCORP S.A. 000003279</t>
  </si>
  <si>
    <t>IN CASABACA S.A 000085759</t>
  </si>
  <si>
    <t>IN CASABACA S.A 000085763</t>
  </si>
  <si>
    <t>IN SZK DEL ECUADOR S.A. 000005450</t>
  </si>
  <si>
    <t>IN SZK DEL ECUADOR S.A. 000007813</t>
  </si>
  <si>
    <t>IN CASABACA S.A 000085794</t>
  </si>
  <si>
    <t>IN SZK DEL ECUADOR S.A. 000007817</t>
  </si>
  <si>
    <t>IN SZK DEL ECUADOR S.A. 000007821</t>
  </si>
  <si>
    <t>IN SZK DEL ECUADOR S.A. 000005442</t>
  </si>
  <si>
    <t>IN SZK DEL ECUADOR S.A. 000005447</t>
  </si>
  <si>
    <t>IN SZK DEL ECUADOR S.A. 000005462</t>
  </si>
  <si>
    <t>IN SZK DEL ECUADOR S.A. 000007809</t>
  </si>
  <si>
    <t>IN SZK DEL ECUADOR S.A. 000007820</t>
  </si>
  <si>
    <t>IN CASABACA S.A 000085813</t>
  </si>
  <si>
    <t>IN CASABACA S.A 000085823</t>
  </si>
  <si>
    <t>IN CASABACA S.A 000085826</t>
  </si>
  <si>
    <t>IN CORPORACION NEXUM NEXUMCORP S.A. 000000737</t>
  </si>
  <si>
    <t>IN SZK DEL ECUADOR S.A. 000005476</t>
  </si>
  <si>
    <t>IN SZK DEL ECUADOR S.A. 000007823</t>
  </si>
  <si>
    <t>IN SZK DEL ECUADOR S.A. 000007832</t>
  </si>
  <si>
    <t>IN CASABACA S.A 000031334</t>
  </si>
  <si>
    <t>IN CASABACA S.A 000085841</t>
  </si>
  <si>
    <t>IN CASABACA S.A 000085848</t>
  </si>
  <si>
    <t>IN SZK DEL ECUADOR S.A. 000007845</t>
  </si>
  <si>
    <t>IN SZK DEL ECUADOR S.A. 000007849</t>
  </si>
  <si>
    <t>IN SZK DEL ECUADOR S.A. 000007822</t>
  </si>
  <si>
    <t>IN SZK DEL ECUADOR S.A. 000007824</t>
  </si>
  <si>
    <t>IN SZK DEL ECUADOR S.A. 000007829</t>
  </si>
  <si>
    <t>IN SZK DEL ECUADOR S.A. 000007834</t>
  </si>
  <si>
    <t>IN CASABACA S.A 000085870</t>
  </si>
  <si>
    <t>IN CASABACA S.A 000085899</t>
  </si>
  <si>
    <t>IN CORPORACION NEXUM NEXUMCORP S.A. 000003313</t>
  </si>
  <si>
    <t>IN SZK DEL ECUADOR S.A. 000005490</t>
  </si>
  <si>
    <t>IN SZK DEL ECUADOR S.A. 000007852</t>
  </si>
  <si>
    <t>IN SZK DEL ECUADOR S.A. 000007855</t>
  </si>
  <si>
    <t>IN SZK DEL ECUADOR S.A. 000005492</t>
  </si>
  <si>
    <t>IN SZK DEL ECUADOR S.A. 000007853</t>
  </si>
  <si>
    <t>IN SZK DEL ECUADOR S.A. 000007858</t>
  </si>
  <si>
    <t>IN SZK DEL ECUADOR S.A. 000007862</t>
  </si>
  <si>
    <t>IN CASABACA S.A 000085908</t>
  </si>
  <si>
    <t>IN SZK DEL ECUADOR S.A. 000005494</t>
  </si>
  <si>
    <t>IN SZK DEL ECUADOR S.A. 000007859</t>
  </si>
  <si>
    <t>IN SZK DEL ECUADOR S.A. 000007860</t>
  </si>
  <si>
    <t>IN SZK DEL ECUADOR S.A. 000007861</t>
  </si>
  <si>
    <t>IN SZK DEL ECUADOR S.A. 000007867</t>
  </si>
  <si>
    <t>IN CASABACA S.A 000085922</t>
  </si>
  <si>
    <t>IN CASABACA S.A 000085938</t>
  </si>
  <si>
    <t>IN SZK DEL ECUADOR S.A. 000007868</t>
  </si>
  <si>
    <t>IN SZK DEL ECUADOR S.A. 000004022</t>
  </si>
  <si>
    <t>IN SZK DEL ECUADOR S.A. 000004023</t>
  </si>
  <si>
    <t>IN CASABACA S.A 000085330</t>
  </si>
  <si>
    <t>IN SZK DEL ECUADOR S.A. 000005321</t>
  </si>
  <si>
    <t>IN SZK DEL ECUADOR S.A. 000007686</t>
  </si>
  <si>
    <t>IN SZK DEL ECUADOR S.A. 000007691</t>
  </si>
  <si>
    <t>IN SZK DEL ECUADOR S.A. 000005329</t>
  </si>
  <si>
    <t>IN CORPORACION NEXUM NEXUMCORP S.A. 000000679</t>
  </si>
  <si>
    <t>IN CASABACA S.A 000085364</t>
  </si>
  <si>
    <t>IN SZK DEL ECUADOR S.A. 000005335</t>
  </si>
  <si>
    <t>IN SZK DEL ECUADOR S.A. 000005337</t>
  </si>
  <si>
    <t>IN SZK DEL ECUADOR S.A. 000007698</t>
  </si>
  <si>
    <t>IN SZK DEL ECUADOR S.A. 000007700</t>
  </si>
  <si>
    <t>IN SZK DEL ECUADOR S.A. 000007705</t>
  </si>
  <si>
    <t>IN SZK DEL ECUADOR S.A. 000005336</t>
  </si>
  <si>
    <t>IN SZK DEL ECUADOR S.A. 000005338</t>
  </si>
  <si>
    <t>IN SZK DEL ECUADOR S.A. 000007701</t>
  </si>
  <si>
    <t>IN CASABACA S.A 000085378</t>
  </si>
  <si>
    <t>IN CASABACA S.A 000085408</t>
  </si>
  <si>
    <t>IN SZK DEL ECUADOR S.A. 000005351</t>
  </si>
  <si>
    <t>IN SZK DEL ECUADOR S.A. 000007708</t>
  </si>
  <si>
    <t>IN SZK DEL ECUADOR S.A. 000007709</t>
  </si>
  <si>
    <t>IN SZK DEL ECUADOR S.A. 000007710</t>
  </si>
  <si>
    <t>IN SZK DEL ECUADOR S.A. 000005343</t>
  </si>
  <si>
    <t>IN SZK DEL ECUADOR S.A. 000005344</t>
  </si>
  <si>
    <t>IN CASABACA S.A 000085402</t>
  </si>
  <si>
    <t>IN CASABACA S.A 000085427</t>
  </si>
  <si>
    <t>IN CASABACA S.A 000085430</t>
  </si>
  <si>
    <t>IN SZK DEL ECUADOR S.A. 000007718</t>
  </si>
  <si>
    <t>IN SZK DEL ECUADOR S.A. 000007719</t>
  </si>
  <si>
    <t>IN SZK DEL ECUADOR S.A. 000007721</t>
  </si>
  <si>
    <t>IN CASABACA S.A 000085464</t>
  </si>
  <si>
    <t>IN SZK DEL ECUADOR S.A. 000007724</t>
  </si>
  <si>
    <t>IN SZK DEL ECUADOR S.A. 000007727</t>
  </si>
  <si>
    <t>IN SZK DEL ECUADOR S.A. 000007730</t>
  </si>
  <si>
    <t>IN SZK DEL ECUADOR S.A. 000005368</t>
  </si>
  <si>
    <t>REPTO</t>
  </si>
  <si>
    <t>MOD. REPUESTOS REP01</t>
  </si>
  <si>
    <t>MOD. REPUESTOS REP07</t>
  </si>
  <si>
    <t>MOD. REPUESTOS REP08</t>
  </si>
  <si>
    <t>MOD. REPUESTOS REP06</t>
  </si>
  <si>
    <t>MOD. REPUESTOS REP05</t>
  </si>
  <si>
    <t>VENSE</t>
  </si>
  <si>
    <t>CONTA VENTAS - CENTRO01 PERIODO 2026 - 01</t>
  </si>
  <si>
    <t>CONTABILIZACION VENTAS - CENTRO01 PERIODO 2026 - 01</t>
  </si>
  <si>
    <t>CONTA VENTAS - CENTRO07 PERIODO 2026 - 01</t>
  </si>
  <si>
    <t>CONTABILIZACION VENTAS - CENTRO07 PERIODO 2026 - 01</t>
  </si>
  <si>
    <t>CONTA VENTAS - CENTRO08 PERIODO 2026 - 01</t>
  </si>
  <si>
    <t>CONTABILIZACION VENTAS - CENTRO08 PERIODO 2026 - 01</t>
  </si>
  <si>
    <t>CONTA VENTAS - CENTRO05 PERIODO 2026 - 01</t>
  </si>
  <si>
    <t>CONTA VENTAS - CENTRO06 PERIODO 2026 - 01</t>
  </si>
  <si>
    <t>NOTAS DE CRÉDITO</t>
  </si>
  <si>
    <t>RIMPE NEGOCIO POPULAR</t>
  </si>
  <si>
    <t>MAYOR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</si>
</sst>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0" xfId="0" applyFill="1"/>
    <xf numFmtId="43" fontId="0" fillId="0" borderId="0" xfId="1" applyFont="1" applyBorder="1"/>
    <xf numFmtId="43" fontId="0" fillId="0" borderId="0" xfId="1" applyFont="1" applyFill="1" applyBorder="1"/>
    <xf numFmtId="43" fontId="3" fillId="0" borderId="0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3" fillId="0" borderId="0" xfId="1" applyFont="1"/>
    <xf numFmtId="43" fontId="0" fillId="0" borderId="0" xfId="0" applyNumberFormat="1"/>
    <xf numFmtId="0" fontId="3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2" fillId="5" borderId="1" xfId="0" applyFont="1" applyFill="1" applyBorder="1"/>
    <xf numFmtId="4" fontId="3" fillId="0" borderId="0" xfId="0" applyNumberFormat="1" applyFont="1"/>
    <xf numFmtId="4" fontId="0" fillId="2" borderId="0" xfId="0" applyNumberFormat="1" applyFill="1"/>
    <xf numFmtId="0" fontId="5" fillId="0" borderId="0" xfId="0" applyFont="1" applyAlignment="1">
      <alignment horizontal="center"/>
    </xf>
    <xf numFmtId="0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3" refreshedDate="46058.400111226852" createdVersion="8" refreshedVersion="8" minRefreshableVersion="3" recordCount="295" xr:uid="{57983200-41B0-4E2A-BA24-DC8CF76CDBEA}">
  <cacheSource type="worksheet">
    <worksheetSource ref="A14:K309" sheet="MAYOR RET"/>
  </cacheSource>
  <cacheFields count="11">
    <cacheField name="CUENTA" numFmtId="0">
      <sharedItems/>
    </cacheField>
    <cacheField name="NOMBRE" numFmtId="0">
      <sharedItems count="8">
        <s v="RETENCION 30% IVA - COMPRAS"/>
        <s v="RETENCION 70% IVA - SERVICIOS"/>
        <s v="100% RETENCION IVA"/>
        <s v="1% RETENCION FUENTE"/>
        <s v="2 % RETENCION FUENTE"/>
        <s v="10 % RETENCION FUENTE"/>
        <s v="1.75% RETENCION FUENTE"/>
        <s v="3% RETENCION FUENTE"/>
      </sharedItems>
    </cacheField>
    <cacheField name="N/M" numFmtId="0">
      <sharedItems/>
    </cacheField>
    <cacheField name="FECHA" numFmtId="0">
      <sharedItems/>
    </cacheField>
    <cacheField name="TIPO" numFmtId="0">
      <sharedItems/>
    </cacheField>
    <cacheField name="NO." numFmtId="0">
      <sharedItems containsSemiMixedTypes="0" containsString="0" containsNumber="1" containsInteger="1" minValue="54" maxValue="479"/>
    </cacheField>
    <cacheField name="EST." numFmtId="0">
      <sharedItems containsString="0" containsBlank="1" containsNumber="1" containsInteger="1" minValue="2" maxValue="70816"/>
    </cacheField>
    <cacheField name="DETALLE" numFmtId="0">
      <sharedItems/>
    </cacheField>
    <cacheField name="DEBITO" numFmtId="0">
      <sharedItems containsSemiMixedTypes="0" containsString="0" containsNumber="1" minValue="0" maxValue="0.9"/>
    </cacheField>
    <cacheField name="CREDITO" numFmtId="0">
      <sharedItems containsSemiMixedTypes="0" containsString="0" containsNumber="1" minValue="0" maxValue="1050"/>
    </cacheField>
    <cacheField name="SALDO" numFmtId="0">
      <sharedItems containsSemiMixedTypes="0" containsString="0" containsNumber="1" minValue="-164.02" maxValue="3408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3" refreshedDate="46058.493550694446" createdVersion="8" refreshedVersion="8" minRefreshableVersion="3" recordCount="787" xr:uid="{640D4B22-7BFF-42B0-A334-B7DF760079DF}">
  <cacheSource type="worksheet">
    <worksheetSource ref="A1:J788" sheet="RET PROV"/>
  </cacheSource>
  <cacheFields count="10">
    <cacheField name="NUM RET" numFmtId="0">
      <sharedItems containsSemiMixedTypes="0" containsString="0" containsNumber="1" containsInteger="1" minValue="32880" maxValue="33372"/>
    </cacheField>
    <cacheField name="PROVEEDOR" numFmtId="0">
      <sharedItems/>
    </cacheField>
    <cacheField name="FECHA" numFmtId="14">
      <sharedItems containsSemiMixedTypes="0" containsNonDate="0" containsDate="1" containsString="0" minDate="2026-01-05T00:00:00" maxDate="2026-02-01T00:00:00"/>
    </cacheField>
    <cacheField name="FECHA DOC." numFmtId="14">
      <sharedItems containsSemiMixedTypes="0" containsNonDate="0" containsDate="1" containsString="0" minDate="2026-01-05T00:00:00" maxDate="2026-02-01T00:00:00"/>
    </cacheField>
    <cacheField name="TIPO" numFmtId="14">
      <sharedItems count="2">
        <s v="IVA"/>
        <s v="RENTA"/>
      </sharedItems>
    </cacheField>
    <cacheField name="COD" numFmtId="0">
      <sharedItems containsSemiMixedTypes="0" containsString="0" containsNumber="1" containsInteger="1" minValue="303" maxValue="344"/>
    </cacheField>
    <cacheField name="NUM FACT" numFmtId="0">
      <sharedItems containsSemiMixedTypes="0" containsString="0" containsNumber="1" containsInteger="1" minValue="2" maxValue="164842"/>
    </cacheField>
    <cacheField name="% RETEN" numFmtId="0">
      <sharedItems containsSemiMixedTypes="0" containsString="0" containsNumber="1" minValue="0" maxValue="100" count="9">
        <n v="30"/>
        <n v="1.75"/>
        <n v="70"/>
        <n v="10"/>
        <n v="3"/>
        <n v="2"/>
        <n v="0"/>
        <n v="1"/>
        <n v="100"/>
      </sharedItems>
    </cacheField>
    <cacheField name="BASE" numFmtId="0">
      <sharedItems containsSemiMixedTypes="0" containsString="0" containsNumber="1" minValue="0.45" maxValue="10000"/>
    </cacheField>
    <cacheField name="VALOR RETEN" numFmtId="0">
      <sharedItems containsSemiMixedTypes="0" containsString="0" containsNumber="1" minValue="0" maxValue="1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02.01.06.01.0004"/>
    <x v="0"/>
    <s v="N"/>
    <s v="08-JAN-26"/>
    <s v="CP"/>
    <n v="113"/>
    <n v="268"/>
    <s v="FE NUNEZ NUNEZ OSCAR VINICIO 000000268"/>
    <n v="0"/>
    <n v="24.37"/>
    <n v="1094.8699999999999"/>
  </r>
  <r>
    <s v="02.01.06.01.0004"/>
    <x v="0"/>
    <s v="N"/>
    <s v="08-JAN-26"/>
    <s v="CP"/>
    <n v="113"/>
    <n v="269"/>
    <s v="FE NUNEZ NUNEZ OSCAR VINICIO 000000269"/>
    <n v="0"/>
    <n v="5.44"/>
    <n v="1089.43"/>
  </r>
  <r>
    <s v="02.01.06.01.0004"/>
    <x v="0"/>
    <s v="N"/>
    <s v="08-JAN-26"/>
    <s v="CP"/>
    <n v="113"/>
    <n v="270"/>
    <s v="FE NUNEZ NUNEZ OSCAR VINICIO 000000270"/>
    <n v="0"/>
    <n v="3.04"/>
    <n v="1086.3900000000001"/>
  </r>
  <r>
    <s v="02.01.06.01.0004"/>
    <x v="0"/>
    <s v="N"/>
    <s v="08-JAN-26"/>
    <s v="CP"/>
    <n v="113"/>
    <n v="271"/>
    <s v="FE NUNEZ NUNEZ OSCAR VINICIO 000000271"/>
    <n v="0"/>
    <n v="13.81"/>
    <n v="1072.58"/>
  </r>
  <r>
    <s v="02.01.06.01.0004"/>
    <x v="0"/>
    <s v="N"/>
    <s v="14-JAN-26"/>
    <s v="CP"/>
    <n v="166"/>
    <n v="1345"/>
    <s v="FE CUNALATA VILLACIS HOLGER RA 000001345"/>
    <n v="0"/>
    <n v="8.1199999999999992"/>
    <n v="1064.46"/>
  </r>
  <r>
    <s v="02.01.06.01.0004"/>
    <x v="0"/>
    <s v="N"/>
    <s v="14-JAN-26"/>
    <s v="CP"/>
    <n v="166"/>
    <n v="1347"/>
    <s v="FE CUNALATA VILLACIS HOLGER RA 000001347"/>
    <n v="0"/>
    <n v="4.28"/>
    <n v="1060.18"/>
  </r>
  <r>
    <s v="02.01.06.01.0004"/>
    <x v="0"/>
    <s v="N"/>
    <s v="14-JAN-26"/>
    <s v="CP"/>
    <n v="166"/>
    <n v="267"/>
    <s v="FE NUNEZ NUNEZ OSCAR VINICIO 000000267"/>
    <n v="0"/>
    <n v="84.9"/>
    <n v="975.28"/>
  </r>
  <r>
    <s v="02.01.06.01.0004"/>
    <x v="0"/>
    <s v="N"/>
    <s v="15-JAN-26"/>
    <s v="CP"/>
    <n v="186"/>
    <n v="1349"/>
    <s v="FE CUNALATA VILLACIS HOLGER RA 000001349"/>
    <n v="0"/>
    <n v="1.92"/>
    <n v="973.36"/>
  </r>
  <r>
    <s v="02.01.06.01.0004"/>
    <x v="0"/>
    <s v="N"/>
    <s v="15-JAN-26"/>
    <s v="CP"/>
    <n v="186"/>
    <n v="62991"/>
    <s v="FE GONZALEZ VEGA EL MOTOR CIA  000062991"/>
    <n v="0"/>
    <n v="3.89"/>
    <n v="969.47"/>
  </r>
  <r>
    <s v="02.01.06.01.0004"/>
    <x v="0"/>
    <s v="N"/>
    <s v="15-JAN-26"/>
    <s v="CP"/>
    <n v="186"/>
    <n v="3567"/>
    <s v="FE PAEZ ORTIZ CHRISTIAN GONZAL 000003567"/>
    <n v="0"/>
    <n v="4.05"/>
    <n v="965.42"/>
  </r>
  <r>
    <s v="02.01.06.01.0004"/>
    <x v="0"/>
    <s v="N"/>
    <s v="19-JAN-26"/>
    <s v="CP"/>
    <n v="231"/>
    <n v="1429"/>
    <s v="FE COMPUMATICA CIA. LTDA. 000001429"/>
    <n v="0"/>
    <n v="1.1299999999999999"/>
    <n v="964.29"/>
  </r>
  <r>
    <s v="02.01.06.01.0004"/>
    <x v="0"/>
    <s v="N"/>
    <s v="19-JAN-26"/>
    <s v="CP"/>
    <n v="231"/>
    <n v="2987"/>
    <s v="FE DISTRIBUIDORA PC-T S.A.S 000002987"/>
    <n v="0"/>
    <n v="1.31"/>
    <n v="962.98"/>
  </r>
  <r>
    <s v="02.01.06.01.0004"/>
    <x v="0"/>
    <s v="N"/>
    <s v="23-JAN-26"/>
    <s v="CP"/>
    <n v="299"/>
    <n v="167"/>
    <s v="FE BEDON VACA JOSE LUIS 000000167"/>
    <n v="0"/>
    <n v="7.92"/>
    <n v="955.06"/>
  </r>
  <r>
    <s v="02.01.06.01.0004"/>
    <x v="0"/>
    <s v="N"/>
    <s v="23-JAN-26"/>
    <s v="CP"/>
    <n v="299"/>
    <n v="3579"/>
    <s v="FE PAEZ ORTIZ CHRISTIAN GONZAL 000003579"/>
    <n v="0"/>
    <n v="2.7"/>
    <n v="952.36"/>
  </r>
  <r>
    <s v="02.01.06.01.0004"/>
    <x v="0"/>
    <s v="N"/>
    <s v="23-JAN-26"/>
    <s v="CP"/>
    <n v="299"/>
    <n v="3580"/>
    <s v="FE PAEZ ORTIZ CHRISTIAN GONZAL 000003580"/>
    <n v="0"/>
    <n v="2.7"/>
    <n v="949.66"/>
  </r>
  <r>
    <s v="02.01.06.01.0004"/>
    <x v="0"/>
    <s v="N"/>
    <s v="23-JAN-26"/>
    <s v="CP"/>
    <n v="299"/>
    <n v="3585"/>
    <s v="FE PAEZ ORTIZ CHRISTIAN GONZAL 000003585"/>
    <n v="0"/>
    <n v="0.68"/>
    <n v="948.98"/>
  </r>
  <r>
    <s v="02.01.06.01.0004"/>
    <x v="0"/>
    <s v="N"/>
    <s v="31-JAN-26"/>
    <s v="CP"/>
    <n v="479"/>
    <n v="1751"/>
    <s v="ND MEGAWATT-ECUADOR S.A. 000001751"/>
    <n v="0.9"/>
    <n v="0"/>
    <n v="949.88"/>
  </r>
  <r>
    <s v="02.01.06.01.0004"/>
    <x v="0"/>
    <s v="N"/>
    <s v="05-JAN-26"/>
    <s v="CP"/>
    <n v="61"/>
    <n v="3553"/>
    <s v="FE PAEZ ORTIZ CHRISTIAN GONZAL 000003553"/>
    <n v="0"/>
    <n v="0.23"/>
    <n v="949.65"/>
  </r>
  <r>
    <s v="02.01.06.01.0004"/>
    <x v="0"/>
    <s v="N"/>
    <s v="12-JAN-26"/>
    <s v="INVEN"/>
    <n v="123"/>
    <n v="521"/>
    <s v="IN YANGTSE-AUTO DEL ECUADOR S.A. 000000521"/>
    <n v="0"/>
    <n v="9.32"/>
    <n v="940.33"/>
  </r>
  <r>
    <s v="02.01.06.01.0004"/>
    <x v="0"/>
    <s v="N"/>
    <s v="13-JAN-26"/>
    <s v="INVEN"/>
    <n v="128"/>
    <n v="1049"/>
    <s v="IN PULLUQUINGA LASLUISA JORGE LUIS 000001049"/>
    <n v="0"/>
    <n v="1.8"/>
    <n v="938.53"/>
  </r>
  <r>
    <s v="02.01.06.01.0004"/>
    <x v="0"/>
    <s v="N"/>
    <s v="13-JAN-26"/>
    <s v="INVEN"/>
    <n v="128"/>
    <n v="2759"/>
    <s v="IN SOLIS SOLIS MARCO VINICIO 000002759"/>
    <n v="0"/>
    <n v="66.98"/>
    <n v="871.55"/>
  </r>
  <r>
    <s v="02.01.06.01.0004"/>
    <x v="0"/>
    <s v="N"/>
    <s v="14-JAN-26"/>
    <s v="INVEN"/>
    <n v="145"/>
    <n v="523"/>
    <s v="IN YANGTSE-AUTO DEL ECUADOR S.A. 000000523"/>
    <n v="0"/>
    <n v="9.0500000000000007"/>
    <n v="862.5"/>
  </r>
  <r>
    <s v="02.01.06.01.0004"/>
    <x v="0"/>
    <s v="N"/>
    <s v="14-JAN-26"/>
    <s v="INVEN"/>
    <n v="145"/>
    <n v="528"/>
    <s v="IN YANGTSE-AUTO DEL ECUADOR S.A. 000000528"/>
    <n v="0"/>
    <n v="4.59"/>
    <n v="857.91"/>
  </r>
  <r>
    <s v="02.01.06.01.0004"/>
    <x v="0"/>
    <s v="N"/>
    <s v="15-JAN-26"/>
    <s v="INVEN"/>
    <n v="167"/>
    <n v="535"/>
    <s v="IN YANGTSE-AUTO DEL ECUADOR S.A. 000000535"/>
    <n v="0"/>
    <n v="0.48"/>
    <n v="857.43"/>
  </r>
  <r>
    <s v="02.01.06.01.0004"/>
    <x v="0"/>
    <s v="N"/>
    <s v="15-JAN-26"/>
    <s v="INVEN"/>
    <n v="167"/>
    <n v="536"/>
    <s v="IN YANGTSE-AUTO DEL ECUADOR S.A. 000000536"/>
    <n v="0"/>
    <n v="5.54"/>
    <n v="851.89"/>
  </r>
  <r>
    <s v="02.01.06.01.0004"/>
    <x v="0"/>
    <s v="N"/>
    <s v="15-JAN-26"/>
    <s v="INVEN"/>
    <n v="168"/>
    <n v="31613"/>
    <s v="IN VARGAS TORRES WALTTER DARIO 000031613"/>
    <n v="0"/>
    <n v="120.83"/>
    <n v="731.06"/>
  </r>
  <r>
    <s v="02.01.06.01.0004"/>
    <x v="0"/>
    <s v="N"/>
    <s v="19-JAN-26"/>
    <s v="INVEN"/>
    <n v="222"/>
    <n v="2"/>
    <s v="IN CIFUENTES ROSERO ESTHEFANNY MELISSA 000000002"/>
    <n v="0"/>
    <n v="5.48"/>
    <n v="725.58"/>
  </r>
  <r>
    <s v="02.01.06.01.0004"/>
    <x v="0"/>
    <s v="N"/>
    <s v="19-JAN-26"/>
    <s v="INVEN"/>
    <n v="223"/>
    <n v="104"/>
    <s v="IN REINOSO SALAS YAJAIRA CAROLINA 000000104"/>
    <n v="0"/>
    <n v="1.8"/>
    <n v="723.78"/>
  </r>
  <r>
    <s v="02.01.06.01.0004"/>
    <x v="0"/>
    <s v="N"/>
    <s v="19-JAN-26"/>
    <s v="INVEN"/>
    <n v="224"/>
    <n v="9674"/>
    <s v="IN LARA ESCOBAR PAUL ENRIQUE 000009674"/>
    <n v="0"/>
    <n v="16.43"/>
    <n v="707.35"/>
  </r>
  <r>
    <s v="02.01.06.01.0004"/>
    <x v="0"/>
    <s v="N"/>
    <s v="20-JAN-26"/>
    <s v="INVEN"/>
    <n v="232"/>
    <n v="4672"/>
    <s v="IN IMPORTADORA AUDIO-ALARMAS AUDA S.A. 000004672"/>
    <n v="0"/>
    <n v="12.83"/>
    <n v="694.52"/>
  </r>
  <r>
    <s v="02.01.06.01.0004"/>
    <x v="0"/>
    <s v="N"/>
    <s v="20-JAN-26"/>
    <s v="INVEN"/>
    <n v="232"/>
    <n v="31647"/>
    <s v="IN VARGAS TORRES WALTTER DARIO 000031647"/>
    <n v="0"/>
    <n v="9"/>
    <n v="685.52"/>
  </r>
  <r>
    <s v="02.01.06.01.0004"/>
    <x v="0"/>
    <s v="N"/>
    <s v="21-JAN-26"/>
    <s v="INVEN"/>
    <n v="261"/>
    <n v="549"/>
    <s v="IN YANGTSE-AUTO DEL ECUADOR S.A. 000000549"/>
    <n v="0"/>
    <n v="20.81"/>
    <n v="664.71"/>
  </r>
  <r>
    <s v="02.01.06.01.0004"/>
    <x v="0"/>
    <s v="N"/>
    <s v="21-JAN-26"/>
    <s v="INVEN"/>
    <n v="261"/>
    <n v="553"/>
    <s v="IN YANGTSE-AUTO DEL ECUADOR S.A. 000000553"/>
    <n v="0"/>
    <n v="5.57"/>
    <n v="659.14"/>
  </r>
  <r>
    <s v="02.01.06.01.0004"/>
    <x v="0"/>
    <s v="N"/>
    <s v="21-JAN-26"/>
    <s v="INVEN"/>
    <n v="261"/>
    <n v="554"/>
    <s v="IN YANGTSE-AUTO DEL ECUADOR S.A. 000000554"/>
    <n v="0"/>
    <n v="22.67"/>
    <n v="636.47"/>
  </r>
  <r>
    <s v="02.01.06.01.0004"/>
    <x v="0"/>
    <s v="N"/>
    <s v="22-JAN-26"/>
    <s v="INVEN"/>
    <n v="279"/>
    <n v="558"/>
    <s v="IN YANGTSE-AUTO DEL ECUADOR S.A. 000000558"/>
    <n v="0"/>
    <n v="0.51"/>
    <n v="635.96"/>
  </r>
  <r>
    <s v="02.01.06.01.0004"/>
    <x v="0"/>
    <s v="N"/>
    <s v="22-JAN-26"/>
    <s v="INVEN"/>
    <n v="280"/>
    <n v="4700"/>
    <s v="IN IMPORTADORA AUDIO-ALARMAS AUDA S.A. 000004700"/>
    <n v="0"/>
    <n v="92.7"/>
    <n v="543.26"/>
  </r>
  <r>
    <s v="02.01.06.01.0004"/>
    <x v="0"/>
    <s v="N"/>
    <s v="22-JAN-26"/>
    <s v="INVEN"/>
    <n v="280"/>
    <n v="31673"/>
    <s v="IN VARGAS TORRES WALTTER DARIO 000031673"/>
    <n v="0"/>
    <n v="9"/>
    <n v="534.26"/>
  </r>
  <r>
    <s v="02.01.06.01.0004"/>
    <x v="0"/>
    <s v="N"/>
    <s v="23-JAN-26"/>
    <s v="INVEN"/>
    <n v="295"/>
    <n v="7347"/>
    <s v="IN COMONTEKSA S A 000007347"/>
    <n v="0"/>
    <n v="4.7300000000000004"/>
    <n v="529.53"/>
  </r>
  <r>
    <s v="02.01.06.01.0004"/>
    <x v="0"/>
    <s v="N"/>
    <s v="24-JAN-26"/>
    <s v="INVEN"/>
    <n v="301"/>
    <n v="565"/>
    <s v="IN YANGTSE-AUTO DEL ECUADOR S.A. 000000565"/>
    <n v="0"/>
    <n v="0.16"/>
    <n v="529.37"/>
  </r>
  <r>
    <s v="02.01.06.01.0004"/>
    <x v="0"/>
    <s v="N"/>
    <s v="29-JAN-26"/>
    <s v="INVEN"/>
    <n v="380"/>
    <n v="113"/>
    <s v="IN REINOSO SALAS YAJAIRA CAROLINA 000000113"/>
    <n v="0"/>
    <n v="7.2"/>
    <n v="522.16999999999996"/>
  </r>
  <r>
    <s v="02.01.06.01.0004"/>
    <x v="0"/>
    <s v="N"/>
    <s v="29-JAN-26"/>
    <s v="INVEN"/>
    <n v="380"/>
    <n v="114"/>
    <s v="IN REINOSO SALAS YAJAIRA CAROLINA 000000114"/>
    <n v="0"/>
    <n v="1.8"/>
    <n v="520.37"/>
  </r>
  <r>
    <s v="02.01.06.01.0004"/>
    <x v="0"/>
    <s v="N"/>
    <s v="29-JAN-26"/>
    <s v="INVEN"/>
    <n v="380"/>
    <n v="2810"/>
    <s v="IN SOLIS SOLIS MARCO VINICIO 000002810"/>
    <n v="0"/>
    <n v="12.23"/>
    <n v="508.14"/>
  </r>
  <r>
    <s v="02.01.06.01.0004"/>
    <x v="0"/>
    <s v="N"/>
    <s v="29-JAN-26"/>
    <s v="INVEN"/>
    <n v="380"/>
    <n v="31752"/>
    <s v="IN VARGAS TORRES WALTTER DARIO 000031752"/>
    <n v="0"/>
    <n v="18.899999999999999"/>
    <n v="489.24"/>
  </r>
  <r>
    <s v="02.01.06.01.0004"/>
    <x v="0"/>
    <s v="N"/>
    <s v="30-JAN-26"/>
    <s v="INVEN"/>
    <n v="390"/>
    <n v="19434"/>
    <s v="IN PROBEMOTOR CIA.LTDA. 000019434"/>
    <n v="0"/>
    <n v="10.15"/>
    <n v="479.09"/>
  </r>
  <r>
    <s v="02.01.06.01.0004"/>
    <x v="0"/>
    <s v="N"/>
    <s v="30-JAN-26"/>
    <s v="INVEN"/>
    <n v="390"/>
    <n v="571"/>
    <s v="IN YANGTSE-AUTO DEL ECUADOR S.A. 000000571"/>
    <n v="0"/>
    <n v="38.47"/>
    <n v="440.62"/>
  </r>
  <r>
    <s v="02.01.06.01.0004"/>
    <x v="0"/>
    <s v="N"/>
    <s v="30-JAN-26"/>
    <s v="INVEN"/>
    <n v="390"/>
    <n v="576"/>
    <s v="IN YANGTSE-AUTO DEL ECUADOR S.A. 000000576"/>
    <n v="0"/>
    <n v="59.69"/>
    <n v="380.93"/>
  </r>
  <r>
    <s v="02.01.06.01.0004"/>
    <x v="0"/>
    <s v="N"/>
    <s v="30-JAN-26"/>
    <s v="INVEN"/>
    <n v="390"/>
    <n v="583"/>
    <s v="IN YANGTSE-AUTO DEL ECUADOR S.A. 000000583"/>
    <n v="0"/>
    <n v="0.9"/>
    <n v="380.03"/>
  </r>
  <r>
    <s v="02.01.06.01.0004"/>
    <x v="0"/>
    <s v="N"/>
    <s v="30-JAN-26"/>
    <s v="INVEN"/>
    <n v="390"/>
    <n v="585"/>
    <s v="IN YANGTSE-AUTO DEL ECUADOR S.A. 000000585"/>
    <n v="0"/>
    <n v="16.64"/>
    <n v="363.39"/>
  </r>
  <r>
    <s v="02.01.06.01.0004"/>
    <x v="0"/>
    <s v="N"/>
    <s v="30-JAN-26"/>
    <s v="INVEN"/>
    <n v="391"/>
    <n v="2818"/>
    <s v="IN SOLIS SOLIS MARCO VINICIO 000002818"/>
    <n v="0"/>
    <n v="21.6"/>
    <n v="341.79"/>
  </r>
  <r>
    <s v="02.01.06.01.0004"/>
    <x v="0"/>
    <s v="N"/>
    <s v="30-JAN-26"/>
    <s v="INVEN"/>
    <n v="391"/>
    <n v="31770"/>
    <s v="IN VARGAS TORRES WALTTER DARIO 000031770"/>
    <n v="0"/>
    <n v="39.6"/>
    <n v="302.19"/>
  </r>
  <r>
    <s v="02.01.06.01.0004"/>
    <x v="0"/>
    <s v="N"/>
    <s v="30-JAN-26"/>
    <s v="INVEN"/>
    <n v="392"/>
    <n v="1751"/>
    <s v="IN MEGAWATT-ECUADOR S.A. 000001751"/>
    <n v="0"/>
    <n v="0.9"/>
    <n v="301.29000000000002"/>
  </r>
  <r>
    <s v="02.01.06.01.0004"/>
    <x v="0"/>
    <s v="N"/>
    <s v="31-JAN-26"/>
    <s v="INVEN"/>
    <n v="395"/>
    <n v="587"/>
    <s v="IN YANGTSE-AUTO DEL ECUADOR S.A. 000000587"/>
    <n v="0"/>
    <n v="1.37"/>
    <n v="299.92"/>
  </r>
  <r>
    <s v="02.01.06.01.0004"/>
    <x v="0"/>
    <s v="N"/>
    <s v="05-JAN-26"/>
    <s v="INVEN"/>
    <n v="54"/>
    <n v="6232"/>
    <s v="IN PAREDES PADILLA JAZMINA MABEL 000006232"/>
    <n v="0"/>
    <n v="1.76"/>
    <n v="298.16000000000003"/>
  </r>
  <r>
    <s v="02.01.06.01.0004"/>
    <x v="0"/>
    <s v="N"/>
    <s v="05-JAN-26"/>
    <s v="INVEN"/>
    <n v="55"/>
    <n v="70816"/>
    <s v="IN GONZALEZ VEGA EL MOTOR CIA LTDA 000070816"/>
    <n v="0"/>
    <n v="3.58"/>
    <n v="294.58"/>
  </r>
  <r>
    <s v="02.01.06.01.0004"/>
    <x v="0"/>
    <s v="N"/>
    <s v="06-JAN-26"/>
    <s v="INVEN"/>
    <n v="62"/>
    <n v="4556"/>
    <s v="IN IMPORTADORA AUDIO-ALARMAS AUDA S.A. 000004556"/>
    <n v="0"/>
    <n v="46.35"/>
    <n v="248.23"/>
  </r>
  <r>
    <s v="02.01.06.01.0004"/>
    <x v="0"/>
    <s v="N"/>
    <s v="06-JAN-26"/>
    <s v="INVEN"/>
    <n v="62"/>
    <n v="1037"/>
    <s v="IN PULLUQUINGA LASLUISA JORGE LUIS 000001037"/>
    <n v="0"/>
    <n v="54"/>
    <n v="194.23"/>
  </r>
  <r>
    <s v="02.01.06.01.0004"/>
    <x v="0"/>
    <s v="N"/>
    <s v="06-JAN-26"/>
    <s v="INVEN"/>
    <n v="62"/>
    <n v="31473"/>
    <s v="IN VARGAS TORRES WALTTER DARIO 000031473"/>
    <n v="0"/>
    <n v="43.2"/>
    <n v="151.03"/>
  </r>
  <r>
    <s v="02.01.06.01.0004"/>
    <x v="0"/>
    <s v="N"/>
    <s v="07-JAN-26"/>
    <s v="INVEN"/>
    <n v="73"/>
    <n v="62845"/>
    <s v="IN GONZALEZ VEGA EL MOTOR CIA LTDA 000062845"/>
    <n v="0"/>
    <n v="5.14"/>
    <n v="145.88999999999999"/>
  </r>
  <r>
    <s v="02.01.06.01.0004"/>
    <x v="0"/>
    <s v="N"/>
    <s v="07-JAN-26"/>
    <s v="INVEN"/>
    <n v="75"/>
    <n v="383"/>
    <s v="IN QUISINTUNA MASABANDA MARCO ROBALINO 000000383"/>
    <n v="0"/>
    <n v="19.05"/>
    <n v="126.84"/>
  </r>
  <r>
    <s v="02.01.06.01.0004"/>
    <x v="0"/>
    <s v="N"/>
    <s v="07-JAN-26"/>
    <s v="INVEN"/>
    <n v="75"/>
    <n v="1841"/>
    <s v="IN VALVERDE ROBALINO ANGEL BENEDICTO 000001841"/>
    <n v="0"/>
    <n v="1.02"/>
    <n v="125.82"/>
  </r>
  <r>
    <s v="02.01.06.01.0004"/>
    <x v="0"/>
    <s v="N"/>
    <s v="08-JAN-26"/>
    <s v="INVEN"/>
    <n v="90"/>
    <n v="508"/>
    <s v="IN YANGTSE-AUTO DEL ECUADOR S.A. 000000508"/>
    <n v="0"/>
    <n v="6.46"/>
    <n v="119.36"/>
  </r>
  <r>
    <s v="02.01.06.01.0004"/>
    <x v="0"/>
    <s v="N"/>
    <s v="08-JAN-26"/>
    <s v="INVEN"/>
    <n v="90"/>
    <n v="509"/>
    <s v="IN YANGTSE-AUTO DEL ECUADOR S.A. 000000509"/>
    <n v="0"/>
    <n v="9.42"/>
    <n v="109.94"/>
  </r>
  <r>
    <s v="02.01.06.01.0004"/>
    <x v="0"/>
    <s v="N"/>
    <s v="08-JAN-26"/>
    <s v="INVEN"/>
    <n v="92"/>
    <n v="2087"/>
    <s v="IN VARGAS VILLENA BELGICA MARGARITA 000002087"/>
    <n v="0"/>
    <n v="9"/>
    <n v="100.94"/>
  </r>
  <r>
    <s v="02.01.06.01.0004"/>
    <x v="0"/>
    <s v="N"/>
    <s v="10-JAN-26"/>
    <s v="INVEN"/>
    <n v="96"/>
    <n v="514"/>
    <s v="IN YANGTSE-AUTO DEL ECUADOR S.A. 000000514"/>
    <n v="0"/>
    <n v="15.52"/>
    <n v="85.42"/>
  </r>
  <r>
    <s v="02.01.06.01.0004"/>
    <x v="0"/>
    <s v="N"/>
    <s v="10-JAN-26"/>
    <s v="INVEN"/>
    <n v="96"/>
    <n v="515"/>
    <s v="IN YANGTSE-AUTO DEL ECUADOR S.A. 000000515"/>
    <n v="0"/>
    <n v="6.35"/>
    <n v="79.069999999999993"/>
  </r>
  <r>
    <s v="02.01.06.01.0004"/>
    <x v="0"/>
    <s v="N"/>
    <s v="10-JAN-26"/>
    <s v="INVEN"/>
    <n v="96"/>
    <n v="519"/>
    <s v="IN YANGTSE-AUTO DEL ECUADOR S.A. 000000519"/>
    <n v="0"/>
    <n v="4.9400000000000004"/>
    <n v="74.13"/>
  </r>
  <r>
    <s v="02.01.06.01.0004"/>
    <x v="0"/>
    <s v="N"/>
    <s v="09-JAN-26"/>
    <s v="INVSE"/>
    <n v="108"/>
    <m/>
    <s v="MOV. DE INVENTARIO"/>
    <n v="0"/>
    <n v="4.05"/>
    <n v="70.08"/>
  </r>
  <r>
    <s v="02.01.06.01.0004"/>
    <x v="0"/>
    <s v="N"/>
    <s v="12-JAN-26"/>
    <s v="INVSE"/>
    <n v="126"/>
    <m/>
    <s v="MOV. DE INVENTARIO"/>
    <n v="0"/>
    <n v="15.03"/>
    <n v="55.05"/>
  </r>
  <r>
    <s v="02.01.06.01.0004"/>
    <x v="0"/>
    <s v="N"/>
    <s v="14-JAN-26"/>
    <s v="INVSE"/>
    <n v="153"/>
    <m/>
    <s v="MOV. DE INVENTARIO"/>
    <n v="0"/>
    <n v="34.729999999999997"/>
    <n v="20.32"/>
  </r>
  <r>
    <s v="02.01.06.01.0004"/>
    <x v="0"/>
    <s v="N"/>
    <s v="23-JAN-26"/>
    <s v="INVSE"/>
    <n v="297"/>
    <m/>
    <s v="MOV. DE INVENTARIO"/>
    <n v="0"/>
    <n v="27.39"/>
    <n v="-7.07"/>
  </r>
  <r>
    <s v="02.01.06.01.0004"/>
    <x v="0"/>
    <s v="N"/>
    <s v="24-JAN-26"/>
    <s v="INVSE"/>
    <n v="305"/>
    <m/>
    <s v="MOV. DE INVENTARIO"/>
    <n v="0"/>
    <n v="10.59"/>
    <n v="-17.66"/>
  </r>
  <r>
    <s v="02.01.06.01.0004"/>
    <x v="0"/>
    <s v="N"/>
    <s v="28-JAN-26"/>
    <s v="INVSE"/>
    <n v="350"/>
    <m/>
    <s v="MOV. DE INVENTARIO"/>
    <n v="0"/>
    <n v="36.65"/>
    <n v="-54.31"/>
  </r>
  <r>
    <s v="02.01.06.01.0004"/>
    <x v="0"/>
    <s v="N"/>
    <s v="29-JAN-26"/>
    <s v="INVSE"/>
    <n v="386"/>
    <m/>
    <s v="MOV. DE INVENTARIO"/>
    <n v="0"/>
    <n v="75.11"/>
    <n v="-129.41999999999999"/>
  </r>
  <r>
    <s v="02.01.06.01.0004"/>
    <x v="0"/>
    <s v="N"/>
    <s v="06-JAN-26"/>
    <s v="INVSE"/>
    <n v="69"/>
    <m/>
    <s v="MOV. DE INVENTARIO"/>
    <n v="0"/>
    <n v="34.6"/>
    <n v="-164.02"/>
  </r>
  <r>
    <s v="02.01.06.01.0005"/>
    <x v="1"/>
    <s v="N"/>
    <s v="14-JAN-26"/>
    <s v="CP"/>
    <n v="166"/>
    <n v="1344"/>
    <s v="FE CUNALATA VILLACIS HOLGER RA 000001344"/>
    <n v="0"/>
    <n v="12.7"/>
    <n v="3408.52"/>
  </r>
  <r>
    <s v="02.01.06.01.0005"/>
    <x v="1"/>
    <s v="N"/>
    <s v="14-JAN-26"/>
    <s v="CP"/>
    <n v="166"/>
    <n v="1346"/>
    <s v="FE CUNALATA VILLACIS HOLGER RA 000001346"/>
    <n v="0"/>
    <n v="7.21"/>
    <n v="3401.31"/>
  </r>
  <r>
    <s v="02.01.06.01.0005"/>
    <x v="1"/>
    <s v="N"/>
    <s v="15-JAN-26"/>
    <s v="CP"/>
    <n v="186"/>
    <n v="163"/>
    <s v="FE BEDON VACA JOSE LUIS 000000163"/>
    <n v="0"/>
    <n v="6.72"/>
    <n v="3394.59"/>
  </r>
  <r>
    <s v="02.01.06.01.0005"/>
    <x v="1"/>
    <s v="N"/>
    <s v="15-JAN-26"/>
    <s v="CP"/>
    <n v="186"/>
    <n v="164"/>
    <s v="FE BEDON VACA JOSE LUIS 000000164"/>
    <n v="0"/>
    <n v="8.56"/>
    <n v="3386.03"/>
  </r>
  <r>
    <s v="02.01.06.01.0005"/>
    <x v="1"/>
    <s v="N"/>
    <s v="15-JAN-26"/>
    <s v="CP"/>
    <n v="186"/>
    <n v="165"/>
    <s v="FE BEDON VACA JOSE LUIS 000000165"/>
    <n v="0"/>
    <n v="4.38"/>
    <n v="3381.65"/>
  </r>
  <r>
    <s v="02.01.06.01.0005"/>
    <x v="1"/>
    <s v="N"/>
    <s v="15-JAN-26"/>
    <s v="CP"/>
    <n v="186"/>
    <n v="20594"/>
    <s v="FE CAMARA DE COMERCIO DE AMBAT 000020594"/>
    <n v="0"/>
    <n v="17.12"/>
    <n v="3364.53"/>
  </r>
  <r>
    <s v="02.01.06.01.0005"/>
    <x v="1"/>
    <s v="N"/>
    <s v="15-JAN-26"/>
    <s v="CP"/>
    <n v="186"/>
    <n v="1348"/>
    <s v="FE CUNALATA VILLACIS HOLGER RA 000001348"/>
    <n v="0"/>
    <n v="5.73"/>
    <n v="3358.8"/>
  </r>
  <r>
    <s v="02.01.06.01.0005"/>
    <x v="1"/>
    <s v="N"/>
    <s v="17-JAN-26"/>
    <s v="CP"/>
    <n v="215"/>
    <n v="441"/>
    <s v="FE CARLARSERVICE CIA. LTDA 000000441"/>
    <n v="0"/>
    <n v="16.149999999999999"/>
    <n v="3342.65"/>
  </r>
  <r>
    <s v="02.01.06.01.0005"/>
    <x v="1"/>
    <s v="N"/>
    <s v="17-JAN-26"/>
    <s v="CP"/>
    <n v="215"/>
    <n v="443"/>
    <s v="FE CARLARSERVICE CIA. LTDA 000000443"/>
    <n v="0"/>
    <n v="47.64"/>
    <n v="3295.01"/>
  </r>
  <r>
    <s v="02.01.06.01.0005"/>
    <x v="1"/>
    <s v="N"/>
    <s v="17-JAN-26"/>
    <s v="CP"/>
    <n v="215"/>
    <n v="445"/>
    <s v="FE CARLARSERVICE CIA. LTDA 000000445"/>
    <n v="0"/>
    <n v="24.87"/>
    <n v="3270.14"/>
  </r>
  <r>
    <s v="02.01.06.01.0005"/>
    <x v="1"/>
    <s v="N"/>
    <s v="05-JAN-26"/>
    <s v="CP"/>
    <n v="61"/>
    <n v="192"/>
    <s v="FE BACLT INMOBILIARIA S.A.S. 000000192"/>
    <n v="0"/>
    <n v="875.72"/>
    <n v="2394.42"/>
  </r>
  <r>
    <s v="02.01.06.01.0005"/>
    <x v="1"/>
    <s v="N"/>
    <s v="05-JAN-26"/>
    <s v="CP"/>
    <n v="61"/>
    <n v="193"/>
    <s v="FE BACLT INMOBILIARIA S.A.S. 000000193"/>
    <n v="0"/>
    <n v="553.13"/>
    <n v="1841.29"/>
  </r>
  <r>
    <s v="02.01.06.01.0005"/>
    <x v="1"/>
    <s v="N"/>
    <s v="05-JAN-26"/>
    <s v="CP"/>
    <n v="61"/>
    <n v="47"/>
    <s v="FE CA CONSULTING S.C. 000000047"/>
    <n v="0"/>
    <n v="94.02"/>
    <n v="1747.27"/>
  </r>
  <r>
    <s v="02.01.06.01.0005"/>
    <x v="1"/>
    <s v="N"/>
    <s v="05-JAN-26"/>
    <s v="CP"/>
    <n v="61"/>
    <n v="438"/>
    <s v="FE CARLARSERVICE CIA. LTDA 000000438"/>
    <n v="0"/>
    <n v="1050"/>
    <n v="697.27"/>
  </r>
  <r>
    <s v="02.01.06.01.0005"/>
    <x v="1"/>
    <s v="N"/>
    <s v="06-JAN-26"/>
    <s v="CP"/>
    <n v="71"/>
    <n v="161"/>
    <s v="FE BEDON VACA JOSE LUIS 000000161"/>
    <n v="0"/>
    <n v="3.4"/>
    <n v="693.87"/>
  </r>
  <r>
    <s v="02.01.06.01.0005"/>
    <x v="1"/>
    <s v="N"/>
    <s v="08-JAN-26"/>
    <s v="SUBCO"/>
    <n v="102"/>
    <m/>
    <s v="SUBCONTRATOS"/>
    <n v="0"/>
    <n v="16.8"/>
    <n v="677.07"/>
  </r>
  <r>
    <s v="02.01.06.01.0005"/>
    <x v="1"/>
    <s v="N"/>
    <s v="08-JAN-26"/>
    <s v="SUBCO"/>
    <n v="103"/>
    <m/>
    <s v="SUBCONTRATOS"/>
    <n v="0"/>
    <n v="5.64"/>
    <n v="671.43"/>
  </r>
  <r>
    <s v="02.01.06.01.0005"/>
    <x v="1"/>
    <s v="N"/>
    <s v="09-JAN-26"/>
    <s v="SUBCO"/>
    <n v="107"/>
    <m/>
    <s v="SUBCONTRATOS"/>
    <n v="0"/>
    <n v="9.98"/>
    <n v="661.45"/>
  </r>
  <r>
    <s v="02.01.06.01.0005"/>
    <x v="1"/>
    <s v="N"/>
    <s v="09-JAN-26"/>
    <s v="SUBCO"/>
    <n v="109"/>
    <m/>
    <s v="SUBCONTRATOS"/>
    <n v="0"/>
    <n v="3.76"/>
    <n v="657.69"/>
  </r>
  <r>
    <s v="02.01.06.01.0005"/>
    <x v="1"/>
    <s v="N"/>
    <s v="10-JAN-26"/>
    <s v="SUBCO"/>
    <n v="111"/>
    <m/>
    <s v="SUBCONTRATOS"/>
    <n v="0"/>
    <n v="5.88"/>
    <n v="651.80999999999995"/>
  </r>
  <r>
    <s v="02.01.06.01.0005"/>
    <x v="1"/>
    <s v="N"/>
    <s v="12-JAN-26"/>
    <s v="SUBCO"/>
    <n v="125"/>
    <m/>
    <s v="SUBCONTRATOS"/>
    <n v="0"/>
    <n v="18.8"/>
    <n v="633.01"/>
  </r>
  <r>
    <s v="02.01.06.01.0005"/>
    <x v="1"/>
    <s v="N"/>
    <s v="13-JAN-26"/>
    <s v="SUBCO"/>
    <n v="134"/>
    <m/>
    <s v="SUBCONTRATOS"/>
    <n v="0"/>
    <n v="5.36"/>
    <n v="627.65"/>
  </r>
  <r>
    <s v="02.01.06.01.0005"/>
    <x v="1"/>
    <s v="N"/>
    <s v="14-JAN-26"/>
    <s v="SUBCO"/>
    <n v="150"/>
    <m/>
    <s v="SUBCONTRATOS"/>
    <n v="0"/>
    <n v="7.35"/>
    <n v="620.29999999999995"/>
  </r>
  <r>
    <s v="02.01.06.01.0005"/>
    <x v="1"/>
    <s v="N"/>
    <s v="14-JAN-26"/>
    <s v="SUBCO"/>
    <n v="152"/>
    <m/>
    <s v="SUBCONTRATOS"/>
    <n v="0"/>
    <n v="5.46"/>
    <n v="614.84"/>
  </r>
  <r>
    <s v="02.01.06.01.0005"/>
    <x v="1"/>
    <s v="N"/>
    <s v="15-JAN-26"/>
    <s v="SUBCO"/>
    <n v="183"/>
    <m/>
    <s v="SUBCONTRATOS"/>
    <n v="0"/>
    <n v="2.73"/>
    <n v="612.11"/>
  </r>
  <r>
    <s v="02.01.06.01.0005"/>
    <x v="1"/>
    <s v="N"/>
    <s v="15-JAN-26"/>
    <s v="SUBCO"/>
    <n v="185"/>
    <m/>
    <s v="SUBCONTRATOS"/>
    <n v="0"/>
    <n v="2.14"/>
    <n v="609.97"/>
  </r>
  <r>
    <s v="02.01.06.01.0005"/>
    <x v="1"/>
    <s v="N"/>
    <s v="16-JAN-26"/>
    <s v="SUBCO"/>
    <n v="191"/>
    <m/>
    <s v="SUBCONTRATOS"/>
    <n v="0"/>
    <n v="13.86"/>
    <n v="596.11"/>
  </r>
  <r>
    <s v="02.01.06.01.0005"/>
    <x v="1"/>
    <s v="N"/>
    <s v="16-JAN-26"/>
    <s v="SUBCO"/>
    <n v="192"/>
    <m/>
    <s v="SUBCONTRATOS"/>
    <n v="0"/>
    <n v="5.64"/>
    <n v="590.47"/>
  </r>
  <r>
    <s v="02.01.06.01.0005"/>
    <x v="1"/>
    <s v="N"/>
    <s v="19-JAN-26"/>
    <s v="SUBCO"/>
    <n v="226"/>
    <m/>
    <s v="SUBCONTRATOS"/>
    <n v="0"/>
    <n v="3.15"/>
    <n v="587.32000000000005"/>
  </r>
  <r>
    <s v="02.01.06.01.0005"/>
    <x v="1"/>
    <s v="N"/>
    <s v="19-JAN-26"/>
    <s v="SUBCO"/>
    <n v="227"/>
    <m/>
    <s v="SUBCONTRATOS"/>
    <n v="0"/>
    <n v="3.76"/>
    <n v="583.55999999999995"/>
  </r>
  <r>
    <s v="02.01.06.01.0005"/>
    <x v="1"/>
    <s v="N"/>
    <s v="20-JAN-26"/>
    <s v="SUBCO"/>
    <n v="235"/>
    <m/>
    <s v="SUBCONTRATOS"/>
    <n v="0"/>
    <n v="4.7300000000000004"/>
    <n v="578.83000000000004"/>
  </r>
  <r>
    <s v="02.01.06.01.0005"/>
    <x v="1"/>
    <s v="N"/>
    <s v="20-JAN-26"/>
    <s v="SUBCO"/>
    <n v="236"/>
    <m/>
    <s v="SUBCONTRATOS"/>
    <n v="0"/>
    <n v="11.76"/>
    <n v="567.07000000000005"/>
  </r>
  <r>
    <s v="02.01.06.01.0005"/>
    <x v="1"/>
    <s v="N"/>
    <s v="20-JAN-26"/>
    <s v="SUBCO"/>
    <n v="237"/>
    <m/>
    <s v="SUBCONTRATOS"/>
    <n v="0"/>
    <n v="3.76"/>
    <n v="563.30999999999995"/>
  </r>
  <r>
    <s v="02.01.06.01.0005"/>
    <x v="1"/>
    <s v="N"/>
    <s v="21-JAN-26"/>
    <s v="SUBCO"/>
    <n v="266"/>
    <m/>
    <s v="SUBCONTRATOS"/>
    <n v="0"/>
    <n v="15.12"/>
    <n v="548.19000000000005"/>
  </r>
  <r>
    <s v="02.01.06.01.0005"/>
    <x v="1"/>
    <s v="N"/>
    <s v="21-JAN-26"/>
    <s v="SUBCO"/>
    <n v="267"/>
    <m/>
    <s v="SUBCONTRATOS"/>
    <n v="0"/>
    <n v="7.52"/>
    <n v="540.66999999999996"/>
  </r>
  <r>
    <s v="02.01.06.01.0005"/>
    <x v="1"/>
    <s v="N"/>
    <s v="22-JAN-26"/>
    <s v="SUBCO"/>
    <n v="283"/>
    <m/>
    <s v="SUBCONTRATOS"/>
    <n v="0"/>
    <n v="14.91"/>
    <n v="525.76"/>
  </r>
  <r>
    <s v="02.01.06.01.0005"/>
    <x v="1"/>
    <s v="N"/>
    <s v="22-JAN-26"/>
    <s v="SUBCO"/>
    <n v="285"/>
    <m/>
    <s v="SUBCONTRATOS"/>
    <n v="0"/>
    <n v="1.88"/>
    <n v="523.88"/>
  </r>
  <r>
    <s v="02.01.06.01.0005"/>
    <x v="1"/>
    <s v="N"/>
    <s v="23-JAN-26"/>
    <s v="SUBCO"/>
    <n v="298"/>
    <m/>
    <s v="SUBCONTRATOS"/>
    <n v="0"/>
    <n v="10.51"/>
    <n v="513.37"/>
  </r>
  <r>
    <s v="02.01.06.01.0005"/>
    <x v="1"/>
    <s v="N"/>
    <s v="24-JAN-26"/>
    <s v="SUBCO"/>
    <n v="304"/>
    <m/>
    <s v="SUBCONTRATOS"/>
    <n v="0"/>
    <n v="2.31"/>
    <n v="511.06"/>
  </r>
  <r>
    <s v="02.01.06.01.0005"/>
    <x v="1"/>
    <s v="N"/>
    <s v="26-JAN-26"/>
    <s v="SUBCO"/>
    <n v="336"/>
    <m/>
    <s v="SUBCONTRATOS"/>
    <n v="0"/>
    <n v="3.36"/>
    <n v="507.7"/>
  </r>
  <r>
    <s v="02.01.06.01.0005"/>
    <x v="1"/>
    <s v="N"/>
    <s v="26-JAN-26"/>
    <s v="SUBCO"/>
    <n v="337"/>
    <m/>
    <s v="SUBCONTRATOS"/>
    <n v="0"/>
    <n v="5.64"/>
    <n v="502.06"/>
  </r>
  <r>
    <s v="02.01.06.01.0005"/>
    <x v="1"/>
    <s v="N"/>
    <s v="27-JAN-26"/>
    <s v="SUBCO"/>
    <n v="343"/>
    <m/>
    <s v="SUBCONTRATOS"/>
    <n v="0"/>
    <n v="8.51"/>
    <n v="493.55"/>
  </r>
  <r>
    <s v="02.01.06.01.0005"/>
    <x v="1"/>
    <s v="N"/>
    <s v="27-JAN-26"/>
    <s v="SUBCO"/>
    <n v="344"/>
    <m/>
    <s v="SUBCONTRATOS"/>
    <n v="0"/>
    <n v="1.88"/>
    <n v="491.67"/>
  </r>
  <r>
    <s v="02.01.06.01.0005"/>
    <x v="1"/>
    <s v="N"/>
    <s v="28-JAN-26"/>
    <s v="SUBCO"/>
    <n v="348"/>
    <m/>
    <s v="SUBCONTRATOS"/>
    <n v="0"/>
    <n v="2.63"/>
    <n v="489.04"/>
  </r>
  <r>
    <s v="02.01.06.01.0005"/>
    <x v="1"/>
    <s v="N"/>
    <s v="28-JAN-26"/>
    <s v="SUBCO"/>
    <n v="349"/>
    <m/>
    <s v="SUBCONTRATOS"/>
    <n v="0"/>
    <n v="14.5"/>
    <n v="474.54"/>
  </r>
  <r>
    <s v="02.01.06.01.0005"/>
    <x v="1"/>
    <s v="N"/>
    <s v="28-JAN-26"/>
    <s v="SUBCO"/>
    <n v="351"/>
    <m/>
    <s v="SUBCONTRATOS"/>
    <n v="0"/>
    <n v="1.88"/>
    <n v="472.66"/>
  </r>
  <r>
    <s v="02.01.06.01.0005"/>
    <x v="1"/>
    <s v="N"/>
    <s v="29-JAN-26"/>
    <s v="SUBCO"/>
    <n v="387"/>
    <m/>
    <s v="SUBCONTRATOS"/>
    <n v="0"/>
    <n v="8.1999999999999993"/>
    <n v="464.46"/>
  </r>
  <r>
    <s v="02.01.06.01.0005"/>
    <x v="1"/>
    <s v="N"/>
    <s v="29-JAN-26"/>
    <s v="SUBCO"/>
    <n v="388"/>
    <m/>
    <s v="SUBCONTRATOS"/>
    <n v="0"/>
    <n v="6.3"/>
    <n v="458.16"/>
  </r>
  <r>
    <s v="02.01.06.01.0005"/>
    <x v="1"/>
    <s v="N"/>
    <s v="30-JAN-26"/>
    <s v="SUBCO"/>
    <n v="394"/>
    <m/>
    <s v="SUBCONTRATOS"/>
    <n v="0"/>
    <n v="10.82"/>
    <n v="447.34"/>
  </r>
  <r>
    <s v="02.01.06.01.0005"/>
    <x v="1"/>
    <s v="N"/>
    <s v="31-JAN-26"/>
    <s v="SUBCO"/>
    <n v="399"/>
    <m/>
    <s v="SUBCONTRATOS"/>
    <n v="0"/>
    <n v="1.05"/>
    <n v="446.29"/>
  </r>
  <r>
    <s v="02.01.06.01.0005"/>
    <x v="1"/>
    <s v="N"/>
    <s v="05-JAN-26"/>
    <s v="SUBCO"/>
    <n v="57"/>
    <m/>
    <s v="SUBCONTRATOS"/>
    <n v="0"/>
    <n v="2.42"/>
    <n v="443.87"/>
  </r>
  <r>
    <s v="02.01.06.01.0005"/>
    <x v="1"/>
    <s v="N"/>
    <s v="05-JAN-26"/>
    <s v="SUBCO"/>
    <n v="59"/>
    <m/>
    <s v="SUBCONTRATOS"/>
    <n v="0"/>
    <n v="11.29"/>
    <n v="432.58"/>
  </r>
  <r>
    <s v="02.01.06.01.0005"/>
    <x v="1"/>
    <s v="N"/>
    <s v="05-JAN-26"/>
    <s v="SUBCO"/>
    <n v="60"/>
    <m/>
    <s v="SUBCONTRATOS"/>
    <n v="0"/>
    <n v="5.64"/>
    <n v="426.94"/>
  </r>
  <r>
    <s v="02.01.06.01.0005"/>
    <x v="1"/>
    <s v="N"/>
    <s v="06-JAN-26"/>
    <s v="SUBCO"/>
    <n v="67"/>
    <m/>
    <s v="SUBCONTRATOS"/>
    <n v="0"/>
    <n v="2.74"/>
    <n v="424.2"/>
  </r>
  <r>
    <s v="02.01.06.01.0005"/>
    <x v="1"/>
    <s v="N"/>
    <s v="06-JAN-26"/>
    <s v="SUBCO"/>
    <n v="68"/>
    <m/>
    <s v="SUBCONTRATOS"/>
    <n v="0"/>
    <n v="18.07"/>
    <n v="406.13"/>
  </r>
  <r>
    <s v="02.01.06.01.0005"/>
    <x v="1"/>
    <s v="N"/>
    <s v="06-JAN-26"/>
    <s v="SUBCO"/>
    <n v="70"/>
    <m/>
    <s v="SUBCONTRATOS"/>
    <n v="0"/>
    <n v="1.88"/>
    <n v="404.25"/>
  </r>
  <r>
    <s v="02.01.06.01.0005"/>
    <x v="1"/>
    <s v="N"/>
    <s v="07-JAN-26"/>
    <s v="SUBCO"/>
    <n v="77"/>
    <m/>
    <s v="SUBCONTRATOS"/>
    <n v="0"/>
    <n v="8.82"/>
    <n v="395.43"/>
  </r>
  <r>
    <s v="02.01.06.01.0005"/>
    <x v="1"/>
    <s v="N"/>
    <s v="07-JAN-26"/>
    <s v="SUBCO"/>
    <n v="79"/>
    <m/>
    <s v="SUBCONTRATOS"/>
    <n v="0"/>
    <n v="7.84"/>
    <n v="387.59"/>
  </r>
  <r>
    <s v="02.01.06.01.0006"/>
    <x v="2"/>
    <s v="N"/>
    <s v="08-JAN-26"/>
    <s v="CP"/>
    <n v="113"/>
    <n v="77"/>
    <s v="FE MERA VASQUEZ NELLY MAGDALEN 000000077"/>
    <n v="0"/>
    <n v="270"/>
    <n v="113.33"/>
  </r>
  <r>
    <s v="02.01.06.01.0006"/>
    <x v="2"/>
    <s v="N"/>
    <s v="08-JAN-26"/>
    <s v="CP"/>
    <n v="113"/>
    <n v="2"/>
    <s v="FE VIZUETE MATA ZOILA TERESA 000000002"/>
    <n v="0"/>
    <n v="30"/>
    <n v="83.33"/>
  </r>
  <r>
    <s v="02.01.06.01.0006"/>
    <x v="2"/>
    <s v="N"/>
    <s v="06-JAN-26"/>
    <s v="CP"/>
    <n v="71"/>
    <n v="1555"/>
    <s v="FE ARIAS MANTILLA JUAN FERNAND 000001555"/>
    <n v="0"/>
    <n v="83.33"/>
    <n v="0"/>
  </r>
  <r>
    <s v="02.01.06.02.0002"/>
    <x v="3"/>
    <s v="N"/>
    <s v="22-JAN-26"/>
    <s v="CP"/>
    <n v="286"/>
    <n v="627"/>
    <s v="FE GOMEZ CORDOVA EDWIN ROLANDO 000000627"/>
    <n v="0"/>
    <n v="2.0099999999999998"/>
    <n v="7.25"/>
  </r>
  <r>
    <s v="02.01.06.02.0002"/>
    <x v="3"/>
    <s v="N"/>
    <s v="19-JAN-26"/>
    <s v="INVEN"/>
    <n v="222"/>
    <n v="2"/>
    <s v="IN CIFUENTES ROSERO ESTHEFANNY MELISSA 000000002"/>
    <n v="0"/>
    <n v="1.22"/>
    <n v="6.03"/>
  </r>
  <r>
    <s v="02.01.06.02.0002"/>
    <x v="3"/>
    <s v="N"/>
    <s v="08-JAN-26"/>
    <s v="SUBCO"/>
    <n v="102"/>
    <m/>
    <s v="SUBCONTRATOS"/>
    <n v="0"/>
    <n v="1"/>
    <n v="5.03"/>
  </r>
  <r>
    <s v="02.01.06.02.0002"/>
    <x v="3"/>
    <s v="N"/>
    <s v="09-JAN-26"/>
    <s v="SUBCO"/>
    <n v="107"/>
    <m/>
    <s v="SUBCONTRATOS"/>
    <n v="0"/>
    <n v="0.59"/>
    <n v="4.4400000000000004"/>
  </r>
  <r>
    <s v="02.01.06.02.0002"/>
    <x v="3"/>
    <s v="N"/>
    <s v="10-JAN-26"/>
    <s v="SUBCO"/>
    <n v="111"/>
    <m/>
    <s v="SUBCONTRATOS"/>
    <n v="0"/>
    <n v="0.4"/>
    <n v="4.04"/>
  </r>
  <r>
    <s v="02.01.06.02.0002"/>
    <x v="3"/>
    <s v="N"/>
    <s v="12-JAN-26"/>
    <s v="SUBCO"/>
    <n v="125"/>
    <m/>
    <s v="SUBCONTRATOS"/>
    <n v="0"/>
    <n v="1.25"/>
    <n v="2.79"/>
  </r>
  <r>
    <s v="02.01.06.02.0002"/>
    <x v="3"/>
    <s v="N"/>
    <s v="13-JAN-26"/>
    <s v="SUBCO"/>
    <n v="134"/>
    <m/>
    <s v="SUBCONTRATOS"/>
    <n v="0"/>
    <n v="0.35"/>
    <n v="2.44"/>
  </r>
  <r>
    <s v="02.01.06.02.0002"/>
    <x v="3"/>
    <s v="N"/>
    <s v="14-JAN-26"/>
    <s v="SUBCO"/>
    <n v="152"/>
    <m/>
    <s v="SUBCONTRATOS"/>
    <n v="0"/>
    <n v="0.3"/>
    <n v="2.14"/>
  </r>
  <r>
    <s v="02.01.06.02.0002"/>
    <x v="3"/>
    <s v="N"/>
    <s v="16-JAN-26"/>
    <s v="SUBCO"/>
    <n v="191"/>
    <m/>
    <s v="SUBCONTRATOS"/>
    <n v="0"/>
    <n v="0.9"/>
    <n v="1.24"/>
  </r>
  <r>
    <s v="02.01.06.02.0002"/>
    <x v="3"/>
    <s v="N"/>
    <s v="20-JAN-26"/>
    <s v="SUBCO"/>
    <n v="236"/>
    <m/>
    <s v="SUBCONTRATOS"/>
    <n v="0"/>
    <n v="0.8"/>
    <n v="0.44"/>
  </r>
  <r>
    <s v="02.01.06.02.0002"/>
    <x v="3"/>
    <s v="N"/>
    <s v="21-JAN-26"/>
    <s v="SUBCO"/>
    <n v="266"/>
    <m/>
    <s v="SUBCONTRATOS"/>
    <n v="0"/>
    <n v="1.24"/>
    <n v="-0.8"/>
  </r>
  <r>
    <s v="02.01.06.02.0002"/>
    <x v="3"/>
    <s v="N"/>
    <s v="22-JAN-26"/>
    <s v="SUBCO"/>
    <n v="283"/>
    <m/>
    <s v="SUBCONTRATOS"/>
    <n v="0"/>
    <n v="0.88"/>
    <n v="-1.68"/>
  </r>
  <r>
    <s v="02.01.06.02.0002"/>
    <x v="3"/>
    <s v="N"/>
    <s v="23-JAN-26"/>
    <s v="SUBCO"/>
    <n v="298"/>
    <m/>
    <s v="SUBCONTRATOS"/>
    <n v="0"/>
    <n v="0.6"/>
    <n v="-2.2799999999999998"/>
  </r>
  <r>
    <s v="02.01.06.02.0002"/>
    <x v="3"/>
    <s v="N"/>
    <s v="26-JAN-26"/>
    <s v="SUBCO"/>
    <n v="336"/>
    <m/>
    <s v="SUBCONTRATOS"/>
    <n v="0"/>
    <n v="0.22"/>
    <n v="-2.5"/>
  </r>
  <r>
    <s v="02.01.06.02.0002"/>
    <x v="3"/>
    <s v="N"/>
    <s v="27-JAN-26"/>
    <s v="SUBCO"/>
    <n v="343"/>
    <m/>
    <s v="SUBCONTRATOS"/>
    <n v="0"/>
    <n v="0.35"/>
    <n v="-2.85"/>
  </r>
  <r>
    <s v="02.01.06.02.0002"/>
    <x v="3"/>
    <s v="N"/>
    <s v="29-JAN-26"/>
    <s v="SUBCO"/>
    <n v="387"/>
    <m/>
    <s v="SUBCONTRATOS"/>
    <n v="0"/>
    <n v="0.32"/>
    <n v="-3.17"/>
  </r>
  <r>
    <s v="02.01.06.02.0002"/>
    <x v="3"/>
    <s v="N"/>
    <s v="30-JAN-26"/>
    <s v="SUBCO"/>
    <n v="394"/>
    <m/>
    <s v="SUBCONTRATOS"/>
    <n v="0"/>
    <n v="0.93"/>
    <n v="-4.0999999999999996"/>
  </r>
  <r>
    <s v="02.01.06.02.0002"/>
    <x v="3"/>
    <s v="N"/>
    <s v="05-JAN-26"/>
    <s v="SUBCO"/>
    <n v="59"/>
    <m/>
    <s v="SUBCONTRATOS"/>
    <n v="0"/>
    <n v="0.82"/>
    <n v="-4.92"/>
  </r>
  <r>
    <s v="02.01.06.02.0002"/>
    <x v="3"/>
    <s v="N"/>
    <s v="06-JAN-26"/>
    <s v="SUBCO"/>
    <n v="68"/>
    <m/>
    <s v="SUBCONTRATOS"/>
    <n v="0"/>
    <n v="1.05"/>
    <n v="-5.97"/>
  </r>
  <r>
    <s v="02.01.06.02.0002"/>
    <x v="3"/>
    <s v="N"/>
    <s v="07-JAN-26"/>
    <s v="SUBCO"/>
    <n v="77"/>
    <m/>
    <s v="SUBCONTRATOS"/>
    <n v="0"/>
    <n v="0.54"/>
    <n v="-6.51"/>
  </r>
  <r>
    <s v="02.01.06.02.0003"/>
    <x v="4"/>
    <s v="N"/>
    <s v="14-JAN-26"/>
    <s v="CP"/>
    <n v="166"/>
    <n v="1344"/>
    <s v="FE CUNALATA VILLACIS HOLGER RA 000001344"/>
    <n v="0"/>
    <n v="2.42"/>
    <n v="86.96"/>
  </r>
  <r>
    <s v="02.01.06.02.0003"/>
    <x v="4"/>
    <s v="N"/>
    <s v="14-JAN-26"/>
    <s v="CP"/>
    <n v="166"/>
    <n v="1346"/>
    <s v="FE CUNALATA VILLACIS HOLGER RA 000001346"/>
    <n v="0"/>
    <n v="1.37"/>
    <n v="85.59"/>
  </r>
  <r>
    <s v="02.01.06.02.0003"/>
    <x v="4"/>
    <s v="N"/>
    <s v="15-JAN-26"/>
    <s v="CP"/>
    <n v="186"/>
    <n v="163"/>
    <s v="FE BEDON VACA JOSE LUIS 000000163"/>
    <n v="0"/>
    <n v="1.28"/>
    <n v="84.31"/>
  </r>
  <r>
    <s v="02.01.06.02.0003"/>
    <x v="4"/>
    <s v="N"/>
    <s v="15-JAN-26"/>
    <s v="CP"/>
    <n v="186"/>
    <n v="164"/>
    <s v="FE BEDON VACA JOSE LUIS 000000164"/>
    <n v="0"/>
    <n v="1.63"/>
    <n v="82.68"/>
  </r>
  <r>
    <s v="02.01.06.02.0003"/>
    <x v="4"/>
    <s v="N"/>
    <s v="15-JAN-26"/>
    <s v="CP"/>
    <n v="186"/>
    <n v="165"/>
    <s v="FE BEDON VACA JOSE LUIS 000000165"/>
    <n v="0"/>
    <n v="0.83"/>
    <n v="81.849999999999994"/>
  </r>
  <r>
    <s v="02.01.06.02.0003"/>
    <x v="4"/>
    <s v="N"/>
    <s v="15-JAN-26"/>
    <s v="CP"/>
    <n v="186"/>
    <n v="1348"/>
    <s v="FE CUNALATA VILLACIS HOLGER RA 000001348"/>
    <n v="0"/>
    <n v="1.0900000000000001"/>
    <n v="80.760000000000005"/>
  </r>
  <r>
    <s v="02.01.06.02.0003"/>
    <x v="4"/>
    <s v="N"/>
    <s v="06-JAN-26"/>
    <s v="CP"/>
    <n v="71"/>
    <n v="161"/>
    <s v="FE BEDON VACA JOSE LUIS 000000161"/>
    <n v="0"/>
    <n v="0.65"/>
    <n v="80.11"/>
  </r>
  <r>
    <s v="02.01.06.02.0003"/>
    <x v="4"/>
    <s v="N"/>
    <s v="08-JAN-26"/>
    <s v="SUBCO"/>
    <n v="102"/>
    <m/>
    <s v="SUBCONTRATOS"/>
    <n v="0"/>
    <n v="1.2"/>
    <n v="78.91"/>
  </r>
  <r>
    <s v="02.01.06.02.0003"/>
    <x v="4"/>
    <s v="N"/>
    <s v="08-JAN-26"/>
    <s v="SUBCO"/>
    <n v="103"/>
    <m/>
    <s v="SUBCONTRATOS"/>
    <n v="0"/>
    <n v="1.08"/>
    <n v="77.83"/>
  </r>
  <r>
    <s v="02.01.06.02.0003"/>
    <x v="4"/>
    <s v="N"/>
    <s v="09-JAN-26"/>
    <s v="SUBCO"/>
    <n v="107"/>
    <m/>
    <s v="SUBCONTRATOS"/>
    <n v="0"/>
    <n v="1.92"/>
    <n v="75.91"/>
  </r>
  <r>
    <s v="02.01.06.02.0003"/>
    <x v="4"/>
    <s v="N"/>
    <s v="09-JAN-26"/>
    <s v="SUBCO"/>
    <n v="109"/>
    <m/>
    <s v="SUBCONTRATOS"/>
    <n v="0"/>
    <n v="0.72"/>
    <n v="75.19"/>
  </r>
  <r>
    <s v="02.01.06.02.0003"/>
    <x v="4"/>
    <s v="N"/>
    <s v="10-JAN-26"/>
    <s v="SUBCO"/>
    <n v="111"/>
    <m/>
    <s v="SUBCONTRATOS"/>
    <n v="0"/>
    <n v="0.32"/>
    <n v="74.87"/>
  </r>
  <r>
    <s v="02.01.06.02.0003"/>
    <x v="4"/>
    <s v="N"/>
    <s v="12-JAN-26"/>
    <s v="SUBCO"/>
    <n v="125"/>
    <m/>
    <s v="SUBCONTRATOS"/>
    <n v="0"/>
    <n v="1.08"/>
    <n v="73.790000000000006"/>
  </r>
  <r>
    <s v="02.01.06.02.0003"/>
    <x v="4"/>
    <s v="N"/>
    <s v="13-JAN-26"/>
    <s v="SUBCO"/>
    <n v="134"/>
    <m/>
    <s v="SUBCONTRATOS"/>
    <n v="0"/>
    <n v="0.32"/>
    <n v="73.47"/>
  </r>
  <r>
    <s v="02.01.06.02.0003"/>
    <x v="4"/>
    <s v="N"/>
    <s v="14-JAN-26"/>
    <s v="SUBCO"/>
    <n v="150"/>
    <m/>
    <s v="SUBCONTRATOS"/>
    <n v="0"/>
    <n v="1.4"/>
    <n v="72.069999999999993"/>
  </r>
  <r>
    <s v="02.01.06.02.0003"/>
    <x v="4"/>
    <s v="N"/>
    <s v="14-JAN-26"/>
    <s v="SUBCO"/>
    <n v="152"/>
    <m/>
    <s v="SUBCONTRATOS"/>
    <n v="0"/>
    <n v="0.44"/>
    <n v="71.63"/>
  </r>
  <r>
    <s v="02.01.06.02.0003"/>
    <x v="4"/>
    <s v="N"/>
    <s v="15-JAN-26"/>
    <s v="SUBCO"/>
    <n v="183"/>
    <m/>
    <s v="SUBCONTRATOS"/>
    <n v="0"/>
    <n v="0.52"/>
    <n v="71.11"/>
  </r>
  <r>
    <s v="02.01.06.02.0003"/>
    <x v="4"/>
    <s v="N"/>
    <s v="15-JAN-26"/>
    <s v="SUBCO"/>
    <n v="185"/>
    <m/>
    <s v="SUBCONTRATOS"/>
    <n v="0"/>
    <n v="0.41"/>
    <n v="70.7"/>
  </r>
  <r>
    <s v="02.01.06.02.0003"/>
    <x v="4"/>
    <s v="N"/>
    <s v="16-JAN-26"/>
    <s v="SUBCO"/>
    <n v="191"/>
    <m/>
    <s v="SUBCONTRATOS"/>
    <n v="0"/>
    <n v="0.84"/>
    <n v="69.86"/>
  </r>
  <r>
    <s v="02.01.06.02.0003"/>
    <x v="4"/>
    <s v="N"/>
    <s v="16-JAN-26"/>
    <s v="SUBCO"/>
    <n v="192"/>
    <m/>
    <s v="SUBCONTRATOS"/>
    <n v="0"/>
    <n v="1.08"/>
    <n v="68.78"/>
  </r>
  <r>
    <s v="02.01.06.02.0003"/>
    <x v="4"/>
    <s v="N"/>
    <s v="19-JAN-26"/>
    <s v="SUBCO"/>
    <n v="225"/>
    <m/>
    <s v="SUBCONTRATOS"/>
    <n v="0"/>
    <n v="1.36"/>
    <n v="67.42"/>
  </r>
  <r>
    <s v="02.01.06.02.0003"/>
    <x v="4"/>
    <s v="N"/>
    <s v="19-JAN-26"/>
    <s v="SUBCO"/>
    <n v="226"/>
    <m/>
    <s v="SUBCONTRATOS"/>
    <n v="0"/>
    <n v="0.6"/>
    <n v="66.819999999999993"/>
  </r>
  <r>
    <s v="02.01.06.02.0003"/>
    <x v="4"/>
    <s v="N"/>
    <s v="19-JAN-26"/>
    <s v="SUBCO"/>
    <n v="227"/>
    <m/>
    <s v="SUBCONTRATOS"/>
    <n v="0"/>
    <n v="1.72"/>
    <n v="65.099999999999994"/>
  </r>
  <r>
    <s v="02.01.06.02.0003"/>
    <x v="4"/>
    <s v="N"/>
    <s v="20-JAN-26"/>
    <s v="SUBCO"/>
    <n v="235"/>
    <m/>
    <s v="SUBCONTRATOS"/>
    <n v="0"/>
    <n v="0.9"/>
    <n v="64.2"/>
  </r>
  <r>
    <s v="02.01.06.02.0003"/>
    <x v="4"/>
    <s v="N"/>
    <s v="20-JAN-26"/>
    <s v="SUBCO"/>
    <n v="236"/>
    <m/>
    <s v="SUBCONTRATOS"/>
    <n v="0"/>
    <n v="0.64"/>
    <n v="63.56"/>
  </r>
  <r>
    <s v="02.01.06.02.0003"/>
    <x v="4"/>
    <s v="N"/>
    <s v="20-JAN-26"/>
    <s v="SUBCO"/>
    <n v="237"/>
    <m/>
    <s v="SUBCONTRATOS"/>
    <n v="0"/>
    <n v="0.72"/>
    <n v="62.84"/>
  </r>
  <r>
    <s v="02.01.06.02.0003"/>
    <x v="4"/>
    <s v="N"/>
    <s v="21-JAN-26"/>
    <s v="SUBCO"/>
    <n v="266"/>
    <m/>
    <s v="SUBCONTRATOS"/>
    <n v="0"/>
    <n v="0.4"/>
    <n v="62.44"/>
  </r>
  <r>
    <s v="02.01.06.02.0003"/>
    <x v="4"/>
    <s v="N"/>
    <s v="21-JAN-26"/>
    <s v="SUBCO"/>
    <n v="267"/>
    <m/>
    <s v="SUBCONTRATOS"/>
    <n v="0"/>
    <n v="1.44"/>
    <n v="61"/>
  </r>
  <r>
    <s v="02.01.06.02.0003"/>
    <x v="4"/>
    <s v="N"/>
    <s v="22-JAN-26"/>
    <s v="SUBCO"/>
    <n v="282"/>
    <m/>
    <s v="SUBCONTRATOS"/>
    <n v="0"/>
    <n v="2"/>
    <n v="59"/>
  </r>
  <r>
    <s v="02.01.06.02.0003"/>
    <x v="4"/>
    <s v="N"/>
    <s v="22-JAN-26"/>
    <s v="SUBCO"/>
    <n v="283"/>
    <m/>
    <s v="SUBCONTRATOS"/>
    <n v="0"/>
    <n v="1.08"/>
    <n v="57.92"/>
  </r>
  <r>
    <s v="02.01.06.02.0003"/>
    <x v="4"/>
    <s v="N"/>
    <s v="22-JAN-26"/>
    <s v="SUBCO"/>
    <n v="285"/>
    <m/>
    <s v="SUBCONTRATOS"/>
    <n v="0"/>
    <n v="0.36"/>
    <n v="57.56"/>
  </r>
  <r>
    <s v="02.01.06.02.0003"/>
    <x v="4"/>
    <s v="N"/>
    <s v="23-JAN-26"/>
    <s v="SUBCO"/>
    <n v="298"/>
    <m/>
    <s v="SUBCONTRATOS"/>
    <n v="0"/>
    <n v="0.8"/>
    <n v="56.76"/>
  </r>
  <r>
    <s v="02.01.06.02.0003"/>
    <x v="4"/>
    <s v="N"/>
    <s v="24-JAN-26"/>
    <s v="SUBCO"/>
    <n v="304"/>
    <m/>
    <s v="SUBCONTRATOS"/>
    <n v="0"/>
    <n v="0.44"/>
    <n v="56.32"/>
  </r>
  <r>
    <s v="02.01.06.02.0003"/>
    <x v="4"/>
    <s v="N"/>
    <s v="26-JAN-26"/>
    <s v="SUBCO"/>
    <n v="333"/>
    <m/>
    <s v="SUBCONTRATOS"/>
    <n v="0"/>
    <n v="0.48"/>
    <n v="55.84"/>
  </r>
  <r>
    <s v="02.01.06.02.0003"/>
    <x v="4"/>
    <s v="N"/>
    <s v="26-JAN-26"/>
    <s v="SUBCO"/>
    <n v="336"/>
    <m/>
    <s v="SUBCONTRATOS"/>
    <n v="0"/>
    <n v="0.2"/>
    <n v="55.64"/>
  </r>
  <r>
    <s v="02.01.06.02.0003"/>
    <x v="4"/>
    <s v="N"/>
    <s v="26-JAN-26"/>
    <s v="SUBCO"/>
    <n v="337"/>
    <m/>
    <s v="SUBCONTRATOS"/>
    <n v="0"/>
    <n v="1.08"/>
    <n v="54.56"/>
  </r>
  <r>
    <s v="02.01.06.02.0003"/>
    <x v="4"/>
    <s v="N"/>
    <s v="27-JAN-26"/>
    <s v="SUBCO"/>
    <n v="342"/>
    <m/>
    <s v="SUBCONTRATOS"/>
    <n v="0"/>
    <n v="0.1"/>
    <n v="54.46"/>
  </r>
  <r>
    <s v="02.01.06.02.0003"/>
    <x v="4"/>
    <s v="N"/>
    <s v="27-JAN-26"/>
    <s v="SUBCO"/>
    <n v="343"/>
    <m/>
    <s v="SUBCONTRATOS"/>
    <n v="0"/>
    <n v="0.92"/>
    <n v="53.54"/>
  </r>
  <r>
    <s v="02.01.06.02.0003"/>
    <x v="4"/>
    <s v="N"/>
    <s v="27-JAN-26"/>
    <s v="SUBCO"/>
    <n v="344"/>
    <m/>
    <s v="SUBCONTRATOS"/>
    <n v="0"/>
    <n v="0.36"/>
    <n v="53.18"/>
  </r>
  <r>
    <s v="02.01.06.02.0003"/>
    <x v="4"/>
    <s v="N"/>
    <s v="28-JAN-26"/>
    <s v="SUBCO"/>
    <n v="348"/>
    <m/>
    <s v="SUBCONTRATOS"/>
    <n v="0"/>
    <n v="0.5"/>
    <n v="52.68"/>
  </r>
  <r>
    <s v="02.01.06.02.0003"/>
    <x v="4"/>
    <s v="N"/>
    <s v="28-JAN-26"/>
    <s v="SUBCO"/>
    <n v="349"/>
    <m/>
    <s v="SUBCONTRATOS"/>
    <n v="0"/>
    <n v="2.76"/>
    <n v="49.92"/>
  </r>
  <r>
    <s v="02.01.06.02.0003"/>
    <x v="4"/>
    <s v="N"/>
    <s v="28-JAN-26"/>
    <s v="SUBCO"/>
    <n v="351"/>
    <m/>
    <s v="SUBCONTRATOS"/>
    <n v="0"/>
    <n v="0.36"/>
    <n v="49.56"/>
  </r>
  <r>
    <s v="02.01.06.02.0003"/>
    <x v="4"/>
    <s v="N"/>
    <s v="29-JAN-26"/>
    <s v="SUBCO"/>
    <n v="387"/>
    <m/>
    <s v="SUBCONTRATOS"/>
    <n v="0"/>
    <n v="0.92"/>
    <n v="48.64"/>
  </r>
  <r>
    <s v="02.01.06.02.0003"/>
    <x v="4"/>
    <s v="N"/>
    <s v="29-JAN-26"/>
    <s v="SUBCO"/>
    <n v="388"/>
    <m/>
    <s v="SUBCONTRATOS"/>
    <n v="0"/>
    <n v="10.199999999999999"/>
    <n v="38.44"/>
  </r>
  <r>
    <s v="02.01.06.02.0003"/>
    <x v="4"/>
    <s v="N"/>
    <s v="30-JAN-26"/>
    <s v="SUBCO"/>
    <n v="394"/>
    <m/>
    <s v="SUBCONTRATOS"/>
    <n v="0"/>
    <n v="0.2"/>
    <n v="38.24"/>
  </r>
  <r>
    <s v="02.01.06.02.0003"/>
    <x v="4"/>
    <s v="N"/>
    <s v="31-JAN-26"/>
    <s v="SUBCO"/>
    <n v="399"/>
    <m/>
    <s v="SUBCONTRATOS"/>
    <n v="0"/>
    <n v="0.2"/>
    <n v="38.04"/>
  </r>
  <r>
    <s v="02.01.06.02.0003"/>
    <x v="4"/>
    <s v="N"/>
    <s v="05-JAN-26"/>
    <s v="SUBCO"/>
    <n v="57"/>
    <m/>
    <s v="SUBCONTRATOS"/>
    <n v="0"/>
    <n v="0.46"/>
    <n v="37.58"/>
  </r>
  <r>
    <s v="02.01.06.02.0003"/>
    <x v="4"/>
    <s v="N"/>
    <s v="05-JAN-26"/>
    <s v="SUBCO"/>
    <n v="59"/>
    <m/>
    <s v="SUBCONTRATOS"/>
    <n v="0"/>
    <n v="0.52"/>
    <n v="37.06"/>
  </r>
  <r>
    <s v="02.01.06.02.0003"/>
    <x v="4"/>
    <s v="N"/>
    <s v="05-JAN-26"/>
    <s v="SUBCO"/>
    <n v="60"/>
    <m/>
    <s v="SUBCONTRATOS"/>
    <n v="0"/>
    <n v="1.08"/>
    <n v="35.979999999999997"/>
  </r>
  <r>
    <s v="02.01.06.02.0003"/>
    <x v="4"/>
    <s v="N"/>
    <s v="06-JAN-26"/>
    <s v="SUBCO"/>
    <n v="67"/>
    <m/>
    <s v="SUBCONTRATOS"/>
    <n v="0"/>
    <n v="0.52"/>
    <n v="35.46"/>
  </r>
  <r>
    <s v="02.01.06.02.0003"/>
    <x v="4"/>
    <s v="N"/>
    <s v="06-JAN-26"/>
    <s v="SUBCO"/>
    <n v="68"/>
    <m/>
    <s v="SUBCONTRATOS"/>
    <n v="0"/>
    <n v="1.34"/>
    <n v="34.119999999999997"/>
  </r>
  <r>
    <s v="02.01.06.02.0003"/>
    <x v="4"/>
    <s v="N"/>
    <s v="06-JAN-26"/>
    <s v="SUBCO"/>
    <n v="70"/>
    <m/>
    <s v="SUBCONTRATOS"/>
    <n v="0"/>
    <n v="9.56"/>
    <n v="24.56"/>
  </r>
  <r>
    <s v="02.01.06.02.0003"/>
    <x v="4"/>
    <s v="N"/>
    <s v="07-JAN-26"/>
    <s v="SUBCO"/>
    <n v="77"/>
    <m/>
    <s v="SUBCONTRATOS"/>
    <n v="0"/>
    <n v="0.6"/>
    <n v="23.96"/>
  </r>
  <r>
    <s v="02.01.06.02.0003"/>
    <x v="4"/>
    <s v="N"/>
    <s v="07-JAN-26"/>
    <s v="SUBCO"/>
    <n v="79"/>
    <m/>
    <s v="SUBCONTRATOS"/>
    <n v="0"/>
    <n v="1.5"/>
    <n v="22.46"/>
  </r>
  <r>
    <s v="02.01.06.02.0005"/>
    <x v="5"/>
    <s v="N"/>
    <s v="08-JAN-26"/>
    <s v="CP"/>
    <n v="113"/>
    <n v="77"/>
    <s v="FE MERA VASQUEZ NELLY MAGDALEN 000000077"/>
    <n v="0"/>
    <n v="180"/>
    <n v="1436.36"/>
  </r>
  <r>
    <s v="02.01.06.02.0005"/>
    <x v="5"/>
    <s v="N"/>
    <s v="08-JAN-26"/>
    <s v="CP"/>
    <n v="113"/>
    <n v="2"/>
    <s v="FE VIZUETE MATA ZOILA TERESA 000000002"/>
    <n v="0"/>
    <n v="20"/>
    <n v="1416.36"/>
  </r>
  <r>
    <s v="02.01.06.02.0005"/>
    <x v="5"/>
    <s v="N"/>
    <s v="05-JAN-26"/>
    <s v="CP"/>
    <n v="61"/>
    <n v="192"/>
    <s v="FE BACLT INMOBILIARIA S.A.S. 000000192"/>
    <n v="0"/>
    <n v="834.02"/>
    <n v="582.34"/>
  </r>
  <r>
    <s v="02.01.06.02.0005"/>
    <x v="5"/>
    <s v="N"/>
    <s v="05-JAN-26"/>
    <s v="CP"/>
    <n v="61"/>
    <n v="193"/>
    <s v="FE BACLT INMOBILIARIA S.A.S. 000000193"/>
    <n v="0"/>
    <n v="526.78"/>
    <n v="55.56"/>
  </r>
  <r>
    <s v="02.01.06.02.0005"/>
    <x v="5"/>
    <s v="N"/>
    <s v="06-JAN-26"/>
    <s v="CP"/>
    <n v="71"/>
    <n v="1555"/>
    <s v="FE ARIAS MANTILLA JUAN FERNAND 000001555"/>
    <n v="0"/>
    <n v="55.56"/>
    <n v="0"/>
  </r>
  <r>
    <s v="02.01.06.02.0012"/>
    <x v="6"/>
    <s v="N"/>
    <s v="08-JAN-26"/>
    <s v="CP"/>
    <n v="113"/>
    <n v="268"/>
    <s v="FE NUNEZ NUNEZ OSCAR VINICIO 000000268"/>
    <n v="0"/>
    <n v="9.48"/>
    <n v="488.42"/>
  </r>
  <r>
    <s v="02.01.06.02.0012"/>
    <x v="6"/>
    <s v="N"/>
    <s v="08-JAN-26"/>
    <s v="CP"/>
    <n v="113"/>
    <n v="269"/>
    <s v="FE NUNEZ NUNEZ OSCAR VINICIO 000000269"/>
    <n v="0"/>
    <n v="2.12"/>
    <n v="486.3"/>
  </r>
  <r>
    <s v="02.01.06.02.0012"/>
    <x v="6"/>
    <s v="N"/>
    <s v="08-JAN-26"/>
    <s v="CP"/>
    <n v="113"/>
    <n v="270"/>
    <s v="FE NUNEZ NUNEZ OSCAR VINICIO 000000270"/>
    <n v="0"/>
    <n v="1.18"/>
    <n v="485.12"/>
  </r>
  <r>
    <s v="02.01.06.02.0012"/>
    <x v="6"/>
    <s v="N"/>
    <s v="08-JAN-26"/>
    <s v="CP"/>
    <n v="113"/>
    <n v="271"/>
    <s v="FE NUNEZ NUNEZ OSCAR VINICIO 000000271"/>
    <n v="0"/>
    <n v="5.37"/>
    <n v="479.75"/>
  </r>
  <r>
    <s v="02.01.06.02.0012"/>
    <x v="6"/>
    <s v="N"/>
    <s v="14-JAN-26"/>
    <s v="CP"/>
    <n v="166"/>
    <n v="1345"/>
    <s v="FE CUNALATA VILLACIS HOLGER RA 000001345"/>
    <n v="0"/>
    <n v="3.16"/>
    <n v="476.59"/>
  </r>
  <r>
    <s v="02.01.06.02.0012"/>
    <x v="6"/>
    <s v="N"/>
    <s v="14-JAN-26"/>
    <s v="CP"/>
    <n v="166"/>
    <n v="1347"/>
    <s v="FE CUNALATA VILLACIS HOLGER RA 000001347"/>
    <n v="0"/>
    <n v="1.66"/>
    <n v="474.93"/>
  </r>
  <r>
    <s v="02.01.06.02.0012"/>
    <x v="6"/>
    <s v="N"/>
    <s v="14-JAN-26"/>
    <s v="CP"/>
    <n v="166"/>
    <n v="267"/>
    <s v="FE NUNEZ NUNEZ OSCAR VINICIO 000000267"/>
    <n v="0"/>
    <n v="33.020000000000003"/>
    <n v="441.91"/>
  </r>
  <r>
    <s v="02.01.06.02.0012"/>
    <x v="6"/>
    <s v="N"/>
    <s v="15-JAN-26"/>
    <s v="CP"/>
    <n v="186"/>
    <n v="1349"/>
    <s v="FE CUNALATA VILLACIS HOLGER RA 000001349"/>
    <n v="0"/>
    <n v="0.75"/>
    <n v="441.16"/>
  </r>
  <r>
    <s v="02.01.06.02.0012"/>
    <x v="6"/>
    <s v="N"/>
    <s v="15-JAN-26"/>
    <s v="CP"/>
    <n v="186"/>
    <n v="62991"/>
    <s v="FE GONZALEZ VEGA EL MOTOR CIA  000062991"/>
    <n v="0"/>
    <n v="1.51"/>
    <n v="439.65"/>
  </r>
  <r>
    <s v="02.01.06.02.0012"/>
    <x v="6"/>
    <s v="N"/>
    <s v="15-JAN-26"/>
    <s v="CP"/>
    <n v="186"/>
    <n v="3567"/>
    <s v="FE PAEZ ORTIZ CHRISTIAN GONZAL 000003567"/>
    <n v="0"/>
    <n v="1.58"/>
    <n v="438.07"/>
  </r>
  <r>
    <s v="02.01.06.02.0012"/>
    <x v="6"/>
    <s v="N"/>
    <s v="19-JAN-26"/>
    <s v="CP"/>
    <n v="231"/>
    <n v="1429"/>
    <s v="FE COMPUMATICA CIA. LTDA. 000001429"/>
    <n v="0"/>
    <n v="0.44"/>
    <n v="437.63"/>
  </r>
  <r>
    <s v="02.01.06.02.0012"/>
    <x v="6"/>
    <s v="N"/>
    <s v="19-JAN-26"/>
    <s v="CP"/>
    <n v="231"/>
    <n v="2987"/>
    <s v="FE DISTRIBUIDORA PC-T S.A.S 000002987"/>
    <n v="0"/>
    <n v="0.51"/>
    <n v="437.12"/>
  </r>
  <r>
    <s v="02.01.06.02.0012"/>
    <x v="6"/>
    <s v="N"/>
    <s v="22-JAN-26"/>
    <s v="CP"/>
    <n v="286"/>
    <n v="238"/>
    <s v="FE MONTALVO POVEDA IVETTE ANDR 000000238"/>
    <n v="0"/>
    <n v="1.75"/>
    <n v="435.37"/>
  </r>
  <r>
    <s v="02.01.06.02.0012"/>
    <x v="6"/>
    <s v="N"/>
    <s v="22-JAN-26"/>
    <s v="CP"/>
    <n v="286"/>
    <n v="240"/>
    <s v="FE MONTALVO POVEDA IVETTE ANDR 000000240"/>
    <n v="0"/>
    <n v="1.75"/>
    <n v="433.62"/>
  </r>
  <r>
    <s v="02.01.06.02.0012"/>
    <x v="6"/>
    <s v="N"/>
    <s v="23-JAN-26"/>
    <s v="CP"/>
    <n v="299"/>
    <n v="167"/>
    <s v="FE BEDON VACA JOSE LUIS 000000167"/>
    <n v="0"/>
    <n v="3.08"/>
    <n v="430.54"/>
  </r>
  <r>
    <s v="02.01.06.02.0012"/>
    <x v="6"/>
    <s v="N"/>
    <s v="23-JAN-26"/>
    <s v="CP"/>
    <n v="299"/>
    <n v="3579"/>
    <s v="FE PAEZ ORTIZ CHRISTIAN GONZAL 000003579"/>
    <n v="0"/>
    <n v="1.05"/>
    <n v="429.49"/>
  </r>
  <r>
    <s v="02.01.06.02.0012"/>
    <x v="6"/>
    <s v="N"/>
    <s v="23-JAN-26"/>
    <s v="CP"/>
    <n v="299"/>
    <n v="3580"/>
    <s v="FE PAEZ ORTIZ CHRISTIAN GONZAL 000003580"/>
    <n v="0"/>
    <n v="1.05"/>
    <n v="428.44"/>
  </r>
  <r>
    <s v="02.01.06.02.0012"/>
    <x v="6"/>
    <s v="N"/>
    <s v="23-JAN-26"/>
    <s v="CP"/>
    <n v="299"/>
    <n v="3585"/>
    <s v="FE PAEZ ORTIZ CHRISTIAN GONZAL 000003585"/>
    <n v="0"/>
    <n v="0.26"/>
    <n v="428.18"/>
  </r>
  <r>
    <s v="02.01.06.02.0012"/>
    <x v="6"/>
    <s v="N"/>
    <s v="31-JAN-26"/>
    <s v="CP"/>
    <n v="479"/>
    <n v="1751"/>
    <s v="ND MEGAWATT-ECUADOR S.A. 000001751"/>
    <n v="0.35"/>
    <n v="0"/>
    <n v="428.53"/>
  </r>
  <r>
    <s v="02.01.06.02.0012"/>
    <x v="6"/>
    <s v="N"/>
    <s v="05-JAN-26"/>
    <s v="CP"/>
    <n v="61"/>
    <n v="3553"/>
    <s v="FE PAEZ ORTIZ CHRISTIAN GONZAL 000003553"/>
    <n v="0"/>
    <n v="0.09"/>
    <n v="428.44"/>
  </r>
  <r>
    <s v="02.01.06.02.0012"/>
    <x v="6"/>
    <s v="N"/>
    <s v="12-JAN-26"/>
    <s v="INVEN"/>
    <n v="123"/>
    <n v="521"/>
    <s v="IN YANGTSE-AUTO DEL ECUADOR S.A. 000000521"/>
    <n v="0"/>
    <n v="3.62"/>
    <n v="424.82"/>
  </r>
  <r>
    <s v="02.01.06.02.0012"/>
    <x v="6"/>
    <s v="N"/>
    <s v="13-JAN-26"/>
    <s v="INVEN"/>
    <n v="128"/>
    <n v="1049"/>
    <s v="IN PULLUQUINGA LASLUISA JORGE LUIS 000001049"/>
    <n v="0"/>
    <n v="0.7"/>
    <n v="424.12"/>
  </r>
  <r>
    <s v="02.01.06.02.0012"/>
    <x v="6"/>
    <s v="N"/>
    <s v="13-JAN-26"/>
    <s v="INVEN"/>
    <n v="128"/>
    <n v="2759"/>
    <s v="IN SOLIS SOLIS MARCO VINICIO 000002759"/>
    <n v="0"/>
    <n v="26.05"/>
    <n v="398.07"/>
  </r>
  <r>
    <s v="02.01.06.02.0012"/>
    <x v="6"/>
    <s v="N"/>
    <s v="14-JAN-26"/>
    <s v="INVEN"/>
    <n v="145"/>
    <n v="523"/>
    <s v="IN YANGTSE-AUTO DEL ECUADOR S.A. 000000523"/>
    <n v="0"/>
    <n v="3.52"/>
    <n v="394.55"/>
  </r>
  <r>
    <s v="02.01.06.02.0012"/>
    <x v="6"/>
    <s v="N"/>
    <s v="14-JAN-26"/>
    <s v="INVEN"/>
    <n v="145"/>
    <n v="528"/>
    <s v="IN YANGTSE-AUTO DEL ECUADOR S.A. 000000528"/>
    <n v="0"/>
    <n v="1.79"/>
    <n v="392.76"/>
  </r>
  <r>
    <s v="02.01.06.02.0012"/>
    <x v="6"/>
    <s v="N"/>
    <s v="15-JAN-26"/>
    <s v="INVEN"/>
    <n v="167"/>
    <n v="535"/>
    <s v="IN YANGTSE-AUTO DEL ECUADOR S.A. 000000535"/>
    <n v="0"/>
    <n v="0.19"/>
    <n v="392.57"/>
  </r>
  <r>
    <s v="02.01.06.02.0012"/>
    <x v="6"/>
    <s v="N"/>
    <s v="15-JAN-26"/>
    <s v="INVEN"/>
    <n v="167"/>
    <n v="536"/>
    <s v="IN YANGTSE-AUTO DEL ECUADOR S.A. 000000536"/>
    <n v="0"/>
    <n v="2.16"/>
    <n v="390.41"/>
  </r>
  <r>
    <s v="02.01.06.02.0012"/>
    <x v="6"/>
    <s v="N"/>
    <s v="15-JAN-26"/>
    <s v="INVEN"/>
    <n v="168"/>
    <n v="31613"/>
    <s v="IN VARGAS TORRES WALTTER DARIO 000031613"/>
    <n v="0"/>
    <n v="46.99"/>
    <n v="343.42"/>
  </r>
  <r>
    <s v="02.01.06.02.0012"/>
    <x v="6"/>
    <s v="N"/>
    <s v="19-JAN-26"/>
    <s v="INVEN"/>
    <n v="223"/>
    <n v="104"/>
    <s v="IN REINOSO SALAS YAJAIRA CAROLINA 000000104"/>
    <n v="0"/>
    <n v="0.7"/>
    <n v="342.72"/>
  </r>
  <r>
    <s v="02.01.06.02.0012"/>
    <x v="6"/>
    <s v="N"/>
    <s v="19-JAN-26"/>
    <s v="INVEN"/>
    <n v="224"/>
    <n v="9674"/>
    <s v="IN LARA ESCOBAR PAUL ENRIQUE 000009674"/>
    <n v="0"/>
    <n v="6.39"/>
    <n v="336.33"/>
  </r>
  <r>
    <s v="02.01.06.02.0012"/>
    <x v="6"/>
    <s v="N"/>
    <s v="20-JAN-26"/>
    <s v="INVEN"/>
    <n v="232"/>
    <n v="4672"/>
    <s v="IN IMPORTADORA AUDIO-ALARMAS AUDA S.A. 000004672"/>
    <n v="0"/>
    <n v="4.99"/>
    <n v="331.34"/>
  </r>
  <r>
    <s v="02.01.06.02.0012"/>
    <x v="6"/>
    <s v="N"/>
    <s v="20-JAN-26"/>
    <s v="INVEN"/>
    <n v="232"/>
    <n v="31647"/>
    <s v="IN VARGAS TORRES WALTTER DARIO 000031647"/>
    <n v="0"/>
    <n v="3.5"/>
    <n v="327.84"/>
  </r>
  <r>
    <s v="02.01.06.02.0012"/>
    <x v="6"/>
    <s v="N"/>
    <s v="21-JAN-26"/>
    <s v="INVEN"/>
    <n v="261"/>
    <n v="549"/>
    <s v="IN YANGTSE-AUTO DEL ECUADOR S.A. 000000549"/>
    <n v="0"/>
    <n v="8.09"/>
    <n v="319.75"/>
  </r>
  <r>
    <s v="02.01.06.02.0012"/>
    <x v="6"/>
    <s v="N"/>
    <s v="21-JAN-26"/>
    <s v="INVEN"/>
    <n v="261"/>
    <n v="553"/>
    <s v="IN YANGTSE-AUTO DEL ECUADOR S.A. 000000553"/>
    <n v="0"/>
    <n v="2.17"/>
    <n v="317.58"/>
  </r>
  <r>
    <s v="02.01.06.02.0012"/>
    <x v="6"/>
    <s v="N"/>
    <s v="21-JAN-26"/>
    <s v="INVEN"/>
    <n v="261"/>
    <n v="554"/>
    <s v="IN YANGTSE-AUTO DEL ECUADOR S.A. 000000554"/>
    <n v="0"/>
    <n v="8.81"/>
    <n v="308.77"/>
  </r>
  <r>
    <s v="02.01.06.02.0012"/>
    <x v="6"/>
    <s v="N"/>
    <s v="22-JAN-26"/>
    <s v="INVEN"/>
    <n v="279"/>
    <n v="558"/>
    <s v="IN YANGTSE-AUTO DEL ECUADOR S.A. 000000558"/>
    <n v="0"/>
    <n v="0.2"/>
    <n v="308.57"/>
  </r>
  <r>
    <s v="02.01.06.02.0012"/>
    <x v="6"/>
    <s v="N"/>
    <s v="22-JAN-26"/>
    <s v="INVEN"/>
    <n v="280"/>
    <n v="4700"/>
    <s v="IN IMPORTADORA AUDIO-ALARMAS AUDA S.A. 000004700"/>
    <n v="0"/>
    <n v="36.049999999999997"/>
    <n v="272.52"/>
  </r>
  <r>
    <s v="02.01.06.02.0012"/>
    <x v="6"/>
    <s v="N"/>
    <s v="22-JAN-26"/>
    <s v="INVEN"/>
    <n v="280"/>
    <n v="31673"/>
    <s v="IN VARGAS TORRES WALTTER DARIO 000031673"/>
    <n v="0"/>
    <n v="3.5"/>
    <n v="269.02"/>
  </r>
  <r>
    <s v="02.01.06.02.0012"/>
    <x v="6"/>
    <s v="N"/>
    <s v="23-JAN-26"/>
    <s v="INVEN"/>
    <n v="295"/>
    <n v="7347"/>
    <s v="IN COMONTEKSA S A 000007347"/>
    <n v="0"/>
    <n v="1.84"/>
    <n v="267.18"/>
  </r>
  <r>
    <s v="02.01.06.02.0012"/>
    <x v="6"/>
    <s v="N"/>
    <s v="24-JAN-26"/>
    <s v="INVEN"/>
    <n v="301"/>
    <n v="565"/>
    <s v="IN YANGTSE-AUTO DEL ECUADOR S.A. 000000565"/>
    <n v="0"/>
    <n v="0.06"/>
    <n v="267.12"/>
  </r>
  <r>
    <s v="02.01.06.02.0012"/>
    <x v="6"/>
    <s v="N"/>
    <s v="29-JAN-26"/>
    <s v="INVEN"/>
    <n v="380"/>
    <n v="113"/>
    <s v="IN REINOSO SALAS YAJAIRA CAROLINA 000000113"/>
    <n v="0"/>
    <n v="2.8"/>
    <n v="264.32"/>
  </r>
  <r>
    <s v="02.01.06.02.0012"/>
    <x v="6"/>
    <s v="N"/>
    <s v="29-JAN-26"/>
    <s v="INVEN"/>
    <n v="380"/>
    <n v="114"/>
    <s v="IN REINOSO SALAS YAJAIRA CAROLINA 000000114"/>
    <n v="0"/>
    <n v="0.7"/>
    <n v="263.62"/>
  </r>
  <r>
    <s v="02.01.06.02.0012"/>
    <x v="6"/>
    <s v="N"/>
    <s v="29-JAN-26"/>
    <s v="INVEN"/>
    <n v="380"/>
    <n v="2810"/>
    <s v="IN SOLIS SOLIS MARCO VINICIO 000002810"/>
    <n v="0"/>
    <n v="4.76"/>
    <n v="258.86"/>
  </r>
  <r>
    <s v="02.01.06.02.0012"/>
    <x v="6"/>
    <s v="N"/>
    <s v="29-JAN-26"/>
    <s v="INVEN"/>
    <n v="380"/>
    <n v="31752"/>
    <s v="IN VARGAS TORRES WALTTER DARIO 000031752"/>
    <n v="0"/>
    <n v="7.35"/>
    <n v="251.51"/>
  </r>
  <r>
    <s v="02.01.06.02.0012"/>
    <x v="6"/>
    <s v="N"/>
    <s v="30-JAN-26"/>
    <s v="INVEN"/>
    <n v="390"/>
    <n v="19434"/>
    <s v="IN PROBEMOTOR CIA.LTDA. 000019434"/>
    <n v="0"/>
    <n v="3.95"/>
    <n v="247.56"/>
  </r>
  <r>
    <s v="02.01.06.02.0012"/>
    <x v="6"/>
    <s v="N"/>
    <s v="30-JAN-26"/>
    <s v="INVEN"/>
    <n v="390"/>
    <n v="571"/>
    <s v="IN YANGTSE-AUTO DEL ECUADOR S.A. 000000571"/>
    <n v="0"/>
    <n v="14.96"/>
    <n v="232.6"/>
  </r>
  <r>
    <s v="02.01.06.02.0012"/>
    <x v="6"/>
    <s v="N"/>
    <s v="30-JAN-26"/>
    <s v="INVEN"/>
    <n v="390"/>
    <n v="576"/>
    <s v="IN YANGTSE-AUTO DEL ECUADOR S.A. 000000576"/>
    <n v="0"/>
    <n v="23.21"/>
    <n v="209.39"/>
  </r>
  <r>
    <s v="02.01.06.02.0012"/>
    <x v="6"/>
    <s v="N"/>
    <s v="30-JAN-26"/>
    <s v="INVEN"/>
    <n v="390"/>
    <n v="583"/>
    <s v="IN YANGTSE-AUTO DEL ECUADOR S.A. 000000583"/>
    <n v="0"/>
    <n v="0.35"/>
    <n v="209.04"/>
  </r>
  <r>
    <s v="02.01.06.02.0012"/>
    <x v="6"/>
    <s v="N"/>
    <s v="30-JAN-26"/>
    <s v="INVEN"/>
    <n v="390"/>
    <n v="585"/>
    <s v="IN YANGTSE-AUTO DEL ECUADOR S.A. 000000585"/>
    <n v="0"/>
    <n v="6.47"/>
    <n v="202.57"/>
  </r>
  <r>
    <s v="02.01.06.02.0012"/>
    <x v="6"/>
    <s v="N"/>
    <s v="30-JAN-26"/>
    <s v="INVEN"/>
    <n v="391"/>
    <n v="2818"/>
    <s v="IN SOLIS SOLIS MARCO VINICIO 000002818"/>
    <n v="0"/>
    <n v="8.4"/>
    <n v="194.17"/>
  </r>
  <r>
    <s v="02.01.06.02.0012"/>
    <x v="6"/>
    <s v="N"/>
    <s v="30-JAN-26"/>
    <s v="INVEN"/>
    <n v="391"/>
    <n v="31770"/>
    <s v="IN VARGAS TORRES WALTTER DARIO 000031770"/>
    <n v="0"/>
    <n v="15.4"/>
    <n v="178.77"/>
  </r>
  <r>
    <s v="02.01.06.02.0012"/>
    <x v="6"/>
    <s v="N"/>
    <s v="30-JAN-26"/>
    <s v="INVEN"/>
    <n v="392"/>
    <n v="1751"/>
    <s v="IN MEGAWATT-ECUADOR S.A. 000001751"/>
    <n v="0"/>
    <n v="0.35"/>
    <n v="178.42"/>
  </r>
  <r>
    <s v="02.01.06.02.0012"/>
    <x v="6"/>
    <s v="N"/>
    <s v="31-JAN-26"/>
    <s v="INVEN"/>
    <n v="395"/>
    <n v="587"/>
    <s v="IN YANGTSE-AUTO DEL ECUADOR S.A. 000000587"/>
    <n v="0"/>
    <n v="0.53"/>
    <n v="177.89"/>
  </r>
  <r>
    <s v="02.01.06.02.0012"/>
    <x v="6"/>
    <s v="N"/>
    <s v="05-JAN-26"/>
    <s v="INVEN"/>
    <n v="54"/>
    <n v="6232"/>
    <s v="IN PAREDES PADILLA JAZMINA MABEL 000006232"/>
    <n v="0"/>
    <n v="0.68"/>
    <n v="177.21"/>
  </r>
  <r>
    <s v="02.01.06.02.0012"/>
    <x v="6"/>
    <s v="N"/>
    <s v="05-JAN-26"/>
    <s v="INVEN"/>
    <n v="55"/>
    <n v="70816"/>
    <s v="IN GONZALEZ VEGA EL MOTOR CIA LTDA 000070816"/>
    <n v="0"/>
    <n v="1.39"/>
    <n v="175.82"/>
  </r>
  <r>
    <s v="02.01.06.02.0012"/>
    <x v="6"/>
    <s v="N"/>
    <s v="06-JAN-26"/>
    <s v="INVEN"/>
    <n v="62"/>
    <n v="4556"/>
    <s v="IN IMPORTADORA AUDIO-ALARMAS AUDA S.A. 000004556"/>
    <n v="0"/>
    <n v="18.03"/>
    <n v="157.79"/>
  </r>
  <r>
    <s v="02.01.06.02.0012"/>
    <x v="6"/>
    <s v="N"/>
    <s v="06-JAN-26"/>
    <s v="INVEN"/>
    <n v="62"/>
    <n v="1037"/>
    <s v="IN PULLUQUINGA LASLUISA JORGE LUIS 000001037"/>
    <n v="0"/>
    <n v="21"/>
    <n v="136.79"/>
  </r>
  <r>
    <s v="02.01.06.02.0012"/>
    <x v="6"/>
    <s v="N"/>
    <s v="06-JAN-26"/>
    <s v="INVEN"/>
    <n v="62"/>
    <n v="31473"/>
    <s v="IN VARGAS TORRES WALTTER DARIO 000031473"/>
    <n v="0"/>
    <n v="16.8"/>
    <n v="119.99"/>
  </r>
  <r>
    <s v="02.01.06.02.0012"/>
    <x v="6"/>
    <s v="N"/>
    <s v="07-JAN-26"/>
    <s v="INVEN"/>
    <n v="73"/>
    <n v="62845"/>
    <s v="IN GONZALEZ VEGA EL MOTOR CIA LTDA 000062845"/>
    <n v="0"/>
    <n v="2"/>
    <n v="117.99"/>
  </r>
  <r>
    <s v="02.01.06.02.0012"/>
    <x v="6"/>
    <s v="N"/>
    <s v="07-JAN-26"/>
    <s v="INVEN"/>
    <n v="75"/>
    <n v="383"/>
    <s v="IN QUISINTUNA MASABANDA MARCO ROBALINO 000000383"/>
    <n v="0"/>
    <n v="7.41"/>
    <n v="110.58"/>
  </r>
  <r>
    <s v="02.01.06.02.0012"/>
    <x v="6"/>
    <s v="N"/>
    <s v="07-JAN-26"/>
    <s v="INVEN"/>
    <n v="75"/>
    <n v="1841"/>
    <s v="IN VALVERDE ROBALINO ANGEL BENEDICTO 000001841"/>
    <n v="0"/>
    <n v="0.4"/>
    <n v="110.18"/>
  </r>
  <r>
    <s v="02.01.06.02.0012"/>
    <x v="6"/>
    <s v="N"/>
    <s v="08-JAN-26"/>
    <s v="INVEN"/>
    <n v="90"/>
    <n v="508"/>
    <s v="IN YANGTSE-AUTO DEL ECUADOR S.A. 000000508"/>
    <n v="0"/>
    <n v="2.5099999999999998"/>
    <n v="107.67"/>
  </r>
  <r>
    <s v="02.01.06.02.0012"/>
    <x v="6"/>
    <s v="N"/>
    <s v="08-JAN-26"/>
    <s v="INVEN"/>
    <n v="90"/>
    <n v="509"/>
    <s v="IN YANGTSE-AUTO DEL ECUADOR S.A. 000000509"/>
    <n v="0"/>
    <n v="3.66"/>
    <n v="104.01"/>
  </r>
  <r>
    <s v="02.01.06.02.0012"/>
    <x v="6"/>
    <s v="N"/>
    <s v="08-JAN-26"/>
    <s v="INVEN"/>
    <n v="92"/>
    <n v="2087"/>
    <s v="IN VARGAS VILLENA BELGICA MARGARITA 000002087"/>
    <n v="0"/>
    <n v="3.5"/>
    <n v="100.51"/>
  </r>
  <r>
    <s v="02.01.06.02.0012"/>
    <x v="6"/>
    <s v="N"/>
    <s v="10-JAN-26"/>
    <s v="INVEN"/>
    <n v="96"/>
    <n v="514"/>
    <s v="IN YANGTSE-AUTO DEL ECUADOR S.A. 000000514"/>
    <n v="0"/>
    <n v="6.04"/>
    <n v="94.47"/>
  </r>
  <r>
    <s v="02.01.06.02.0012"/>
    <x v="6"/>
    <s v="N"/>
    <s v="10-JAN-26"/>
    <s v="INVEN"/>
    <n v="96"/>
    <n v="515"/>
    <s v="IN YANGTSE-AUTO DEL ECUADOR S.A. 000000515"/>
    <n v="0"/>
    <n v="2.4700000000000002"/>
    <n v="92"/>
  </r>
  <r>
    <s v="02.01.06.02.0012"/>
    <x v="6"/>
    <s v="N"/>
    <s v="10-JAN-26"/>
    <s v="INVEN"/>
    <n v="96"/>
    <n v="519"/>
    <s v="IN YANGTSE-AUTO DEL ECUADOR S.A. 000000519"/>
    <n v="0"/>
    <n v="1.92"/>
    <n v="90.08"/>
  </r>
  <r>
    <s v="02.01.06.02.0012"/>
    <x v="6"/>
    <s v="N"/>
    <s v="09-JAN-26"/>
    <s v="INVSE"/>
    <n v="108"/>
    <m/>
    <s v="MOV. DE INVENTARIO"/>
    <n v="0"/>
    <n v="1.58"/>
    <n v="88.5"/>
  </r>
  <r>
    <s v="02.01.06.02.0012"/>
    <x v="6"/>
    <s v="N"/>
    <s v="12-JAN-26"/>
    <s v="INVSE"/>
    <n v="126"/>
    <m/>
    <s v="MOV. DE INVENTARIO"/>
    <n v="0"/>
    <n v="5.84"/>
    <n v="82.66"/>
  </r>
  <r>
    <s v="02.01.06.02.0012"/>
    <x v="6"/>
    <s v="N"/>
    <s v="14-JAN-26"/>
    <s v="INVSE"/>
    <n v="153"/>
    <m/>
    <s v="MOV. DE INVENTARIO"/>
    <n v="0"/>
    <n v="13.5"/>
    <n v="69.16"/>
  </r>
  <r>
    <s v="02.01.06.02.0012"/>
    <x v="6"/>
    <s v="N"/>
    <s v="23-JAN-26"/>
    <s v="INVSE"/>
    <n v="297"/>
    <m/>
    <s v="MOV. DE INVENTARIO"/>
    <n v="0"/>
    <n v="10.65"/>
    <n v="58.51"/>
  </r>
  <r>
    <s v="02.01.06.02.0012"/>
    <x v="6"/>
    <s v="N"/>
    <s v="24-JAN-26"/>
    <s v="INVSE"/>
    <n v="305"/>
    <m/>
    <s v="MOV. DE INVENTARIO"/>
    <n v="0"/>
    <n v="4.12"/>
    <n v="54.39"/>
  </r>
  <r>
    <s v="02.01.06.02.0012"/>
    <x v="6"/>
    <s v="N"/>
    <s v="28-JAN-26"/>
    <s v="INVSE"/>
    <n v="350"/>
    <m/>
    <s v="MOV. DE INVENTARIO"/>
    <n v="0"/>
    <n v="14.25"/>
    <n v="40.14"/>
  </r>
  <r>
    <s v="02.01.06.02.0012"/>
    <x v="6"/>
    <s v="N"/>
    <s v="29-JAN-26"/>
    <s v="INVSE"/>
    <n v="386"/>
    <m/>
    <s v="MOV. DE INVENTARIO"/>
    <n v="0"/>
    <n v="29.21"/>
    <n v="10.93"/>
  </r>
  <r>
    <s v="02.01.06.02.0012"/>
    <x v="6"/>
    <s v="N"/>
    <s v="06-JAN-26"/>
    <s v="INVSE"/>
    <n v="69"/>
    <m/>
    <s v="MOV. DE INVENTARIO"/>
    <n v="0"/>
    <n v="13.45"/>
    <n v="-2.52"/>
  </r>
  <r>
    <s v="02.01.06.02.0021"/>
    <x v="7"/>
    <s v="N"/>
    <s v="09-JAN-26"/>
    <s v="CP"/>
    <n v="114"/>
    <n v="919"/>
    <s v="FE CENTRO DE SERVICIOS COMPART 000000919"/>
    <n v="0"/>
    <n v="48.13"/>
    <n v="421.74"/>
  </r>
  <r>
    <s v="02.01.06.02.0021"/>
    <x v="7"/>
    <s v="N"/>
    <s v="17-JAN-26"/>
    <s v="CP"/>
    <n v="215"/>
    <n v="441"/>
    <s v="FE CARLARSERVICE CIA. LTDA 000000441"/>
    <n v="0"/>
    <n v="4.6100000000000003"/>
    <n v="417.13"/>
  </r>
  <r>
    <s v="02.01.06.02.0021"/>
    <x v="7"/>
    <s v="N"/>
    <s v="17-JAN-26"/>
    <s v="CP"/>
    <n v="215"/>
    <n v="443"/>
    <s v="FE CARLARSERVICE CIA. LTDA 000000443"/>
    <n v="0"/>
    <n v="13.61"/>
    <n v="403.52"/>
  </r>
  <r>
    <s v="02.01.06.02.0021"/>
    <x v="7"/>
    <s v="N"/>
    <s v="17-JAN-26"/>
    <s v="CP"/>
    <n v="215"/>
    <n v="445"/>
    <s v="FE CARLARSERVICE CIA. LTDA 000000445"/>
    <n v="0"/>
    <n v="7.11"/>
    <n v="396.41"/>
  </r>
  <r>
    <s v="02.01.06.02.0021"/>
    <x v="7"/>
    <s v="N"/>
    <s v="05-JAN-26"/>
    <s v="CP"/>
    <n v="61"/>
    <n v="47"/>
    <s v="FE CA CONSULTING S.C. 000000047"/>
    <n v="0"/>
    <n v="26.86"/>
    <n v="369.55"/>
  </r>
  <r>
    <s v="02.01.06.02.0021"/>
    <x v="7"/>
    <s v="N"/>
    <s v="05-JAN-26"/>
    <s v="CP"/>
    <n v="61"/>
    <n v="438"/>
    <s v="FE CARLARSERVICE CIA. LTDA 000000438"/>
    <n v="0"/>
    <n v="300"/>
    <n v="69.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n v="32880"/>
    <s v="PAEZ ORTIZ CHRISTIAN GONZALO"/>
    <d v="2026-01-05T00:00:00"/>
    <d v="2026-01-05T00:00:00"/>
    <x v="0"/>
    <n v="312"/>
    <n v="3553"/>
    <x v="0"/>
    <n v="0.75"/>
    <n v="0.23"/>
  </r>
  <r>
    <n v="32880"/>
    <s v="PAEZ ORTIZ CHRISTIAN GONZALO"/>
    <d v="2026-01-05T00:00:00"/>
    <d v="2026-01-05T00:00:00"/>
    <x v="1"/>
    <n v="312"/>
    <n v="3553"/>
    <x v="1"/>
    <n v="5"/>
    <n v="0.09"/>
  </r>
  <r>
    <n v="32881"/>
    <s v="BACLT INMOBILIARIA S.A.S."/>
    <d v="2026-01-05T00:00:00"/>
    <d v="2026-01-05T00:00:00"/>
    <x v="0"/>
    <n v="320"/>
    <n v="192"/>
    <x v="2"/>
    <n v="1251.03"/>
    <n v="875.72"/>
  </r>
  <r>
    <n v="32881"/>
    <s v="BACLT INMOBILIARIA S.A.S."/>
    <d v="2026-01-05T00:00:00"/>
    <d v="2026-01-05T00:00:00"/>
    <x v="1"/>
    <n v="320"/>
    <n v="192"/>
    <x v="3"/>
    <n v="8340.2000000000007"/>
    <n v="834.02"/>
  </r>
  <r>
    <n v="32882"/>
    <s v="CARLARSERVICE CIA. LTDA"/>
    <d v="2026-01-05T00:00:00"/>
    <d v="2026-01-05T00:00:00"/>
    <x v="1"/>
    <n v="303"/>
    <n v="438"/>
    <x v="4"/>
    <n v="10000"/>
    <n v="300"/>
  </r>
  <r>
    <n v="32882"/>
    <s v="CARLARSERVICE CIA. LTDA"/>
    <d v="2026-01-05T00:00:00"/>
    <d v="2026-01-05T00:00:00"/>
    <x v="0"/>
    <n v="303"/>
    <n v="438"/>
    <x v="2"/>
    <n v="1500"/>
    <n v="1050"/>
  </r>
  <r>
    <n v="32883"/>
    <s v="BACLT INMOBILIARIA S.A.S."/>
    <d v="2026-01-05T00:00:00"/>
    <d v="2026-01-05T00:00:00"/>
    <x v="0"/>
    <n v="320"/>
    <n v="193"/>
    <x v="2"/>
    <n v="790.18"/>
    <n v="553.13"/>
  </r>
  <r>
    <n v="32883"/>
    <s v="BACLT INMOBILIARIA S.A.S."/>
    <d v="2026-01-05T00:00:00"/>
    <d v="2026-01-05T00:00:00"/>
    <x v="1"/>
    <n v="320"/>
    <n v="193"/>
    <x v="3"/>
    <n v="5267.84"/>
    <n v="526.78"/>
  </r>
  <r>
    <n v="32884"/>
    <s v="PAREDES PADILLA JAZMINA MABEL"/>
    <d v="2026-01-05T00:00:00"/>
    <d v="2026-01-05T00:00:00"/>
    <x v="1"/>
    <n v="312"/>
    <n v="6232"/>
    <x v="1"/>
    <n v="39.130000000000003"/>
    <n v="0.68"/>
  </r>
  <r>
    <n v="32884"/>
    <s v="PAREDES PADILLA JAZMINA MABEL"/>
    <d v="2026-01-05T00:00:00"/>
    <d v="2026-01-05T00:00:00"/>
    <x v="0"/>
    <n v="312"/>
    <n v="6232"/>
    <x v="0"/>
    <n v="5.87"/>
    <n v="1.76"/>
  </r>
  <r>
    <n v="32885"/>
    <s v="C&amp;A CONSULTING S.C."/>
    <d v="2026-01-05T00:00:00"/>
    <d v="2026-01-05T00:00:00"/>
    <x v="1"/>
    <n v="303"/>
    <n v="47"/>
    <x v="4"/>
    <n v="895.45"/>
    <n v="26.86"/>
  </r>
  <r>
    <n v="32885"/>
    <s v="C&amp;A CONSULTING S.C."/>
    <d v="2026-01-05T00:00:00"/>
    <d v="2026-01-05T00:00:00"/>
    <x v="0"/>
    <n v="303"/>
    <n v="47"/>
    <x v="2"/>
    <n v="134.32"/>
    <n v="94.02"/>
  </r>
  <r>
    <n v="32886"/>
    <s v="GONZALEZ VEGA EL MOTOR CIA LTDA"/>
    <d v="2026-01-05T00:00:00"/>
    <d v="2026-01-05T00:00:00"/>
    <x v="0"/>
    <n v="312"/>
    <n v="70816"/>
    <x v="0"/>
    <n v="11.92"/>
    <n v="3.58"/>
  </r>
  <r>
    <n v="32886"/>
    <s v="GONZALEZ VEGA EL MOTOR CIA LTDA"/>
    <d v="2026-01-05T00:00:00"/>
    <d v="2026-01-05T00:00:00"/>
    <x v="1"/>
    <n v="312"/>
    <n v="70816"/>
    <x v="1"/>
    <n v="79.45"/>
    <n v="1.39"/>
  </r>
  <r>
    <n v="32887"/>
    <s v="ORTIZ LOPEZ EDGAR ENRIQUE"/>
    <d v="2026-01-05T00:00:00"/>
    <d v="2026-01-05T00:00:00"/>
    <x v="0"/>
    <n v="307"/>
    <n v="1422"/>
    <x v="2"/>
    <n v="1.5"/>
    <n v="1.05"/>
  </r>
  <r>
    <n v="32887"/>
    <s v="ORTIZ LOPEZ EDGAR ENRIQUE"/>
    <d v="2026-01-05T00:00:00"/>
    <d v="2026-01-05T00:00:00"/>
    <x v="1"/>
    <n v="307"/>
    <n v="1422"/>
    <x v="5"/>
    <n v="10"/>
    <n v="0.2"/>
  </r>
  <r>
    <n v="32888"/>
    <s v="ORTIZ LOPEZ EDGAR ENRIQUE"/>
    <d v="2026-01-05T00:00:00"/>
    <d v="2026-01-05T00:00:00"/>
    <x v="1"/>
    <n v="307"/>
    <n v="1423"/>
    <x v="5"/>
    <n v="6"/>
    <n v="0.12"/>
  </r>
  <r>
    <n v="32888"/>
    <s v="ORTIZ LOPEZ EDGAR ENRIQUE"/>
    <d v="2026-01-05T00:00:00"/>
    <d v="2026-01-05T00:00:00"/>
    <x v="0"/>
    <n v="307"/>
    <n v="1423"/>
    <x v="2"/>
    <n v="0.9"/>
    <n v="0.63"/>
  </r>
  <r>
    <n v="32889"/>
    <s v="AREVALO COLCHA CESAR AUGUSTO"/>
    <d v="2026-01-05T00:00:00"/>
    <d v="2026-01-05T00:00:00"/>
    <x v="1"/>
    <n v="307"/>
    <n v="2513"/>
    <x v="5"/>
    <n v="17.87"/>
    <n v="0.36"/>
  </r>
  <r>
    <n v="32889"/>
    <s v="AREVALO COLCHA CESAR AUGUSTO"/>
    <d v="2026-01-05T00:00:00"/>
    <d v="2026-01-05T00:00:00"/>
    <x v="0"/>
    <n v="307"/>
    <n v="2513"/>
    <x v="2"/>
    <n v="2.68"/>
    <n v="1.88"/>
  </r>
  <r>
    <n v="32890"/>
    <s v="ORTIZ LOPEZ EDGAR ENRIQUE"/>
    <d v="2026-01-05T00:00:00"/>
    <d v="2026-01-05T00:00:00"/>
    <x v="1"/>
    <n v="307"/>
    <n v="1424"/>
    <x v="5"/>
    <n v="8"/>
    <n v="0.16"/>
  </r>
  <r>
    <n v="32890"/>
    <s v="ORTIZ LOPEZ EDGAR ENRIQUE"/>
    <d v="2026-01-05T00:00:00"/>
    <d v="2026-01-05T00:00:00"/>
    <x v="0"/>
    <n v="307"/>
    <n v="1424"/>
    <x v="2"/>
    <n v="1.2"/>
    <n v="0.84"/>
  </r>
  <r>
    <n v="32891"/>
    <s v="ORTIZ LOPEZ EDGAR ENRIQUE"/>
    <d v="2026-01-05T00:00:00"/>
    <d v="2026-01-05T00:00:00"/>
    <x v="1"/>
    <n v="307"/>
    <n v="1420"/>
    <x v="5"/>
    <n v="10"/>
    <n v="0.2"/>
  </r>
  <r>
    <n v="32891"/>
    <s v="ORTIZ LOPEZ EDGAR ENRIQUE"/>
    <d v="2026-01-05T00:00:00"/>
    <d v="2026-01-05T00:00:00"/>
    <x v="0"/>
    <n v="307"/>
    <n v="1420"/>
    <x v="2"/>
    <n v="1.5"/>
    <n v="1.05"/>
  </r>
  <r>
    <n v="32892"/>
    <s v="CERON CORDOVA JUAN SEBASTIAN"/>
    <d v="2026-01-05T00:00:00"/>
    <d v="2026-01-05T00:00:00"/>
    <x v="1"/>
    <n v="332"/>
    <n v="1686"/>
    <x v="6"/>
    <n v="18"/>
    <n v="0"/>
  </r>
  <r>
    <n v="32893"/>
    <s v="AREVALO COLCHA CESAR AUGUSTO"/>
    <d v="2026-01-05T00:00:00"/>
    <d v="2026-01-05T00:00:00"/>
    <x v="1"/>
    <n v="307"/>
    <n v="2512"/>
    <x v="5"/>
    <n v="17.87"/>
    <n v="0.36"/>
  </r>
  <r>
    <n v="32893"/>
    <s v="AREVALO COLCHA CESAR AUGUSTO"/>
    <d v="2026-01-05T00:00:00"/>
    <d v="2026-01-05T00:00:00"/>
    <x v="0"/>
    <n v="307"/>
    <n v="2512"/>
    <x v="2"/>
    <n v="2.68"/>
    <n v="1.88"/>
  </r>
  <r>
    <n v="32894"/>
    <s v="NOBOA CABRERA GALO HERNAN"/>
    <d v="2026-01-05T00:00:00"/>
    <d v="2026-01-05T00:00:00"/>
    <x v="1"/>
    <n v="343"/>
    <n v="667"/>
    <x v="7"/>
    <n v="20"/>
    <n v="0.2"/>
  </r>
  <r>
    <n v="32894"/>
    <s v="NOBOA CABRERA GALO HERNAN"/>
    <d v="2026-01-05T00:00:00"/>
    <d v="2026-01-05T00:00:00"/>
    <x v="0"/>
    <n v="343"/>
    <n v="667"/>
    <x v="2"/>
    <n v="3"/>
    <n v="2.1"/>
  </r>
  <r>
    <n v="32895"/>
    <s v="NOBOA CABRERA GALO HERNAN"/>
    <d v="2026-01-05T00:00:00"/>
    <d v="2026-01-05T00:00:00"/>
    <x v="0"/>
    <n v="343"/>
    <n v="670"/>
    <x v="2"/>
    <n v="1.73"/>
    <n v="1.21"/>
  </r>
  <r>
    <n v="32895"/>
    <s v="NOBOA CABRERA GALO HERNAN"/>
    <d v="2026-01-05T00:00:00"/>
    <d v="2026-01-05T00:00:00"/>
    <x v="1"/>
    <n v="343"/>
    <n v="670"/>
    <x v="7"/>
    <n v="11.5"/>
    <n v="0.12"/>
  </r>
  <r>
    <n v="32896"/>
    <s v="CRIOLLO ANALUISA GEOVANNY EFRAIN"/>
    <d v="2026-01-05T00:00:00"/>
    <d v="2026-01-05T00:00:00"/>
    <x v="1"/>
    <n v="332"/>
    <n v="1190"/>
    <x v="6"/>
    <n v="37"/>
    <n v="0"/>
  </r>
  <r>
    <n v="32897"/>
    <s v="ORTIZ LOPEZ EDGAR ENRIQUE"/>
    <d v="2026-01-05T00:00:00"/>
    <d v="2026-01-05T00:00:00"/>
    <x v="1"/>
    <n v="307"/>
    <n v="1421"/>
    <x v="5"/>
    <n v="15"/>
    <n v="0.3"/>
  </r>
  <r>
    <n v="32897"/>
    <s v="ORTIZ LOPEZ EDGAR ENRIQUE"/>
    <d v="2026-01-05T00:00:00"/>
    <d v="2026-01-05T00:00:00"/>
    <x v="0"/>
    <n v="307"/>
    <n v="1421"/>
    <x v="2"/>
    <n v="2.25"/>
    <n v="1.58"/>
  </r>
  <r>
    <n v="32898"/>
    <s v="CERON CORDOVA JUAN SEBASTIAN"/>
    <d v="2026-01-05T00:00:00"/>
    <d v="2026-01-05T00:00:00"/>
    <x v="1"/>
    <n v="332"/>
    <n v="1690"/>
    <x v="6"/>
    <n v="7"/>
    <n v="0"/>
  </r>
  <r>
    <n v="32899"/>
    <s v="CERON CORDOVA JUAN SEBASTIAN"/>
    <d v="2026-01-05T00:00:00"/>
    <d v="2026-01-05T00:00:00"/>
    <x v="1"/>
    <n v="332"/>
    <n v="1688"/>
    <x v="6"/>
    <n v="8"/>
    <n v="0"/>
  </r>
  <r>
    <n v="32900"/>
    <s v="NOBOA CABRERA GALO HERNAN"/>
    <d v="2026-01-05T00:00:00"/>
    <d v="2026-01-05T00:00:00"/>
    <x v="1"/>
    <n v="343"/>
    <n v="664"/>
    <x v="7"/>
    <n v="10"/>
    <n v="0.1"/>
  </r>
  <r>
    <n v="32900"/>
    <s v="NOBOA CABRERA GALO HERNAN"/>
    <d v="2026-01-05T00:00:00"/>
    <d v="2026-01-05T00:00:00"/>
    <x v="0"/>
    <n v="343"/>
    <n v="664"/>
    <x v="2"/>
    <n v="1.5"/>
    <n v="1.05"/>
  </r>
  <r>
    <n v="32901"/>
    <s v="NOBOA CABRERA GALO HERNAN"/>
    <d v="2026-01-05T00:00:00"/>
    <d v="2026-01-05T00:00:00"/>
    <x v="1"/>
    <n v="343"/>
    <n v="666"/>
    <x v="7"/>
    <n v="20"/>
    <n v="0.2"/>
  </r>
  <r>
    <n v="32901"/>
    <s v="NOBOA CABRERA GALO HERNAN"/>
    <d v="2026-01-05T00:00:00"/>
    <d v="2026-01-05T00:00:00"/>
    <x v="0"/>
    <n v="343"/>
    <n v="666"/>
    <x v="2"/>
    <n v="3"/>
    <n v="2.1"/>
  </r>
  <r>
    <n v="32902"/>
    <s v="AREVALO COLCHA CESAR AUGUSTO"/>
    <d v="2026-01-05T00:00:00"/>
    <d v="2026-01-05T00:00:00"/>
    <x v="0"/>
    <n v="307"/>
    <n v="2514"/>
    <x v="2"/>
    <n v="2.68"/>
    <n v="1.88"/>
  </r>
  <r>
    <n v="32902"/>
    <s v="AREVALO COLCHA CESAR AUGUSTO"/>
    <d v="2026-01-05T00:00:00"/>
    <d v="2026-01-05T00:00:00"/>
    <x v="1"/>
    <n v="307"/>
    <n v="2514"/>
    <x v="5"/>
    <n v="17.87"/>
    <n v="0.36"/>
  </r>
  <r>
    <n v="32903"/>
    <s v="CERON CORDOVA JUAN SEBASTIAN"/>
    <d v="2026-01-05T00:00:00"/>
    <d v="2026-01-05T00:00:00"/>
    <x v="1"/>
    <n v="332"/>
    <n v="1684"/>
    <x v="6"/>
    <n v="18"/>
    <n v="0"/>
  </r>
  <r>
    <n v="32904"/>
    <s v="NOBOA CABRERA GALO HERNAN"/>
    <d v="2026-01-05T00:00:00"/>
    <d v="2026-01-05T00:00:00"/>
    <x v="0"/>
    <n v="343"/>
    <n v="663"/>
    <x v="2"/>
    <n v="3"/>
    <n v="2.1"/>
  </r>
  <r>
    <n v="32904"/>
    <s v="NOBOA CABRERA GALO HERNAN"/>
    <d v="2026-01-05T00:00:00"/>
    <d v="2026-01-05T00:00:00"/>
    <x v="1"/>
    <n v="343"/>
    <n v="663"/>
    <x v="7"/>
    <n v="20"/>
    <n v="0.2"/>
  </r>
  <r>
    <n v="32905"/>
    <s v="BEDON VACA JOSE LUIS"/>
    <d v="2026-01-06T00:00:00"/>
    <d v="2026-01-05T00:00:00"/>
    <x v="1"/>
    <n v="307"/>
    <n v="161"/>
    <x v="5"/>
    <n v="32.43"/>
    <n v="0.65"/>
  </r>
  <r>
    <n v="32905"/>
    <s v="BEDON VACA JOSE LUIS"/>
    <d v="2026-01-06T00:00:00"/>
    <d v="2026-01-05T00:00:00"/>
    <x v="0"/>
    <n v="307"/>
    <n v="161"/>
    <x v="2"/>
    <n v="4.8600000000000003"/>
    <n v="3.4"/>
  </r>
  <r>
    <n v="32906"/>
    <s v="PULLUQUINGA LASLUISA JORGE LUIS"/>
    <d v="2026-01-06T00:00:00"/>
    <d v="2026-01-06T00:00:00"/>
    <x v="1"/>
    <n v="312"/>
    <n v="1037"/>
    <x v="1"/>
    <n v="1200"/>
    <n v="21"/>
  </r>
  <r>
    <n v="32906"/>
    <s v="PULLUQUINGA LASLUISA JORGE LUIS"/>
    <d v="2026-01-06T00:00:00"/>
    <d v="2026-01-06T00:00:00"/>
    <x v="0"/>
    <n v="312"/>
    <n v="1037"/>
    <x v="0"/>
    <n v="180"/>
    <n v="54"/>
  </r>
  <r>
    <n v="32907"/>
    <s v="CERON CORDOVA JUAN SEBASTIAN"/>
    <d v="2026-01-06T00:00:00"/>
    <d v="2026-01-06T00:00:00"/>
    <x v="1"/>
    <n v="332"/>
    <n v="1698"/>
    <x v="6"/>
    <n v="18"/>
    <n v="0"/>
  </r>
  <r>
    <n v="32908"/>
    <s v="CERON CORDOVA JUAN SEBASTIAN"/>
    <d v="2026-01-06T00:00:00"/>
    <d v="2026-01-06T00:00:00"/>
    <x v="1"/>
    <n v="332"/>
    <n v="1691"/>
    <x v="6"/>
    <n v="8"/>
    <n v="0"/>
  </r>
  <r>
    <n v="32909"/>
    <s v="CERON CORDOVA JUAN SEBASTIAN"/>
    <d v="2026-01-06T00:00:00"/>
    <d v="2026-01-06T00:00:00"/>
    <x v="1"/>
    <n v="332"/>
    <n v="1699"/>
    <x v="6"/>
    <n v="8"/>
    <n v="0"/>
  </r>
  <r>
    <n v="32910"/>
    <s v="NOBOA CABRERA GALO HERNAN"/>
    <d v="2026-01-06T00:00:00"/>
    <d v="2026-01-06T00:00:00"/>
    <x v="1"/>
    <n v="343"/>
    <n v="674"/>
    <x v="7"/>
    <n v="20"/>
    <n v="0.2"/>
  </r>
  <r>
    <n v="32910"/>
    <s v="NOBOA CABRERA GALO HERNAN"/>
    <d v="2026-01-06T00:00:00"/>
    <d v="2026-01-06T00:00:00"/>
    <x v="0"/>
    <n v="343"/>
    <n v="674"/>
    <x v="2"/>
    <n v="3"/>
    <n v="2.1"/>
  </r>
  <r>
    <n v="32911"/>
    <s v="ORTIZ LOPEZ EDGAR ENRIQUE"/>
    <d v="2026-01-06T00:00:00"/>
    <d v="2026-01-06T00:00:00"/>
    <x v="0"/>
    <n v="307"/>
    <n v="1429"/>
    <x v="2"/>
    <n v="0.9"/>
    <n v="0.63"/>
  </r>
  <r>
    <n v="32911"/>
    <s v="ORTIZ LOPEZ EDGAR ENRIQUE"/>
    <d v="2026-01-06T00:00:00"/>
    <d v="2026-01-06T00:00:00"/>
    <x v="1"/>
    <n v="307"/>
    <n v="1429"/>
    <x v="5"/>
    <n v="6"/>
    <n v="0.12"/>
  </r>
  <r>
    <n v="32912"/>
    <s v="AREVALO COLCHA CESAR AUGUSTO"/>
    <d v="2026-01-06T00:00:00"/>
    <d v="2026-01-06T00:00:00"/>
    <x v="1"/>
    <n v="307"/>
    <n v="2519"/>
    <x v="5"/>
    <n v="17.87"/>
    <n v="0.36"/>
  </r>
  <r>
    <n v="32912"/>
    <s v="AREVALO COLCHA CESAR AUGUSTO"/>
    <d v="2026-01-06T00:00:00"/>
    <d v="2026-01-06T00:00:00"/>
    <x v="0"/>
    <n v="307"/>
    <n v="2519"/>
    <x v="2"/>
    <n v="2.68"/>
    <n v="1.88"/>
  </r>
  <r>
    <n v="32913"/>
    <s v="QUISINTUNA MASABANDA MARCO ROBALINO"/>
    <d v="2026-01-06T00:00:00"/>
    <d v="2026-01-06T00:00:00"/>
    <x v="1"/>
    <n v="312"/>
    <n v="382"/>
    <x v="1"/>
    <n v="768.78"/>
    <n v="13.45"/>
  </r>
  <r>
    <n v="32913"/>
    <s v="QUISINTUNA MASABANDA MARCO ROBALINO"/>
    <d v="2026-01-06T00:00:00"/>
    <d v="2026-01-06T00:00:00"/>
    <x v="0"/>
    <n v="312"/>
    <n v="382"/>
    <x v="0"/>
    <n v="115.32"/>
    <n v="34.6"/>
  </r>
  <r>
    <n v="32914"/>
    <s v="NOBOA CABRERA GALO HERNAN"/>
    <d v="2026-01-06T00:00:00"/>
    <d v="2026-01-06T00:00:00"/>
    <x v="0"/>
    <n v="343"/>
    <n v="676"/>
    <x v="2"/>
    <n v="3"/>
    <n v="2.1"/>
  </r>
  <r>
    <n v="32914"/>
    <s v="NOBOA CABRERA GALO HERNAN"/>
    <d v="2026-01-06T00:00:00"/>
    <d v="2026-01-06T00:00:00"/>
    <x v="1"/>
    <n v="343"/>
    <n v="676"/>
    <x v="7"/>
    <n v="20"/>
    <n v="0.2"/>
  </r>
  <r>
    <n v="32915"/>
    <s v="NOBOA CABRERA GALO HERNAN"/>
    <d v="2026-01-06T00:00:00"/>
    <d v="2026-01-06T00:00:00"/>
    <x v="0"/>
    <n v="343"/>
    <n v="677"/>
    <x v="2"/>
    <n v="1.5"/>
    <n v="1.05"/>
  </r>
  <r>
    <n v="32915"/>
    <s v="NOBOA CABRERA GALO HERNAN"/>
    <d v="2026-01-06T00:00:00"/>
    <d v="2026-01-06T00:00:00"/>
    <x v="1"/>
    <n v="343"/>
    <n v="677"/>
    <x v="7"/>
    <n v="10"/>
    <n v="0.1"/>
  </r>
  <r>
    <n v="32916"/>
    <s v="ORTIZ LOPEZ EDGAR ENRIQUE"/>
    <d v="2026-01-06T00:00:00"/>
    <d v="2026-01-06T00:00:00"/>
    <x v="0"/>
    <n v="307"/>
    <n v="1428"/>
    <x v="2"/>
    <n v="2.25"/>
    <n v="1.58"/>
  </r>
  <r>
    <n v="32916"/>
    <s v="ORTIZ LOPEZ EDGAR ENRIQUE"/>
    <d v="2026-01-06T00:00:00"/>
    <d v="2026-01-06T00:00:00"/>
    <x v="1"/>
    <n v="307"/>
    <n v="1428"/>
    <x v="5"/>
    <n v="15"/>
    <n v="0.3"/>
  </r>
  <r>
    <n v="32917"/>
    <s v="CRIOLLO ANALUISA GEOVANNY EFRAIN"/>
    <d v="2026-01-06T00:00:00"/>
    <d v="2026-01-06T00:00:00"/>
    <x v="1"/>
    <n v="332"/>
    <n v="1193"/>
    <x v="6"/>
    <n v="30"/>
    <n v="0"/>
  </r>
  <r>
    <n v="32918"/>
    <s v="CERON CORDOVA JUAN SEBASTIAN"/>
    <d v="2026-01-06T00:00:00"/>
    <d v="2026-01-06T00:00:00"/>
    <x v="1"/>
    <n v="332"/>
    <n v="1693"/>
    <x v="6"/>
    <n v="7"/>
    <n v="0"/>
  </r>
  <r>
    <n v="32919"/>
    <s v="PAREDES PADILLA JAZMINA MABEL"/>
    <d v="2026-01-06T00:00:00"/>
    <d v="2026-01-06T00:00:00"/>
    <x v="1"/>
    <n v="307"/>
    <n v="6231"/>
    <x v="5"/>
    <n v="26.09"/>
    <n v="0.52"/>
  </r>
  <r>
    <n v="32919"/>
    <s v="PAREDES PADILLA JAZMINA MABEL"/>
    <d v="2026-01-06T00:00:00"/>
    <d v="2026-01-06T00:00:00"/>
    <x v="0"/>
    <n v="307"/>
    <n v="6231"/>
    <x v="2"/>
    <n v="3.91"/>
    <n v="2.74"/>
  </r>
  <r>
    <n v="32920"/>
    <s v="NOBOA CABRERA GALO HERNAN"/>
    <d v="2026-01-06T00:00:00"/>
    <d v="2026-01-06T00:00:00"/>
    <x v="1"/>
    <n v="343"/>
    <n v="678"/>
    <x v="7"/>
    <n v="20"/>
    <n v="0.2"/>
  </r>
  <r>
    <n v="32920"/>
    <s v="NOBOA CABRERA GALO HERNAN"/>
    <d v="2026-01-06T00:00:00"/>
    <d v="2026-01-06T00:00:00"/>
    <x v="0"/>
    <n v="343"/>
    <n v="678"/>
    <x v="2"/>
    <n v="3"/>
    <n v="2.1"/>
  </r>
  <r>
    <n v="32921"/>
    <s v="NOBOA CABRERA GALO HERNAN"/>
    <d v="2026-01-06T00:00:00"/>
    <d v="2026-01-06T00:00:00"/>
    <x v="1"/>
    <n v="343"/>
    <n v="679"/>
    <x v="7"/>
    <n v="25"/>
    <n v="0.25"/>
  </r>
  <r>
    <n v="32921"/>
    <s v="NOBOA CABRERA GALO HERNAN"/>
    <d v="2026-01-06T00:00:00"/>
    <d v="2026-01-06T00:00:00"/>
    <x v="0"/>
    <n v="343"/>
    <n v="679"/>
    <x v="2"/>
    <n v="3.75"/>
    <n v="2.63"/>
  </r>
  <r>
    <n v="32922"/>
    <s v="CRIOLLO ANALUISA GEOVANNY EFRAIN"/>
    <d v="2026-01-06T00:00:00"/>
    <d v="2026-01-06T00:00:00"/>
    <x v="1"/>
    <n v="332"/>
    <n v="1191"/>
    <x v="6"/>
    <n v="20"/>
    <n v="0"/>
  </r>
  <r>
    <n v="32923"/>
    <s v="ORTIZ LOPEZ EDGAR ENRIQUE"/>
    <d v="2026-01-06T00:00:00"/>
    <d v="2026-01-06T00:00:00"/>
    <x v="0"/>
    <n v="307"/>
    <n v="1431"/>
    <x v="2"/>
    <n v="1.5"/>
    <n v="1.05"/>
  </r>
  <r>
    <n v="32923"/>
    <s v="ORTIZ LOPEZ EDGAR ENRIQUE"/>
    <d v="2026-01-06T00:00:00"/>
    <d v="2026-01-06T00:00:00"/>
    <x v="1"/>
    <n v="307"/>
    <n v="1431"/>
    <x v="5"/>
    <n v="10"/>
    <n v="0.2"/>
  </r>
  <r>
    <n v="32924"/>
    <s v="CERON CORDOVA JUAN SEBASTIAN"/>
    <d v="2026-01-06T00:00:00"/>
    <d v="2026-01-06T00:00:00"/>
    <x v="1"/>
    <n v="332"/>
    <n v="1697"/>
    <x v="6"/>
    <n v="18"/>
    <n v="0"/>
  </r>
  <r>
    <n v="32925"/>
    <s v="CERON CORDOVA JUAN SEBASTIAN"/>
    <d v="2026-01-06T00:00:00"/>
    <d v="2026-01-06T00:00:00"/>
    <x v="1"/>
    <n v="332"/>
    <n v="1696"/>
    <x v="6"/>
    <n v="10"/>
    <n v="0"/>
  </r>
  <r>
    <n v="32926"/>
    <s v="ORTIZ LOPEZ EDGAR ENRIQUE"/>
    <d v="2026-01-06T00:00:00"/>
    <d v="2026-01-06T00:00:00"/>
    <x v="1"/>
    <n v="307"/>
    <n v="1427"/>
    <x v="5"/>
    <n v="10"/>
    <n v="0.2"/>
  </r>
  <r>
    <n v="32926"/>
    <s v="ORTIZ LOPEZ EDGAR ENRIQUE"/>
    <d v="2026-01-06T00:00:00"/>
    <d v="2026-01-06T00:00:00"/>
    <x v="0"/>
    <n v="307"/>
    <n v="1427"/>
    <x v="2"/>
    <n v="1.5"/>
    <n v="1.05"/>
  </r>
  <r>
    <n v="32927"/>
    <s v="COLCHA LEMA LUIS GONZALO"/>
    <d v="2026-01-06T00:00:00"/>
    <d v="2026-01-06T00:00:00"/>
    <x v="1"/>
    <n v="307"/>
    <n v="250"/>
    <x v="5"/>
    <n v="269"/>
    <n v="5.38"/>
  </r>
  <r>
    <n v="32928"/>
    <s v="ARIAS MANTILLA JUAN FERNANDO"/>
    <d v="2026-01-06T00:00:00"/>
    <d v="2026-01-05T00:00:00"/>
    <x v="0"/>
    <n v="303"/>
    <n v="1555"/>
    <x v="8"/>
    <n v="83.33"/>
    <n v="83.33"/>
  </r>
  <r>
    <n v="32928"/>
    <s v="ARIAS MANTILLA JUAN FERNANDO"/>
    <d v="2026-01-06T00:00:00"/>
    <d v="2026-01-05T00:00:00"/>
    <x v="1"/>
    <n v="303"/>
    <n v="1555"/>
    <x v="3"/>
    <n v="555.54999999999995"/>
    <n v="55.56"/>
  </r>
  <r>
    <n v="32929"/>
    <s v="CERON CORDOVA JUAN SEBASTIAN"/>
    <d v="2026-01-06T00:00:00"/>
    <d v="2026-01-06T00:00:00"/>
    <x v="1"/>
    <n v="332"/>
    <n v="1694"/>
    <x v="6"/>
    <n v="18"/>
    <n v="0"/>
  </r>
  <r>
    <n v="32930"/>
    <s v="NOBOA CABRERA GALO HERNAN"/>
    <d v="2026-01-06T00:00:00"/>
    <d v="2026-01-06T00:00:00"/>
    <x v="1"/>
    <n v="343"/>
    <n v="675"/>
    <x v="7"/>
    <n v="10"/>
    <n v="0.1"/>
  </r>
  <r>
    <n v="32930"/>
    <s v="NOBOA CABRERA GALO HERNAN"/>
    <d v="2026-01-06T00:00:00"/>
    <d v="2026-01-06T00:00:00"/>
    <x v="0"/>
    <n v="343"/>
    <n v="675"/>
    <x v="2"/>
    <n v="1.5"/>
    <n v="1.05"/>
  </r>
  <r>
    <n v="32931"/>
    <s v="ORTIZ LOPEZ EDGAR ENRIQUE"/>
    <d v="2026-01-06T00:00:00"/>
    <d v="2026-01-06T00:00:00"/>
    <x v="1"/>
    <n v="307"/>
    <n v="1434"/>
    <x v="5"/>
    <n v="10"/>
    <n v="0.2"/>
  </r>
  <r>
    <n v="32931"/>
    <s v="ORTIZ LOPEZ EDGAR ENRIQUE"/>
    <d v="2026-01-06T00:00:00"/>
    <d v="2026-01-06T00:00:00"/>
    <x v="0"/>
    <n v="307"/>
    <n v="1434"/>
    <x v="2"/>
    <n v="1.5"/>
    <n v="1.05"/>
  </r>
  <r>
    <n v="32932"/>
    <s v="CHAVEZ ZULA ZOILA"/>
    <d v="2026-01-06T00:00:00"/>
    <d v="2026-01-06T00:00:00"/>
    <x v="1"/>
    <n v="332"/>
    <n v="612"/>
    <x v="6"/>
    <n v="10"/>
    <n v="0"/>
  </r>
  <r>
    <n v="32933"/>
    <s v="VARGAS TORRES WALTTER DARIO"/>
    <d v="2026-01-06T00:00:00"/>
    <d v="2026-01-06T00:00:00"/>
    <x v="1"/>
    <n v="312"/>
    <n v="31473"/>
    <x v="1"/>
    <n v="960"/>
    <n v="16.8"/>
  </r>
  <r>
    <n v="32933"/>
    <s v="VARGAS TORRES WALTTER DARIO"/>
    <d v="2026-01-06T00:00:00"/>
    <d v="2026-01-06T00:00:00"/>
    <x v="0"/>
    <n v="312"/>
    <n v="31473"/>
    <x v="0"/>
    <n v="144"/>
    <n v="43.2"/>
  </r>
  <r>
    <n v="32934"/>
    <s v="CERON CORDOVA JUAN SEBASTIAN"/>
    <d v="2026-01-06T00:00:00"/>
    <d v="2026-01-06T00:00:00"/>
    <x v="1"/>
    <n v="332"/>
    <n v="1695"/>
    <x v="6"/>
    <n v="18"/>
    <n v="0"/>
  </r>
  <r>
    <n v="32935"/>
    <s v="CRIOLLO ANALUISA GEOVANNY EFRAIN"/>
    <d v="2026-01-06T00:00:00"/>
    <d v="2026-01-06T00:00:00"/>
    <x v="1"/>
    <n v="332"/>
    <n v="1194"/>
    <x v="6"/>
    <n v="20"/>
    <n v="0"/>
  </r>
  <r>
    <n v="32936"/>
    <s v="CRIOLLO ANALUISA GEOVANNY EFRAIN"/>
    <d v="2026-01-06T00:00:00"/>
    <d v="2026-01-06T00:00:00"/>
    <x v="1"/>
    <n v="332"/>
    <n v="1196"/>
    <x v="6"/>
    <n v="20"/>
    <n v="0"/>
  </r>
  <r>
    <n v="32937"/>
    <s v="CRIOLLO ANALUISA GEOVANNY EFRAIN"/>
    <d v="2026-01-06T00:00:00"/>
    <d v="2026-01-06T00:00:00"/>
    <x v="1"/>
    <n v="332"/>
    <n v="1195"/>
    <x v="6"/>
    <n v="20"/>
    <n v="0"/>
  </r>
  <r>
    <n v="32938"/>
    <s v="ORTIZ LOPEZ EDGAR ENRIQUE"/>
    <d v="2026-01-06T00:00:00"/>
    <d v="2026-01-06T00:00:00"/>
    <x v="1"/>
    <n v="307"/>
    <n v="1432"/>
    <x v="5"/>
    <n v="6"/>
    <n v="0.12"/>
  </r>
  <r>
    <n v="32938"/>
    <s v="ORTIZ LOPEZ EDGAR ENRIQUE"/>
    <d v="2026-01-06T00:00:00"/>
    <d v="2026-01-06T00:00:00"/>
    <x v="0"/>
    <n v="307"/>
    <n v="1432"/>
    <x v="2"/>
    <n v="0.9"/>
    <n v="0.63"/>
  </r>
  <r>
    <n v="32939"/>
    <s v="ORTIZ LOPEZ EDGAR ENRIQUE"/>
    <d v="2026-01-06T00:00:00"/>
    <d v="2026-01-06T00:00:00"/>
    <x v="1"/>
    <n v="307"/>
    <n v="1433"/>
    <x v="5"/>
    <n v="10"/>
    <n v="0.2"/>
  </r>
  <r>
    <n v="32939"/>
    <s v="ORTIZ LOPEZ EDGAR ENRIQUE"/>
    <d v="2026-01-06T00:00:00"/>
    <d v="2026-01-06T00:00:00"/>
    <x v="0"/>
    <n v="307"/>
    <n v="1433"/>
    <x v="2"/>
    <n v="1.5"/>
    <n v="1.05"/>
  </r>
  <r>
    <n v="32940"/>
    <s v="COLCHA LEMA LUIS GONZALO"/>
    <d v="2026-01-06T00:00:00"/>
    <d v="2026-01-06T00:00:00"/>
    <x v="1"/>
    <n v="307"/>
    <n v="251"/>
    <x v="5"/>
    <n v="191"/>
    <n v="3.82"/>
  </r>
  <r>
    <n v="32941"/>
    <s v="IMPORTADORA AUDIO-ALARMAS AUDA S.A."/>
    <d v="2026-01-06T00:00:00"/>
    <d v="2026-01-06T00:00:00"/>
    <x v="1"/>
    <n v="312"/>
    <n v="4556"/>
    <x v="1"/>
    <n v="1030"/>
    <n v="18.03"/>
  </r>
  <r>
    <n v="32941"/>
    <s v="IMPORTADORA AUDIO-ALARMAS AUDA S.A."/>
    <d v="2026-01-06T00:00:00"/>
    <d v="2026-01-06T00:00:00"/>
    <x v="0"/>
    <n v="312"/>
    <n v="4556"/>
    <x v="0"/>
    <n v="154.5"/>
    <n v="46.35"/>
  </r>
  <r>
    <n v="32942"/>
    <s v="CRIOLLO ANALUISA GEOVANNY EFRAIN"/>
    <d v="2026-01-06T00:00:00"/>
    <d v="2026-01-06T00:00:00"/>
    <x v="1"/>
    <n v="332"/>
    <n v="1192"/>
    <x v="6"/>
    <n v="11"/>
    <n v="0"/>
  </r>
  <r>
    <n v="32943"/>
    <s v="NOBOA CABRERA GALO HERNAN"/>
    <d v="2026-01-07T00:00:00"/>
    <d v="2026-01-07T00:00:00"/>
    <x v="0"/>
    <n v="343"/>
    <n v="687"/>
    <x v="2"/>
    <n v="3.6"/>
    <n v="2.52"/>
  </r>
  <r>
    <n v="32943"/>
    <s v="NOBOA CABRERA GALO HERNAN"/>
    <d v="2026-01-07T00:00:00"/>
    <d v="2026-01-07T00:00:00"/>
    <x v="1"/>
    <n v="343"/>
    <n v="687"/>
    <x v="7"/>
    <n v="24"/>
    <n v="0.24"/>
  </r>
  <r>
    <n v="32944"/>
    <s v="ORTIZ LOPEZ EDGAR ENRIQUE"/>
    <d v="2026-01-07T00:00:00"/>
    <d v="2026-01-07T00:00:00"/>
    <x v="0"/>
    <n v="307"/>
    <n v="1435"/>
    <x v="2"/>
    <n v="0.9"/>
    <n v="0.63"/>
  </r>
  <r>
    <n v="32944"/>
    <s v="ORTIZ LOPEZ EDGAR ENRIQUE"/>
    <d v="2026-01-07T00:00:00"/>
    <d v="2026-01-07T00:00:00"/>
    <x v="1"/>
    <n v="307"/>
    <n v="1435"/>
    <x v="5"/>
    <n v="6"/>
    <n v="0.12"/>
  </r>
  <r>
    <n v="32945"/>
    <s v="ORTIZ LOPEZ EDGAR ENRIQUE"/>
    <d v="2026-01-07T00:00:00"/>
    <d v="2026-01-07T00:00:00"/>
    <x v="0"/>
    <n v="307"/>
    <n v="1437"/>
    <x v="2"/>
    <n v="2.7"/>
    <n v="1.89"/>
  </r>
  <r>
    <n v="32945"/>
    <s v="ORTIZ LOPEZ EDGAR ENRIQUE"/>
    <d v="2026-01-07T00:00:00"/>
    <d v="2026-01-07T00:00:00"/>
    <x v="1"/>
    <n v="307"/>
    <n v="1437"/>
    <x v="5"/>
    <n v="18"/>
    <n v="0.36"/>
  </r>
  <r>
    <n v="32946"/>
    <s v="AREVALO COLCHA CESAR AUGUSTO"/>
    <d v="2026-01-07T00:00:00"/>
    <d v="2026-01-07T00:00:00"/>
    <x v="0"/>
    <n v="307"/>
    <n v="2532"/>
    <x v="2"/>
    <n v="2.68"/>
    <n v="1.88"/>
  </r>
  <r>
    <n v="32946"/>
    <s v="AREVALO COLCHA CESAR AUGUSTO"/>
    <d v="2026-01-07T00:00:00"/>
    <d v="2026-01-07T00:00:00"/>
    <x v="1"/>
    <n v="307"/>
    <n v="2532"/>
    <x v="5"/>
    <n v="17.87"/>
    <n v="0.36"/>
  </r>
  <r>
    <n v="32947"/>
    <s v="VALVERDE ROBALINO ANGEL BENEDICTO"/>
    <d v="2026-01-07T00:00:00"/>
    <d v="2026-01-07T00:00:00"/>
    <x v="1"/>
    <n v="312"/>
    <n v="1841"/>
    <x v="1"/>
    <n v="22.61"/>
    <n v="0.4"/>
  </r>
  <r>
    <n v="32947"/>
    <s v="VALVERDE ROBALINO ANGEL BENEDICTO"/>
    <d v="2026-01-07T00:00:00"/>
    <d v="2026-01-07T00:00:00"/>
    <x v="0"/>
    <n v="312"/>
    <n v="1841"/>
    <x v="0"/>
    <n v="3.39"/>
    <n v="1.02"/>
  </r>
  <r>
    <n v="32948"/>
    <s v="CERON CORDOVA JUAN SEBASTIAN"/>
    <d v="2026-01-07T00:00:00"/>
    <d v="2026-01-07T00:00:00"/>
    <x v="1"/>
    <n v="332"/>
    <n v="1703"/>
    <x v="6"/>
    <n v="7"/>
    <n v="0"/>
  </r>
  <r>
    <n v="32949"/>
    <s v="GONZALEZ VEGA EL MOTOR CIA LTDA"/>
    <d v="2026-01-07T00:00:00"/>
    <d v="2026-01-07T00:00:00"/>
    <x v="1"/>
    <n v="312"/>
    <n v="62845"/>
    <x v="1"/>
    <n v="114.12"/>
    <n v="2"/>
  </r>
  <r>
    <n v="32949"/>
    <s v="GONZALEZ VEGA EL MOTOR CIA LTDA"/>
    <d v="2026-01-07T00:00:00"/>
    <d v="2026-01-07T00:00:00"/>
    <x v="0"/>
    <n v="312"/>
    <n v="62845"/>
    <x v="0"/>
    <n v="17.12"/>
    <n v="5.14"/>
  </r>
  <r>
    <n v="32950"/>
    <s v="CERON CORDOVA JUAN SEBASTIAN"/>
    <d v="2026-01-07T00:00:00"/>
    <d v="2026-01-07T00:00:00"/>
    <x v="1"/>
    <n v="332"/>
    <n v="1701"/>
    <x v="6"/>
    <n v="7"/>
    <n v="0"/>
  </r>
  <r>
    <n v="32951"/>
    <s v="CERON CORDOVA JUAN SEBASTIAN"/>
    <d v="2026-01-07T00:00:00"/>
    <d v="2026-01-07T00:00:00"/>
    <x v="1"/>
    <n v="332"/>
    <n v="1704"/>
    <x v="6"/>
    <n v="7"/>
    <n v="0"/>
  </r>
  <r>
    <n v="32952"/>
    <s v="CHAVEZ ZULA ZOILA"/>
    <d v="2026-01-07T00:00:00"/>
    <d v="2026-01-07T00:00:00"/>
    <x v="1"/>
    <n v="332"/>
    <n v="613"/>
    <x v="6"/>
    <n v="10"/>
    <n v="0"/>
  </r>
  <r>
    <n v="32953"/>
    <s v="QUISINTUNA MASABANDA MARCO ROBALINO"/>
    <d v="2026-01-07T00:00:00"/>
    <d v="2026-01-07T00:00:00"/>
    <x v="1"/>
    <n v="312"/>
    <n v="383"/>
    <x v="1"/>
    <n v="423.36"/>
    <n v="7.41"/>
  </r>
  <r>
    <n v="32953"/>
    <s v="QUISINTUNA MASABANDA MARCO ROBALINO"/>
    <d v="2026-01-07T00:00:00"/>
    <d v="2026-01-07T00:00:00"/>
    <x v="0"/>
    <n v="312"/>
    <n v="383"/>
    <x v="0"/>
    <n v="63.5"/>
    <n v="19.05"/>
  </r>
  <r>
    <n v="32954"/>
    <s v="CRIOLLO ANALUISA GEOVANNY EFRAIN"/>
    <d v="2026-01-07T00:00:00"/>
    <d v="2026-01-07T00:00:00"/>
    <x v="1"/>
    <n v="332"/>
    <n v="1204"/>
    <x v="6"/>
    <n v="44"/>
    <n v="0"/>
  </r>
  <r>
    <n v="32955"/>
    <s v="CRIOLLO ANALUISA GEOVANNY EFRAIN"/>
    <d v="2026-01-07T00:00:00"/>
    <d v="2026-01-07T00:00:00"/>
    <x v="1"/>
    <n v="332"/>
    <n v="1201"/>
    <x v="6"/>
    <n v="20"/>
    <n v="0"/>
  </r>
  <r>
    <n v="32956"/>
    <s v="CRIOLLO ANALUISA GEOVANNY EFRAIN"/>
    <d v="2026-01-07T00:00:00"/>
    <d v="2026-01-07T00:00:00"/>
    <x v="1"/>
    <n v="332"/>
    <n v="1202"/>
    <x v="6"/>
    <n v="6"/>
    <n v="0"/>
  </r>
  <r>
    <n v="32957"/>
    <s v="AREVALO COLCHA CESAR AUGUSTO"/>
    <d v="2026-01-07T00:00:00"/>
    <d v="2026-01-07T00:00:00"/>
    <x v="1"/>
    <n v="307"/>
    <n v="2533"/>
    <x v="5"/>
    <n v="3"/>
    <n v="0.06"/>
  </r>
  <r>
    <n v="32957"/>
    <s v="AREVALO COLCHA CESAR AUGUSTO"/>
    <d v="2026-01-07T00:00:00"/>
    <d v="2026-01-07T00:00:00"/>
    <x v="0"/>
    <n v="307"/>
    <n v="2533"/>
    <x v="2"/>
    <n v="0.45"/>
    <n v="0.32"/>
  </r>
  <r>
    <n v="32958"/>
    <s v="CERON CORDOVA JUAN SEBASTIAN"/>
    <d v="2026-01-07T00:00:00"/>
    <d v="2026-01-07T00:00:00"/>
    <x v="1"/>
    <n v="332"/>
    <n v="1705"/>
    <x v="6"/>
    <n v="18"/>
    <n v="0"/>
  </r>
  <r>
    <n v="32959"/>
    <s v="NOBOA CABRERA GALO HERNAN"/>
    <d v="2026-01-07T00:00:00"/>
    <d v="2026-01-07T00:00:00"/>
    <x v="1"/>
    <n v="343"/>
    <n v="685"/>
    <x v="7"/>
    <n v="20"/>
    <n v="0.2"/>
  </r>
  <r>
    <n v="32959"/>
    <s v="NOBOA CABRERA GALO HERNAN"/>
    <d v="2026-01-07T00:00:00"/>
    <d v="2026-01-07T00:00:00"/>
    <x v="0"/>
    <n v="343"/>
    <n v="685"/>
    <x v="2"/>
    <n v="3"/>
    <n v="2.1"/>
  </r>
  <r>
    <n v="32960"/>
    <s v="NOBOA CABRERA GALO HERNAN"/>
    <d v="2026-01-07T00:00:00"/>
    <d v="2026-01-07T00:00:00"/>
    <x v="0"/>
    <n v="343"/>
    <n v="686"/>
    <x v="2"/>
    <n v="1.5"/>
    <n v="1.05"/>
  </r>
  <r>
    <n v="32960"/>
    <s v="NOBOA CABRERA GALO HERNAN"/>
    <d v="2026-01-07T00:00:00"/>
    <d v="2026-01-07T00:00:00"/>
    <x v="1"/>
    <n v="343"/>
    <n v="686"/>
    <x v="7"/>
    <n v="10"/>
    <n v="0.1"/>
  </r>
  <r>
    <n v="32961"/>
    <s v="AREVALO COLCHA CESAR AUGUSTO"/>
    <d v="2026-01-07T00:00:00"/>
    <d v="2026-01-07T00:00:00"/>
    <x v="1"/>
    <n v="307"/>
    <n v="2537"/>
    <x v="5"/>
    <n v="17.87"/>
    <n v="0.36"/>
  </r>
  <r>
    <n v="32961"/>
    <s v="AREVALO COLCHA CESAR AUGUSTO"/>
    <d v="2026-01-07T00:00:00"/>
    <d v="2026-01-07T00:00:00"/>
    <x v="0"/>
    <n v="307"/>
    <n v="2537"/>
    <x v="2"/>
    <n v="2.68"/>
    <n v="1.88"/>
  </r>
  <r>
    <n v="32962"/>
    <s v="ORTIZ LOPEZ EDGAR ENRIQUE"/>
    <d v="2026-01-07T00:00:00"/>
    <d v="2026-01-07T00:00:00"/>
    <x v="1"/>
    <n v="307"/>
    <n v="1436"/>
    <x v="5"/>
    <n v="6"/>
    <n v="0.12"/>
  </r>
  <r>
    <n v="32962"/>
    <s v="ORTIZ LOPEZ EDGAR ENRIQUE"/>
    <d v="2026-01-07T00:00:00"/>
    <d v="2026-01-07T00:00:00"/>
    <x v="0"/>
    <n v="307"/>
    <n v="1436"/>
    <x v="2"/>
    <n v="0.9"/>
    <n v="0.63"/>
  </r>
  <r>
    <n v="32963"/>
    <s v="AREVALO COLCHA CESAR AUGUSTO"/>
    <d v="2026-01-07T00:00:00"/>
    <d v="2026-01-07T00:00:00"/>
    <x v="0"/>
    <n v="307"/>
    <n v="2528"/>
    <x v="2"/>
    <n v="2.68"/>
    <n v="1.88"/>
  </r>
  <r>
    <n v="32963"/>
    <s v="AREVALO COLCHA CESAR AUGUSTO"/>
    <d v="2026-01-07T00:00:00"/>
    <d v="2026-01-07T00:00:00"/>
    <x v="1"/>
    <n v="307"/>
    <n v="2528"/>
    <x v="5"/>
    <n v="17.87"/>
    <n v="0.36"/>
  </r>
  <r>
    <n v="32965"/>
    <s v="CERON CORDOVA JUAN SEBASTIAN"/>
    <d v="2026-01-07T00:00:00"/>
    <d v="2026-01-07T00:00:00"/>
    <x v="1"/>
    <n v="332"/>
    <n v="1702"/>
    <x v="6"/>
    <n v="7"/>
    <n v="0"/>
  </r>
  <r>
    <n v="32966"/>
    <s v="CRIOLLO ANALUISA GEOVANNY EFRAIN"/>
    <d v="2026-01-07T00:00:00"/>
    <d v="2026-01-07T00:00:00"/>
    <x v="1"/>
    <n v="332"/>
    <n v="1206"/>
    <x v="6"/>
    <n v="8"/>
    <n v="0"/>
  </r>
  <r>
    <n v="32967"/>
    <s v="AREVALO COLCHA CESAR AUGUSTO"/>
    <d v="2026-01-07T00:00:00"/>
    <d v="2026-01-07T00:00:00"/>
    <x v="1"/>
    <n v="307"/>
    <n v="2534"/>
    <x v="5"/>
    <n v="17.87"/>
    <n v="0.36"/>
  </r>
  <r>
    <n v="32967"/>
    <s v="AREVALO COLCHA CESAR AUGUSTO"/>
    <d v="2026-01-07T00:00:00"/>
    <d v="2026-01-07T00:00:00"/>
    <x v="0"/>
    <n v="307"/>
    <n v="2534"/>
    <x v="2"/>
    <n v="2.68"/>
    <n v="1.88"/>
  </r>
  <r>
    <n v="32968"/>
    <s v="NUNEZ NUNEZ OSCAR VINICIO"/>
    <d v="2026-01-08T00:00:00"/>
    <d v="2026-01-08T00:00:00"/>
    <x v="0"/>
    <n v="312"/>
    <n v="270"/>
    <x v="0"/>
    <n v="10.119999999999999"/>
    <n v="3.04"/>
  </r>
  <r>
    <n v="32968"/>
    <s v="NUNEZ NUNEZ OSCAR VINICIO"/>
    <d v="2026-01-08T00:00:00"/>
    <d v="2026-01-08T00:00:00"/>
    <x v="1"/>
    <n v="312"/>
    <n v="270"/>
    <x v="1"/>
    <n v="67.489999999999995"/>
    <n v="1.18"/>
  </r>
  <r>
    <n v="32969"/>
    <s v="NUNEZ NUNEZ OSCAR VINICIO"/>
    <d v="2026-01-08T00:00:00"/>
    <d v="2026-01-08T00:00:00"/>
    <x v="1"/>
    <n v="312"/>
    <n v="269"/>
    <x v="1"/>
    <n v="120.88"/>
    <n v="2.12"/>
  </r>
  <r>
    <n v="32969"/>
    <s v="NUNEZ NUNEZ OSCAR VINICIO"/>
    <d v="2026-01-08T00:00:00"/>
    <d v="2026-01-08T00:00:00"/>
    <x v="0"/>
    <n v="312"/>
    <n v="269"/>
    <x v="0"/>
    <n v="18.13"/>
    <n v="5.44"/>
  </r>
  <r>
    <n v="32970"/>
    <s v="NUNEZ NUNEZ OSCAR VINICIO"/>
    <d v="2026-01-08T00:00:00"/>
    <d v="2026-01-08T00:00:00"/>
    <x v="0"/>
    <n v="312"/>
    <n v="268"/>
    <x v="0"/>
    <n v="81.23"/>
    <n v="24.37"/>
  </r>
  <r>
    <n v="32970"/>
    <s v="NUNEZ NUNEZ OSCAR VINICIO"/>
    <d v="2026-01-08T00:00:00"/>
    <d v="2026-01-08T00:00:00"/>
    <x v="1"/>
    <n v="312"/>
    <n v="268"/>
    <x v="1"/>
    <n v="541.51"/>
    <n v="9.48"/>
  </r>
  <r>
    <n v="32971"/>
    <s v="MERA VASQUEZ NELLY MAGDALENA"/>
    <d v="2026-01-08T00:00:00"/>
    <d v="2026-01-07T00:00:00"/>
    <x v="0"/>
    <n v="320"/>
    <n v="77"/>
    <x v="8"/>
    <n v="270"/>
    <n v="270"/>
  </r>
  <r>
    <n v="32971"/>
    <s v="MERA VASQUEZ NELLY MAGDALENA"/>
    <d v="2026-01-08T00:00:00"/>
    <d v="2026-01-07T00:00:00"/>
    <x v="1"/>
    <n v="320"/>
    <n v="77"/>
    <x v="3"/>
    <n v="1800"/>
    <n v="180"/>
  </r>
  <r>
    <n v="32972"/>
    <s v="NUNEZ NUNEZ OSCAR VINICIO"/>
    <d v="2026-01-08T00:00:00"/>
    <d v="2026-01-08T00:00:00"/>
    <x v="1"/>
    <n v="312"/>
    <n v="271"/>
    <x v="1"/>
    <n v="306.86"/>
    <n v="5.37"/>
  </r>
  <r>
    <n v="32972"/>
    <s v="NUNEZ NUNEZ OSCAR VINICIO"/>
    <d v="2026-01-08T00:00:00"/>
    <d v="2026-01-08T00:00:00"/>
    <x v="0"/>
    <n v="312"/>
    <n v="271"/>
    <x v="0"/>
    <n v="46.03"/>
    <n v="13.81"/>
  </r>
  <r>
    <n v="32973"/>
    <s v="VIZUETE MATA ZOILA TERESA"/>
    <d v="2026-01-08T00:00:00"/>
    <d v="2026-01-05T00:00:00"/>
    <x v="0"/>
    <n v="320"/>
    <n v="2"/>
    <x v="8"/>
    <n v="30"/>
    <n v="30"/>
  </r>
  <r>
    <n v="32973"/>
    <s v="VIZUETE MATA ZOILA TERESA"/>
    <d v="2026-01-08T00:00:00"/>
    <d v="2026-01-05T00:00:00"/>
    <x v="1"/>
    <n v="320"/>
    <n v="2"/>
    <x v="3"/>
    <n v="200"/>
    <n v="20"/>
  </r>
  <r>
    <n v="32974"/>
    <s v="VARGAS VILLENA BELGICA MARGARITA"/>
    <d v="2026-01-08T00:00:00"/>
    <d v="2026-01-08T00:00:00"/>
    <x v="0"/>
    <n v="312"/>
    <n v="2087"/>
    <x v="0"/>
    <n v="30"/>
    <n v="9"/>
  </r>
  <r>
    <n v="32974"/>
    <s v="VARGAS VILLENA BELGICA MARGARITA"/>
    <d v="2026-01-08T00:00:00"/>
    <d v="2026-01-08T00:00:00"/>
    <x v="1"/>
    <n v="312"/>
    <n v="2087"/>
    <x v="1"/>
    <n v="200"/>
    <n v="3.5"/>
  </r>
  <r>
    <n v="32975"/>
    <s v="CERON CORDOVA JUAN SEBASTIAN"/>
    <d v="2026-01-08T00:00:00"/>
    <d v="2026-01-08T00:00:00"/>
    <x v="1"/>
    <n v="332"/>
    <n v="1712"/>
    <x v="6"/>
    <n v="42"/>
    <n v="0"/>
  </r>
  <r>
    <n v="32976"/>
    <s v="YANGTSE-AUTO DEL ECUADOR S.A."/>
    <d v="2026-01-08T00:00:00"/>
    <d v="2026-01-08T00:00:00"/>
    <x v="0"/>
    <n v="312"/>
    <n v="509"/>
    <x v="0"/>
    <n v="31.39"/>
    <n v="9.42"/>
  </r>
  <r>
    <n v="32976"/>
    <s v="YANGTSE-AUTO DEL ECUADOR S.A."/>
    <d v="2026-01-08T00:00:00"/>
    <d v="2026-01-08T00:00:00"/>
    <x v="1"/>
    <n v="312"/>
    <n v="509"/>
    <x v="1"/>
    <n v="209.26"/>
    <n v="3.66"/>
  </r>
  <r>
    <n v="32977"/>
    <s v="YANGTSE-AUTO DEL ECUADOR S.A."/>
    <d v="2026-01-08T00:00:00"/>
    <d v="2026-01-08T00:00:00"/>
    <x v="1"/>
    <n v="312"/>
    <n v="508"/>
    <x v="1"/>
    <n v="143.49"/>
    <n v="2.5099999999999998"/>
  </r>
  <r>
    <n v="32977"/>
    <s v="YANGTSE-AUTO DEL ECUADOR S.A."/>
    <d v="2026-01-08T00:00:00"/>
    <d v="2026-01-08T00:00:00"/>
    <x v="0"/>
    <n v="312"/>
    <n v="508"/>
    <x v="0"/>
    <n v="21.52"/>
    <n v="6.46"/>
  </r>
  <r>
    <n v="32978"/>
    <s v="CERON CORDOVA JUAN SEBASTIAN"/>
    <d v="2026-01-08T00:00:00"/>
    <d v="2026-01-08T00:00:00"/>
    <x v="1"/>
    <n v="332"/>
    <n v="1707"/>
    <x v="6"/>
    <n v="40"/>
    <n v="0"/>
  </r>
  <r>
    <n v="32979"/>
    <s v="CERON CORDOVA JUAN SEBASTIAN"/>
    <d v="2026-01-08T00:00:00"/>
    <d v="2026-01-08T00:00:00"/>
    <x v="1"/>
    <n v="332"/>
    <n v="1708"/>
    <x v="6"/>
    <n v="8"/>
    <n v="0"/>
  </r>
  <r>
    <n v="32980"/>
    <s v="CRIOLLO ANALUISA GEOVANNY EFRAIN"/>
    <d v="2026-01-08T00:00:00"/>
    <d v="2026-01-08T00:00:00"/>
    <x v="1"/>
    <n v="332"/>
    <n v="1207"/>
    <x v="6"/>
    <n v="20"/>
    <n v="0"/>
  </r>
  <r>
    <n v="32981"/>
    <s v="ORTIZ LOPEZ EDGAR ENRIQUE"/>
    <d v="2026-01-08T00:00:00"/>
    <d v="2026-01-08T00:00:00"/>
    <x v="0"/>
    <n v="307"/>
    <n v="1438"/>
    <x v="2"/>
    <n v="0.9"/>
    <n v="0.63"/>
  </r>
  <r>
    <n v="32981"/>
    <s v="ORTIZ LOPEZ EDGAR ENRIQUE"/>
    <d v="2026-01-08T00:00:00"/>
    <d v="2026-01-08T00:00:00"/>
    <x v="1"/>
    <n v="307"/>
    <n v="1438"/>
    <x v="5"/>
    <n v="6"/>
    <n v="0.12"/>
  </r>
  <r>
    <n v="32982"/>
    <s v="ORTIZ LOPEZ EDGAR ENRIQUE"/>
    <d v="2026-01-08T00:00:00"/>
    <d v="2026-01-08T00:00:00"/>
    <x v="0"/>
    <n v="307"/>
    <n v="1444"/>
    <x v="2"/>
    <n v="0.9"/>
    <n v="0.63"/>
  </r>
  <r>
    <n v="32982"/>
    <s v="ORTIZ LOPEZ EDGAR ENRIQUE"/>
    <d v="2026-01-08T00:00:00"/>
    <d v="2026-01-08T00:00:00"/>
    <x v="1"/>
    <n v="307"/>
    <n v="1444"/>
    <x v="5"/>
    <n v="6"/>
    <n v="0.12"/>
  </r>
  <r>
    <n v="32983"/>
    <s v="ORTIZ LOPEZ EDGAR ENRIQUE"/>
    <d v="2026-01-08T00:00:00"/>
    <d v="2026-01-08T00:00:00"/>
    <x v="1"/>
    <n v="307"/>
    <n v="1445"/>
    <x v="5"/>
    <n v="6"/>
    <n v="0.12"/>
  </r>
  <r>
    <n v="32983"/>
    <s v="ORTIZ LOPEZ EDGAR ENRIQUE"/>
    <d v="2026-01-08T00:00:00"/>
    <d v="2026-01-08T00:00:00"/>
    <x v="0"/>
    <n v="307"/>
    <n v="1445"/>
    <x v="2"/>
    <n v="0.9"/>
    <n v="0.63"/>
  </r>
  <r>
    <n v="32984"/>
    <s v="NOBOA CABRERA GALO HERNAN"/>
    <d v="2026-01-08T00:00:00"/>
    <d v="2026-01-08T00:00:00"/>
    <x v="1"/>
    <n v="343"/>
    <n v="690"/>
    <x v="7"/>
    <n v="20"/>
    <n v="0.2"/>
  </r>
  <r>
    <n v="32984"/>
    <s v="NOBOA CABRERA GALO HERNAN"/>
    <d v="2026-01-08T00:00:00"/>
    <d v="2026-01-08T00:00:00"/>
    <x v="0"/>
    <n v="343"/>
    <n v="690"/>
    <x v="2"/>
    <n v="3"/>
    <n v="2.1"/>
  </r>
  <r>
    <n v="32985"/>
    <s v="NOBOA CABRERA GALO HERNAN"/>
    <d v="2026-01-08T00:00:00"/>
    <d v="2026-01-08T00:00:00"/>
    <x v="0"/>
    <n v="343"/>
    <n v="693"/>
    <x v="2"/>
    <n v="3"/>
    <n v="2.1"/>
  </r>
  <r>
    <n v="32985"/>
    <s v="NOBOA CABRERA GALO HERNAN"/>
    <d v="2026-01-08T00:00:00"/>
    <d v="2026-01-08T00:00:00"/>
    <x v="1"/>
    <n v="343"/>
    <n v="693"/>
    <x v="7"/>
    <n v="20"/>
    <n v="0.2"/>
  </r>
  <r>
    <n v="32986"/>
    <s v="ORTIZ LOPEZ EDGAR ENRIQUE"/>
    <d v="2026-01-08T00:00:00"/>
    <d v="2026-01-08T00:00:00"/>
    <x v="0"/>
    <n v="307"/>
    <n v="1442"/>
    <x v="2"/>
    <n v="0.9"/>
    <n v="0.63"/>
  </r>
  <r>
    <n v="32986"/>
    <s v="ORTIZ LOPEZ EDGAR ENRIQUE"/>
    <d v="2026-01-08T00:00:00"/>
    <d v="2026-01-08T00:00:00"/>
    <x v="1"/>
    <n v="307"/>
    <n v="1442"/>
    <x v="5"/>
    <n v="6"/>
    <n v="0.12"/>
  </r>
  <r>
    <n v="32987"/>
    <s v="CERON CORDOVA JUAN SEBASTIAN"/>
    <d v="2026-01-08T00:00:00"/>
    <d v="2026-01-08T00:00:00"/>
    <x v="1"/>
    <n v="332"/>
    <n v="1706"/>
    <x v="6"/>
    <n v="18"/>
    <n v="0"/>
  </r>
  <r>
    <n v="32988"/>
    <s v="NOBOA CABRERA GALO HERNAN"/>
    <d v="2026-01-08T00:00:00"/>
    <d v="2026-01-08T00:00:00"/>
    <x v="0"/>
    <n v="343"/>
    <n v="696"/>
    <x v="2"/>
    <n v="1.5"/>
    <n v="1.05"/>
  </r>
  <r>
    <n v="32988"/>
    <s v="NOBOA CABRERA GALO HERNAN"/>
    <d v="2026-01-08T00:00:00"/>
    <d v="2026-01-08T00:00:00"/>
    <x v="1"/>
    <n v="343"/>
    <n v="696"/>
    <x v="7"/>
    <n v="10"/>
    <n v="0.1"/>
  </r>
  <r>
    <n v="32989"/>
    <s v="CRIOLLO ANALUISA GEOVANNY EFRAIN"/>
    <d v="2026-01-08T00:00:00"/>
    <d v="2026-01-08T00:00:00"/>
    <x v="1"/>
    <n v="332"/>
    <n v="1208"/>
    <x v="6"/>
    <n v="11"/>
    <n v="0"/>
  </r>
  <r>
    <n v="32990"/>
    <s v="CRIOLLO ANALUISA GEOVANNY EFRAIN"/>
    <d v="2026-01-08T00:00:00"/>
    <d v="2026-01-08T00:00:00"/>
    <x v="1"/>
    <n v="332"/>
    <n v="1209"/>
    <x v="6"/>
    <n v="11"/>
    <n v="0"/>
  </r>
  <r>
    <n v="32991"/>
    <s v="CRIOLLO ANALUISA GEOVANNY EFRAIN"/>
    <d v="2026-01-08T00:00:00"/>
    <d v="2026-01-08T00:00:00"/>
    <x v="1"/>
    <n v="332"/>
    <n v="1210"/>
    <x v="6"/>
    <n v="11"/>
    <n v="0"/>
  </r>
  <r>
    <n v="32992"/>
    <s v="CHAVEZ ZULA ZOILA"/>
    <d v="2026-01-08T00:00:00"/>
    <d v="2026-01-08T00:00:00"/>
    <x v="1"/>
    <n v="332"/>
    <n v="615"/>
    <x v="6"/>
    <n v="10"/>
    <n v="0"/>
  </r>
  <r>
    <n v="32993"/>
    <s v="CRIOLLO ANALUISA GEOVANNY EFRAIN"/>
    <d v="2026-01-08T00:00:00"/>
    <d v="2026-01-08T00:00:00"/>
    <x v="1"/>
    <n v="332"/>
    <n v="1214"/>
    <x v="6"/>
    <n v="10"/>
    <n v="0"/>
  </r>
  <r>
    <n v="32994"/>
    <s v="NOBOA CABRERA GALO HERNAN"/>
    <d v="2026-01-08T00:00:00"/>
    <d v="2026-01-08T00:00:00"/>
    <x v="1"/>
    <n v="343"/>
    <n v="695"/>
    <x v="7"/>
    <n v="20"/>
    <n v="0.2"/>
  </r>
  <r>
    <n v="32994"/>
    <s v="NOBOA CABRERA GALO HERNAN"/>
    <d v="2026-01-08T00:00:00"/>
    <d v="2026-01-08T00:00:00"/>
    <x v="0"/>
    <n v="343"/>
    <n v="695"/>
    <x v="2"/>
    <n v="3"/>
    <n v="2.1"/>
  </r>
  <r>
    <n v="32995"/>
    <s v="NOBOA CABRERA GALO HERNAN"/>
    <d v="2026-01-08T00:00:00"/>
    <d v="2026-01-08T00:00:00"/>
    <x v="1"/>
    <n v="343"/>
    <n v="697"/>
    <x v="7"/>
    <n v="20"/>
    <n v="0.2"/>
  </r>
  <r>
    <n v="32995"/>
    <s v="NOBOA CABRERA GALO HERNAN"/>
    <d v="2026-01-08T00:00:00"/>
    <d v="2026-01-08T00:00:00"/>
    <x v="0"/>
    <n v="343"/>
    <n v="697"/>
    <x v="2"/>
    <n v="3"/>
    <n v="2.1"/>
  </r>
  <r>
    <n v="32996"/>
    <s v="ORTIZ LOPEZ EDGAR ENRIQUE"/>
    <d v="2026-01-08T00:00:00"/>
    <d v="2026-01-08T00:00:00"/>
    <x v="1"/>
    <n v="307"/>
    <n v="1439"/>
    <x v="5"/>
    <n v="6"/>
    <n v="0.12"/>
  </r>
  <r>
    <n v="32996"/>
    <s v="ORTIZ LOPEZ EDGAR ENRIQUE"/>
    <d v="2026-01-08T00:00:00"/>
    <d v="2026-01-08T00:00:00"/>
    <x v="0"/>
    <n v="307"/>
    <n v="1439"/>
    <x v="2"/>
    <n v="0.9"/>
    <n v="0.63"/>
  </r>
  <r>
    <n v="32997"/>
    <s v="ORTIZ LOPEZ EDGAR ENRIQUE"/>
    <d v="2026-01-08T00:00:00"/>
    <d v="2026-01-08T00:00:00"/>
    <x v="1"/>
    <n v="307"/>
    <n v="1440"/>
    <x v="5"/>
    <n v="10"/>
    <n v="0.2"/>
  </r>
  <r>
    <n v="32997"/>
    <s v="ORTIZ LOPEZ EDGAR ENRIQUE"/>
    <d v="2026-01-08T00:00:00"/>
    <d v="2026-01-08T00:00:00"/>
    <x v="0"/>
    <n v="307"/>
    <n v="1440"/>
    <x v="2"/>
    <n v="1.5"/>
    <n v="1.05"/>
  </r>
  <r>
    <n v="32998"/>
    <s v="ORTIZ LOPEZ EDGAR ENRIQUE"/>
    <d v="2026-01-08T00:00:00"/>
    <d v="2026-01-08T00:00:00"/>
    <x v="1"/>
    <n v="307"/>
    <n v="1441"/>
    <x v="5"/>
    <n v="10"/>
    <n v="0.2"/>
  </r>
  <r>
    <n v="32998"/>
    <s v="ORTIZ LOPEZ EDGAR ENRIQUE"/>
    <d v="2026-01-08T00:00:00"/>
    <d v="2026-01-08T00:00:00"/>
    <x v="0"/>
    <n v="307"/>
    <n v="1441"/>
    <x v="2"/>
    <n v="1.5"/>
    <n v="1.05"/>
  </r>
  <r>
    <n v="32999"/>
    <s v="AREVALO COLCHA CESAR AUGUSTO"/>
    <d v="2026-01-08T00:00:00"/>
    <d v="2026-01-08T00:00:00"/>
    <x v="1"/>
    <n v="307"/>
    <n v="2544"/>
    <x v="5"/>
    <n v="17.87"/>
    <n v="0.36"/>
  </r>
  <r>
    <n v="32999"/>
    <s v="AREVALO COLCHA CESAR AUGUSTO"/>
    <d v="2026-01-08T00:00:00"/>
    <d v="2026-01-08T00:00:00"/>
    <x v="0"/>
    <n v="307"/>
    <n v="2544"/>
    <x v="2"/>
    <n v="2.68"/>
    <n v="1.88"/>
  </r>
  <r>
    <n v="33000"/>
    <s v="AREVALO COLCHA CESAR AUGUSTO"/>
    <d v="2026-01-08T00:00:00"/>
    <d v="2026-01-08T00:00:00"/>
    <x v="0"/>
    <n v="307"/>
    <n v="2551"/>
    <x v="2"/>
    <n v="2.68"/>
    <n v="1.88"/>
  </r>
  <r>
    <n v="33000"/>
    <s v="AREVALO COLCHA CESAR AUGUSTO"/>
    <d v="2026-01-08T00:00:00"/>
    <d v="2026-01-08T00:00:00"/>
    <x v="1"/>
    <n v="307"/>
    <n v="2551"/>
    <x v="5"/>
    <n v="17.87"/>
    <n v="0.36"/>
  </r>
  <r>
    <n v="33001"/>
    <s v="NOBOA CABRERA GALO HERNAN"/>
    <d v="2026-01-08T00:00:00"/>
    <d v="2026-01-08T00:00:00"/>
    <x v="0"/>
    <n v="343"/>
    <n v="691"/>
    <x v="2"/>
    <n v="1.5"/>
    <n v="1.05"/>
  </r>
  <r>
    <n v="33001"/>
    <s v="NOBOA CABRERA GALO HERNAN"/>
    <d v="2026-01-08T00:00:00"/>
    <d v="2026-01-08T00:00:00"/>
    <x v="1"/>
    <n v="343"/>
    <n v="691"/>
    <x v="7"/>
    <n v="10"/>
    <n v="0.1"/>
  </r>
  <r>
    <n v="33002"/>
    <s v="ORTIZ LOPEZ EDGAR ENRIQUE"/>
    <d v="2026-01-08T00:00:00"/>
    <d v="2026-01-08T00:00:00"/>
    <x v="1"/>
    <n v="307"/>
    <n v="1443"/>
    <x v="5"/>
    <n v="10"/>
    <n v="0.2"/>
  </r>
  <r>
    <n v="33002"/>
    <s v="ORTIZ LOPEZ EDGAR ENRIQUE"/>
    <d v="2026-01-08T00:00:00"/>
    <d v="2026-01-08T00:00:00"/>
    <x v="0"/>
    <n v="307"/>
    <n v="1443"/>
    <x v="2"/>
    <n v="1.5"/>
    <n v="1.05"/>
  </r>
  <r>
    <n v="33003"/>
    <s v="ALLAS BONILLA HECTOR RUBEN"/>
    <d v="2026-01-08T00:00:00"/>
    <d v="2026-01-08T00:00:00"/>
    <x v="1"/>
    <n v="332"/>
    <n v="309"/>
    <x v="6"/>
    <n v="50"/>
    <n v="0"/>
  </r>
  <r>
    <n v="33004"/>
    <s v="CERON CORDOVA JUAN SEBASTIAN"/>
    <d v="2026-01-08T00:00:00"/>
    <d v="2026-01-08T00:00:00"/>
    <x v="1"/>
    <n v="332"/>
    <n v="1709"/>
    <x v="6"/>
    <n v="18"/>
    <n v="0"/>
  </r>
  <r>
    <n v="33005"/>
    <s v="CERON CORDOVA JUAN SEBASTIAN"/>
    <d v="2026-01-08T00:00:00"/>
    <d v="2026-01-08T00:00:00"/>
    <x v="1"/>
    <n v="332"/>
    <n v="1710"/>
    <x v="6"/>
    <n v="18"/>
    <n v="0"/>
  </r>
  <r>
    <n v="33006"/>
    <s v="CRIOLLO ANALUISA GEOVANNY EFRAIN"/>
    <d v="2026-01-08T00:00:00"/>
    <d v="2026-01-08T00:00:00"/>
    <x v="1"/>
    <n v="332"/>
    <n v="1211"/>
    <x v="6"/>
    <n v="20"/>
    <n v="0"/>
  </r>
  <r>
    <n v="33007"/>
    <s v="CRIOLLO ANALUISA GEOVANNY EFRAIN"/>
    <d v="2026-01-08T00:00:00"/>
    <d v="2026-01-08T00:00:00"/>
    <x v="1"/>
    <n v="332"/>
    <n v="1212"/>
    <x v="6"/>
    <n v="6"/>
    <n v="0"/>
  </r>
  <r>
    <n v="33008"/>
    <s v="CHAVEZ ZULA ZOILA"/>
    <d v="2026-01-08T00:00:00"/>
    <d v="2026-01-08T00:00:00"/>
    <x v="1"/>
    <n v="332"/>
    <n v="614"/>
    <x v="6"/>
    <n v="10"/>
    <n v="0"/>
  </r>
  <r>
    <n v="33009"/>
    <s v="AREVALO COLCHA CESAR AUGUSTO"/>
    <d v="2026-01-08T00:00:00"/>
    <d v="2026-01-08T00:00:00"/>
    <x v="0"/>
    <n v="307"/>
    <n v="2549"/>
    <x v="2"/>
    <n v="2.68"/>
    <n v="1.88"/>
  </r>
  <r>
    <n v="33009"/>
    <s v="AREVALO COLCHA CESAR AUGUSTO"/>
    <d v="2026-01-08T00:00:00"/>
    <d v="2026-01-08T00:00:00"/>
    <x v="1"/>
    <n v="307"/>
    <n v="2549"/>
    <x v="5"/>
    <n v="17.87"/>
    <n v="0.36"/>
  </r>
  <r>
    <n v="33010"/>
    <s v="NOBOA CABRERA GALO HERNAN"/>
    <d v="2026-01-09T00:00:00"/>
    <d v="2026-01-09T00:00:00"/>
    <x v="0"/>
    <n v="343"/>
    <n v="699"/>
    <x v="2"/>
    <n v="5.0999999999999996"/>
    <n v="3.57"/>
  </r>
  <r>
    <n v="33010"/>
    <s v="NOBOA CABRERA GALO HERNAN"/>
    <d v="2026-01-09T00:00:00"/>
    <d v="2026-01-09T00:00:00"/>
    <x v="1"/>
    <n v="343"/>
    <n v="699"/>
    <x v="7"/>
    <n v="34"/>
    <n v="0.34"/>
  </r>
  <r>
    <n v="33011"/>
    <s v="CRIOLLO ANALUISA GEOVANNY EFRAIN"/>
    <d v="2026-01-09T00:00:00"/>
    <d v="2026-01-09T00:00:00"/>
    <x v="1"/>
    <n v="332"/>
    <n v="1218"/>
    <x v="6"/>
    <n v="20"/>
    <n v="0"/>
  </r>
  <r>
    <n v="33012"/>
    <s v="ORTIZ LOPEZ EDGAR ENRIQUE"/>
    <d v="2026-01-09T00:00:00"/>
    <d v="2026-01-09T00:00:00"/>
    <x v="1"/>
    <n v="307"/>
    <n v="1449"/>
    <x v="5"/>
    <n v="10"/>
    <n v="0.2"/>
  </r>
  <r>
    <n v="33012"/>
    <s v="ORTIZ LOPEZ EDGAR ENRIQUE"/>
    <d v="2026-01-09T00:00:00"/>
    <d v="2026-01-09T00:00:00"/>
    <x v="0"/>
    <n v="307"/>
    <n v="1449"/>
    <x v="2"/>
    <n v="1.5"/>
    <n v="1.05"/>
  </r>
  <r>
    <n v="33013"/>
    <s v="YANGTSE-AUTO DEL ECUADOR S.A."/>
    <d v="2026-01-10T00:00:00"/>
    <d v="2026-01-10T00:00:00"/>
    <x v="1"/>
    <n v="312"/>
    <n v="519"/>
    <x v="1"/>
    <n v="109.74"/>
    <n v="1.92"/>
  </r>
  <r>
    <n v="33013"/>
    <s v="YANGTSE-AUTO DEL ECUADOR S.A."/>
    <d v="2026-01-10T00:00:00"/>
    <d v="2026-01-10T00:00:00"/>
    <x v="0"/>
    <n v="312"/>
    <n v="519"/>
    <x v="0"/>
    <n v="16.46"/>
    <n v="4.9400000000000004"/>
  </r>
  <r>
    <n v="33014"/>
    <s v="CRIOLLO ANALUISA GEOVANNY EFRAIN"/>
    <d v="2026-01-09T00:00:00"/>
    <d v="2026-01-09T00:00:00"/>
    <x v="1"/>
    <n v="332"/>
    <n v="1219"/>
    <x v="6"/>
    <n v="11"/>
    <n v="0"/>
  </r>
  <r>
    <n v="33015"/>
    <s v="AREVALO COLCHA CESAR AUGUSTO"/>
    <d v="2026-01-09T00:00:00"/>
    <d v="2026-01-09T00:00:00"/>
    <x v="0"/>
    <n v="307"/>
    <n v="2561"/>
    <x v="2"/>
    <n v="2.68"/>
    <n v="1.88"/>
  </r>
  <r>
    <n v="33015"/>
    <s v="AREVALO COLCHA CESAR AUGUSTO"/>
    <d v="2026-01-09T00:00:00"/>
    <d v="2026-01-09T00:00:00"/>
    <x v="1"/>
    <n v="307"/>
    <n v="2561"/>
    <x v="5"/>
    <n v="17.87"/>
    <n v="0.36"/>
  </r>
  <r>
    <n v="33016"/>
    <s v="CHAVEZ ZULA ZOILA"/>
    <d v="2026-01-10T00:00:00"/>
    <d v="2026-01-10T00:00:00"/>
    <x v="1"/>
    <n v="332"/>
    <n v="618"/>
    <x v="6"/>
    <n v="10"/>
    <n v="0"/>
  </r>
  <r>
    <n v="33017"/>
    <s v="LUBRIMEX CIA.LTDA."/>
    <d v="2026-01-09T00:00:00"/>
    <d v="2026-01-09T00:00:00"/>
    <x v="1"/>
    <n v="312"/>
    <n v="8168"/>
    <x v="1"/>
    <n v="90.08"/>
    <n v="1.58"/>
  </r>
  <r>
    <n v="33017"/>
    <s v="LUBRIMEX CIA.LTDA."/>
    <d v="2026-01-09T00:00:00"/>
    <d v="2026-01-09T00:00:00"/>
    <x v="0"/>
    <n v="312"/>
    <n v="8168"/>
    <x v="0"/>
    <n v="13.51"/>
    <n v="4.05"/>
  </r>
  <r>
    <n v="33018"/>
    <s v="CRIOLLO ANALUISA GEOVANNY EFRAIN"/>
    <d v="2026-01-09T00:00:00"/>
    <d v="2026-01-09T00:00:00"/>
    <x v="1"/>
    <n v="332"/>
    <n v="1216"/>
    <x v="6"/>
    <n v="11"/>
    <n v="0"/>
  </r>
  <r>
    <n v="33019"/>
    <s v="ORTIZ LOPEZ EDGAR ENRIQUE"/>
    <d v="2026-01-10T00:00:00"/>
    <d v="2026-01-10T00:00:00"/>
    <x v="1"/>
    <n v="307"/>
    <n v="1450"/>
    <x v="5"/>
    <n v="10"/>
    <n v="0.2"/>
  </r>
  <r>
    <n v="33019"/>
    <s v="ORTIZ LOPEZ EDGAR ENRIQUE"/>
    <d v="2026-01-10T00:00:00"/>
    <d v="2026-01-10T00:00:00"/>
    <x v="0"/>
    <n v="307"/>
    <n v="1450"/>
    <x v="2"/>
    <n v="1.5"/>
    <n v="1.05"/>
  </r>
  <r>
    <n v="33020"/>
    <s v="CENTRO DE SERVICIOS COMPARTIDOS GBV S.A."/>
    <d v="2026-01-09T00:00:00"/>
    <d v="2026-01-09T00:00:00"/>
    <x v="1"/>
    <n v="303"/>
    <n v="919"/>
    <x v="4"/>
    <n v="1604.29"/>
    <n v="48.13"/>
  </r>
  <r>
    <n v="33021"/>
    <s v="YANGTSE-AUTO DEL ECUADOR S.A."/>
    <d v="2026-01-10T00:00:00"/>
    <d v="2026-01-10T00:00:00"/>
    <x v="0"/>
    <n v="312"/>
    <n v="515"/>
    <x v="0"/>
    <n v="21.15"/>
    <n v="6.35"/>
  </r>
  <r>
    <n v="33021"/>
    <s v="YANGTSE-AUTO DEL ECUADOR S.A."/>
    <d v="2026-01-10T00:00:00"/>
    <d v="2026-01-10T00:00:00"/>
    <x v="1"/>
    <n v="312"/>
    <n v="515"/>
    <x v="1"/>
    <n v="140.99"/>
    <n v="2.4700000000000002"/>
  </r>
  <r>
    <n v="33022"/>
    <s v="CERON CORDOVA JUAN SEBASTIAN"/>
    <d v="2026-01-09T00:00:00"/>
    <d v="2026-01-09T00:00:00"/>
    <x v="1"/>
    <n v="332"/>
    <n v="1715"/>
    <x v="6"/>
    <n v="18"/>
    <n v="0"/>
  </r>
  <r>
    <n v="33023"/>
    <s v="LOPEZ PACA EDWIN MARCELO"/>
    <d v="2026-01-09T00:00:00"/>
    <d v="2026-01-09T00:00:00"/>
    <x v="1"/>
    <n v="307"/>
    <n v="360"/>
    <x v="5"/>
    <n v="60"/>
    <n v="1.2"/>
  </r>
  <r>
    <n v="33024"/>
    <s v="CRIOLLO ANALUISA GEOVANNY EFRAIN"/>
    <d v="2026-01-09T00:00:00"/>
    <d v="2026-01-09T00:00:00"/>
    <x v="1"/>
    <n v="332"/>
    <n v="1217"/>
    <x v="6"/>
    <n v="20"/>
    <n v="0"/>
  </r>
  <r>
    <n v="33025"/>
    <s v="AREVALO COLCHA CESAR AUGUSTO"/>
    <d v="2026-01-09T00:00:00"/>
    <d v="2026-01-09T00:00:00"/>
    <x v="0"/>
    <n v="307"/>
    <n v="2555"/>
    <x v="2"/>
    <n v="2.68"/>
    <n v="1.88"/>
  </r>
  <r>
    <n v="33025"/>
    <s v="AREVALO COLCHA CESAR AUGUSTO"/>
    <d v="2026-01-09T00:00:00"/>
    <d v="2026-01-09T00:00:00"/>
    <x v="1"/>
    <n v="307"/>
    <n v="2555"/>
    <x v="5"/>
    <n v="17.87"/>
    <n v="0.36"/>
  </r>
  <r>
    <n v="33026"/>
    <s v="CERON CORDOVA JUAN SEBASTIAN"/>
    <d v="2026-01-10T00:00:00"/>
    <d v="2026-01-10T00:00:00"/>
    <x v="1"/>
    <n v="332"/>
    <n v="1718"/>
    <x v="6"/>
    <n v="7"/>
    <n v="0"/>
  </r>
  <r>
    <n v="33027"/>
    <s v="CERON CORDOVA JUAN SEBASTIAN"/>
    <d v="2026-01-10T00:00:00"/>
    <d v="2026-01-10T00:00:00"/>
    <x v="1"/>
    <n v="332"/>
    <n v="1719"/>
    <x v="6"/>
    <n v="7"/>
    <n v="0"/>
  </r>
  <r>
    <n v="33028"/>
    <s v="YANGTSE-AUTO DEL ECUADOR S.A."/>
    <d v="2026-01-10T00:00:00"/>
    <d v="2026-01-10T00:00:00"/>
    <x v="0"/>
    <n v="312"/>
    <n v="514"/>
    <x v="0"/>
    <n v="51.74"/>
    <n v="15.52"/>
  </r>
  <r>
    <n v="33028"/>
    <s v="YANGTSE-AUTO DEL ECUADOR S.A."/>
    <d v="2026-01-10T00:00:00"/>
    <d v="2026-01-10T00:00:00"/>
    <x v="1"/>
    <n v="312"/>
    <n v="514"/>
    <x v="1"/>
    <n v="344.92"/>
    <n v="6.04"/>
  </r>
  <r>
    <n v="33029"/>
    <s v="NOBOA CABRERA GALO HERNAN"/>
    <d v="2026-01-10T00:00:00"/>
    <d v="2026-01-10T00:00:00"/>
    <x v="1"/>
    <n v="343"/>
    <n v="703"/>
    <x v="7"/>
    <n v="20"/>
    <n v="0.2"/>
  </r>
  <r>
    <n v="33029"/>
    <s v="NOBOA CABRERA GALO HERNAN"/>
    <d v="2026-01-10T00:00:00"/>
    <d v="2026-01-10T00:00:00"/>
    <x v="0"/>
    <n v="343"/>
    <n v="703"/>
    <x v="2"/>
    <n v="3"/>
    <n v="2.1"/>
  </r>
  <r>
    <n v="33030"/>
    <s v="NOBOA CABRERA GALO HERNAN"/>
    <d v="2026-01-10T00:00:00"/>
    <d v="2026-01-10T00:00:00"/>
    <x v="1"/>
    <n v="343"/>
    <n v="704"/>
    <x v="7"/>
    <n v="20"/>
    <n v="0.2"/>
  </r>
  <r>
    <n v="33030"/>
    <s v="NOBOA CABRERA GALO HERNAN"/>
    <d v="2026-01-10T00:00:00"/>
    <d v="2026-01-10T00:00:00"/>
    <x v="0"/>
    <n v="343"/>
    <n v="704"/>
    <x v="2"/>
    <n v="3"/>
    <n v="2.1"/>
  </r>
  <r>
    <n v="33031"/>
    <s v="NOBOA CABRERA GALO HERNAN"/>
    <d v="2026-01-09T00:00:00"/>
    <d v="2026-01-09T00:00:00"/>
    <x v="1"/>
    <n v="343"/>
    <n v="702"/>
    <x v="7"/>
    <n v="5"/>
    <n v="0.05"/>
  </r>
  <r>
    <n v="33031"/>
    <s v="NOBOA CABRERA GALO HERNAN"/>
    <d v="2026-01-09T00:00:00"/>
    <d v="2026-01-09T00:00:00"/>
    <x v="0"/>
    <n v="343"/>
    <n v="702"/>
    <x v="2"/>
    <n v="0.75"/>
    <n v="0.53"/>
  </r>
  <r>
    <n v="33032"/>
    <s v="CERON CORDOVA JUAN SEBASTIAN"/>
    <d v="2026-01-10T00:00:00"/>
    <d v="2026-01-10T00:00:00"/>
    <x v="1"/>
    <n v="332"/>
    <n v="1720"/>
    <x v="6"/>
    <n v="7"/>
    <n v="0"/>
  </r>
  <r>
    <n v="33033"/>
    <s v="CHAVEZ ZULA ZOILA"/>
    <d v="2026-01-10T00:00:00"/>
    <d v="2026-01-10T00:00:00"/>
    <x v="1"/>
    <n v="332"/>
    <n v="617"/>
    <x v="6"/>
    <n v="10"/>
    <n v="0"/>
  </r>
  <r>
    <n v="33034"/>
    <s v="CRIOLLO ANALUISA GEOVANNY EFRAIN"/>
    <d v="2026-01-09T00:00:00"/>
    <d v="2026-01-09T00:00:00"/>
    <x v="1"/>
    <n v="332"/>
    <n v="1222"/>
    <x v="6"/>
    <n v="7"/>
    <n v="0"/>
  </r>
  <r>
    <n v="33035"/>
    <s v="NOBOA CABRERA GALO HERNAN"/>
    <d v="2026-01-09T00:00:00"/>
    <d v="2026-01-09T00:00:00"/>
    <x v="1"/>
    <n v="343"/>
    <n v="698"/>
    <x v="7"/>
    <n v="20"/>
    <n v="0.2"/>
  </r>
  <r>
    <n v="33035"/>
    <s v="NOBOA CABRERA GALO HERNAN"/>
    <d v="2026-01-09T00:00:00"/>
    <d v="2026-01-09T00:00:00"/>
    <x v="0"/>
    <n v="343"/>
    <n v="698"/>
    <x v="2"/>
    <n v="3"/>
    <n v="2.1"/>
  </r>
  <r>
    <n v="33036"/>
    <s v="ORTIZ LOPEZ EDGAR ENRIQUE"/>
    <d v="2026-01-09T00:00:00"/>
    <d v="2026-01-09T00:00:00"/>
    <x v="0"/>
    <n v="307"/>
    <n v="1446"/>
    <x v="2"/>
    <n v="1.5"/>
    <n v="1.05"/>
  </r>
  <r>
    <n v="33036"/>
    <s v="ORTIZ LOPEZ EDGAR ENRIQUE"/>
    <d v="2026-01-09T00:00:00"/>
    <d v="2026-01-09T00:00:00"/>
    <x v="1"/>
    <n v="307"/>
    <n v="1446"/>
    <x v="5"/>
    <n v="10"/>
    <n v="0.2"/>
  </r>
  <r>
    <n v="33037"/>
    <s v="ORTIZ LOPEZ EDGAR ENRIQUE"/>
    <d v="2026-01-09T00:00:00"/>
    <d v="2026-01-09T00:00:00"/>
    <x v="1"/>
    <n v="307"/>
    <n v="1448"/>
    <x v="5"/>
    <n v="6"/>
    <n v="0.12"/>
  </r>
  <r>
    <n v="33037"/>
    <s v="ORTIZ LOPEZ EDGAR ENRIQUE"/>
    <d v="2026-01-09T00:00:00"/>
    <d v="2026-01-09T00:00:00"/>
    <x v="0"/>
    <n v="307"/>
    <n v="1448"/>
    <x v="2"/>
    <n v="0.9"/>
    <n v="0.63"/>
  </r>
  <r>
    <n v="33038"/>
    <s v="CRIOLLO ANALUISA GEOVANNY EFRAIN"/>
    <d v="2026-01-09T00:00:00"/>
    <d v="2026-01-09T00:00:00"/>
    <x v="1"/>
    <n v="332"/>
    <n v="1220"/>
    <x v="6"/>
    <n v="30"/>
    <n v="0"/>
  </r>
  <r>
    <n v="33039"/>
    <s v="CRIOLLO ANALUISA GEOVANNY EFRAIN"/>
    <d v="2026-01-09T00:00:00"/>
    <d v="2026-01-09T00:00:00"/>
    <x v="1"/>
    <n v="332"/>
    <n v="1221"/>
    <x v="6"/>
    <n v="7"/>
    <n v="0"/>
  </r>
  <r>
    <n v="33040"/>
    <s v="ORTIZ LOPEZ EDGAR ENRIQUE"/>
    <d v="2026-01-09T00:00:00"/>
    <d v="2026-01-09T00:00:00"/>
    <x v="0"/>
    <n v="307"/>
    <n v="1447"/>
    <x v="2"/>
    <n v="1.5"/>
    <n v="1.05"/>
  </r>
  <r>
    <n v="33040"/>
    <s v="ORTIZ LOPEZ EDGAR ENRIQUE"/>
    <d v="2026-01-09T00:00:00"/>
    <d v="2026-01-09T00:00:00"/>
    <x v="1"/>
    <n v="307"/>
    <n v="1447"/>
    <x v="5"/>
    <n v="10"/>
    <n v="0.2"/>
  </r>
  <r>
    <n v="33041"/>
    <s v="ORTIZ LOPEZ EDGAR ENRIQUE"/>
    <d v="2026-01-10T00:00:00"/>
    <d v="2026-01-10T00:00:00"/>
    <x v="0"/>
    <n v="307"/>
    <n v="1451"/>
    <x v="2"/>
    <n v="0.9"/>
    <n v="0.63"/>
  </r>
  <r>
    <n v="33041"/>
    <s v="ORTIZ LOPEZ EDGAR ENRIQUE"/>
    <d v="2026-01-10T00:00:00"/>
    <d v="2026-01-10T00:00:00"/>
    <x v="1"/>
    <n v="307"/>
    <n v="1451"/>
    <x v="5"/>
    <n v="6"/>
    <n v="0.12"/>
  </r>
  <r>
    <n v="33042"/>
    <s v="NOBOA CABRERA GALO HERNAN"/>
    <d v="2026-01-12T00:00:00"/>
    <d v="2026-01-12T00:00:00"/>
    <x v="1"/>
    <n v="343"/>
    <n v="710"/>
    <x v="7"/>
    <n v="10"/>
    <n v="0.1"/>
  </r>
  <r>
    <n v="33042"/>
    <s v="NOBOA CABRERA GALO HERNAN"/>
    <d v="2026-01-12T00:00:00"/>
    <d v="2026-01-12T00:00:00"/>
    <x v="0"/>
    <n v="343"/>
    <n v="710"/>
    <x v="2"/>
    <n v="1.5"/>
    <n v="1.05"/>
  </r>
  <r>
    <n v="33043"/>
    <s v="ORTIZ LOPEZ EDGAR ENRIQUE"/>
    <d v="2026-01-12T00:00:00"/>
    <d v="2026-01-12T00:00:00"/>
    <x v="1"/>
    <n v="307"/>
    <n v="1453"/>
    <x v="5"/>
    <n v="6"/>
    <n v="0.12"/>
  </r>
  <r>
    <n v="33043"/>
    <s v="ORTIZ LOPEZ EDGAR ENRIQUE"/>
    <d v="2026-01-12T00:00:00"/>
    <d v="2026-01-12T00:00:00"/>
    <x v="0"/>
    <n v="307"/>
    <n v="1453"/>
    <x v="2"/>
    <n v="0.9"/>
    <n v="0.63"/>
  </r>
  <r>
    <n v="33044"/>
    <s v="NOBOA CABRERA GALO HERNAN"/>
    <d v="2026-01-12T00:00:00"/>
    <d v="2026-01-12T00:00:00"/>
    <x v="1"/>
    <n v="343"/>
    <n v="711"/>
    <x v="7"/>
    <n v="20"/>
    <n v="0.2"/>
  </r>
  <r>
    <n v="33044"/>
    <s v="NOBOA CABRERA GALO HERNAN"/>
    <d v="2026-01-12T00:00:00"/>
    <d v="2026-01-12T00:00:00"/>
    <x v="0"/>
    <n v="343"/>
    <n v="711"/>
    <x v="2"/>
    <n v="3"/>
    <n v="2.1"/>
  </r>
  <r>
    <n v="33045"/>
    <s v="NOBOA CABRERA GALO HERNAN"/>
    <d v="2026-01-12T00:00:00"/>
    <d v="2026-01-12T00:00:00"/>
    <x v="0"/>
    <n v="343"/>
    <n v="712"/>
    <x v="2"/>
    <n v="3"/>
    <n v="2.1"/>
  </r>
  <r>
    <n v="33045"/>
    <s v="NOBOA CABRERA GALO HERNAN"/>
    <d v="2026-01-12T00:00:00"/>
    <d v="2026-01-12T00:00:00"/>
    <x v="1"/>
    <n v="343"/>
    <n v="712"/>
    <x v="7"/>
    <n v="20"/>
    <n v="0.2"/>
  </r>
  <r>
    <n v="33046"/>
    <s v="CERON CORDOVA JUAN SEBASTIAN"/>
    <d v="2026-01-12T00:00:00"/>
    <d v="2026-01-12T00:00:00"/>
    <x v="1"/>
    <n v="332"/>
    <n v="1724"/>
    <x v="6"/>
    <n v="23"/>
    <n v="0"/>
  </r>
  <r>
    <n v="33047"/>
    <s v="NOBOA CABRERA GALO HERNAN"/>
    <d v="2026-01-12T00:00:00"/>
    <d v="2026-01-12T00:00:00"/>
    <x v="1"/>
    <n v="343"/>
    <n v="707"/>
    <x v="7"/>
    <n v="20"/>
    <n v="0.2"/>
  </r>
  <r>
    <n v="33047"/>
    <s v="NOBOA CABRERA GALO HERNAN"/>
    <d v="2026-01-12T00:00:00"/>
    <d v="2026-01-12T00:00:00"/>
    <x v="0"/>
    <n v="343"/>
    <n v="707"/>
    <x v="2"/>
    <n v="3"/>
    <n v="2.1"/>
  </r>
  <r>
    <n v="33048"/>
    <s v="ORTIZ LOPEZ EDGAR ENRIQUE"/>
    <d v="2026-01-12T00:00:00"/>
    <d v="2026-01-12T00:00:00"/>
    <x v="1"/>
    <n v="307"/>
    <n v="1456"/>
    <x v="5"/>
    <n v="6"/>
    <n v="0.12"/>
  </r>
  <r>
    <n v="33048"/>
    <s v="ORTIZ LOPEZ EDGAR ENRIQUE"/>
    <d v="2026-01-12T00:00:00"/>
    <d v="2026-01-12T00:00:00"/>
    <x v="0"/>
    <n v="307"/>
    <n v="1456"/>
    <x v="2"/>
    <n v="0.9"/>
    <n v="0.63"/>
  </r>
  <r>
    <n v="33049"/>
    <s v="CERON CORDOVA JUAN SEBASTIAN"/>
    <d v="2026-01-12T00:00:00"/>
    <d v="2026-01-12T00:00:00"/>
    <x v="1"/>
    <n v="332"/>
    <n v="1725"/>
    <x v="6"/>
    <n v="40"/>
    <n v="0"/>
  </r>
  <r>
    <n v="33050"/>
    <s v="NOBOA CABRERA GALO HERNAN"/>
    <d v="2026-01-12T00:00:00"/>
    <d v="2026-01-12T00:00:00"/>
    <x v="1"/>
    <n v="343"/>
    <n v="705"/>
    <x v="7"/>
    <n v="20"/>
    <n v="0.2"/>
  </r>
  <r>
    <n v="33050"/>
    <s v="NOBOA CABRERA GALO HERNAN"/>
    <d v="2026-01-12T00:00:00"/>
    <d v="2026-01-12T00:00:00"/>
    <x v="0"/>
    <n v="343"/>
    <n v="705"/>
    <x v="2"/>
    <n v="3"/>
    <n v="2.1"/>
  </r>
  <r>
    <n v="33051"/>
    <s v="ORTIZ LOPEZ EDGAR ENRIQUE"/>
    <d v="2026-01-12T00:00:00"/>
    <d v="2026-01-12T00:00:00"/>
    <x v="0"/>
    <n v="307"/>
    <n v="1454"/>
    <x v="2"/>
    <n v="0.9"/>
    <n v="0.63"/>
  </r>
  <r>
    <n v="33051"/>
    <s v="ORTIZ LOPEZ EDGAR ENRIQUE"/>
    <d v="2026-01-12T00:00:00"/>
    <d v="2026-01-12T00:00:00"/>
    <x v="1"/>
    <n v="307"/>
    <n v="1454"/>
    <x v="5"/>
    <n v="6"/>
    <n v="0.12"/>
  </r>
  <r>
    <n v="33052"/>
    <s v="ORTIZ LOPEZ EDGAR ENRIQUE"/>
    <d v="2026-01-12T00:00:00"/>
    <d v="2026-01-12T00:00:00"/>
    <x v="0"/>
    <n v="307"/>
    <n v="1457"/>
    <x v="2"/>
    <n v="0.9"/>
    <n v="0.63"/>
  </r>
  <r>
    <n v="33052"/>
    <s v="ORTIZ LOPEZ EDGAR ENRIQUE"/>
    <d v="2026-01-12T00:00:00"/>
    <d v="2026-01-12T00:00:00"/>
    <x v="1"/>
    <n v="307"/>
    <n v="1457"/>
    <x v="5"/>
    <n v="6"/>
    <n v="0.12"/>
  </r>
  <r>
    <n v="33053"/>
    <s v="NOBOA CABRERA GALO HERNAN"/>
    <d v="2026-01-12T00:00:00"/>
    <d v="2026-01-12T00:00:00"/>
    <x v="0"/>
    <n v="343"/>
    <n v="709"/>
    <x v="2"/>
    <n v="3"/>
    <n v="2.1"/>
  </r>
  <r>
    <n v="33053"/>
    <s v="NOBOA CABRERA GALO HERNAN"/>
    <d v="2026-01-12T00:00:00"/>
    <d v="2026-01-12T00:00:00"/>
    <x v="1"/>
    <n v="343"/>
    <n v="709"/>
    <x v="7"/>
    <n v="20"/>
    <n v="0.2"/>
  </r>
  <r>
    <n v="33054"/>
    <s v="ORTIZ LOPEZ EDGAR ENRIQUE"/>
    <d v="2026-01-12T00:00:00"/>
    <d v="2026-01-12T00:00:00"/>
    <x v="0"/>
    <n v="307"/>
    <n v="1459"/>
    <x v="2"/>
    <n v="1.5"/>
    <n v="1.05"/>
  </r>
  <r>
    <n v="33054"/>
    <s v="ORTIZ LOPEZ EDGAR ENRIQUE"/>
    <d v="2026-01-12T00:00:00"/>
    <d v="2026-01-12T00:00:00"/>
    <x v="1"/>
    <n v="307"/>
    <n v="1459"/>
    <x v="5"/>
    <n v="10"/>
    <n v="0.2"/>
  </r>
  <r>
    <n v="33055"/>
    <s v="YANGTSE-AUTO DEL ECUADOR S.A."/>
    <d v="2026-01-12T00:00:00"/>
    <d v="2026-01-12T00:00:00"/>
    <x v="0"/>
    <n v="312"/>
    <n v="521"/>
    <x v="0"/>
    <n v="31.07"/>
    <n v="9.32"/>
  </r>
  <r>
    <n v="33055"/>
    <s v="YANGTSE-AUTO DEL ECUADOR S.A."/>
    <d v="2026-01-12T00:00:00"/>
    <d v="2026-01-12T00:00:00"/>
    <x v="1"/>
    <n v="312"/>
    <n v="521"/>
    <x v="1"/>
    <n v="207.11"/>
    <n v="3.62"/>
  </r>
  <r>
    <n v="33056"/>
    <s v="CORPORACION ECONOMICA DE LA SIERRA S.A."/>
    <d v="2026-01-12T00:00:00"/>
    <d v="2026-01-12T00:00:00"/>
    <x v="0"/>
    <n v="312"/>
    <n v="35294"/>
    <x v="0"/>
    <n v="50.09"/>
    <n v="15.03"/>
  </r>
  <r>
    <n v="33056"/>
    <s v="CORPORACION ECONOMICA DE LA SIERRA S.A."/>
    <d v="2026-01-12T00:00:00"/>
    <d v="2026-01-12T00:00:00"/>
    <x v="1"/>
    <n v="312"/>
    <n v="35294"/>
    <x v="1"/>
    <n v="333.91"/>
    <n v="5.84"/>
  </r>
  <r>
    <n v="33057"/>
    <s v="NOBOA CABRERA GALO HERNAN"/>
    <d v="2026-01-12T00:00:00"/>
    <d v="2026-01-12T00:00:00"/>
    <x v="1"/>
    <n v="343"/>
    <n v="706"/>
    <x v="7"/>
    <n v="15"/>
    <n v="0.15"/>
  </r>
  <r>
    <n v="33057"/>
    <s v="NOBOA CABRERA GALO HERNAN"/>
    <d v="2026-01-12T00:00:00"/>
    <d v="2026-01-12T00:00:00"/>
    <x v="0"/>
    <n v="343"/>
    <n v="706"/>
    <x v="2"/>
    <n v="2.25"/>
    <n v="1.58"/>
  </r>
  <r>
    <n v="33058"/>
    <s v="CERON CORDOVA JUAN SEBASTIAN"/>
    <d v="2026-01-12T00:00:00"/>
    <d v="2026-01-12T00:00:00"/>
    <x v="1"/>
    <n v="332"/>
    <n v="1726"/>
    <x v="6"/>
    <n v="7"/>
    <n v="0"/>
  </r>
  <r>
    <n v="33059"/>
    <s v="ORTIZ LOPEZ EDGAR ENRIQUE"/>
    <d v="2026-01-12T00:00:00"/>
    <d v="2026-01-12T00:00:00"/>
    <x v="1"/>
    <n v="307"/>
    <n v="1452"/>
    <x v="5"/>
    <n v="10"/>
    <n v="0.2"/>
  </r>
  <r>
    <n v="33059"/>
    <s v="ORTIZ LOPEZ EDGAR ENRIQUE"/>
    <d v="2026-01-12T00:00:00"/>
    <d v="2026-01-12T00:00:00"/>
    <x v="0"/>
    <n v="307"/>
    <n v="1452"/>
    <x v="2"/>
    <n v="1.5"/>
    <n v="1.05"/>
  </r>
  <r>
    <n v="33060"/>
    <s v="ORTIZ LOPEZ EDGAR ENRIQUE"/>
    <d v="2026-01-12T00:00:00"/>
    <d v="2026-01-12T00:00:00"/>
    <x v="0"/>
    <n v="307"/>
    <n v="1458"/>
    <x v="2"/>
    <n v="1.5"/>
    <n v="1.05"/>
  </r>
  <r>
    <n v="33060"/>
    <s v="ORTIZ LOPEZ EDGAR ENRIQUE"/>
    <d v="2026-01-12T00:00:00"/>
    <d v="2026-01-12T00:00:00"/>
    <x v="1"/>
    <n v="307"/>
    <n v="1458"/>
    <x v="5"/>
    <n v="10"/>
    <n v="0.2"/>
  </r>
  <r>
    <n v="33061"/>
    <s v="NOBOA CABRERA GALO HERNAN"/>
    <d v="2026-01-13T00:00:00"/>
    <d v="2026-01-13T00:00:00"/>
    <x v="1"/>
    <n v="343"/>
    <n v="716"/>
    <x v="7"/>
    <n v="15"/>
    <n v="0.15"/>
  </r>
  <r>
    <n v="33061"/>
    <s v="NOBOA CABRERA GALO HERNAN"/>
    <d v="2026-01-13T00:00:00"/>
    <d v="2026-01-13T00:00:00"/>
    <x v="0"/>
    <n v="343"/>
    <n v="716"/>
    <x v="2"/>
    <n v="2.25"/>
    <n v="1.58"/>
  </r>
  <r>
    <n v="33062"/>
    <s v="ORTIZ LOPEZ EDGAR ENRIQUE"/>
    <d v="2026-01-13T00:00:00"/>
    <d v="2026-01-13T00:00:00"/>
    <x v="1"/>
    <n v="307"/>
    <n v="1463"/>
    <x v="5"/>
    <n v="6"/>
    <n v="0.12"/>
  </r>
  <r>
    <n v="33062"/>
    <s v="ORTIZ LOPEZ EDGAR ENRIQUE"/>
    <d v="2026-01-13T00:00:00"/>
    <d v="2026-01-13T00:00:00"/>
    <x v="0"/>
    <n v="307"/>
    <n v="1463"/>
    <x v="2"/>
    <n v="0.9"/>
    <n v="0.63"/>
  </r>
  <r>
    <n v="33063"/>
    <s v="SOLIS SOLIS MARCO VINICIO"/>
    <d v="2026-01-13T00:00:00"/>
    <d v="2026-01-13T00:00:00"/>
    <x v="1"/>
    <n v="312"/>
    <n v="2759"/>
    <x v="1"/>
    <n v="1488.48"/>
    <n v="26.05"/>
  </r>
  <r>
    <n v="33063"/>
    <s v="SOLIS SOLIS MARCO VINICIO"/>
    <d v="2026-01-13T00:00:00"/>
    <d v="2026-01-13T00:00:00"/>
    <x v="0"/>
    <n v="312"/>
    <n v="2759"/>
    <x v="0"/>
    <n v="223.27"/>
    <n v="66.98"/>
  </r>
  <r>
    <n v="33064"/>
    <s v="CRIOLLO ANALUISA GEOVANNY EFRAIN"/>
    <d v="2026-01-13T00:00:00"/>
    <d v="2026-01-13T00:00:00"/>
    <x v="1"/>
    <n v="332"/>
    <n v="1227"/>
    <x v="6"/>
    <n v="56"/>
    <n v="0"/>
  </r>
  <r>
    <n v="33065"/>
    <s v="CERON CORDOVA JUAN SEBASTIAN"/>
    <d v="2026-01-13T00:00:00"/>
    <d v="2026-01-13T00:00:00"/>
    <x v="1"/>
    <n v="332"/>
    <n v="1727"/>
    <x v="6"/>
    <n v="8"/>
    <n v="0"/>
  </r>
  <r>
    <n v="33066"/>
    <s v="CRIOLLO ANALUISA GEOVANNY EFRAIN"/>
    <d v="2026-01-13T00:00:00"/>
    <d v="2026-01-13T00:00:00"/>
    <x v="1"/>
    <n v="332"/>
    <n v="1225"/>
    <x v="6"/>
    <n v="20"/>
    <n v="0"/>
  </r>
  <r>
    <n v="33067"/>
    <s v="CRIOLLO ANALUISA GEOVANNY EFRAIN"/>
    <d v="2026-01-13T00:00:00"/>
    <d v="2026-01-13T00:00:00"/>
    <x v="1"/>
    <n v="332"/>
    <n v="1224"/>
    <x v="6"/>
    <n v="6"/>
    <n v="0"/>
  </r>
  <r>
    <n v="33068"/>
    <s v="CRIOLLO ANALUISA GEOVANNY EFRAIN"/>
    <d v="2026-01-13T00:00:00"/>
    <d v="2026-01-13T00:00:00"/>
    <x v="1"/>
    <n v="332"/>
    <n v="1226"/>
    <x v="6"/>
    <n v="20"/>
    <n v="0"/>
  </r>
  <r>
    <n v="33069"/>
    <s v="CERON CORDOVA JUAN SEBASTIAN"/>
    <d v="2026-01-13T00:00:00"/>
    <d v="2026-01-13T00:00:00"/>
    <x v="1"/>
    <n v="332"/>
    <n v="1728"/>
    <x v="6"/>
    <n v="18"/>
    <n v="0"/>
  </r>
  <r>
    <n v="33070"/>
    <s v="NOBOA CABRERA GALO HERNAN"/>
    <d v="2026-01-13T00:00:00"/>
    <d v="2026-01-13T00:00:00"/>
    <x v="1"/>
    <n v="343"/>
    <n v="715"/>
    <x v="7"/>
    <n v="20"/>
    <n v="0.2"/>
  </r>
  <r>
    <n v="33070"/>
    <s v="NOBOA CABRERA GALO HERNAN"/>
    <d v="2026-01-13T00:00:00"/>
    <d v="2026-01-13T00:00:00"/>
    <x v="0"/>
    <n v="343"/>
    <n v="715"/>
    <x v="2"/>
    <n v="3"/>
    <n v="2.1"/>
  </r>
  <r>
    <n v="33071"/>
    <s v="PULLUQUINGA LASLUISA JORGE LUIS"/>
    <d v="2026-01-13T00:00:00"/>
    <d v="2026-01-13T00:00:00"/>
    <x v="1"/>
    <n v="312"/>
    <n v="1049"/>
    <x v="1"/>
    <n v="40"/>
    <n v="0.7"/>
  </r>
  <r>
    <n v="33071"/>
    <s v="PULLUQUINGA LASLUISA JORGE LUIS"/>
    <d v="2026-01-13T00:00:00"/>
    <d v="2026-01-13T00:00:00"/>
    <x v="0"/>
    <n v="312"/>
    <n v="1049"/>
    <x v="0"/>
    <n v="6"/>
    <n v="1.8"/>
  </r>
  <r>
    <n v="33072"/>
    <s v="ORTIZ LOPEZ EDGAR ENRIQUE"/>
    <d v="2026-01-13T00:00:00"/>
    <d v="2026-01-13T00:00:00"/>
    <x v="0"/>
    <n v="307"/>
    <n v="1465"/>
    <x v="2"/>
    <n v="1.5"/>
    <n v="1.05"/>
  </r>
  <r>
    <n v="33072"/>
    <s v="ORTIZ LOPEZ EDGAR ENRIQUE"/>
    <d v="2026-01-13T00:00:00"/>
    <d v="2026-01-13T00:00:00"/>
    <x v="1"/>
    <n v="307"/>
    <n v="1465"/>
    <x v="5"/>
    <n v="10"/>
    <n v="0.2"/>
  </r>
  <r>
    <n v="33073"/>
    <s v="CERON CORDOVA JUAN SEBASTIAN"/>
    <d v="2026-01-13T00:00:00"/>
    <d v="2026-01-13T00:00:00"/>
    <x v="1"/>
    <n v="332"/>
    <n v="1729"/>
    <x v="6"/>
    <n v="8"/>
    <n v="0"/>
  </r>
  <r>
    <n v="33074"/>
    <s v="ALLAS BONILLA HECTOR RUBEN"/>
    <d v="2026-01-14T00:00:00"/>
    <d v="2026-01-14T00:00:00"/>
    <x v="1"/>
    <n v="332"/>
    <n v="312"/>
    <x v="6"/>
    <n v="45"/>
    <n v="0"/>
  </r>
  <r>
    <n v="33075"/>
    <s v="NOBOA CABRERA GALO HERNAN"/>
    <d v="2026-01-14T00:00:00"/>
    <d v="2026-01-14T00:00:00"/>
    <x v="1"/>
    <n v="343"/>
    <n v="722"/>
    <x v="7"/>
    <n v="10"/>
    <n v="0.1"/>
  </r>
  <r>
    <n v="33075"/>
    <s v="NOBOA CABRERA GALO HERNAN"/>
    <d v="2026-01-14T00:00:00"/>
    <d v="2026-01-14T00:00:00"/>
    <x v="0"/>
    <n v="343"/>
    <n v="722"/>
    <x v="2"/>
    <n v="1.5"/>
    <n v="1.05"/>
  </r>
  <r>
    <n v="33076"/>
    <s v="CRIOLLO ANALUISA GEOVANNY EFRAIN"/>
    <d v="2026-01-14T00:00:00"/>
    <d v="2026-01-14T00:00:00"/>
    <x v="1"/>
    <n v="332"/>
    <n v="1230"/>
    <x v="6"/>
    <n v="6"/>
    <n v="0"/>
  </r>
  <r>
    <n v="33077"/>
    <s v="CRIOLLO ANALUISA GEOVANNY EFRAIN"/>
    <d v="2026-01-14T00:00:00"/>
    <d v="2026-01-14T00:00:00"/>
    <x v="1"/>
    <n v="332"/>
    <n v="1231"/>
    <x v="6"/>
    <n v="20"/>
    <n v="0"/>
  </r>
  <r>
    <n v="33078"/>
    <s v="YANGTSE-AUTO DEL ECUADOR S.A."/>
    <d v="2026-01-14T00:00:00"/>
    <d v="2026-01-14T00:00:00"/>
    <x v="0"/>
    <n v="312"/>
    <n v="523"/>
    <x v="0"/>
    <n v="30.18"/>
    <n v="9.0500000000000007"/>
  </r>
  <r>
    <n v="33078"/>
    <s v="YANGTSE-AUTO DEL ECUADOR S.A."/>
    <d v="2026-01-14T00:00:00"/>
    <d v="2026-01-14T00:00:00"/>
    <x v="1"/>
    <n v="312"/>
    <n v="523"/>
    <x v="1"/>
    <n v="201.17"/>
    <n v="3.52"/>
  </r>
  <r>
    <n v="33079"/>
    <s v="CERON CORDOVA JUAN SEBASTIAN"/>
    <d v="2026-01-14T00:00:00"/>
    <d v="2026-01-14T00:00:00"/>
    <x v="1"/>
    <n v="332"/>
    <n v="1732"/>
    <x v="6"/>
    <n v="33"/>
    <n v="0"/>
  </r>
  <r>
    <n v="33080"/>
    <s v="CERON CORDOVA JUAN SEBASTIAN"/>
    <d v="2026-01-14T00:00:00"/>
    <d v="2026-01-14T00:00:00"/>
    <x v="1"/>
    <n v="332"/>
    <n v="1730"/>
    <x v="6"/>
    <n v="8"/>
    <n v="0"/>
  </r>
  <r>
    <n v="33081"/>
    <s v="ORTIZ LOPEZ EDGAR ENRIQUE"/>
    <d v="2026-01-14T00:00:00"/>
    <d v="2026-01-14T00:00:00"/>
    <x v="1"/>
    <n v="307"/>
    <n v="1469"/>
    <x v="5"/>
    <n v="6"/>
    <n v="0.12"/>
  </r>
  <r>
    <n v="33081"/>
    <s v="ORTIZ LOPEZ EDGAR ENRIQUE"/>
    <d v="2026-01-14T00:00:00"/>
    <d v="2026-01-14T00:00:00"/>
    <x v="0"/>
    <n v="307"/>
    <n v="1469"/>
    <x v="2"/>
    <n v="0.9"/>
    <n v="0.63"/>
  </r>
  <r>
    <n v="33082"/>
    <s v="CUNALATA VILLACIS HOLGER RAMIRO"/>
    <d v="2026-01-14T00:00:00"/>
    <d v="2026-01-14T00:00:00"/>
    <x v="1"/>
    <n v="312"/>
    <n v="1347"/>
    <x v="1"/>
    <n v="95"/>
    <n v="1.66"/>
  </r>
  <r>
    <n v="33082"/>
    <s v="CUNALATA VILLACIS HOLGER RAMIRO"/>
    <d v="2026-01-14T00:00:00"/>
    <d v="2026-01-14T00:00:00"/>
    <x v="0"/>
    <n v="312"/>
    <n v="1347"/>
    <x v="0"/>
    <n v="14.25"/>
    <n v="4.28"/>
  </r>
  <r>
    <n v="33083"/>
    <s v="ORTIZ LOPEZ EDGAR ENRIQUE"/>
    <d v="2026-01-14T00:00:00"/>
    <d v="2026-01-14T00:00:00"/>
    <x v="1"/>
    <n v="307"/>
    <n v="1468"/>
    <x v="5"/>
    <n v="6"/>
    <n v="0.12"/>
  </r>
  <r>
    <n v="33083"/>
    <s v="ORTIZ LOPEZ EDGAR ENRIQUE"/>
    <d v="2026-01-14T00:00:00"/>
    <d v="2026-01-14T00:00:00"/>
    <x v="0"/>
    <n v="307"/>
    <n v="1468"/>
    <x v="2"/>
    <n v="0.9"/>
    <n v="0.63"/>
  </r>
  <r>
    <n v="33084"/>
    <s v="YANGTSE-AUTO DEL ECUADOR S.A."/>
    <d v="2026-01-14T00:00:00"/>
    <d v="2026-01-14T00:00:00"/>
    <x v="0"/>
    <n v="312"/>
    <n v="528"/>
    <x v="0"/>
    <n v="15.31"/>
    <n v="4.59"/>
  </r>
  <r>
    <n v="33084"/>
    <s v="YANGTSE-AUTO DEL ECUADOR S.A."/>
    <d v="2026-01-14T00:00:00"/>
    <d v="2026-01-14T00:00:00"/>
    <x v="1"/>
    <n v="312"/>
    <n v="528"/>
    <x v="1"/>
    <n v="102.06"/>
    <n v="1.79"/>
  </r>
  <r>
    <n v="33085"/>
    <s v="CERON CORDOVA JUAN SEBASTIAN"/>
    <d v="2026-01-14T00:00:00"/>
    <d v="2026-01-14T00:00:00"/>
    <x v="1"/>
    <n v="332"/>
    <n v="1733"/>
    <x v="6"/>
    <n v="8"/>
    <n v="0"/>
  </r>
  <r>
    <n v="33086"/>
    <s v="CRIOLLO ANALUISA GEOVANNY EFRAIN"/>
    <d v="2026-01-14T00:00:00"/>
    <d v="2026-01-14T00:00:00"/>
    <x v="1"/>
    <n v="332"/>
    <n v="1229"/>
    <x v="6"/>
    <n v="20"/>
    <n v="0"/>
  </r>
  <r>
    <n v="33087"/>
    <s v="CRIOLLO ANALUISA GEOVANNY EFRAIN"/>
    <d v="2026-01-14T00:00:00"/>
    <d v="2026-01-14T00:00:00"/>
    <x v="1"/>
    <n v="332"/>
    <n v="1232"/>
    <x v="6"/>
    <n v="20"/>
    <n v="0"/>
  </r>
  <r>
    <n v="33088"/>
    <s v="ORTIZ LOPEZ EDGAR ENRIQUE"/>
    <d v="2026-01-14T00:00:00"/>
    <d v="2026-01-14T00:00:00"/>
    <x v="0"/>
    <n v="307"/>
    <n v="1471"/>
    <x v="2"/>
    <n v="10.5"/>
    <n v="7.35"/>
  </r>
  <r>
    <n v="33088"/>
    <s v="ORTIZ LOPEZ EDGAR ENRIQUE"/>
    <d v="2026-01-14T00:00:00"/>
    <d v="2026-01-14T00:00:00"/>
    <x v="1"/>
    <n v="307"/>
    <n v="1471"/>
    <x v="5"/>
    <n v="70"/>
    <n v="1.4"/>
  </r>
  <r>
    <n v="33089"/>
    <s v="NOBOA CABRERA GALO HERNAN"/>
    <d v="2026-01-14T00:00:00"/>
    <d v="2026-01-14T00:00:00"/>
    <x v="0"/>
    <n v="343"/>
    <n v="721"/>
    <x v="2"/>
    <n v="3"/>
    <n v="2.1"/>
  </r>
  <r>
    <n v="33089"/>
    <s v="NOBOA CABRERA GALO HERNAN"/>
    <d v="2026-01-14T00:00:00"/>
    <d v="2026-01-14T00:00:00"/>
    <x v="1"/>
    <n v="343"/>
    <n v="721"/>
    <x v="7"/>
    <n v="20"/>
    <n v="0.2"/>
  </r>
  <r>
    <n v="33090"/>
    <s v="CRIOLLO ANALUISA GEOVANNY EFRAIN"/>
    <d v="2026-01-14T00:00:00"/>
    <d v="2026-01-14T00:00:00"/>
    <x v="1"/>
    <n v="332"/>
    <n v="1234"/>
    <x v="6"/>
    <n v="11"/>
    <n v="0"/>
  </r>
  <r>
    <n v="33091"/>
    <s v="NUNEZ NUNEZ OSCAR VINICIO"/>
    <d v="2026-01-14T00:00:00"/>
    <d v="2026-01-08T00:00:00"/>
    <x v="1"/>
    <n v="312"/>
    <n v="267"/>
    <x v="1"/>
    <n v="1886.74"/>
    <n v="33.020000000000003"/>
  </r>
  <r>
    <n v="33091"/>
    <s v="NUNEZ NUNEZ OSCAR VINICIO"/>
    <d v="2026-01-14T00:00:00"/>
    <d v="2026-01-08T00:00:00"/>
    <x v="0"/>
    <n v="312"/>
    <n v="267"/>
    <x v="0"/>
    <n v="283.01"/>
    <n v="84.9"/>
  </r>
  <r>
    <n v="33092"/>
    <s v="CUNALATA VILLACIS HOLGER RAMIRO"/>
    <d v="2026-01-14T00:00:00"/>
    <d v="2026-01-14T00:00:00"/>
    <x v="1"/>
    <n v="312"/>
    <n v="1345"/>
    <x v="1"/>
    <n v="180.5"/>
    <n v="3.16"/>
  </r>
  <r>
    <n v="33092"/>
    <s v="CUNALATA VILLACIS HOLGER RAMIRO"/>
    <d v="2026-01-14T00:00:00"/>
    <d v="2026-01-14T00:00:00"/>
    <x v="0"/>
    <n v="312"/>
    <n v="1345"/>
    <x v="0"/>
    <n v="27.08"/>
    <n v="8.1199999999999992"/>
  </r>
  <r>
    <n v="33093"/>
    <s v="CUNALATA VILLACIS HOLGER RAMIRO"/>
    <d v="2026-01-14T00:00:00"/>
    <d v="2026-01-14T00:00:00"/>
    <x v="1"/>
    <n v="307"/>
    <n v="1344"/>
    <x v="5"/>
    <n v="120.9"/>
    <n v="2.42"/>
  </r>
  <r>
    <n v="33093"/>
    <s v="CUNALATA VILLACIS HOLGER RAMIRO"/>
    <d v="2026-01-14T00:00:00"/>
    <d v="2026-01-14T00:00:00"/>
    <x v="0"/>
    <n v="307"/>
    <n v="1344"/>
    <x v="2"/>
    <n v="18.14"/>
    <n v="12.7"/>
  </r>
  <r>
    <n v="33094"/>
    <s v="QUISINTUNA MASABANDA MARCO ROBALINO"/>
    <d v="2026-01-14T00:00:00"/>
    <d v="2026-01-14T00:00:00"/>
    <x v="0"/>
    <n v="312"/>
    <n v="386"/>
    <x v="0"/>
    <n v="115.75"/>
    <n v="34.729999999999997"/>
  </r>
  <r>
    <n v="33094"/>
    <s v="QUISINTUNA MASABANDA MARCO ROBALINO"/>
    <d v="2026-01-14T00:00:00"/>
    <d v="2026-01-14T00:00:00"/>
    <x v="1"/>
    <n v="312"/>
    <n v="386"/>
    <x v="1"/>
    <n v="771.68"/>
    <n v="13.5"/>
  </r>
  <r>
    <n v="33095"/>
    <s v="ORTIZ LOPEZ EDGAR ENRIQUE"/>
    <d v="2026-01-14T00:00:00"/>
    <d v="2026-01-14T00:00:00"/>
    <x v="1"/>
    <n v="307"/>
    <n v="1470"/>
    <x v="5"/>
    <n v="10"/>
    <n v="0.2"/>
  </r>
  <r>
    <n v="33095"/>
    <s v="ORTIZ LOPEZ EDGAR ENRIQUE"/>
    <d v="2026-01-14T00:00:00"/>
    <d v="2026-01-14T00:00:00"/>
    <x v="0"/>
    <n v="307"/>
    <n v="1470"/>
    <x v="2"/>
    <n v="1.5"/>
    <n v="1.05"/>
  </r>
  <r>
    <n v="33096"/>
    <s v="CUNALATA VILLACIS HOLGER RAMIRO"/>
    <d v="2026-01-14T00:00:00"/>
    <d v="2026-01-14T00:00:00"/>
    <x v="0"/>
    <n v="307"/>
    <n v="1346"/>
    <x v="2"/>
    <n v="10.3"/>
    <n v="7.21"/>
  </r>
  <r>
    <n v="33096"/>
    <s v="CUNALATA VILLACIS HOLGER RAMIRO"/>
    <d v="2026-01-14T00:00:00"/>
    <d v="2026-01-14T00:00:00"/>
    <x v="1"/>
    <n v="307"/>
    <n v="1346"/>
    <x v="5"/>
    <n v="68.64"/>
    <n v="1.37"/>
  </r>
  <r>
    <n v="33097"/>
    <s v="BEDON VACA JOSE LUIS"/>
    <d v="2026-01-15T00:00:00"/>
    <d v="2026-01-14T00:00:00"/>
    <x v="1"/>
    <n v="307"/>
    <n v="163"/>
    <x v="5"/>
    <n v="64.02"/>
    <n v="1.28"/>
  </r>
  <r>
    <n v="33097"/>
    <s v="BEDON VACA JOSE LUIS"/>
    <d v="2026-01-15T00:00:00"/>
    <d v="2026-01-14T00:00:00"/>
    <x v="0"/>
    <n v="307"/>
    <n v="163"/>
    <x v="2"/>
    <n v="9.6"/>
    <n v="6.72"/>
  </r>
  <r>
    <n v="33098"/>
    <s v="YANGTSE-AUTO DEL ECUADOR S.A."/>
    <d v="2026-01-15T00:00:00"/>
    <d v="2026-01-15T00:00:00"/>
    <x v="0"/>
    <n v="312"/>
    <n v="535"/>
    <x v="0"/>
    <n v="1.61"/>
    <n v="0.48"/>
  </r>
  <r>
    <n v="33098"/>
    <s v="YANGTSE-AUTO DEL ECUADOR S.A."/>
    <d v="2026-01-15T00:00:00"/>
    <d v="2026-01-15T00:00:00"/>
    <x v="1"/>
    <n v="312"/>
    <n v="535"/>
    <x v="1"/>
    <n v="10.76"/>
    <n v="0.19"/>
  </r>
  <r>
    <n v="33099"/>
    <s v="VARGAS TORRES WALTTER DARIO"/>
    <d v="2026-01-15T00:00:00"/>
    <d v="2026-01-15T00:00:00"/>
    <x v="1"/>
    <n v="312"/>
    <n v="31613"/>
    <x v="1"/>
    <n v="2685.04"/>
    <n v="46.99"/>
  </r>
  <r>
    <n v="33099"/>
    <s v="VARGAS TORRES WALTTER DARIO"/>
    <d v="2026-01-15T00:00:00"/>
    <d v="2026-01-15T00:00:00"/>
    <x v="0"/>
    <n v="312"/>
    <n v="31613"/>
    <x v="0"/>
    <n v="402.76"/>
    <n v="120.83"/>
  </r>
  <r>
    <n v="33100"/>
    <s v="BEDON VACA JOSE LUIS"/>
    <d v="2026-01-15T00:00:00"/>
    <d v="2026-01-14T00:00:00"/>
    <x v="0"/>
    <n v="307"/>
    <n v="165"/>
    <x v="2"/>
    <n v="6.25"/>
    <n v="4.38"/>
  </r>
  <r>
    <n v="33100"/>
    <s v="BEDON VACA JOSE LUIS"/>
    <d v="2026-01-15T00:00:00"/>
    <d v="2026-01-14T00:00:00"/>
    <x v="1"/>
    <n v="307"/>
    <n v="165"/>
    <x v="5"/>
    <n v="41.64"/>
    <n v="0.83"/>
  </r>
  <r>
    <n v="33101"/>
    <s v="BEDON VACA JOSE LUIS"/>
    <d v="2026-01-15T00:00:00"/>
    <d v="2026-01-14T00:00:00"/>
    <x v="1"/>
    <n v="307"/>
    <n v="164"/>
    <x v="5"/>
    <n v="81.540000000000006"/>
    <n v="1.63"/>
  </r>
  <r>
    <n v="33101"/>
    <s v="BEDON VACA JOSE LUIS"/>
    <d v="2026-01-15T00:00:00"/>
    <d v="2026-01-14T00:00:00"/>
    <x v="0"/>
    <n v="307"/>
    <n v="164"/>
    <x v="2"/>
    <n v="12.23"/>
    <n v="8.56"/>
  </r>
  <r>
    <n v="33102"/>
    <s v="CUNALATA VILLACIS HOLGER RAMIRO"/>
    <d v="2026-01-15T00:00:00"/>
    <d v="2026-01-14T00:00:00"/>
    <x v="0"/>
    <n v="307"/>
    <n v="1348"/>
    <x v="2"/>
    <n v="8.19"/>
    <n v="5.73"/>
  </r>
  <r>
    <n v="33102"/>
    <s v="CUNALATA VILLACIS HOLGER RAMIRO"/>
    <d v="2026-01-15T00:00:00"/>
    <d v="2026-01-14T00:00:00"/>
    <x v="1"/>
    <n v="307"/>
    <n v="1348"/>
    <x v="5"/>
    <n v="54.6"/>
    <n v="1.0900000000000001"/>
  </r>
  <r>
    <n v="33103"/>
    <s v="GONZALEZ VEGA EL MOTOR CIA LTDA"/>
    <d v="2026-01-15T00:00:00"/>
    <d v="2026-01-15T00:00:00"/>
    <x v="1"/>
    <n v="312"/>
    <n v="62991"/>
    <x v="1"/>
    <n v="86.33"/>
    <n v="1.51"/>
  </r>
  <r>
    <n v="33103"/>
    <s v="GONZALEZ VEGA EL MOTOR CIA LTDA"/>
    <d v="2026-01-15T00:00:00"/>
    <d v="2026-01-15T00:00:00"/>
    <x v="0"/>
    <n v="312"/>
    <n v="62991"/>
    <x v="0"/>
    <n v="12.95"/>
    <n v="3.89"/>
  </r>
  <r>
    <n v="33104"/>
    <s v="CUNALATA VILLACIS HOLGER RAMIRO"/>
    <d v="2026-01-15T00:00:00"/>
    <d v="2026-01-14T00:00:00"/>
    <x v="0"/>
    <n v="312"/>
    <n v="1349"/>
    <x v="0"/>
    <n v="6.41"/>
    <n v="1.92"/>
  </r>
  <r>
    <n v="33104"/>
    <s v="CUNALATA VILLACIS HOLGER RAMIRO"/>
    <d v="2026-01-15T00:00:00"/>
    <d v="2026-01-14T00:00:00"/>
    <x v="1"/>
    <n v="312"/>
    <n v="1349"/>
    <x v="1"/>
    <n v="42.75"/>
    <n v="0.75"/>
  </r>
  <r>
    <n v="33105"/>
    <s v="PAEZ ORTIZ CHRISTIAN GONZALO"/>
    <d v="2026-01-15T00:00:00"/>
    <d v="2026-01-14T00:00:00"/>
    <x v="0"/>
    <n v="312"/>
    <n v="3567"/>
    <x v="0"/>
    <n v="13.5"/>
    <n v="4.05"/>
  </r>
  <r>
    <n v="33105"/>
    <s v="PAEZ ORTIZ CHRISTIAN GONZALO"/>
    <d v="2026-01-15T00:00:00"/>
    <d v="2026-01-14T00:00:00"/>
    <x v="1"/>
    <n v="312"/>
    <n v="3567"/>
    <x v="1"/>
    <n v="90"/>
    <n v="1.58"/>
  </r>
  <r>
    <n v="33106"/>
    <s v="YANGTSE-AUTO DEL ECUADOR S.A."/>
    <d v="2026-01-15T00:00:00"/>
    <d v="2026-01-15T00:00:00"/>
    <x v="0"/>
    <n v="312"/>
    <n v="536"/>
    <x v="0"/>
    <n v="18.48"/>
    <n v="5.54"/>
  </r>
  <r>
    <n v="33106"/>
    <s v="YANGTSE-AUTO DEL ECUADOR S.A."/>
    <d v="2026-01-15T00:00:00"/>
    <d v="2026-01-15T00:00:00"/>
    <x v="1"/>
    <n v="312"/>
    <n v="536"/>
    <x v="1"/>
    <n v="123.19"/>
    <n v="2.16"/>
  </r>
  <r>
    <n v="33107"/>
    <s v="CAMARA DE COMERCIO DE AMBATO"/>
    <d v="2026-01-15T00:00:00"/>
    <d v="2026-01-14T00:00:00"/>
    <x v="0"/>
    <n v="344"/>
    <n v="20594"/>
    <x v="2"/>
    <n v="24.46"/>
    <n v="17.12"/>
  </r>
  <r>
    <n v="33108"/>
    <s v="CRIOLLO ANALUISA GEOVANNY EFRAIN"/>
    <d v="2026-01-15T00:00:00"/>
    <d v="2026-01-15T00:00:00"/>
    <x v="1"/>
    <n v="332"/>
    <n v="1238"/>
    <x v="6"/>
    <n v="22"/>
    <n v="0"/>
  </r>
  <r>
    <n v="33109"/>
    <s v="CRIOLLO ANALUISA GEOVANNY EFRAIN"/>
    <d v="2026-01-15T00:00:00"/>
    <d v="2026-01-15T00:00:00"/>
    <x v="1"/>
    <n v="332"/>
    <n v="1236"/>
    <x v="6"/>
    <n v="20"/>
    <n v="0"/>
  </r>
  <r>
    <n v="33110"/>
    <s v="CRIOLLO ANALUISA GEOVANNY EFRAIN"/>
    <d v="2026-01-15T00:00:00"/>
    <d v="2026-01-15T00:00:00"/>
    <x v="1"/>
    <n v="332"/>
    <n v="1240"/>
    <x v="6"/>
    <n v="11"/>
    <n v="0"/>
  </r>
  <r>
    <n v="33111"/>
    <s v="CRIOLLO ANALUISA GEOVANNY EFRAIN"/>
    <d v="2026-01-15T00:00:00"/>
    <d v="2026-01-15T00:00:00"/>
    <x v="1"/>
    <n v="332"/>
    <n v="1237"/>
    <x v="6"/>
    <n v="6"/>
    <n v="0"/>
  </r>
  <r>
    <n v="33112"/>
    <s v="ORTIZ LOPEZ EDGAR ENRIQUE"/>
    <d v="2026-01-15T00:00:00"/>
    <d v="2026-01-15T00:00:00"/>
    <x v="0"/>
    <n v="307"/>
    <n v="1474"/>
    <x v="2"/>
    <n v="0.9"/>
    <n v="0.63"/>
  </r>
  <r>
    <n v="33112"/>
    <s v="ORTIZ LOPEZ EDGAR ENRIQUE"/>
    <d v="2026-01-15T00:00:00"/>
    <d v="2026-01-15T00:00:00"/>
    <x v="1"/>
    <n v="307"/>
    <n v="1474"/>
    <x v="5"/>
    <n v="6"/>
    <n v="0.12"/>
  </r>
  <r>
    <n v="33113"/>
    <s v="AREVALO COLCHA CESAR AUGUSTO"/>
    <d v="2026-01-15T00:00:00"/>
    <d v="2026-01-15T00:00:00"/>
    <x v="1"/>
    <n v="307"/>
    <n v="2589"/>
    <x v="5"/>
    <n v="20.37"/>
    <n v="0.41"/>
  </r>
  <r>
    <n v="33113"/>
    <s v="AREVALO COLCHA CESAR AUGUSTO"/>
    <d v="2026-01-15T00:00:00"/>
    <d v="2026-01-15T00:00:00"/>
    <x v="0"/>
    <n v="307"/>
    <n v="2589"/>
    <x v="2"/>
    <n v="3.06"/>
    <n v="2.14"/>
  </r>
  <r>
    <n v="33114"/>
    <s v="CHAVEZ ZULA ZOILA"/>
    <d v="2026-01-15T00:00:00"/>
    <d v="2026-01-15T00:00:00"/>
    <x v="1"/>
    <n v="332"/>
    <n v="620"/>
    <x v="6"/>
    <n v="10"/>
    <n v="0"/>
  </r>
  <r>
    <n v="33115"/>
    <s v="CERON CORDOVA JUAN SEBASTIAN"/>
    <d v="2026-01-15T00:00:00"/>
    <d v="2026-01-15T00:00:00"/>
    <x v="1"/>
    <n v="332"/>
    <n v="1736"/>
    <x v="6"/>
    <n v="18"/>
    <n v="0"/>
  </r>
  <r>
    <n v="33116"/>
    <s v="ORTIZ LOPEZ EDGAR ENRIQUE"/>
    <d v="2026-01-15T00:00:00"/>
    <d v="2026-01-15T00:00:00"/>
    <x v="0"/>
    <n v="307"/>
    <n v="1472"/>
    <x v="2"/>
    <n v="1.5"/>
    <n v="1.05"/>
  </r>
  <r>
    <n v="33116"/>
    <s v="ORTIZ LOPEZ EDGAR ENRIQUE"/>
    <d v="2026-01-15T00:00:00"/>
    <d v="2026-01-15T00:00:00"/>
    <x v="1"/>
    <n v="307"/>
    <n v="1472"/>
    <x v="5"/>
    <n v="10"/>
    <n v="0.2"/>
  </r>
  <r>
    <n v="33117"/>
    <s v="ORTIZ LOPEZ EDGAR ENRIQUE"/>
    <d v="2026-01-15T00:00:00"/>
    <d v="2026-01-15T00:00:00"/>
    <x v="0"/>
    <n v="307"/>
    <n v="1473"/>
    <x v="2"/>
    <n v="1.5"/>
    <n v="1.05"/>
  </r>
  <r>
    <n v="33117"/>
    <s v="ORTIZ LOPEZ EDGAR ENRIQUE"/>
    <d v="2026-01-15T00:00:00"/>
    <d v="2026-01-15T00:00:00"/>
    <x v="1"/>
    <n v="307"/>
    <n v="1473"/>
    <x v="5"/>
    <n v="10"/>
    <n v="0.2"/>
  </r>
  <r>
    <n v="33118"/>
    <s v="CRIOLLO ANALUISA GEOVANNY EFRAIN"/>
    <d v="2026-01-15T00:00:00"/>
    <d v="2026-01-15T00:00:00"/>
    <x v="1"/>
    <n v="332"/>
    <n v="1239"/>
    <x v="6"/>
    <n v="15"/>
    <n v="0"/>
  </r>
  <r>
    <n v="33119"/>
    <s v="CRIOLLO ANALUISA GEOVANNY EFRAIN"/>
    <d v="2026-01-15T00:00:00"/>
    <d v="2026-01-15T00:00:00"/>
    <x v="1"/>
    <n v="332"/>
    <n v="1241"/>
    <x v="6"/>
    <n v="20"/>
    <n v="0"/>
  </r>
  <r>
    <n v="33120"/>
    <s v="CRIOLLO ANALUISA GEOVANNY EFRAIN"/>
    <d v="2026-01-16T00:00:00"/>
    <d v="2026-01-16T00:00:00"/>
    <x v="1"/>
    <n v="332"/>
    <n v="1244"/>
    <x v="6"/>
    <n v="6"/>
    <n v="0"/>
  </r>
  <r>
    <n v="33121"/>
    <s v="ORTIZ LOPEZ EDGAR ENRIQUE"/>
    <d v="2026-01-16T00:00:00"/>
    <d v="2026-01-16T00:00:00"/>
    <x v="0"/>
    <n v="307"/>
    <n v="1476"/>
    <x v="2"/>
    <n v="1.5"/>
    <n v="1.05"/>
  </r>
  <r>
    <n v="33121"/>
    <s v="ORTIZ LOPEZ EDGAR ENRIQUE"/>
    <d v="2026-01-16T00:00:00"/>
    <d v="2026-01-16T00:00:00"/>
    <x v="1"/>
    <n v="307"/>
    <n v="1476"/>
    <x v="5"/>
    <n v="10"/>
    <n v="0.2"/>
  </r>
  <r>
    <n v="33122"/>
    <s v="ORTIZ LOPEZ EDGAR ENRIQUE"/>
    <d v="2026-01-16T00:00:00"/>
    <d v="2026-01-16T00:00:00"/>
    <x v="0"/>
    <n v="307"/>
    <n v="1479"/>
    <x v="2"/>
    <n v="1.5"/>
    <n v="1.05"/>
  </r>
  <r>
    <n v="33122"/>
    <s v="ORTIZ LOPEZ EDGAR ENRIQUE"/>
    <d v="2026-01-16T00:00:00"/>
    <d v="2026-01-16T00:00:00"/>
    <x v="1"/>
    <n v="307"/>
    <n v="1479"/>
    <x v="5"/>
    <n v="10"/>
    <n v="0.2"/>
  </r>
  <r>
    <n v="33123"/>
    <s v="NOBOA CABRERA GALO HERNAN"/>
    <d v="2026-01-16T00:00:00"/>
    <d v="2026-01-16T00:00:00"/>
    <x v="0"/>
    <n v="343"/>
    <n v="732"/>
    <x v="2"/>
    <n v="1.5"/>
    <n v="1.05"/>
  </r>
  <r>
    <n v="33123"/>
    <s v="NOBOA CABRERA GALO HERNAN"/>
    <d v="2026-01-16T00:00:00"/>
    <d v="2026-01-16T00:00:00"/>
    <x v="1"/>
    <n v="343"/>
    <n v="732"/>
    <x v="7"/>
    <n v="10"/>
    <n v="0.1"/>
  </r>
  <r>
    <n v="33124"/>
    <s v="CRIOLLO ANALUISA GEOVANNY EFRAIN"/>
    <d v="2026-01-16T00:00:00"/>
    <d v="2026-01-16T00:00:00"/>
    <x v="1"/>
    <n v="332"/>
    <n v="1245"/>
    <x v="6"/>
    <n v="20"/>
    <n v="0"/>
  </r>
  <r>
    <n v="33125"/>
    <s v="ORTIZ LOPEZ EDGAR ENRIQUE"/>
    <d v="2026-01-16T00:00:00"/>
    <d v="2026-01-16T00:00:00"/>
    <x v="0"/>
    <n v="307"/>
    <n v="1478"/>
    <x v="2"/>
    <n v="1.5"/>
    <n v="1.05"/>
  </r>
  <r>
    <n v="33125"/>
    <s v="ORTIZ LOPEZ EDGAR ENRIQUE"/>
    <d v="2026-01-16T00:00:00"/>
    <d v="2026-01-16T00:00:00"/>
    <x v="1"/>
    <n v="307"/>
    <n v="1478"/>
    <x v="5"/>
    <n v="10"/>
    <n v="0.2"/>
  </r>
  <r>
    <n v="33126"/>
    <s v="CHAVEZ ZULA ZOILA"/>
    <d v="2026-01-16T00:00:00"/>
    <d v="2026-01-16T00:00:00"/>
    <x v="1"/>
    <n v="332"/>
    <n v="621"/>
    <x v="6"/>
    <n v="10"/>
    <n v="0"/>
  </r>
  <r>
    <n v="33127"/>
    <s v="VICUÑA ARAUJO MICHAEL JOSUE"/>
    <d v="2026-01-16T00:00:00"/>
    <d v="2026-01-16T00:00:00"/>
    <x v="1"/>
    <n v="332"/>
    <n v="140"/>
    <x v="6"/>
    <n v="160"/>
    <n v="0"/>
  </r>
  <r>
    <n v="33128"/>
    <s v="AREVALO COLCHA CESAR AUGUSTO"/>
    <d v="2026-01-16T00:00:00"/>
    <d v="2026-01-16T00:00:00"/>
    <x v="1"/>
    <n v="307"/>
    <n v="2595"/>
    <x v="5"/>
    <n v="17.87"/>
    <n v="0.36"/>
  </r>
  <r>
    <n v="33128"/>
    <s v="AREVALO COLCHA CESAR AUGUSTO"/>
    <d v="2026-01-16T00:00:00"/>
    <d v="2026-01-16T00:00:00"/>
    <x v="0"/>
    <n v="307"/>
    <n v="2595"/>
    <x v="2"/>
    <n v="2.68"/>
    <n v="1.88"/>
  </r>
  <r>
    <n v="33129"/>
    <s v="NOBOA CABRERA GALO HERNAN"/>
    <d v="2026-01-16T00:00:00"/>
    <d v="2026-01-16T00:00:00"/>
    <x v="1"/>
    <n v="343"/>
    <n v="731"/>
    <x v="7"/>
    <n v="20"/>
    <n v="0.2"/>
  </r>
  <r>
    <n v="33129"/>
    <s v="NOBOA CABRERA GALO HERNAN"/>
    <d v="2026-01-16T00:00:00"/>
    <d v="2026-01-16T00:00:00"/>
    <x v="0"/>
    <n v="343"/>
    <n v="731"/>
    <x v="2"/>
    <n v="3"/>
    <n v="2.1"/>
  </r>
  <r>
    <n v="33130"/>
    <s v="ORTIZ LOPEZ EDGAR ENRIQUE"/>
    <d v="2026-01-16T00:00:00"/>
    <d v="2026-01-16T00:00:00"/>
    <x v="1"/>
    <n v="307"/>
    <n v="1481"/>
    <x v="5"/>
    <n v="6"/>
    <n v="0.12"/>
  </r>
  <r>
    <n v="33130"/>
    <s v="ORTIZ LOPEZ EDGAR ENRIQUE"/>
    <d v="2026-01-16T00:00:00"/>
    <d v="2026-01-16T00:00:00"/>
    <x v="0"/>
    <n v="307"/>
    <n v="1481"/>
    <x v="2"/>
    <n v="0.9"/>
    <n v="0.63"/>
  </r>
  <r>
    <n v="33131"/>
    <s v="AREVALO COLCHA CESAR AUGUSTO"/>
    <d v="2026-01-16T00:00:00"/>
    <d v="2026-01-16T00:00:00"/>
    <x v="1"/>
    <n v="307"/>
    <n v="2599"/>
    <x v="5"/>
    <n v="17.87"/>
    <n v="0.36"/>
  </r>
  <r>
    <n v="33131"/>
    <s v="AREVALO COLCHA CESAR AUGUSTO"/>
    <d v="2026-01-16T00:00:00"/>
    <d v="2026-01-16T00:00:00"/>
    <x v="0"/>
    <n v="307"/>
    <n v="2599"/>
    <x v="2"/>
    <n v="2.68"/>
    <n v="1.88"/>
  </r>
  <r>
    <n v="33132"/>
    <s v="CERON CORDOVA JUAN SEBASTIAN"/>
    <d v="2026-01-16T00:00:00"/>
    <d v="2026-01-16T00:00:00"/>
    <x v="1"/>
    <n v="332"/>
    <n v="1741"/>
    <x v="6"/>
    <n v="28"/>
    <n v="0"/>
  </r>
  <r>
    <n v="33133"/>
    <s v="CERON CORDOVA JUAN SEBASTIAN"/>
    <d v="2026-01-16T00:00:00"/>
    <d v="2026-01-16T00:00:00"/>
    <x v="1"/>
    <n v="332"/>
    <n v="1742"/>
    <x v="6"/>
    <n v="18"/>
    <n v="0"/>
  </r>
  <r>
    <n v="33134"/>
    <s v="ORTIZ LOPEZ EDGAR ENRIQUE"/>
    <d v="2026-01-16T00:00:00"/>
    <d v="2026-01-16T00:00:00"/>
    <x v="0"/>
    <n v="307"/>
    <n v="1477"/>
    <x v="2"/>
    <n v="0.9"/>
    <n v="0.63"/>
  </r>
  <r>
    <n v="33134"/>
    <s v="ORTIZ LOPEZ EDGAR ENRIQUE"/>
    <d v="2026-01-16T00:00:00"/>
    <d v="2026-01-16T00:00:00"/>
    <x v="1"/>
    <n v="307"/>
    <n v="1477"/>
    <x v="5"/>
    <n v="6"/>
    <n v="0.12"/>
  </r>
  <r>
    <n v="33135"/>
    <s v="CERON CORDOVA JUAN SEBASTIAN"/>
    <d v="2026-01-16T00:00:00"/>
    <d v="2026-01-16T00:00:00"/>
    <x v="1"/>
    <n v="332"/>
    <n v="1740"/>
    <x v="6"/>
    <n v="40"/>
    <n v="0"/>
  </r>
  <r>
    <n v="33136"/>
    <s v="CERON CORDOVA JUAN SEBASTIAN"/>
    <d v="2026-01-16T00:00:00"/>
    <d v="2026-01-16T00:00:00"/>
    <x v="1"/>
    <n v="332"/>
    <n v="1743"/>
    <x v="6"/>
    <n v="18"/>
    <n v="0"/>
  </r>
  <r>
    <n v="33137"/>
    <s v="NOBOA CABRERA GALO HERNAN"/>
    <d v="2026-01-16T00:00:00"/>
    <d v="2026-01-16T00:00:00"/>
    <x v="1"/>
    <n v="343"/>
    <n v="727"/>
    <x v="7"/>
    <n v="20"/>
    <n v="0.2"/>
  </r>
  <r>
    <n v="33137"/>
    <s v="NOBOA CABRERA GALO HERNAN"/>
    <d v="2026-01-16T00:00:00"/>
    <d v="2026-01-16T00:00:00"/>
    <x v="0"/>
    <n v="343"/>
    <n v="727"/>
    <x v="2"/>
    <n v="3"/>
    <n v="2.1"/>
  </r>
  <r>
    <n v="33138"/>
    <s v="NOBOA CABRERA GALO HERNAN"/>
    <d v="2026-01-16T00:00:00"/>
    <d v="2026-01-16T00:00:00"/>
    <x v="0"/>
    <n v="343"/>
    <n v="728"/>
    <x v="2"/>
    <n v="1.5"/>
    <n v="1.05"/>
  </r>
  <r>
    <n v="33138"/>
    <s v="NOBOA CABRERA GALO HERNAN"/>
    <d v="2026-01-16T00:00:00"/>
    <d v="2026-01-16T00:00:00"/>
    <x v="1"/>
    <n v="343"/>
    <n v="728"/>
    <x v="7"/>
    <n v="10"/>
    <n v="0.1"/>
  </r>
  <r>
    <n v="33139"/>
    <s v="NOBOA CABRERA GALO HERNAN"/>
    <d v="2026-01-16T00:00:00"/>
    <d v="2026-01-16T00:00:00"/>
    <x v="1"/>
    <n v="343"/>
    <n v="729"/>
    <x v="7"/>
    <n v="20"/>
    <n v="0.2"/>
  </r>
  <r>
    <n v="33139"/>
    <s v="NOBOA CABRERA GALO HERNAN"/>
    <d v="2026-01-16T00:00:00"/>
    <d v="2026-01-16T00:00:00"/>
    <x v="0"/>
    <n v="343"/>
    <n v="729"/>
    <x v="2"/>
    <n v="3"/>
    <n v="2.1"/>
  </r>
  <r>
    <n v="33140"/>
    <s v="NOBOA CABRERA GALO HERNAN"/>
    <d v="2026-01-16T00:00:00"/>
    <d v="2026-01-16T00:00:00"/>
    <x v="1"/>
    <n v="343"/>
    <n v="730"/>
    <x v="7"/>
    <n v="10"/>
    <n v="0.1"/>
  </r>
  <r>
    <n v="33140"/>
    <s v="NOBOA CABRERA GALO HERNAN"/>
    <d v="2026-01-16T00:00:00"/>
    <d v="2026-01-16T00:00:00"/>
    <x v="0"/>
    <n v="343"/>
    <n v="730"/>
    <x v="2"/>
    <n v="1.5"/>
    <n v="1.05"/>
  </r>
  <r>
    <n v="33141"/>
    <s v="CRIOLLO ANALUISA GEOVANNY EFRAIN"/>
    <d v="2026-01-16T00:00:00"/>
    <d v="2026-01-16T00:00:00"/>
    <x v="1"/>
    <n v="332"/>
    <n v="1243"/>
    <x v="6"/>
    <n v="20"/>
    <n v="0"/>
  </r>
  <r>
    <n v="33142"/>
    <s v="AREVALO COLCHA CESAR AUGUSTO"/>
    <d v="2026-01-16T00:00:00"/>
    <d v="2026-01-16T00:00:00"/>
    <x v="1"/>
    <n v="307"/>
    <n v="2597"/>
    <x v="5"/>
    <n v="17.87"/>
    <n v="0.36"/>
  </r>
  <r>
    <n v="33142"/>
    <s v="AREVALO COLCHA CESAR AUGUSTO"/>
    <d v="2026-01-16T00:00:00"/>
    <d v="2026-01-16T00:00:00"/>
    <x v="0"/>
    <n v="307"/>
    <n v="2597"/>
    <x v="2"/>
    <n v="2.68"/>
    <n v="1.88"/>
  </r>
  <r>
    <n v="33143"/>
    <s v="CARLARSERVICE CIA. LTDA"/>
    <d v="2026-01-17T00:00:00"/>
    <d v="2026-01-16T00:00:00"/>
    <x v="0"/>
    <n v="303"/>
    <n v="441"/>
    <x v="2"/>
    <n v="23.07"/>
    <n v="16.149999999999999"/>
  </r>
  <r>
    <n v="33143"/>
    <s v="CARLARSERVICE CIA. LTDA"/>
    <d v="2026-01-17T00:00:00"/>
    <d v="2026-01-16T00:00:00"/>
    <x v="1"/>
    <n v="303"/>
    <n v="441"/>
    <x v="4"/>
    <n v="153.80000000000001"/>
    <n v="4.6100000000000003"/>
  </r>
  <r>
    <n v="33144"/>
    <s v="CARLARSERVICE CIA. LTDA"/>
    <d v="2026-01-17T00:00:00"/>
    <d v="2026-01-16T00:00:00"/>
    <x v="0"/>
    <n v="303"/>
    <n v="445"/>
    <x v="2"/>
    <n v="35.53"/>
    <n v="24.87"/>
  </r>
  <r>
    <n v="33144"/>
    <s v="CARLARSERVICE CIA. LTDA"/>
    <d v="2026-01-17T00:00:00"/>
    <d v="2026-01-16T00:00:00"/>
    <x v="1"/>
    <n v="303"/>
    <n v="445"/>
    <x v="4"/>
    <n v="236.87"/>
    <n v="7.11"/>
  </r>
  <r>
    <n v="33145"/>
    <s v="CARLARSERVICE CIA. LTDA"/>
    <d v="2026-01-17T00:00:00"/>
    <d v="2026-01-16T00:00:00"/>
    <x v="0"/>
    <n v="303"/>
    <n v="443"/>
    <x v="2"/>
    <n v="68.05"/>
    <n v="47.64"/>
  </r>
  <r>
    <n v="33145"/>
    <s v="CARLARSERVICE CIA. LTDA"/>
    <d v="2026-01-17T00:00:00"/>
    <d v="2026-01-16T00:00:00"/>
    <x v="1"/>
    <n v="303"/>
    <n v="443"/>
    <x v="4"/>
    <n v="453.67"/>
    <n v="13.61"/>
  </r>
  <r>
    <n v="33146"/>
    <s v="CRIOLLO ANALUISA GEOVANNY EFRAIN"/>
    <d v="2026-01-17T00:00:00"/>
    <d v="2026-01-17T00:00:00"/>
    <x v="1"/>
    <n v="332"/>
    <n v="1248"/>
    <x v="6"/>
    <n v="30"/>
    <n v="0"/>
  </r>
  <r>
    <n v="33147"/>
    <s v="CRIOLLO ANALUISA GEOVANNY EFRAIN"/>
    <d v="2026-01-17T00:00:00"/>
    <d v="2026-01-17T00:00:00"/>
    <x v="1"/>
    <n v="332"/>
    <n v="1246"/>
    <x v="6"/>
    <n v="37"/>
    <n v="0"/>
  </r>
  <r>
    <n v="33148"/>
    <s v="CHAVEZ ZULA ZOILA"/>
    <d v="2026-01-17T00:00:00"/>
    <d v="2026-01-17T00:00:00"/>
    <x v="1"/>
    <n v="332"/>
    <n v="622"/>
    <x v="6"/>
    <n v="10"/>
    <n v="0"/>
  </r>
  <r>
    <n v="33149"/>
    <s v="CRIOLLO ANALUISA GEOVANNY EFRAIN"/>
    <d v="2026-01-17T00:00:00"/>
    <d v="2026-01-17T00:00:00"/>
    <x v="1"/>
    <n v="332"/>
    <n v="1247"/>
    <x v="6"/>
    <n v="30"/>
    <n v="0"/>
  </r>
  <r>
    <n v="33150"/>
    <s v="ORTIZ LOPEZ EDGAR ENRIQUE"/>
    <d v="2026-01-19T00:00:00"/>
    <d v="2026-01-19T00:00:00"/>
    <x v="0"/>
    <n v="307"/>
    <n v="1486"/>
    <x v="2"/>
    <n v="1.5"/>
    <n v="1.05"/>
  </r>
  <r>
    <n v="33150"/>
    <s v="ORTIZ LOPEZ EDGAR ENRIQUE"/>
    <d v="2026-01-19T00:00:00"/>
    <d v="2026-01-19T00:00:00"/>
    <x v="1"/>
    <n v="307"/>
    <n v="1486"/>
    <x v="5"/>
    <n v="10"/>
    <n v="0.2"/>
  </r>
  <r>
    <n v="33151"/>
    <s v="CHAVEZ ZULA ZOILA"/>
    <d v="2026-01-19T00:00:00"/>
    <d v="2026-01-19T00:00:00"/>
    <x v="1"/>
    <n v="332"/>
    <n v="625"/>
    <x v="6"/>
    <n v="10"/>
    <n v="0"/>
  </r>
  <r>
    <n v="33152"/>
    <s v="AREVALO COLCHA CESAR AUGUSTO"/>
    <d v="2026-01-19T00:00:00"/>
    <d v="2026-01-19T00:00:00"/>
    <x v="1"/>
    <n v="307"/>
    <n v="2614"/>
    <x v="5"/>
    <n v="17.87"/>
    <n v="0.36"/>
  </r>
  <r>
    <n v="33152"/>
    <s v="AREVALO COLCHA CESAR AUGUSTO"/>
    <d v="2026-01-19T00:00:00"/>
    <d v="2026-01-19T00:00:00"/>
    <x v="0"/>
    <n v="307"/>
    <n v="2614"/>
    <x v="2"/>
    <n v="2.68"/>
    <n v="1.88"/>
  </r>
  <r>
    <n v="33153"/>
    <s v="CRIOLLO ANALUISA GEOVANNY EFRAIN"/>
    <d v="2026-01-19T00:00:00"/>
    <d v="2026-01-19T00:00:00"/>
    <x v="1"/>
    <n v="332"/>
    <n v="1250"/>
    <x v="6"/>
    <n v="30"/>
    <n v="0"/>
  </r>
  <r>
    <n v="33154"/>
    <s v="CRIOLLO ANALUISA GEOVANNY EFRAIN"/>
    <d v="2026-01-19T00:00:00"/>
    <d v="2026-01-19T00:00:00"/>
    <x v="1"/>
    <n v="332"/>
    <n v="1249"/>
    <x v="6"/>
    <n v="20"/>
    <n v="0"/>
  </r>
  <r>
    <n v="33155"/>
    <s v="CRIOLLO ANALUISA GEOVANNY EFRAIN"/>
    <d v="2026-01-19T00:00:00"/>
    <d v="2026-01-19T00:00:00"/>
    <x v="1"/>
    <n v="332"/>
    <n v="1257"/>
    <x v="6"/>
    <n v="6"/>
    <n v="0"/>
  </r>
  <r>
    <n v="33156"/>
    <s v="ORTIZ LOPEZ EDGAR ENRIQUE"/>
    <d v="2026-01-19T00:00:00"/>
    <d v="2026-01-19T00:00:00"/>
    <x v="0"/>
    <n v="307"/>
    <n v="1483"/>
    <x v="2"/>
    <n v="1.5"/>
    <n v="1.05"/>
  </r>
  <r>
    <n v="33156"/>
    <s v="ORTIZ LOPEZ EDGAR ENRIQUE"/>
    <d v="2026-01-19T00:00:00"/>
    <d v="2026-01-19T00:00:00"/>
    <x v="1"/>
    <n v="307"/>
    <n v="1483"/>
    <x v="5"/>
    <n v="10"/>
    <n v="0.2"/>
  </r>
  <r>
    <n v="33157"/>
    <s v="ORTIZ LOPEZ EDGAR ENRIQUE"/>
    <d v="2026-01-19T00:00:00"/>
    <d v="2026-01-19T00:00:00"/>
    <x v="1"/>
    <n v="307"/>
    <n v="1485"/>
    <x v="5"/>
    <n v="10"/>
    <n v="0.2"/>
  </r>
  <r>
    <n v="33157"/>
    <s v="ORTIZ LOPEZ EDGAR ENRIQUE"/>
    <d v="2026-01-19T00:00:00"/>
    <d v="2026-01-19T00:00:00"/>
    <x v="0"/>
    <n v="307"/>
    <n v="1485"/>
    <x v="2"/>
    <n v="1.5"/>
    <n v="1.05"/>
  </r>
  <r>
    <n v="33158"/>
    <s v="CRIOLLO ANALUISA GEOVANNY EFRAIN"/>
    <d v="2026-01-19T00:00:00"/>
    <d v="2026-01-19T00:00:00"/>
    <x v="1"/>
    <n v="332"/>
    <n v="1254"/>
    <x v="6"/>
    <n v="11"/>
    <n v="0"/>
  </r>
  <r>
    <n v="33159"/>
    <s v="LOPEZ PACA EDWIN MARCELO"/>
    <d v="2026-01-19T00:00:00"/>
    <d v="2026-01-19T00:00:00"/>
    <x v="1"/>
    <n v="307"/>
    <n v="366"/>
    <x v="5"/>
    <n v="44"/>
    <n v="0.88"/>
  </r>
  <r>
    <n v="33160"/>
    <s v="LARA ESCOBAR PAUL ENRIQUE"/>
    <d v="2026-01-19T00:00:00"/>
    <d v="2026-01-19T00:00:00"/>
    <x v="0"/>
    <n v="312"/>
    <n v="9674"/>
    <x v="0"/>
    <n v="54.78"/>
    <n v="16.43"/>
  </r>
  <r>
    <n v="33160"/>
    <s v="LARA ESCOBAR PAUL ENRIQUE"/>
    <d v="2026-01-19T00:00:00"/>
    <d v="2026-01-19T00:00:00"/>
    <x v="1"/>
    <n v="312"/>
    <n v="9674"/>
    <x v="1"/>
    <n v="365.22"/>
    <n v="6.39"/>
  </r>
  <r>
    <n v="33161"/>
    <s v="LOPEZ PACA EDWIN MARCELO"/>
    <d v="2026-01-19T00:00:00"/>
    <d v="2026-01-19T00:00:00"/>
    <x v="1"/>
    <n v="307"/>
    <n v="367"/>
    <x v="5"/>
    <n v="24"/>
    <n v="0.48"/>
  </r>
  <r>
    <n v="33162"/>
    <s v="CHAVEZ ZULA ZOILA"/>
    <d v="2026-01-19T00:00:00"/>
    <d v="2026-01-19T00:00:00"/>
    <x v="1"/>
    <n v="332"/>
    <n v="624"/>
    <x v="6"/>
    <n v="10"/>
    <n v="0"/>
  </r>
  <r>
    <n v="33163"/>
    <s v="CRIOLLO ANALUISA GEOVANNY EFRAIN"/>
    <d v="2026-01-19T00:00:00"/>
    <d v="2026-01-19T00:00:00"/>
    <x v="1"/>
    <n v="332"/>
    <n v="1253"/>
    <x v="6"/>
    <n v="22"/>
    <n v="0"/>
  </r>
  <r>
    <n v="33164"/>
    <s v="COLCHA LEMA LUIS GONZALO"/>
    <d v="2026-01-19T00:00:00"/>
    <d v="2026-01-19T00:00:00"/>
    <x v="1"/>
    <n v="307"/>
    <n v="253"/>
    <x v="5"/>
    <n v="50"/>
    <n v="1"/>
  </r>
  <r>
    <n v="33165"/>
    <s v="AREVALO COLCHA CESAR AUGUSTO"/>
    <d v="2026-01-19T00:00:00"/>
    <d v="2026-01-19T00:00:00"/>
    <x v="1"/>
    <n v="307"/>
    <n v="2616"/>
    <x v="5"/>
    <n v="17.87"/>
    <n v="0.36"/>
  </r>
  <r>
    <n v="33165"/>
    <s v="AREVALO COLCHA CESAR AUGUSTO"/>
    <d v="2026-01-19T00:00:00"/>
    <d v="2026-01-19T00:00:00"/>
    <x v="0"/>
    <n v="307"/>
    <n v="2616"/>
    <x v="2"/>
    <n v="2.68"/>
    <n v="1.88"/>
  </r>
  <r>
    <n v="33166"/>
    <s v="REINOSO SALAS YAJAIRA CAROLINA"/>
    <d v="2026-01-19T00:00:00"/>
    <d v="2026-01-19T00:00:00"/>
    <x v="0"/>
    <n v="312"/>
    <n v="104"/>
    <x v="0"/>
    <n v="6"/>
    <n v="1.8"/>
  </r>
  <r>
    <n v="33166"/>
    <s v="REINOSO SALAS YAJAIRA CAROLINA"/>
    <d v="2026-01-19T00:00:00"/>
    <d v="2026-01-19T00:00:00"/>
    <x v="1"/>
    <n v="312"/>
    <n v="104"/>
    <x v="1"/>
    <n v="40"/>
    <n v="0.7"/>
  </r>
  <r>
    <n v="33167"/>
    <s v="CRIOLLO ANALUISA GEOVANNY EFRAIN"/>
    <d v="2026-01-19T00:00:00"/>
    <d v="2026-01-19T00:00:00"/>
    <x v="1"/>
    <n v="332"/>
    <n v="1252"/>
    <x v="6"/>
    <n v="20"/>
    <n v="0"/>
  </r>
  <r>
    <n v="33168"/>
    <s v="CRIOLLO ANALUISA GEOVANNY EFRAIN"/>
    <d v="2026-01-19T00:00:00"/>
    <d v="2026-01-19T00:00:00"/>
    <x v="1"/>
    <n v="332"/>
    <n v="1255"/>
    <x v="6"/>
    <n v="20"/>
    <n v="0"/>
  </r>
  <r>
    <n v="33169"/>
    <s v="CIFUENTES ROSERO ESTHEFANNY MELISSA"/>
    <d v="2026-01-19T00:00:00"/>
    <d v="2026-01-19T00:00:00"/>
    <x v="1"/>
    <n v="343"/>
    <n v="2"/>
    <x v="7"/>
    <n v="121.74"/>
    <n v="1.22"/>
  </r>
  <r>
    <n v="33169"/>
    <s v="CIFUENTES ROSERO ESTHEFANNY MELISSA"/>
    <d v="2026-01-19T00:00:00"/>
    <d v="2026-01-19T00:00:00"/>
    <x v="0"/>
    <n v="343"/>
    <n v="2"/>
    <x v="0"/>
    <n v="18.260000000000002"/>
    <n v="5.48"/>
  </r>
  <r>
    <n v="33170"/>
    <s v="CRIOLLO ANALUISA GEOVANNY EFRAIN"/>
    <d v="2026-01-19T00:00:00"/>
    <d v="2026-01-19T00:00:00"/>
    <x v="1"/>
    <n v="332"/>
    <n v="1251"/>
    <x v="6"/>
    <n v="22"/>
    <n v="0"/>
  </r>
  <r>
    <n v="33171"/>
    <s v="CRIOLLO ANALUISA GEOVANNY EFRAIN"/>
    <d v="2026-01-19T00:00:00"/>
    <d v="2026-01-19T00:00:00"/>
    <x v="1"/>
    <n v="332"/>
    <n v="1256"/>
    <x v="6"/>
    <n v="20"/>
    <n v="0"/>
  </r>
  <r>
    <n v="33172"/>
    <s v="COMPUMATICA CIA. LTDA."/>
    <d v="2026-01-19T00:00:00"/>
    <d v="2026-01-19T00:00:00"/>
    <x v="1"/>
    <n v="312"/>
    <n v="1429"/>
    <x v="1"/>
    <n v="25"/>
    <n v="0.44"/>
  </r>
  <r>
    <n v="33172"/>
    <s v="COMPUMATICA CIA. LTDA."/>
    <d v="2026-01-19T00:00:00"/>
    <d v="2026-01-19T00:00:00"/>
    <x v="0"/>
    <n v="312"/>
    <n v="1429"/>
    <x v="0"/>
    <n v="3.75"/>
    <n v="1.1299999999999999"/>
  </r>
  <r>
    <n v="33173"/>
    <s v="DISTRIBUIDORA PC-T S.A.S"/>
    <d v="2026-01-19T00:00:00"/>
    <d v="2026-01-19T00:00:00"/>
    <x v="1"/>
    <n v="312"/>
    <n v="2987"/>
    <x v="1"/>
    <n v="29.22"/>
    <n v="0.51"/>
  </r>
  <r>
    <n v="33173"/>
    <s v="DISTRIBUIDORA PC-T S.A.S"/>
    <d v="2026-01-19T00:00:00"/>
    <d v="2026-01-19T00:00:00"/>
    <x v="0"/>
    <n v="312"/>
    <n v="2987"/>
    <x v="0"/>
    <n v="4.38"/>
    <n v="1.31"/>
  </r>
  <r>
    <n v="33174"/>
    <s v="CERON CORDOVA JUAN SEBASTIAN"/>
    <d v="2026-01-20T00:00:00"/>
    <d v="2026-01-20T00:00:00"/>
    <x v="1"/>
    <n v="332"/>
    <n v="1746"/>
    <x v="6"/>
    <n v="18"/>
    <n v="0"/>
  </r>
  <r>
    <n v="33175"/>
    <s v="CRIOLLO ANALUISA GEOVANNY EFRAIN"/>
    <d v="2026-01-20T00:00:00"/>
    <d v="2026-01-20T00:00:00"/>
    <x v="1"/>
    <n v="332"/>
    <n v="1260"/>
    <x v="6"/>
    <n v="11"/>
    <n v="0"/>
  </r>
  <r>
    <n v="33176"/>
    <s v="CRIOLLO ANALUISA GEOVANNY EFRAIN"/>
    <d v="2026-01-20T00:00:00"/>
    <d v="2026-01-20T00:00:00"/>
    <x v="1"/>
    <n v="332"/>
    <n v="1269"/>
    <x v="6"/>
    <n v="20"/>
    <n v="0"/>
  </r>
  <r>
    <n v="33177"/>
    <s v="CHAVEZ ZULA ZOILA"/>
    <d v="2026-01-20T00:00:00"/>
    <d v="2026-01-20T00:00:00"/>
    <x v="1"/>
    <n v="332"/>
    <n v="626"/>
    <x v="6"/>
    <n v="10"/>
    <n v="0"/>
  </r>
  <r>
    <n v="33178"/>
    <s v="ORTIZ LOPEZ EDGAR ENRIQUE"/>
    <d v="2026-01-20T00:00:00"/>
    <d v="2026-01-20T00:00:00"/>
    <x v="0"/>
    <n v="307"/>
    <n v="1491"/>
    <x v="2"/>
    <n v="1.5"/>
    <n v="1.05"/>
  </r>
  <r>
    <n v="33178"/>
    <s v="ORTIZ LOPEZ EDGAR ENRIQUE"/>
    <d v="2026-01-20T00:00:00"/>
    <d v="2026-01-20T00:00:00"/>
    <x v="1"/>
    <n v="307"/>
    <n v="1491"/>
    <x v="5"/>
    <n v="10"/>
    <n v="0.2"/>
  </r>
  <r>
    <n v="33179"/>
    <s v="AREVALO COLCHA CESAR AUGUSTO"/>
    <d v="2026-01-20T00:00:00"/>
    <d v="2026-01-20T00:00:00"/>
    <x v="0"/>
    <n v="307"/>
    <n v="2623"/>
    <x v="2"/>
    <n v="2.68"/>
    <n v="1.88"/>
  </r>
  <r>
    <n v="33179"/>
    <s v="AREVALO COLCHA CESAR AUGUSTO"/>
    <d v="2026-01-20T00:00:00"/>
    <d v="2026-01-20T00:00:00"/>
    <x v="1"/>
    <n v="307"/>
    <n v="2623"/>
    <x v="5"/>
    <n v="17.87"/>
    <n v="0.36"/>
  </r>
  <r>
    <n v="33180"/>
    <s v="ORTIZ LOPEZ EDGAR ENRIQUE"/>
    <d v="2026-01-20T00:00:00"/>
    <d v="2026-01-20T00:00:00"/>
    <x v="1"/>
    <n v="307"/>
    <n v="1489"/>
    <x v="5"/>
    <n v="10"/>
    <n v="0.2"/>
  </r>
  <r>
    <n v="33180"/>
    <s v="ORTIZ LOPEZ EDGAR ENRIQUE"/>
    <d v="2026-01-20T00:00:00"/>
    <d v="2026-01-20T00:00:00"/>
    <x v="0"/>
    <n v="307"/>
    <n v="1489"/>
    <x v="2"/>
    <n v="1.5"/>
    <n v="1.05"/>
  </r>
  <r>
    <n v="33181"/>
    <s v="NOBOA CABRERA GALO HERNAN"/>
    <d v="2026-01-20T00:00:00"/>
    <d v="2026-01-20T00:00:00"/>
    <x v="0"/>
    <n v="343"/>
    <n v="741"/>
    <x v="2"/>
    <n v="3"/>
    <n v="2.1"/>
  </r>
  <r>
    <n v="33181"/>
    <s v="NOBOA CABRERA GALO HERNAN"/>
    <d v="2026-01-20T00:00:00"/>
    <d v="2026-01-20T00:00:00"/>
    <x v="1"/>
    <n v="343"/>
    <n v="741"/>
    <x v="7"/>
    <n v="20"/>
    <n v="0.2"/>
  </r>
  <r>
    <n v="33182"/>
    <s v="NOBOA CABRERA GALO HERNAN"/>
    <d v="2026-01-20T00:00:00"/>
    <d v="2026-01-20T00:00:00"/>
    <x v="1"/>
    <n v="343"/>
    <n v="748"/>
    <x v="7"/>
    <n v="20"/>
    <n v="0.2"/>
  </r>
  <r>
    <n v="33182"/>
    <s v="NOBOA CABRERA GALO HERNAN"/>
    <d v="2026-01-20T00:00:00"/>
    <d v="2026-01-20T00:00:00"/>
    <x v="0"/>
    <n v="343"/>
    <n v="748"/>
    <x v="2"/>
    <n v="3"/>
    <n v="2.1"/>
  </r>
  <r>
    <n v="33183"/>
    <s v="AREVALO COLCHA CESAR AUGUSTO"/>
    <d v="2026-01-20T00:00:00"/>
    <d v="2026-01-20T00:00:00"/>
    <x v="0"/>
    <n v="307"/>
    <n v="2624"/>
    <x v="2"/>
    <n v="2.68"/>
    <n v="1.88"/>
  </r>
  <r>
    <n v="33183"/>
    <s v="AREVALO COLCHA CESAR AUGUSTO"/>
    <d v="2026-01-20T00:00:00"/>
    <d v="2026-01-20T00:00:00"/>
    <x v="1"/>
    <n v="307"/>
    <n v="2624"/>
    <x v="5"/>
    <n v="17.87"/>
    <n v="0.36"/>
  </r>
  <r>
    <n v="33184"/>
    <s v="NOBOA CABRERA GALO HERNAN"/>
    <d v="2026-01-20T00:00:00"/>
    <d v="2026-01-20T00:00:00"/>
    <x v="0"/>
    <n v="343"/>
    <n v="742"/>
    <x v="2"/>
    <n v="1.5"/>
    <n v="1.05"/>
  </r>
  <r>
    <n v="33184"/>
    <s v="NOBOA CABRERA GALO HERNAN"/>
    <d v="2026-01-20T00:00:00"/>
    <d v="2026-01-20T00:00:00"/>
    <x v="1"/>
    <n v="343"/>
    <n v="742"/>
    <x v="7"/>
    <n v="10"/>
    <n v="0.1"/>
  </r>
  <r>
    <n v="33185"/>
    <s v="CRIOLLO ANALUISA GEOVANNY EFRAIN"/>
    <d v="2026-01-20T00:00:00"/>
    <d v="2026-01-20T00:00:00"/>
    <x v="1"/>
    <n v="332"/>
    <n v="1263"/>
    <x v="6"/>
    <n v="20"/>
    <n v="0"/>
  </r>
  <r>
    <n v="33186"/>
    <s v="CRIOLLO ANALUISA GEOVANNY EFRAIN"/>
    <d v="2026-01-20T00:00:00"/>
    <d v="2026-01-20T00:00:00"/>
    <x v="1"/>
    <n v="332"/>
    <n v="1264"/>
    <x v="6"/>
    <n v="6"/>
    <n v="0"/>
  </r>
  <r>
    <n v="33187"/>
    <s v="ORTIZ LOPEZ EDGAR ENRIQUE"/>
    <d v="2026-01-20T00:00:00"/>
    <d v="2026-01-20T00:00:00"/>
    <x v="1"/>
    <n v="307"/>
    <n v="1492"/>
    <x v="5"/>
    <n v="6"/>
    <n v="0.12"/>
  </r>
  <r>
    <n v="33187"/>
    <s v="ORTIZ LOPEZ EDGAR ENRIQUE"/>
    <d v="2026-01-20T00:00:00"/>
    <d v="2026-01-20T00:00:00"/>
    <x v="0"/>
    <n v="307"/>
    <n v="1492"/>
    <x v="2"/>
    <n v="0.9"/>
    <n v="0.63"/>
  </r>
  <r>
    <n v="33188"/>
    <s v="IMPORTADORA AUDIO-ALARMAS AUDA S.A."/>
    <d v="2026-01-20T00:00:00"/>
    <d v="2026-01-20T00:00:00"/>
    <x v="0"/>
    <n v="312"/>
    <n v="4672"/>
    <x v="0"/>
    <n v="42.75"/>
    <n v="12.83"/>
  </r>
  <r>
    <n v="33188"/>
    <s v="IMPORTADORA AUDIO-ALARMAS AUDA S.A."/>
    <d v="2026-01-20T00:00:00"/>
    <d v="2026-01-20T00:00:00"/>
    <x v="1"/>
    <n v="312"/>
    <n v="4672"/>
    <x v="1"/>
    <n v="285"/>
    <n v="4.99"/>
  </r>
  <r>
    <n v="33189"/>
    <s v="VELA JIMENEZ LUIS ALFREDO"/>
    <d v="2026-01-20T00:00:00"/>
    <d v="2026-01-20T00:00:00"/>
    <x v="1"/>
    <n v="332"/>
    <n v="246"/>
    <x v="6"/>
    <n v="60"/>
    <n v="0"/>
  </r>
  <r>
    <n v="33190"/>
    <s v="ESTRELLA VELASTEGUI FAUSTO XAVIER"/>
    <d v="2026-01-20T00:00:00"/>
    <d v="2026-01-20T00:00:00"/>
    <x v="0"/>
    <n v="307"/>
    <n v="10399"/>
    <x v="2"/>
    <n v="6.75"/>
    <n v="4.7300000000000004"/>
  </r>
  <r>
    <n v="33190"/>
    <s v="ESTRELLA VELASTEGUI FAUSTO XAVIER"/>
    <d v="2026-01-20T00:00:00"/>
    <d v="2026-01-20T00:00:00"/>
    <x v="1"/>
    <n v="307"/>
    <n v="10399"/>
    <x v="5"/>
    <n v="45"/>
    <n v="0.9"/>
  </r>
  <r>
    <n v="33191"/>
    <s v="NOBOA CABRERA GALO HERNAN"/>
    <d v="2026-01-20T00:00:00"/>
    <d v="2026-01-20T00:00:00"/>
    <x v="1"/>
    <n v="343"/>
    <n v="743"/>
    <x v="7"/>
    <n v="20"/>
    <n v="0.2"/>
  </r>
  <r>
    <n v="33191"/>
    <s v="NOBOA CABRERA GALO HERNAN"/>
    <d v="2026-01-20T00:00:00"/>
    <d v="2026-01-20T00:00:00"/>
    <x v="0"/>
    <n v="343"/>
    <n v="743"/>
    <x v="2"/>
    <n v="3"/>
    <n v="2.1"/>
  </r>
  <r>
    <n v="33192"/>
    <s v="CRIOLLO ANALUISA GEOVANNY EFRAIN"/>
    <d v="2026-01-20T00:00:00"/>
    <d v="2026-01-20T00:00:00"/>
    <x v="1"/>
    <n v="332"/>
    <n v="1268"/>
    <x v="6"/>
    <n v="6"/>
    <n v="0"/>
  </r>
  <r>
    <n v="33193"/>
    <s v="VARGAS TORRES WALTTER DARIO"/>
    <d v="2026-01-20T00:00:00"/>
    <d v="2026-01-20T00:00:00"/>
    <x v="0"/>
    <n v="312"/>
    <n v="31647"/>
    <x v="0"/>
    <n v="30"/>
    <n v="9"/>
  </r>
  <r>
    <n v="33193"/>
    <s v="VARGAS TORRES WALTTER DARIO"/>
    <d v="2026-01-20T00:00:00"/>
    <d v="2026-01-20T00:00:00"/>
    <x v="1"/>
    <n v="312"/>
    <n v="31647"/>
    <x v="1"/>
    <n v="200"/>
    <n v="3.5"/>
  </r>
  <r>
    <n v="33194"/>
    <s v="NOBOA CABRERA GALO HERNAN"/>
    <d v="2026-01-20T00:00:00"/>
    <d v="2026-01-20T00:00:00"/>
    <x v="0"/>
    <n v="343"/>
    <n v="744"/>
    <x v="2"/>
    <n v="1.5"/>
    <n v="1.05"/>
  </r>
  <r>
    <n v="33194"/>
    <s v="NOBOA CABRERA GALO HERNAN"/>
    <d v="2026-01-20T00:00:00"/>
    <d v="2026-01-20T00:00:00"/>
    <x v="1"/>
    <n v="343"/>
    <n v="744"/>
    <x v="7"/>
    <n v="10"/>
    <n v="0.1"/>
  </r>
  <r>
    <n v="33195"/>
    <s v="CRIOLLO ANALUISA GEOVANNY EFRAIN"/>
    <d v="2026-01-20T00:00:00"/>
    <d v="2026-01-20T00:00:00"/>
    <x v="1"/>
    <n v="332"/>
    <n v="1261"/>
    <x v="6"/>
    <n v="20"/>
    <n v="0"/>
  </r>
  <r>
    <n v="33196"/>
    <s v="CRIOLLO ANALUISA GEOVANNY EFRAIN"/>
    <d v="2026-01-20T00:00:00"/>
    <d v="2026-01-20T00:00:00"/>
    <x v="1"/>
    <n v="332"/>
    <n v="1262"/>
    <x v="6"/>
    <n v="20"/>
    <n v="0"/>
  </r>
  <r>
    <n v="33197"/>
    <s v="ORTIZ LOPEZ EDGAR ENRIQUE"/>
    <d v="2026-01-20T00:00:00"/>
    <d v="2026-01-20T00:00:00"/>
    <x v="1"/>
    <n v="307"/>
    <n v="1490"/>
    <x v="5"/>
    <n v="6"/>
    <n v="0.12"/>
  </r>
  <r>
    <n v="33197"/>
    <s v="ORTIZ LOPEZ EDGAR ENRIQUE"/>
    <d v="2026-01-20T00:00:00"/>
    <d v="2026-01-20T00:00:00"/>
    <x v="0"/>
    <n v="307"/>
    <n v="1490"/>
    <x v="2"/>
    <n v="0.9"/>
    <n v="0.63"/>
  </r>
  <r>
    <n v="33198"/>
    <s v="NOBOA CABRERA GALO HERNAN"/>
    <d v="2026-01-21T00:00:00"/>
    <d v="2026-01-21T00:00:00"/>
    <x v="0"/>
    <n v="343"/>
    <n v="758"/>
    <x v="2"/>
    <n v="3"/>
    <n v="2.1"/>
  </r>
  <r>
    <n v="33198"/>
    <s v="NOBOA CABRERA GALO HERNAN"/>
    <d v="2026-01-21T00:00:00"/>
    <d v="2026-01-21T00:00:00"/>
    <x v="1"/>
    <n v="343"/>
    <n v="758"/>
    <x v="7"/>
    <n v="20"/>
    <n v="0.2"/>
  </r>
  <r>
    <n v="33199"/>
    <s v="AREVALO COLCHA CESAR AUGUSTO"/>
    <d v="2026-01-21T00:00:00"/>
    <d v="2026-01-21T00:00:00"/>
    <x v="1"/>
    <n v="307"/>
    <n v="2627"/>
    <x v="5"/>
    <n v="17.87"/>
    <n v="0.36"/>
  </r>
  <r>
    <n v="33199"/>
    <s v="AREVALO COLCHA CESAR AUGUSTO"/>
    <d v="2026-01-21T00:00:00"/>
    <d v="2026-01-21T00:00:00"/>
    <x v="0"/>
    <n v="307"/>
    <n v="2627"/>
    <x v="2"/>
    <n v="2.68"/>
    <n v="1.88"/>
  </r>
  <r>
    <n v="33200"/>
    <s v="CERON CORDOVA JUAN SEBASTIAN"/>
    <d v="2026-01-21T00:00:00"/>
    <d v="2026-01-21T00:00:00"/>
    <x v="1"/>
    <n v="332"/>
    <n v="1748"/>
    <x v="6"/>
    <n v="28"/>
    <n v="0"/>
  </r>
  <r>
    <n v="33201"/>
    <s v="NOBOA CABRERA GALO HERNAN"/>
    <d v="2026-01-21T00:00:00"/>
    <d v="2026-01-21T00:00:00"/>
    <x v="0"/>
    <n v="343"/>
    <n v="757"/>
    <x v="2"/>
    <n v="1.2"/>
    <n v="0.84"/>
  </r>
  <r>
    <n v="33201"/>
    <s v="NOBOA CABRERA GALO HERNAN"/>
    <d v="2026-01-21T00:00:00"/>
    <d v="2026-01-21T00:00:00"/>
    <x v="1"/>
    <n v="343"/>
    <n v="757"/>
    <x v="7"/>
    <n v="8"/>
    <n v="0.08"/>
  </r>
  <r>
    <n v="33202"/>
    <s v="CRIOLLO ANALUISA GEOVANNY EFRAIN"/>
    <d v="2026-01-21T00:00:00"/>
    <d v="2026-01-21T00:00:00"/>
    <x v="1"/>
    <n v="332"/>
    <n v="1270"/>
    <x v="6"/>
    <n v="11"/>
    <n v="0"/>
  </r>
  <r>
    <n v="33203"/>
    <s v="CRIOLLO ANALUISA GEOVANNY EFRAIN"/>
    <d v="2026-01-21T00:00:00"/>
    <d v="2026-01-21T00:00:00"/>
    <x v="1"/>
    <n v="332"/>
    <n v="1273"/>
    <x v="6"/>
    <n v="20"/>
    <n v="0"/>
  </r>
  <r>
    <n v="33204"/>
    <s v="YANGTSE-AUTO DEL ECUADOR S.A."/>
    <d v="2026-01-21T00:00:00"/>
    <d v="2026-01-21T00:00:00"/>
    <x v="1"/>
    <n v="312"/>
    <n v="549"/>
    <x v="1"/>
    <n v="462.44"/>
    <n v="8.09"/>
  </r>
  <r>
    <n v="33204"/>
    <s v="YANGTSE-AUTO DEL ECUADOR S.A."/>
    <d v="2026-01-21T00:00:00"/>
    <d v="2026-01-21T00:00:00"/>
    <x v="0"/>
    <n v="312"/>
    <n v="549"/>
    <x v="0"/>
    <n v="69.37"/>
    <n v="20.81"/>
  </r>
  <r>
    <n v="33205"/>
    <s v="YANGTSE-AUTO DEL ECUADOR S.A."/>
    <d v="2026-01-21T00:00:00"/>
    <d v="2026-01-21T00:00:00"/>
    <x v="1"/>
    <n v="312"/>
    <n v="553"/>
    <x v="1"/>
    <n v="123.72"/>
    <n v="2.17"/>
  </r>
  <r>
    <n v="33205"/>
    <s v="YANGTSE-AUTO DEL ECUADOR S.A."/>
    <d v="2026-01-21T00:00:00"/>
    <d v="2026-01-21T00:00:00"/>
    <x v="0"/>
    <n v="312"/>
    <n v="553"/>
    <x v="0"/>
    <n v="18.559999999999999"/>
    <n v="5.57"/>
  </r>
  <r>
    <n v="33206"/>
    <s v="CERON CORDOVA JUAN SEBASTIAN"/>
    <d v="2026-01-21T00:00:00"/>
    <d v="2026-01-21T00:00:00"/>
    <x v="1"/>
    <n v="332"/>
    <n v="1751"/>
    <x v="6"/>
    <n v="18"/>
    <n v="0"/>
  </r>
  <r>
    <n v="33207"/>
    <s v="NOBOA CABRERA GALO HERNAN"/>
    <d v="2026-01-21T00:00:00"/>
    <d v="2026-01-21T00:00:00"/>
    <x v="1"/>
    <n v="343"/>
    <n v="749"/>
    <x v="7"/>
    <n v="20"/>
    <n v="0.2"/>
  </r>
  <r>
    <n v="33207"/>
    <s v="NOBOA CABRERA GALO HERNAN"/>
    <d v="2026-01-21T00:00:00"/>
    <d v="2026-01-21T00:00:00"/>
    <x v="0"/>
    <n v="343"/>
    <n v="749"/>
    <x v="2"/>
    <n v="3"/>
    <n v="2.1"/>
  </r>
  <r>
    <n v="33208"/>
    <s v="NOBOA CABRERA GALO HERNAN"/>
    <d v="2026-01-21T00:00:00"/>
    <d v="2026-01-21T00:00:00"/>
    <x v="0"/>
    <n v="343"/>
    <n v="756"/>
    <x v="2"/>
    <n v="1.5"/>
    <n v="1.05"/>
  </r>
  <r>
    <n v="33208"/>
    <s v="NOBOA CABRERA GALO HERNAN"/>
    <d v="2026-01-21T00:00:00"/>
    <d v="2026-01-21T00:00:00"/>
    <x v="1"/>
    <n v="343"/>
    <n v="756"/>
    <x v="7"/>
    <n v="10"/>
    <n v="0.1"/>
  </r>
  <r>
    <n v="33209"/>
    <s v="YANGTSE-AUTO DEL ECUADOR S.A."/>
    <d v="2026-01-21T00:00:00"/>
    <d v="2026-01-21T00:00:00"/>
    <x v="1"/>
    <n v="312"/>
    <n v="554"/>
    <x v="1"/>
    <n v="503.71"/>
    <n v="8.81"/>
  </r>
  <r>
    <n v="33209"/>
    <s v="YANGTSE-AUTO DEL ECUADOR S.A."/>
    <d v="2026-01-21T00:00:00"/>
    <d v="2026-01-21T00:00:00"/>
    <x v="0"/>
    <n v="312"/>
    <n v="554"/>
    <x v="0"/>
    <n v="75.56"/>
    <n v="22.67"/>
  </r>
  <r>
    <n v="33210"/>
    <s v="NOBOA CABRERA GALO HERNAN"/>
    <d v="2026-01-21T00:00:00"/>
    <d v="2026-01-21T00:00:00"/>
    <x v="1"/>
    <n v="343"/>
    <n v="755"/>
    <x v="7"/>
    <n v="20"/>
    <n v="0.2"/>
  </r>
  <r>
    <n v="33210"/>
    <s v="NOBOA CABRERA GALO HERNAN"/>
    <d v="2026-01-21T00:00:00"/>
    <d v="2026-01-21T00:00:00"/>
    <x v="0"/>
    <n v="343"/>
    <n v="755"/>
    <x v="2"/>
    <n v="3"/>
    <n v="2.1"/>
  </r>
  <r>
    <n v="33211"/>
    <s v="CRIOLLO ANALUISA GEOVANNY EFRAIN"/>
    <d v="2026-01-21T00:00:00"/>
    <d v="2026-01-21T00:00:00"/>
    <x v="1"/>
    <n v="332"/>
    <n v="1271"/>
    <x v="6"/>
    <n v="11"/>
    <n v="0"/>
  </r>
  <r>
    <n v="33212"/>
    <s v="ORTIZ LOPEZ EDGAR ENRIQUE"/>
    <d v="2026-01-21T00:00:00"/>
    <d v="2026-01-21T00:00:00"/>
    <x v="1"/>
    <n v="307"/>
    <n v="1493"/>
    <x v="5"/>
    <n v="10"/>
    <n v="0.2"/>
  </r>
  <r>
    <n v="33212"/>
    <s v="ORTIZ LOPEZ EDGAR ENRIQUE"/>
    <d v="2026-01-21T00:00:00"/>
    <d v="2026-01-21T00:00:00"/>
    <x v="0"/>
    <n v="307"/>
    <n v="1493"/>
    <x v="2"/>
    <n v="1.5"/>
    <n v="1.05"/>
  </r>
  <r>
    <n v="33213"/>
    <s v="AREVALO COLCHA CESAR AUGUSTO"/>
    <d v="2026-01-21T00:00:00"/>
    <d v="2026-01-21T00:00:00"/>
    <x v="0"/>
    <n v="307"/>
    <n v="2635"/>
    <x v="2"/>
    <n v="2.68"/>
    <n v="1.88"/>
  </r>
  <r>
    <n v="33213"/>
    <s v="AREVALO COLCHA CESAR AUGUSTO"/>
    <d v="2026-01-21T00:00:00"/>
    <d v="2026-01-21T00:00:00"/>
    <x v="1"/>
    <n v="307"/>
    <n v="2635"/>
    <x v="5"/>
    <n v="17.87"/>
    <n v="0.36"/>
  </r>
  <r>
    <n v="33214"/>
    <s v="CERON CORDOVA JUAN SEBASTIAN"/>
    <d v="2026-01-21T00:00:00"/>
    <d v="2026-01-21T00:00:00"/>
    <x v="1"/>
    <n v="332"/>
    <n v="1752"/>
    <x v="6"/>
    <n v="18"/>
    <n v="0"/>
  </r>
  <r>
    <n v="33215"/>
    <s v="NOBOA CABRERA GALO HERNAN"/>
    <d v="2026-01-21T00:00:00"/>
    <d v="2026-01-21T00:00:00"/>
    <x v="1"/>
    <n v="343"/>
    <n v="753"/>
    <x v="7"/>
    <n v="8"/>
    <n v="0.08"/>
  </r>
  <r>
    <n v="33215"/>
    <s v="NOBOA CABRERA GALO HERNAN"/>
    <d v="2026-01-21T00:00:00"/>
    <d v="2026-01-21T00:00:00"/>
    <x v="0"/>
    <n v="343"/>
    <n v="753"/>
    <x v="2"/>
    <n v="1.2"/>
    <n v="0.84"/>
  </r>
  <r>
    <n v="33216"/>
    <s v="ORTIZ LOPEZ EDGAR ENRIQUE"/>
    <d v="2026-01-21T00:00:00"/>
    <d v="2026-01-21T00:00:00"/>
    <x v="0"/>
    <n v="307"/>
    <n v="1494"/>
    <x v="2"/>
    <n v="1.5"/>
    <n v="1.05"/>
  </r>
  <r>
    <n v="33216"/>
    <s v="ORTIZ LOPEZ EDGAR ENRIQUE"/>
    <d v="2026-01-21T00:00:00"/>
    <d v="2026-01-21T00:00:00"/>
    <x v="1"/>
    <n v="307"/>
    <n v="1494"/>
    <x v="5"/>
    <n v="10"/>
    <n v="0.2"/>
  </r>
  <r>
    <n v="33217"/>
    <s v="AREVALO COLCHA CESAR AUGUSTO"/>
    <d v="2026-01-21T00:00:00"/>
    <d v="2026-01-21T00:00:00"/>
    <x v="1"/>
    <n v="307"/>
    <n v="2634"/>
    <x v="5"/>
    <n v="17.87"/>
    <n v="0.36"/>
  </r>
  <r>
    <n v="33217"/>
    <s v="AREVALO COLCHA CESAR AUGUSTO"/>
    <d v="2026-01-21T00:00:00"/>
    <d v="2026-01-21T00:00:00"/>
    <x v="0"/>
    <n v="307"/>
    <n v="2634"/>
    <x v="2"/>
    <n v="2.68"/>
    <n v="1.88"/>
  </r>
  <r>
    <n v="33218"/>
    <s v="NOBOA CABRERA GALO HERNAN"/>
    <d v="2026-01-21T00:00:00"/>
    <d v="2026-01-21T00:00:00"/>
    <x v="0"/>
    <n v="343"/>
    <n v="750"/>
    <x v="2"/>
    <n v="1.2"/>
    <n v="0.84"/>
  </r>
  <r>
    <n v="33218"/>
    <s v="NOBOA CABRERA GALO HERNAN"/>
    <d v="2026-01-21T00:00:00"/>
    <d v="2026-01-21T00:00:00"/>
    <x v="1"/>
    <n v="343"/>
    <n v="750"/>
    <x v="7"/>
    <n v="8"/>
    <n v="0.08"/>
  </r>
  <r>
    <n v="33219"/>
    <s v="CRIOLLO ANALUISA GEOVANNY EFRAIN"/>
    <d v="2026-01-21T00:00:00"/>
    <d v="2026-01-21T00:00:00"/>
    <x v="1"/>
    <n v="332"/>
    <n v="1274"/>
    <x v="6"/>
    <n v="6"/>
    <n v="0"/>
  </r>
  <r>
    <n v="33220"/>
    <s v="CERON CORDOVA JUAN SEBASTIAN"/>
    <d v="2026-01-21T00:00:00"/>
    <d v="2026-01-21T00:00:00"/>
    <x v="1"/>
    <n v="332"/>
    <n v="1753"/>
    <x v="6"/>
    <n v="18"/>
    <n v="0"/>
  </r>
  <r>
    <n v="33221"/>
    <s v="NOBOA CABRERA GALO HERNAN"/>
    <d v="2026-01-21T00:00:00"/>
    <d v="2026-01-21T00:00:00"/>
    <x v="0"/>
    <n v="343"/>
    <n v="751"/>
    <x v="2"/>
    <n v="3"/>
    <n v="2.1"/>
  </r>
  <r>
    <n v="33221"/>
    <s v="NOBOA CABRERA GALO HERNAN"/>
    <d v="2026-01-21T00:00:00"/>
    <d v="2026-01-21T00:00:00"/>
    <x v="1"/>
    <n v="343"/>
    <n v="751"/>
    <x v="7"/>
    <n v="20"/>
    <n v="0.2"/>
  </r>
  <r>
    <n v="33222"/>
    <s v="NOBOA CABRERA GALO HERNAN"/>
    <d v="2026-01-21T00:00:00"/>
    <d v="2026-01-21T00:00:00"/>
    <x v="1"/>
    <n v="343"/>
    <n v="761"/>
    <x v="7"/>
    <n v="10"/>
    <n v="0.1"/>
  </r>
  <r>
    <n v="33222"/>
    <s v="NOBOA CABRERA GALO HERNAN"/>
    <d v="2026-01-21T00:00:00"/>
    <d v="2026-01-21T00:00:00"/>
    <x v="0"/>
    <n v="343"/>
    <n v="761"/>
    <x v="2"/>
    <n v="1.5"/>
    <n v="1.05"/>
  </r>
  <r>
    <n v="33223"/>
    <s v="CRIOLLO ANALUISA GEOVANNY EFRAIN"/>
    <d v="2026-01-21T00:00:00"/>
    <d v="2026-01-21T00:00:00"/>
    <x v="1"/>
    <n v="332"/>
    <n v="1272"/>
    <x v="6"/>
    <n v="6"/>
    <n v="0"/>
  </r>
  <r>
    <n v="33224"/>
    <s v="AREVALO COLCHA CESAR AUGUSTO"/>
    <d v="2026-01-21T00:00:00"/>
    <d v="2026-01-21T00:00:00"/>
    <x v="1"/>
    <n v="307"/>
    <n v="2636"/>
    <x v="5"/>
    <n v="17.87"/>
    <n v="0.36"/>
  </r>
  <r>
    <n v="33224"/>
    <s v="AREVALO COLCHA CESAR AUGUSTO"/>
    <d v="2026-01-21T00:00:00"/>
    <d v="2026-01-21T00:00:00"/>
    <x v="0"/>
    <n v="307"/>
    <n v="2636"/>
    <x v="2"/>
    <n v="2.68"/>
    <n v="1.88"/>
  </r>
  <r>
    <n v="33225"/>
    <s v="TOASA PILAMUNGA HERNAN ISIDRO"/>
    <d v="2026-01-22T00:00:00"/>
    <d v="2026-01-22T00:00:00"/>
    <x v="1"/>
    <n v="307"/>
    <n v="81"/>
    <x v="5"/>
    <n v="100"/>
    <n v="2"/>
  </r>
  <r>
    <n v="33226"/>
    <s v="NOBOA CABRERA GALO HERNAN"/>
    <d v="2026-01-22T00:00:00"/>
    <d v="2026-01-22T00:00:00"/>
    <x v="0"/>
    <n v="343"/>
    <n v="763"/>
    <x v="2"/>
    <n v="1.5"/>
    <n v="1.05"/>
  </r>
  <r>
    <n v="33226"/>
    <s v="NOBOA CABRERA GALO HERNAN"/>
    <d v="2026-01-22T00:00:00"/>
    <d v="2026-01-22T00:00:00"/>
    <x v="1"/>
    <n v="343"/>
    <n v="763"/>
    <x v="7"/>
    <n v="10"/>
    <n v="0.1"/>
  </r>
  <r>
    <n v="33227"/>
    <s v="ORTIZ LOPEZ EDGAR ENRIQUE"/>
    <d v="2026-01-22T00:00:00"/>
    <d v="2026-01-22T00:00:00"/>
    <x v="0"/>
    <n v="307"/>
    <n v="1498"/>
    <x v="2"/>
    <n v="1.8"/>
    <n v="1.26"/>
  </r>
  <r>
    <n v="33227"/>
    <s v="ORTIZ LOPEZ EDGAR ENRIQUE"/>
    <d v="2026-01-22T00:00:00"/>
    <d v="2026-01-22T00:00:00"/>
    <x v="1"/>
    <n v="307"/>
    <n v="1498"/>
    <x v="5"/>
    <n v="12"/>
    <n v="0.24"/>
  </r>
  <r>
    <n v="33228"/>
    <s v="AREVALO COLCHA CESAR AUGUSTO"/>
    <d v="2026-01-22T00:00:00"/>
    <d v="2026-01-22T00:00:00"/>
    <x v="1"/>
    <n v="307"/>
    <n v="2640"/>
    <x v="5"/>
    <n v="17.87"/>
    <n v="0.36"/>
  </r>
  <r>
    <n v="33228"/>
    <s v="AREVALO COLCHA CESAR AUGUSTO"/>
    <d v="2026-01-22T00:00:00"/>
    <d v="2026-01-22T00:00:00"/>
    <x v="0"/>
    <n v="307"/>
    <n v="2640"/>
    <x v="2"/>
    <n v="2.68"/>
    <n v="1.88"/>
  </r>
  <r>
    <n v="33229"/>
    <s v="NOBOA CABRERA GALO HERNAN"/>
    <d v="2026-01-22T00:00:00"/>
    <d v="2026-01-22T00:00:00"/>
    <x v="1"/>
    <n v="343"/>
    <n v="765"/>
    <x v="7"/>
    <n v="20"/>
    <n v="0.2"/>
  </r>
  <r>
    <n v="33229"/>
    <s v="NOBOA CABRERA GALO HERNAN"/>
    <d v="2026-01-22T00:00:00"/>
    <d v="2026-01-22T00:00:00"/>
    <x v="0"/>
    <n v="343"/>
    <n v="765"/>
    <x v="2"/>
    <n v="3"/>
    <n v="2.1"/>
  </r>
  <r>
    <n v="33230"/>
    <s v="NOBOA CABRERA GALO HERNAN"/>
    <d v="2026-01-22T00:00:00"/>
    <d v="2026-01-22T00:00:00"/>
    <x v="1"/>
    <n v="343"/>
    <n v="769"/>
    <x v="7"/>
    <n v="8"/>
    <n v="0.08"/>
  </r>
  <r>
    <n v="33230"/>
    <s v="NOBOA CABRERA GALO HERNAN"/>
    <d v="2026-01-22T00:00:00"/>
    <d v="2026-01-22T00:00:00"/>
    <x v="0"/>
    <n v="343"/>
    <n v="769"/>
    <x v="2"/>
    <n v="1.2"/>
    <n v="0.84"/>
  </r>
  <r>
    <n v="33231"/>
    <s v="CRIOLLO ANALUISA GEOVANNY EFRAIN"/>
    <d v="2026-01-22T00:00:00"/>
    <d v="2026-01-22T00:00:00"/>
    <x v="1"/>
    <n v="332"/>
    <n v="1275"/>
    <x v="6"/>
    <n v="20"/>
    <n v="0"/>
  </r>
  <r>
    <n v="33232"/>
    <s v="ORTIZ LOPEZ EDGAR ENRIQUE"/>
    <d v="2026-01-22T00:00:00"/>
    <d v="2026-01-22T00:00:00"/>
    <x v="1"/>
    <n v="307"/>
    <n v="1497"/>
    <x v="5"/>
    <n v="6"/>
    <n v="0.12"/>
  </r>
  <r>
    <n v="33232"/>
    <s v="ORTIZ LOPEZ EDGAR ENRIQUE"/>
    <d v="2026-01-22T00:00:00"/>
    <d v="2026-01-22T00:00:00"/>
    <x v="0"/>
    <n v="307"/>
    <n v="1497"/>
    <x v="2"/>
    <n v="0.9"/>
    <n v="0.63"/>
  </r>
  <r>
    <n v="33233"/>
    <s v="MONTALVO POVEDA IVETTE ANDREA"/>
    <d v="2026-01-22T00:00:00"/>
    <d v="2026-01-22T00:00:00"/>
    <x v="1"/>
    <n v="312"/>
    <n v="240"/>
    <x v="1"/>
    <n v="100"/>
    <n v="1.75"/>
  </r>
  <r>
    <n v="33234"/>
    <s v="NOBOA CABRERA GALO HERNAN"/>
    <d v="2026-01-22T00:00:00"/>
    <d v="2026-01-22T00:00:00"/>
    <x v="1"/>
    <n v="343"/>
    <n v="766"/>
    <x v="7"/>
    <n v="10"/>
    <n v="0.1"/>
  </r>
  <r>
    <n v="33234"/>
    <s v="NOBOA CABRERA GALO HERNAN"/>
    <d v="2026-01-22T00:00:00"/>
    <d v="2026-01-22T00:00:00"/>
    <x v="0"/>
    <n v="343"/>
    <n v="766"/>
    <x v="2"/>
    <n v="1.5"/>
    <n v="1.05"/>
  </r>
  <r>
    <n v="33235"/>
    <s v="CHAVEZ ZULA ZOILA"/>
    <d v="2026-01-22T00:00:00"/>
    <d v="2026-01-22T00:00:00"/>
    <x v="1"/>
    <n v="332"/>
    <n v="627"/>
    <x v="6"/>
    <n v="10"/>
    <n v="0"/>
  </r>
  <r>
    <n v="33236"/>
    <s v="GOMEZ CORDOVA EDWIN ROLANDO"/>
    <d v="2026-01-22T00:00:00"/>
    <d v="2026-01-22T00:00:00"/>
    <x v="1"/>
    <n v="343"/>
    <n v="627"/>
    <x v="7"/>
    <n v="201.05"/>
    <n v="2.0099999999999998"/>
  </r>
  <r>
    <n v="33237"/>
    <s v="YANGTSE-AUTO DEL ECUADOR S.A."/>
    <d v="2026-01-22T00:00:00"/>
    <d v="2026-01-22T00:00:00"/>
    <x v="1"/>
    <n v="312"/>
    <n v="558"/>
    <x v="1"/>
    <n v="11.4"/>
    <n v="0.2"/>
  </r>
  <r>
    <n v="33237"/>
    <s v="YANGTSE-AUTO DEL ECUADOR S.A."/>
    <d v="2026-01-22T00:00:00"/>
    <d v="2026-01-22T00:00:00"/>
    <x v="0"/>
    <n v="312"/>
    <n v="558"/>
    <x v="0"/>
    <n v="1.71"/>
    <n v="0.51"/>
  </r>
  <r>
    <n v="33238"/>
    <s v="IMPORTADORA AUDIO-ALARMAS AUDA S.A."/>
    <d v="2026-01-22T00:00:00"/>
    <d v="2026-01-22T00:00:00"/>
    <x v="0"/>
    <n v="312"/>
    <n v="4700"/>
    <x v="0"/>
    <n v="309"/>
    <n v="92.7"/>
  </r>
  <r>
    <n v="33238"/>
    <s v="IMPORTADORA AUDIO-ALARMAS AUDA S.A."/>
    <d v="2026-01-22T00:00:00"/>
    <d v="2026-01-22T00:00:00"/>
    <x v="1"/>
    <n v="312"/>
    <n v="4700"/>
    <x v="1"/>
    <n v="2060"/>
    <n v="36.049999999999997"/>
  </r>
  <r>
    <n v="33239"/>
    <s v="ORTIZ LOPEZ EDGAR ENRIQUE"/>
    <d v="2026-01-22T00:00:00"/>
    <d v="2026-01-22T00:00:00"/>
    <x v="0"/>
    <n v="307"/>
    <n v="1496"/>
    <x v="2"/>
    <n v="0.9"/>
    <n v="0.63"/>
  </r>
  <r>
    <n v="33239"/>
    <s v="ORTIZ LOPEZ EDGAR ENRIQUE"/>
    <d v="2026-01-22T00:00:00"/>
    <d v="2026-01-22T00:00:00"/>
    <x v="1"/>
    <n v="307"/>
    <n v="1496"/>
    <x v="5"/>
    <n v="6"/>
    <n v="0.12"/>
  </r>
  <r>
    <n v="33240"/>
    <s v="ORTIZ LOPEZ EDGAR ENRIQUE"/>
    <d v="2026-01-22T00:00:00"/>
    <d v="2026-01-22T00:00:00"/>
    <x v="1"/>
    <n v="307"/>
    <n v="1500"/>
    <x v="5"/>
    <n v="10"/>
    <n v="0.2"/>
  </r>
  <r>
    <n v="33240"/>
    <s v="ORTIZ LOPEZ EDGAR ENRIQUE"/>
    <d v="2026-01-22T00:00:00"/>
    <d v="2026-01-22T00:00:00"/>
    <x v="0"/>
    <n v="307"/>
    <n v="1500"/>
    <x v="2"/>
    <n v="1.5"/>
    <n v="1.05"/>
  </r>
  <r>
    <n v="33241"/>
    <s v="NOBOA CABRERA GALO HERNAN"/>
    <d v="2026-01-22T00:00:00"/>
    <d v="2026-01-22T00:00:00"/>
    <x v="1"/>
    <n v="343"/>
    <n v="767"/>
    <x v="7"/>
    <n v="20"/>
    <n v="0.2"/>
  </r>
  <r>
    <n v="33241"/>
    <s v="NOBOA CABRERA GALO HERNAN"/>
    <d v="2026-01-22T00:00:00"/>
    <d v="2026-01-22T00:00:00"/>
    <x v="0"/>
    <n v="343"/>
    <n v="767"/>
    <x v="2"/>
    <n v="3"/>
    <n v="2.1"/>
  </r>
  <r>
    <n v="33242"/>
    <s v="ORTIZ LOPEZ EDGAR ENRIQUE"/>
    <d v="2026-01-22T00:00:00"/>
    <d v="2026-01-22T00:00:00"/>
    <x v="1"/>
    <n v="307"/>
    <n v="1495"/>
    <x v="5"/>
    <n v="10"/>
    <n v="0.2"/>
  </r>
  <r>
    <n v="33242"/>
    <s v="ORTIZ LOPEZ EDGAR ENRIQUE"/>
    <d v="2026-01-22T00:00:00"/>
    <d v="2026-01-22T00:00:00"/>
    <x v="0"/>
    <n v="307"/>
    <n v="1495"/>
    <x v="2"/>
    <n v="1.5"/>
    <n v="1.05"/>
  </r>
  <r>
    <n v="33243"/>
    <s v="ORTIZ LOPEZ EDGAR ENRIQUE"/>
    <d v="2026-01-22T00:00:00"/>
    <d v="2026-01-22T00:00:00"/>
    <x v="1"/>
    <n v="307"/>
    <n v="1499"/>
    <x v="5"/>
    <n v="10"/>
    <n v="0.2"/>
  </r>
  <r>
    <n v="33243"/>
    <s v="ORTIZ LOPEZ EDGAR ENRIQUE"/>
    <d v="2026-01-22T00:00:00"/>
    <d v="2026-01-22T00:00:00"/>
    <x v="0"/>
    <n v="307"/>
    <n v="1499"/>
    <x v="2"/>
    <n v="1.5"/>
    <n v="1.05"/>
  </r>
  <r>
    <n v="33244"/>
    <s v="MONTALVO POVEDA IVETTE ANDREA"/>
    <d v="2026-01-22T00:00:00"/>
    <d v="2026-01-21T00:00:00"/>
    <x v="1"/>
    <n v="312"/>
    <n v="238"/>
    <x v="1"/>
    <n v="100"/>
    <n v="1.75"/>
  </r>
  <r>
    <n v="33245"/>
    <s v="CRIOLLO ANALUISA GEOVANNY EFRAIN"/>
    <d v="2026-01-22T00:00:00"/>
    <d v="2026-01-22T00:00:00"/>
    <x v="1"/>
    <n v="332"/>
    <n v="1276"/>
    <x v="6"/>
    <n v="28"/>
    <n v="0"/>
  </r>
  <r>
    <n v="33246"/>
    <s v="VARGAS TORRES WALTTER DARIO"/>
    <d v="2026-01-22T00:00:00"/>
    <d v="2026-01-22T00:00:00"/>
    <x v="1"/>
    <n v="312"/>
    <n v="31673"/>
    <x v="1"/>
    <n v="200"/>
    <n v="3.5"/>
  </r>
  <r>
    <n v="33246"/>
    <s v="VARGAS TORRES WALTTER DARIO"/>
    <d v="2026-01-22T00:00:00"/>
    <d v="2026-01-22T00:00:00"/>
    <x v="0"/>
    <n v="312"/>
    <n v="31673"/>
    <x v="0"/>
    <n v="30"/>
    <n v="9"/>
  </r>
  <r>
    <n v="33247"/>
    <s v="NOBOA CABRERA GALO HERNAN"/>
    <d v="2026-01-22T00:00:00"/>
    <d v="2026-01-22T00:00:00"/>
    <x v="1"/>
    <n v="343"/>
    <n v="762"/>
    <x v="7"/>
    <n v="20"/>
    <n v="0.2"/>
  </r>
  <r>
    <n v="33247"/>
    <s v="NOBOA CABRERA GALO HERNAN"/>
    <d v="2026-01-22T00:00:00"/>
    <d v="2026-01-22T00:00:00"/>
    <x v="0"/>
    <n v="343"/>
    <n v="762"/>
    <x v="2"/>
    <n v="3"/>
    <n v="2.1"/>
  </r>
  <r>
    <n v="33248"/>
    <s v="CHAVEZ ZULA ZOILA"/>
    <d v="2026-01-22T00:00:00"/>
    <d v="2026-01-22T00:00:00"/>
    <x v="1"/>
    <n v="332"/>
    <n v="629"/>
    <x v="6"/>
    <n v="10"/>
    <n v="0"/>
  </r>
  <r>
    <n v="33249"/>
    <s v="PAEZ ORTIZ CHRISTIAN GONZALO"/>
    <d v="2026-01-23T00:00:00"/>
    <d v="2026-01-23T00:00:00"/>
    <x v="1"/>
    <n v="312"/>
    <n v="3579"/>
    <x v="1"/>
    <n v="60"/>
    <n v="1.05"/>
  </r>
  <r>
    <n v="33249"/>
    <s v="PAEZ ORTIZ CHRISTIAN GONZALO"/>
    <d v="2026-01-23T00:00:00"/>
    <d v="2026-01-23T00:00:00"/>
    <x v="0"/>
    <n v="312"/>
    <n v="3579"/>
    <x v="0"/>
    <n v="9"/>
    <n v="2.7"/>
  </r>
  <r>
    <n v="33250"/>
    <s v="NOBOA CABRERA GALO HERNAN"/>
    <d v="2026-01-23T00:00:00"/>
    <d v="2026-01-23T00:00:00"/>
    <x v="1"/>
    <n v="343"/>
    <n v="773"/>
    <x v="7"/>
    <n v="15"/>
    <n v="0.15"/>
  </r>
  <r>
    <n v="33250"/>
    <s v="NOBOA CABRERA GALO HERNAN"/>
    <d v="2026-01-23T00:00:00"/>
    <d v="2026-01-23T00:00:00"/>
    <x v="0"/>
    <n v="343"/>
    <n v="773"/>
    <x v="2"/>
    <n v="2.25"/>
    <n v="1.58"/>
  </r>
  <r>
    <n v="33251"/>
    <s v="CRIOLLO ANALUISA GEOVANNY EFRAIN"/>
    <d v="2026-01-23T00:00:00"/>
    <d v="2026-01-23T00:00:00"/>
    <x v="1"/>
    <n v="332"/>
    <n v="1279"/>
    <x v="6"/>
    <n v="20"/>
    <n v="0"/>
  </r>
  <r>
    <n v="33252"/>
    <s v="ORTIZ LOPEZ EDGAR ENRIQUE"/>
    <d v="2026-01-23T00:00:00"/>
    <d v="2026-01-23T00:00:00"/>
    <x v="0"/>
    <n v="307"/>
    <n v="1501"/>
    <x v="2"/>
    <n v="1.5"/>
    <n v="1.05"/>
  </r>
  <r>
    <n v="33252"/>
    <s v="ORTIZ LOPEZ EDGAR ENRIQUE"/>
    <d v="2026-01-23T00:00:00"/>
    <d v="2026-01-23T00:00:00"/>
    <x v="1"/>
    <n v="307"/>
    <n v="1501"/>
    <x v="5"/>
    <n v="10"/>
    <n v="0.2"/>
  </r>
  <r>
    <n v="33253"/>
    <s v="PAEZ ORTIZ CHRISTIAN GONZALO"/>
    <d v="2026-01-23T00:00:00"/>
    <d v="2026-01-23T00:00:00"/>
    <x v="1"/>
    <n v="312"/>
    <n v="3580"/>
    <x v="1"/>
    <n v="60"/>
    <n v="1.05"/>
  </r>
  <r>
    <n v="33253"/>
    <s v="PAEZ ORTIZ CHRISTIAN GONZALO"/>
    <d v="2026-01-23T00:00:00"/>
    <d v="2026-01-23T00:00:00"/>
    <x v="0"/>
    <n v="312"/>
    <n v="3580"/>
    <x v="0"/>
    <n v="9"/>
    <n v="2.7"/>
  </r>
  <r>
    <n v="33254"/>
    <s v="COMONTEKSA S A"/>
    <d v="2026-01-23T00:00:00"/>
    <d v="2026-01-23T00:00:00"/>
    <x v="1"/>
    <n v="312"/>
    <n v="7347"/>
    <x v="1"/>
    <n v="105"/>
    <n v="1.84"/>
  </r>
  <r>
    <n v="33254"/>
    <s v="COMONTEKSA S A"/>
    <d v="2026-01-23T00:00:00"/>
    <d v="2026-01-23T00:00:00"/>
    <x v="0"/>
    <n v="312"/>
    <n v="7347"/>
    <x v="0"/>
    <n v="15.75"/>
    <n v="4.7300000000000004"/>
  </r>
  <r>
    <n v="33255"/>
    <s v="CERON CORDOVA JUAN SEBASTIAN"/>
    <d v="2026-01-23T00:00:00"/>
    <d v="2026-01-23T00:00:00"/>
    <x v="1"/>
    <n v="332"/>
    <n v="1755"/>
    <x v="6"/>
    <n v="7"/>
    <n v="0"/>
  </r>
  <r>
    <n v="33256"/>
    <s v="CRIOLLO ANALUISA GEOVANNY EFRAIN"/>
    <d v="2026-01-23T00:00:00"/>
    <d v="2026-01-23T00:00:00"/>
    <x v="1"/>
    <n v="332"/>
    <n v="1277"/>
    <x v="6"/>
    <n v="20"/>
    <n v="0"/>
  </r>
  <r>
    <n v="33257"/>
    <s v="PINTURAS VERDESOTO CIA. LTDA."/>
    <d v="2026-01-23T00:00:00"/>
    <d v="2026-01-23T00:00:00"/>
    <x v="0"/>
    <n v="312"/>
    <n v="164842"/>
    <x v="0"/>
    <n v="17.68"/>
    <n v="5.3"/>
  </r>
  <r>
    <n v="33257"/>
    <s v="PINTURAS VERDESOTO CIA. LTDA."/>
    <d v="2026-01-23T00:00:00"/>
    <d v="2026-01-23T00:00:00"/>
    <x v="1"/>
    <n v="312"/>
    <n v="164842"/>
    <x v="1"/>
    <n v="117.86"/>
    <n v="2.06"/>
  </r>
  <r>
    <n v="33258"/>
    <s v="NOBOA CABRERA GALO HERNAN"/>
    <d v="2026-01-23T00:00:00"/>
    <d v="2026-01-23T00:00:00"/>
    <x v="0"/>
    <n v="343"/>
    <n v="771"/>
    <x v="2"/>
    <n v="3.75"/>
    <n v="2.63"/>
  </r>
  <r>
    <n v="33258"/>
    <s v="NOBOA CABRERA GALO HERNAN"/>
    <d v="2026-01-23T00:00:00"/>
    <d v="2026-01-23T00:00:00"/>
    <x v="1"/>
    <n v="343"/>
    <n v="771"/>
    <x v="7"/>
    <n v="25"/>
    <n v="0.25"/>
  </r>
  <r>
    <n v="33259"/>
    <s v="CRIOLLO ANALUISA GEOVANNY EFRAIN"/>
    <d v="2026-01-23T00:00:00"/>
    <d v="2026-01-23T00:00:00"/>
    <x v="1"/>
    <n v="332"/>
    <n v="1281"/>
    <x v="6"/>
    <n v="20"/>
    <n v="0"/>
  </r>
  <r>
    <n v="33260"/>
    <s v="ORTIZ LOPEZ EDGAR ENRIQUE"/>
    <d v="2026-01-23T00:00:00"/>
    <d v="2026-01-23T00:00:00"/>
    <x v="0"/>
    <n v="307"/>
    <n v="1502"/>
    <x v="2"/>
    <n v="1.5"/>
    <n v="1.05"/>
  </r>
  <r>
    <n v="33260"/>
    <s v="ORTIZ LOPEZ EDGAR ENRIQUE"/>
    <d v="2026-01-23T00:00:00"/>
    <d v="2026-01-23T00:00:00"/>
    <x v="1"/>
    <n v="307"/>
    <n v="1502"/>
    <x v="5"/>
    <n v="10"/>
    <n v="0.2"/>
  </r>
  <r>
    <n v="33261"/>
    <s v="PAEZ ORTIZ CHRISTIAN GONZALO"/>
    <d v="2026-01-23T00:00:00"/>
    <d v="2026-01-23T00:00:00"/>
    <x v="1"/>
    <n v="312"/>
    <n v="3585"/>
    <x v="1"/>
    <n v="15"/>
    <n v="0.26"/>
  </r>
  <r>
    <n v="33261"/>
    <s v="PAEZ ORTIZ CHRISTIAN GONZALO"/>
    <d v="2026-01-23T00:00:00"/>
    <d v="2026-01-23T00:00:00"/>
    <x v="0"/>
    <n v="312"/>
    <n v="3585"/>
    <x v="0"/>
    <n v="2.25"/>
    <n v="0.68"/>
  </r>
  <r>
    <n v="33262"/>
    <s v="BEDON VACA JOSE LUIS"/>
    <d v="2026-01-23T00:00:00"/>
    <d v="2026-01-23T00:00:00"/>
    <x v="1"/>
    <n v="312"/>
    <n v="167"/>
    <x v="1"/>
    <n v="176.09"/>
    <n v="3.08"/>
  </r>
  <r>
    <n v="33262"/>
    <s v="BEDON VACA JOSE LUIS"/>
    <d v="2026-01-23T00:00:00"/>
    <d v="2026-01-23T00:00:00"/>
    <x v="0"/>
    <n v="312"/>
    <n v="167"/>
    <x v="0"/>
    <n v="26.41"/>
    <n v="7.92"/>
  </r>
  <r>
    <n v="33263"/>
    <s v="NOBOA CABRERA GALO HERNAN"/>
    <d v="2026-01-23T00:00:00"/>
    <d v="2026-01-23T00:00:00"/>
    <x v="1"/>
    <n v="343"/>
    <n v="772"/>
    <x v="7"/>
    <n v="20"/>
    <n v="0.2"/>
  </r>
  <r>
    <n v="33263"/>
    <s v="NOBOA CABRERA GALO HERNAN"/>
    <d v="2026-01-23T00:00:00"/>
    <d v="2026-01-23T00:00:00"/>
    <x v="0"/>
    <n v="343"/>
    <n v="772"/>
    <x v="2"/>
    <n v="3"/>
    <n v="2.1"/>
  </r>
  <r>
    <n v="33264"/>
    <s v="ORTIZ LOPEZ EDGAR ENRIQUE"/>
    <d v="2026-01-23T00:00:00"/>
    <d v="2026-01-23T00:00:00"/>
    <x v="1"/>
    <n v="307"/>
    <n v="1505"/>
    <x v="5"/>
    <n v="10"/>
    <n v="0.2"/>
  </r>
  <r>
    <n v="33264"/>
    <s v="ORTIZ LOPEZ EDGAR ENRIQUE"/>
    <d v="2026-01-23T00:00:00"/>
    <d v="2026-01-23T00:00:00"/>
    <x v="0"/>
    <n v="307"/>
    <n v="1505"/>
    <x v="2"/>
    <n v="1.5"/>
    <n v="1.05"/>
  </r>
  <r>
    <n v="33265"/>
    <s v="PROANO COBO NELLY MARGOT"/>
    <d v="2026-01-23T00:00:00"/>
    <d v="2026-01-23T00:00:00"/>
    <x v="1"/>
    <n v="332"/>
    <n v="203"/>
    <x v="6"/>
    <n v="93.26"/>
    <n v="0"/>
  </r>
  <r>
    <n v="33266"/>
    <s v="CERON CORDOVA JUAN SEBASTIAN"/>
    <d v="2026-01-23T00:00:00"/>
    <d v="2026-01-23T00:00:00"/>
    <x v="1"/>
    <n v="332"/>
    <n v="1756"/>
    <x v="6"/>
    <n v="18"/>
    <n v="0"/>
  </r>
  <r>
    <n v="33267"/>
    <s v="CRIOLLO ANALUISA GEOVANNY EFRAIN"/>
    <d v="2026-01-23T00:00:00"/>
    <d v="2026-01-23T00:00:00"/>
    <x v="1"/>
    <n v="332"/>
    <n v="1278"/>
    <x v="6"/>
    <n v="6"/>
    <n v="0"/>
  </r>
  <r>
    <n v="33268"/>
    <s v="CRIOLLO ANALUISA GEOVANNY EFRAIN"/>
    <d v="2026-01-23T00:00:00"/>
    <d v="2026-01-23T00:00:00"/>
    <x v="1"/>
    <n v="332"/>
    <n v="1280"/>
    <x v="6"/>
    <n v="20"/>
    <n v="0"/>
  </r>
  <r>
    <n v="33269"/>
    <s v="ORTIZ LOPEZ EDGAR ENRIQUE"/>
    <d v="2026-01-23T00:00:00"/>
    <d v="2026-01-23T00:00:00"/>
    <x v="1"/>
    <n v="307"/>
    <n v="1503"/>
    <x v="5"/>
    <n v="10"/>
    <n v="0.2"/>
  </r>
  <r>
    <n v="33269"/>
    <s v="ORTIZ LOPEZ EDGAR ENRIQUE"/>
    <d v="2026-01-23T00:00:00"/>
    <d v="2026-01-23T00:00:00"/>
    <x v="0"/>
    <n v="307"/>
    <n v="1503"/>
    <x v="2"/>
    <n v="1.5"/>
    <n v="1.05"/>
  </r>
  <r>
    <n v="33270"/>
    <s v="QUISINTUNA MASABANDA MARCO ROBALINO"/>
    <d v="2026-01-23T00:00:00"/>
    <d v="2026-01-23T00:00:00"/>
    <x v="1"/>
    <n v="312"/>
    <n v="392"/>
    <x v="1"/>
    <n v="490.86"/>
    <n v="8.59"/>
  </r>
  <r>
    <n v="33270"/>
    <s v="QUISINTUNA MASABANDA MARCO ROBALINO"/>
    <d v="2026-01-23T00:00:00"/>
    <d v="2026-01-23T00:00:00"/>
    <x v="0"/>
    <n v="312"/>
    <n v="392"/>
    <x v="0"/>
    <n v="73.63"/>
    <n v="22.09"/>
  </r>
  <r>
    <n v="33271"/>
    <s v="CRIOLLO ANALUISA GEOVANNY EFRAIN"/>
    <d v="2026-01-24T00:00:00"/>
    <d v="2026-01-24T00:00:00"/>
    <x v="1"/>
    <n v="332"/>
    <n v="1285"/>
    <x v="6"/>
    <n v="20"/>
    <n v="0"/>
  </r>
  <r>
    <n v="33272"/>
    <s v="ORTIZ LOPEZ EDGAR ENRIQUE"/>
    <d v="2026-01-24T00:00:00"/>
    <d v="2026-01-24T00:00:00"/>
    <x v="0"/>
    <n v="307"/>
    <n v="1509"/>
    <x v="2"/>
    <n v="1.5"/>
    <n v="1.05"/>
  </r>
  <r>
    <n v="33272"/>
    <s v="ORTIZ LOPEZ EDGAR ENRIQUE"/>
    <d v="2026-01-24T00:00:00"/>
    <d v="2026-01-24T00:00:00"/>
    <x v="1"/>
    <n v="307"/>
    <n v="1509"/>
    <x v="5"/>
    <n v="10"/>
    <n v="0.2"/>
  </r>
  <r>
    <n v="33273"/>
    <s v="YANGTSE-AUTO DEL ECUADOR S.A."/>
    <d v="2026-01-24T00:00:00"/>
    <d v="2026-01-24T00:00:00"/>
    <x v="0"/>
    <n v="312"/>
    <n v="565"/>
    <x v="0"/>
    <n v="0.54"/>
    <n v="0.16"/>
  </r>
  <r>
    <n v="33273"/>
    <s v="YANGTSE-AUTO DEL ECUADOR S.A."/>
    <d v="2026-01-24T00:00:00"/>
    <d v="2026-01-24T00:00:00"/>
    <x v="1"/>
    <n v="312"/>
    <n v="565"/>
    <x v="1"/>
    <n v="3.59"/>
    <n v="0.06"/>
  </r>
  <r>
    <n v="33274"/>
    <s v="CRIOLLO ANALUISA GEOVANNY EFRAIN"/>
    <d v="2026-01-24T00:00:00"/>
    <d v="2026-01-24T00:00:00"/>
    <x v="1"/>
    <n v="332"/>
    <n v="1284"/>
    <x v="6"/>
    <n v="20"/>
    <n v="0"/>
  </r>
  <r>
    <n v="33275"/>
    <s v="ORTIZ LOPEZ EDGAR ENRIQUE"/>
    <d v="2026-01-24T00:00:00"/>
    <d v="2026-01-24T00:00:00"/>
    <x v="1"/>
    <n v="307"/>
    <n v="1508"/>
    <x v="5"/>
    <n v="6"/>
    <n v="0.12"/>
  </r>
  <r>
    <n v="33275"/>
    <s v="ORTIZ LOPEZ EDGAR ENRIQUE"/>
    <d v="2026-01-24T00:00:00"/>
    <d v="2026-01-24T00:00:00"/>
    <x v="0"/>
    <n v="307"/>
    <n v="1508"/>
    <x v="2"/>
    <n v="0.9"/>
    <n v="0.63"/>
  </r>
  <r>
    <n v="33276"/>
    <s v="ORTIZ LOPEZ EDGAR ENRIQUE"/>
    <d v="2026-01-24T00:00:00"/>
    <d v="2026-01-24T00:00:00"/>
    <x v="1"/>
    <n v="307"/>
    <n v="1507"/>
    <x v="5"/>
    <n v="6"/>
    <n v="0.12"/>
  </r>
  <r>
    <n v="33276"/>
    <s v="ORTIZ LOPEZ EDGAR ENRIQUE"/>
    <d v="2026-01-24T00:00:00"/>
    <d v="2026-01-24T00:00:00"/>
    <x v="0"/>
    <n v="307"/>
    <n v="1507"/>
    <x v="2"/>
    <n v="0.9"/>
    <n v="0.63"/>
  </r>
  <r>
    <n v="33277"/>
    <s v="FILTROFAST CIA.LTDA."/>
    <d v="2026-01-24T00:00:00"/>
    <d v="2026-01-24T00:00:00"/>
    <x v="1"/>
    <n v="312"/>
    <n v="33279"/>
    <x v="1"/>
    <n v="235.32"/>
    <n v="4.12"/>
  </r>
  <r>
    <n v="33277"/>
    <s v="FILTROFAST CIA.LTDA."/>
    <d v="2026-01-24T00:00:00"/>
    <d v="2026-01-24T00:00:00"/>
    <x v="0"/>
    <n v="312"/>
    <n v="33279"/>
    <x v="0"/>
    <n v="35.299999999999997"/>
    <n v="10.59"/>
  </r>
  <r>
    <n v="33278"/>
    <s v="CRIOLLO ANALUISA GEOVANNY EFRAIN"/>
    <d v="2026-01-24T00:00:00"/>
    <d v="2026-01-24T00:00:00"/>
    <x v="1"/>
    <n v="332"/>
    <n v="1283"/>
    <x v="6"/>
    <n v="11"/>
    <n v="0"/>
  </r>
  <r>
    <n v="33279"/>
    <s v="CRIOLLO ANALUISA GEOVANNY EFRAIN"/>
    <d v="2026-01-26T00:00:00"/>
    <d v="2026-01-26T00:00:00"/>
    <x v="1"/>
    <n v="332"/>
    <n v="1286"/>
    <x v="6"/>
    <n v="20"/>
    <n v="0"/>
  </r>
  <r>
    <n v="33280"/>
    <s v="CHAVEZ ZULA ZOILA"/>
    <d v="2026-01-26T00:00:00"/>
    <d v="2026-01-26T00:00:00"/>
    <x v="1"/>
    <n v="332"/>
    <n v="631"/>
    <x v="6"/>
    <n v="12"/>
    <n v="0"/>
  </r>
  <r>
    <n v="33281"/>
    <s v="AREVALO COLCHA CESAR AUGUSTO"/>
    <d v="2026-01-26T00:00:00"/>
    <d v="2026-01-26T00:00:00"/>
    <x v="0"/>
    <n v="307"/>
    <n v="2651"/>
    <x v="2"/>
    <n v="2.68"/>
    <n v="1.88"/>
  </r>
  <r>
    <n v="33281"/>
    <s v="AREVALO COLCHA CESAR AUGUSTO"/>
    <d v="2026-01-26T00:00:00"/>
    <d v="2026-01-26T00:00:00"/>
    <x v="1"/>
    <n v="307"/>
    <n v="2651"/>
    <x v="5"/>
    <n v="17.87"/>
    <n v="0.36"/>
  </r>
  <r>
    <n v="33282"/>
    <s v="LOPEZ PACA EDWIN MARCELO"/>
    <d v="2026-01-26T00:00:00"/>
    <d v="2026-01-26T00:00:00"/>
    <x v="1"/>
    <n v="307"/>
    <n v="372"/>
    <x v="5"/>
    <n v="24"/>
    <n v="0.48"/>
  </r>
  <r>
    <n v="33283"/>
    <s v="CERON CORDOVA JUAN SEBASTIAN"/>
    <d v="2026-01-26T00:00:00"/>
    <d v="2026-01-26T00:00:00"/>
    <x v="1"/>
    <n v="332"/>
    <n v="1765"/>
    <x v="6"/>
    <n v="150"/>
    <n v="0"/>
  </r>
  <r>
    <n v="33284"/>
    <s v="CERON CORDOVA JUAN SEBASTIAN"/>
    <d v="2026-01-26T00:00:00"/>
    <d v="2026-01-26T00:00:00"/>
    <x v="1"/>
    <n v="332"/>
    <n v="1767"/>
    <x v="6"/>
    <n v="75"/>
    <n v="0"/>
  </r>
  <r>
    <n v="33285"/>
    <s v="NOBOA CABRERA GALO HERNAN"/>
    <d v="2026-01-26T00:00:00"/>
    <d v="2026-01-26T00:00:00"/>
    <x v="1"/>
    <n v="343"/>
    <n v="776"/>
    <x v="7"/>
    <n v="12"/>
    <n v="0.12"/>
  </r>
  <r>
    <n v="33285"/>
    <s v="NOBOA CABRERA GALO HERNAN"/>
    <d v="2026-01-26T00:00:00"/>
    <d v="2026-01-26T00:00:00"/>
    <x v="0"/>
    <n v="343"/>
    <n v="776"/>
    <x v="2"/>
    <n v="1.8"/>
    <n v="1.26"/>
  </r>
  <r>
    <n v="33286"/>
    <s v="NOBOA CABRERA GALO HERNAN"/>
    <d v="2026-01-26T00:00:00"/>
    <d v="2026-01-26T00:00:00"/>
    <x v="0"/>
    <n v="343"/>
    <n v="777"/>
    <x v="2"/>
    <n v="1.5"/>
    <n v="1.05"/>
  </r>
  <r>
    <n v="33286"/>
    <s v="NOBOA CABRERA GALO HERNAN"/>
    <d v="2026-01-26T00:00:00"/>
    <d v="2026-01-26T00:00:00"/>
    <x v="1"/>
    <n v="343"/>
    <n v="777"/>
    <x v="7"/>
    <n v="10"/>
    <n v="0.1"/>
  </r>
  <r>
    <n v="33287"/>
    <s v="CERON CORDOVA JUAN SEBASTIAN"/>
    <d v="2026-01-26T00:00:00"/>
    <d v="2026-01-26T00:00:00"/>
    <x v="1"/>
    <n v="332"/>
    <n v="1762"/>
    <x v="6"/>
    <n v="18"/>
    <n v="0"/>
  </r>
  <r>
    <n v="33288"/>
    <s v="CERON CORDOVA JUAN SEBASTIAN"/>
    <d v="2026-01-26T00:00:00"/>
    <d v="2026-01-26T00:00:00"/>
    <x v="1"/>
    <n v="332"/>
    <n v="1763"/>
    <x v="6"/>
    <n v="24"/>
    <n v="0"/>
  </r>
  <r>
    <n v="33289"/>
    <s v="AREVALO COLCHA CESAR AUGUSTO"/>
    <d v="2026-01-26T00:00:00"/>
    <d v="2026-01-26T00:00:00"/>
    <x v="0"/>
    <n v="307"/>
    <n v="2652"/>
    <x v="2"/>
    <n v="2.68"/>
    <n v="1.88"/>
  </r>
  <r>
    <n v="33289"/>
    <s v="AREVALO COLCHA CESAR AUGUSTO"/>
    <d v="2026-01-26T00:00:00"/>
    <d v="2026-01-26T00:00:00"/>
    <x v="1"/>
    <n v="307"/>
    <n v="2652"/>
    <x v="5"/>
    <n v="17.87"/>
    <n v="0.36"/>
  </r>
  <r>
    <n v="33290"/>
    <s v="CERON CORDOVA JUAN SEBASTIAN"/>
    <d v="2026-01-26T00:00:00"/>
    <d v="2026-01-26T00:00:00"/>
    <x v="1"/>
    <n v="332"/>
    <n v="1768"/>
    <x v="6"/>
    <n v="8"/>
    <n v="0"/>
  </r>
  <r>
    <n v="33291"/>
    <s v="AREVALO COLCHA CESAR AUGUSTO"/>
    <d v="2026-01-26T00:00:00"/>
    <d v="2026-01-26T00:00:00"/>
    <x v="1"/>
    <n v="307"/>
    <n v="2647"/>
    <x v="5"/>
    <n v="17.87"/>
    <n v="0.36"/>
  </r>
  <r>
    <n v="33291"/>
    <s v="AREVALO COLCHA CESAR AUGUSTO"/>
    <d v="2026-01-26T00:00:00"/>
    <d v="2026-01-26T00:00:00"/>
    <x v="0"/>
    <n v="307"/>
    <n v="2647"/>
    <x v="2"/>
    <n v="2.68"/>
    <n v="1.88"/>
  </r>
  <r>
    <n v="33292"/>
    <s v="CERON CORDOVA JUAN SEBASTIAN"/>
    <d v="2026-01-26T00:00:00"/>
    <d v="2026-01-26T00:00:00"/>
    <x v="1"/>
    <n v="332"/>
    <n v="1764"/>
    <x v="6"/>
    <n v="18"/>
    <n v="0"/>
  </r>
  <r>
    <n v="33293"/>
    <s v="ORTIZ LOPEZ EDGAR ENRIQUE"/>
    <d v="2026-01-26T00:00:00"/>
    <d v="2026-01-26T00:00:00"/>
    <x v="0"/>
    <n v="307"/>
    <n v="1510"/>
    <x v="2"/>
    <n v="1.5"/>
    <n v="1.05"/>
  </r>
  <r>
    <n v="33293"/>
    <s v="ORTIZ LOPEZ EDGAR ENRIQUE"/>
    <d v="2026-01-26T00:00:00"/>
    <d v="2026-01-26T00:00:00"/>
    <x v="1"/>
    <n v="307"/>
    <n v="1510"/>
    <x v="5"/>
    <n v="10"/>
    <n v="0.2"/>
  </r>
  <r>
    <n v="33294"/>
    <s v="ORTIZ LOPEZ EDGAR ENRIQUE"/>
    <d v="2026-01-27T00:00:00"/>
    <d v="2026-01-27T00:00:00"/>
    <x v="0"/>
    <n v="307"/>
    <n v="1514"/>
    <x v="2"/>
    <n v="1.5"/>
    <n v="1.05"/>
  </r>
  <r>
    <n v="33294"/>
    <s v="ORTIZ LOPEZ EDGAR ENRIQUE"/>
    <d v="2026-01-27T00:00:00"/>
    <d v="2026-01-27T00:00:00"/>
    <x v="1"/>
    <n v="307"/>
    <n v="1514"/>
    <x v="5"/>
    <n v="10"/>
    <n v="0.2"/>
  </r>
  <r>
    <n v="33295"/>
    <s v="CRIOLLO ANALUISA GEOVANNY EFRAIN"/>
    <d v="2026-01-27T00:00:00"/>
    <d v="2026-01-27T00:00:00"/>
    <x v="1"/>
    <n v="332"/>
    <n v="1289"/>
    <x v="6"/>
    <n v="40"/>
    <n v="0"/>
  </r>
  <r>
    <n v="33296"/>
    <s v="ORTIZ LOPEZ EDGAR ENRIQUE"/>
    <d v="2026-01-27T00:00:00"/>
    <d v="2026-01-27T00:00:00"/>
    <x v="1"/>
    <n v="307"/>
    <n v="1516"/>
    <x v="5"/>
    <n v="6"/>
    <n v="0.12"/>
  </r>
  <r>
    <n v="33296"/>
    <s v="ORTIZ LOPEZ EDGAR ENRIQUE"/>
    <d v="2026-01-27T00:00:00"/>
    <d v="2026-01-27T00:00:00"/>
    <x v="0"/>
    <n v="307"/>
    <n v="1516"/>
    <x v="2"/>
    <n v="0.9"/>
    <n v="0.63"/>
  </r>
  <r>
    <n v="33297"/>
    <s v="NOBOA CABRERA GALO HERNAN"/>
    <d v="2026-01-27T00:00:00"/>
    <d v="2026-01-27T00:00:00"/>
    <x v="0"/>
    <n v="343"/>
    <n v="783"/>
    <x v="2"/>
    <n v="3"/>
    <n v="2.1"/>
  </r>
  <r>
    <n v="33297"/>
    <s v="NOBOA CABRERA GALO HERNAN"/>
    <d v="2026-01-27T00:00:00"/>
    <d v="2026-01-27T00:00:00"/>
    <x v="1"/>
    <n v="343"/>
    <n v="783"/>
    <x v="7"/>
    <n v="20"/>
    <n v="0.2"/>
  </r>
  <r>
    <n v="33298"/>
    <s v="ORTIZ LOPEZ EDGAR ENRIQUE"/>
    <d v="2026-01-27T00:00:00"/>
    <d v="2026-01-27T00:00:00"/>
    <x v="0"/>
    <n v="307"/>
    <n v="1512"/>
    <x v="2"/>
    <n v="1.5"/>
    <n v="1.05"/>
  </r>
  <r>
    <n v="33298"/>
    <s v="ORTIZ LOPEZ EDGAR ENRIQUE"/>
    <d v="2026-01-27T00:00:00"/>
    <d v="2026-01-27T00:00:00"/>
    <x v="1"/>
    <n v="307"/>
    <n v="1512"/>
    <x v="5"/>
    <n v="10"/>
    <n v="0.2"/>
  </r>
  <r>
    <n v="33299"/>
    <s v="ORTIZ LOPEZ EDGAR ENRIQUE"/>
    <d v="2026-01-27T00:00:00"/>
    <d v="2026-01-27T00:00:00"/>
    <x v="1"/>
    <n v="307"/>
    <n v="1513"/>
    <x v="5"/>
    <n v="10"/>
    <n v="0.2"/>
  </r>
  <r>
    <n v="33299"/>
    <s v="ORTIZ LOPEZ EDGAR ENRIQUE"/>
    <d v="2026-01-27T00:00:00"/>
    <d v="2026-01-27T00:00:00"/>
    <x v="0"/>
    <n v="307"/>
    <n v="1513"/>
    <x v="2"/>
    <n v="1.5"/>
    <n v="1.05"/>
  </r>
  <r>
    <n v="33300"/>
    <s v="AREVALO COLCHA CESAR AUGUSTO"/>
    <d v="2026-01-27T00:00:00"/>
    <d v="2026-01-27T00:00:00"/>
    <x v="1"/>
    <n v="307"/>
    <n v="2661"/>
    <x v="5"/>
    <n v="17.87"/>
    <n v="0.36"/>
  </r>
  <r>
    <n v="33300"/>
    <s v="AREVALO COLCHA CESAR AUGUSTO"/>
    <d v="2026-01-27T00:00:00"/>
    <d v="2026-01-27T00:00:00"/>
    <x v="0"/>
    <n v="307"/>
    <n v="2661"/>
    <x v="2"/>
    <n v="2.68"/>
    <n v="1.88"/>
  </r>
  <r>
    <n v="33301"/>
    <s v="CRIOLLO ANALUISA GEOVANNY EFRAIN"/>
    <d v="2026-01-27T00:00:00"/>
    <d v="2026-01-27T00:00:00"/>
    <x v="1"/>
    <n v="332"/>
    <n v="1288"/>
    <x v="6"/>
    <n v="20"/>
    <n v="0"/>
  </r>
  <r>
    <n v="33302"/>
    <s v="ORTIZ LOPEZ EDGAR ENRIQUE"/>
    <d v="2026-01-27T00:00:00"/>
    <d v="2026-01-27T00:00:00"/>
    <x v="0"/>
    <n v="307"/>
    <n v="1515"/>
    <x v="2"/>
    <n v="1.5"/>
    <n v="1.05"/>
  </r>
  <r>
    <n v="33302"/>
    <s v="ORTIZ LOPEZ EDGAR ENRIQUE"/>
    <d v="2026-01-27T00:00:00"/>
    <d v="2026-01-27T00:00:00"/>
    <x v="1"/>
    <n v="307"/>
    <n v="1515"/>
    <x v="5"/>
    <n v="10"/>
    <n v="0.2"/>
  </r>
  <r>
    <n v="33303"/>
    <s v="CERON CORDOVA JUAN SEBASTIAN"/>
    <d v="2026-01-27T00:00:00"/>
    <d v="2026-01-27T00:00:00"/>
    <x v="1"/>
    <n v="332"/>
    <n v="1769"/>
    <x v="6"/>
    <n v="18"/>
    <n v="0"/>
  </r>
  <r>
    <n v="33304"/>
    <s v="NOBOA CABRERA GALO HERNAN"/>
    <d v="2026-01-27T00:00:00"/>
    <d v="2026-01-27T00:00:00"/>
    <x v="1"/>
    <n v="343"/>
    <n v="784"/>
    <x v="7"/>
    <n v="15"/>
    <n v="0.15"/>
  </r>
  <r>
    <n v="33304"/>
    <s v="NOBOA CABRERA GALO HERNAN"/>
    <d v="2026-01-27T00:00:00"/>
    <d v="2026-01-27T00:00:00"/>
    <x v="0"/>
    <n v="343"/>
    <n v="784"/>
    <x v="2"/>
    <n v="2.25"/>
    <n v="1.58"/>
  </r>
  <r>
    <n v="33305"/>
    <s v="POMBOZA MUYULEMA FRANKLIN EDUARDO"/>
    <d v="2026-01-27T00:00:00"/>
    <d v="2026-01-27T00:00:00"/>
    <x v="1"/>
    <n v="307"/>
    <n v="4714"/>
    <x v="5"/>
    <n v="5"/>
    <n v="0.1"/>
  </r>
  <r>
    <n v="33306"/>
    <s v="ESTRELLA VELASTEGUI FAUSTO XAVIER"/>
    <d v="2026-01-28T00:00:00"/>
    <d v="2026-01-28T00:00:00"/>
    <x v="1"/>
    <n v="307"/>
    <n v="10475"/>
    <x v="5"/>
    <n v="45"/>
    <n v="0.9"/>
  </r>
  <r>
    <n v="33306"/>
    <s v="ESTRELLA VELASTEGUI FAUSTO XAVIER"/>
    <d v="2026-01-28T00:00:00"/>
    <d v="2026-01-28T00:00:00"/>
    <x v="0"/>
    <n v="307"/>
    <n v="10475"/>
    <x v="2"/>
    <n v="6.75"/>
    <n v="4.7300000000000004"/>
  </r>
  <r>
    <n v="33307"/>
    <s v="CRIOLLO ANALUISA GEOVANNY EFRAIN"/>
    <d v="2026-01-28T00:00:00"/>
    <d v="2026-01-28T00:00:00"/>
    <x v="1"/>
    <n v="332"/>
    <n v="1290"/>
    <x v="6"/>
    <n v="20"/>
    <n v="0"/>
  </r>
  <r>
    <n v="33308"/>
    <s v="CRIOLLO ANALUISA GEOVANNY EFRAIN"/>
    <d v="2026-01-28T00:00:00"/>
    <d v="2026-01-28T00:00:00"/>
    <x v="1"/>
    <n v="332"/>
    <n v="1292"/>
    <x v="6"/>
    <n v="20"/>
    <n v="0"/>
  </r>
  <r>
    <n v="33309"/>
    <s v="CRIOLLO ANALUISA GEOVANNY EFRAIN"/>
    <d v="2026-01-28T00:00:00"/>
    <d v="2026-01-28T00:00:00"/>
    <x v="1"/>
    <n v="332"/>
    <n v="1294"/>
    <x v="6"/>
    <n v="20"/>
    <n v="0"/>
  </r>
  <r>
    <n v="33310"/>
    <s v="ORTIZ LOPEZ EDGAR ENRIQUE"/>
    <d v="2026-01-28T00:00:00"/>
    <d v="2026-01-28T00:00:00"/>
    <x v="0"/>
    <n v="307"/>
    <n v="1524"/>
    <x v="2"/>
    <n v="0.9"/>
    <n v="0.63"/>
  </r>
  <r>
    <n v="33310"/>
    <s v="ORTIZ LOPEZ EDGAR ENRIQUE"/>
    <d v="2026-01-28T00:00:00"/>
    <d v="2026-01-28T00:00:00"/>
    <x v="1"/>
    <n v="307"/>
    <n v="1524"/>
    <x v="5"/>
    <n v="6"/>
    <n v="0.12"/>
  </r>
  <r>
    <n v="33311"/>
    <s v="NARANJO ROMERO PRISCILA GRACE"/>
    <d v="2026-01-28T00:00:00"/>
    <d v="2026-01-28T00:00:00"/>
    <x v="1"/>
    <n v="307"/>
    <n v="82"/>
    <x v="5"/>
    <n v="25"/>
    <n v="0.5"/>
  </r>
  <r>
    <n v="33311"/>
    <s v="NARANJO ROMERO PRISCILA GRACE"/>
    <d v="2026-01-28T00:00:00"/>
    <d v="2026-01-28T00:00:00"/>
    <x v="0"/>
    <n v="307"/>
    <n v="82"/>
    <x v="2"/>
    <n v="3.75"/>
    <n v="2.63"/>
  </r>
  <r>
    <n v="33312"/>
    <s v="CERON CORDOVA JUAN SEBASTIAN"/>
    <d v="2026-01-28T00:00:00"/>
    <d v="2026-01-28T00:00:00"/>
    <x v="1"/>
    <n v="332"/>
    <n v="1770"/>
    <x v="6"/>
    <n v="18"/>
    <n v="0"/>
  </r>
  <r>
    <n v="33313"/>
    <s v="CRIOLLO ANALUISA GEOVANNY EFRAIN"/>
    <d v="2026-01-28T00:00:00"/>
    <d v="2026-01-28T00:00:00"/>
    <x v="1"/>
    <n v="332"/>
    <n v="1291"/>
    <x v="6"/>
    <n v="6"/>
    <n v="0"/>
  </r>
  <r>
    <n v="33314"/>
    <s v="ORTIZ LOPEZ EDGAR ENRIQUE"/>
    <d v="2026-01-28T00:00:00"/>
    <d v="2026-01-28T00:00:00"/>
    <x v="1"/>
    <n v="307"/>
    <n v="1521"/>
    <x v="5"/>
    <n v="10"/>
    <n v="0.2"/>
  </r>
  <r>
    <n v="33314"/>
    <s v="ORTIZ LOPEZ EDGAR ENRIQUE"/>
    <d v="2026-01-28T00:00:00"/>
    <d v="2026-01-28T00:00:00"/>
    <x v="0"/>
    <n v="307"/>
    <n v="1521"/>
    <x v="2"/>
    <n v="1.5"/>
    <n v="1.05"/>
  </r>
  <r>
    <n v="33315"/>
    <s v="AREVALO COLCHA CESAR AUGUSTO"/>
    <d v="2026-01-28T00:00:00"/>
    <d v="2026-01-28T00:00:00"/>
    <x v="1"/>
    <n v="307"/>
    <n v="2663"/>
    <x v="5"/>
    <n v="17.87"/>
    <n v="0.36"/>
  </r>
  <r>
    <n v="33315"/>
    <s v="AREVALO COLCHA CESAR AUGUSTO"/>
    <d v="2026-01-28T00:00:00"/>
    <d v="2026-01-28T00:00:00"/>
    <x v="0"/>
    <n v="307"/>
    <n v="2663"/>
    <x v="2"/>
    <n v="2.68"/>
    <n v="1.88"/>
  </r>
  <r>
    <n v="33316"/>
    <s v="CRIOLLO ANALUISA GEOVANNY EFRAIN"/>
    <d v="2026-01-28T00:00:00"/>
    <d v="2026-01-28T00:00:00"/>
    <x v="1"/>
    <n v="332"/>
    <n v="1293"/>
    <x v="6"/>
    <n v="37"/>
    <n v="0"/>
  </r>
  <r>
    <n v="33317"/>
    <s v="ORTIZ LOPEZ EDGAR ENRIQUE"/>
    <d v="2026-01-28T00:00:00"/>
    <d v="2026-01-28T00:00:00"/>
    <x v="1"/>
    <n v="307"/>
    <n v="1522"/>
    <x v="5"/>
    <n v="6"/>
    <n v="0.12"/>
  </r>
  <r>
    <n v="33317"/>
    <s v="ORTIZ LOPEZ EDGAR ENRIQUE"/>
    <d v="2026-01-28T00:00:00"/>
    <d v="2026-01-28T00:00:00"/>
    <x v="0"/>
    <n v="307"/>
    <n v="1522"/>
    <x v="2"/>
    <n v="0.9"/>
    <n v="0.63"/>
  </r>
  <r>
    <n v="33318"/>
    <s v="QUISINTUNA MASABANDA MARCO ROBALINO"/>
    <d v="2026-01-28T00:00:00"/>
    <d v="2026-01-28T00:00:00"/>
    <x v="1"/>
    <n v="312"/>
    <n v="394"/>
    <x v="1"/>
    <n v="814.34"/>
    <n v="14.25"/>
  </r>
  <r>
    <n v="33318"/>
    <s v="QUISINTUNA MASABANDA MARCO ROBALINO"/>
    <d v="2026-01-28T00:00:00"/>
    <d v="2026-01-28T00:00:00"/>
    <x v="0"/>
    <n v="312"/>
    <n v="394"/>
    <x v="0"/>
    <n v="122.15"/>
    <n v="36.65"/>
  </r>
  <r>
    <n v="33319"/>
    <s v="ORTIZ LOPEZ EDGAR ENRIQUE"/>
    <d v="2026-01-28T00:00:00"/>
    <d v="2026-01-28T00:00:00"/>
    <x v="0"/>
    <n v="307"/>
    <n v="1519"/>
    <x v="2"/>
    <n v="1.5"/>
    <n v="1.05"/>
  </r>
  <r>
    <n v="33319"/>
    <s v="ORTIZ LOPEZ EDGAR ENRIQUE"/>
    <d v="2026-01-28T00:00:00"/>
    <d v="2026-01-28T00:00:00"/>
    <x v="1"/>
    <n v="307"/>
    <n v="1519"/>
    <x v="5"/>
    <n v="10"/>
    <n v="0.2"/>
  </r>
  <r>
    <n v="33320"/>
    <s v="ORTIZ LOPEZ EDGAR ENRIQUE"/>
    <d v="2026-01-28T00:00:00"/>
    <d v="2026-01-28T00:00:00"/>
    <x v="1"/>
    <n v="307"/>
    <n v="1523"/>
    <x v="5"/>
    <n v="10"/>
    <n v="0.2"/>
  </r>
  <r>
    <n v="33320"/>
    <s v="ORTIZ LOPEZ EDGAR ENRIQUE"/>
    <d v="2026-01-28T00:00:00"/>
    <d v="2026-01-28T00:00:00"/>
    <x v="0"/>
    <n v="307"/>
    <n v="1523"/>
    <x v="2"/>
    <n v="1.5"/>
    <n v="1.05"/>
  </r>
  <r>
    <n v="33321"/>
    <s v="ORTIZ LOPEZ EDGAR ENRIQUE"/>
    <d v="2026-01-28T00:00:00"/>
    <d v="2026-01-28T00:00:00"/>
    <x v="1"/>
    <n v="307"/>
    <n v="1520"/>
    <x v="5"/>
    <n v="6"/>
    <n v="0.12"/>
  </r>
  <r>
    <n v="33321"/>
    <s v="ORTIZ LOPEZ EDGAR ENRIQUE"/>
    <d v="2026-01-28T00:00:00"/>
    <d v="2026-01-28T00:00:00"/>
    <x v="0"/>
    <n v="307"/>
    <n v="1520"/>
    <x v="2"/>
    <n v="0.9"/>
    <n v="0.63"/>
  </r>
  <r>
    <n v="33322"/>
    <s v="ESTRELLA VELASTEGUI FAUSTO XAVIER"/>
    <d v="2026-01-28T00:00:00"/>
    <d v="2026-01-28T00:00:00"/>
    <x v="1"/>
    <n v="307"/>
    <n v="10474"/>
    <x v="5"/>
    <n v="45"/>
    <n v="0.9"/>
  </r>
  <r>
    <n v="33322"/>
    <s v="ESTRELLA VELASTEGUI FAUSTO XAVIER"/>
    <d v="2026-01-28T00:00:00"/>
    <d v="2026-01-28T00:00:00"/>
    <x v="0"/>
    <n v="307"/>
    <n v="10474"/>
    <x v="2"/>
    <n v="6.75"/>
    <n v="4.7300000000000004"/>
  </r>
  <r>
    <n v="33323"/>
    <s v="CERON CORDOVA JUAN SEBASTIAN"/>
    <d v="2026-01-29T00:00:00"/>
    <d v="2026-01-29T00:00:00"/>
    <x v="1"/>
    <n v="332"/>
    <n v="1772"/>
    <x v="6"/>
    <n v="7"/>
    <n v="0"/>
  </r>
  <r>
    <n v="33324"/>
    <s v="CRIOLLO ANALUISA GEOVANNY EFRAIN"/>
    <d v="2026-01-29T00:00:00"/>
    <d v="2026-01-29T00:00:00"/>
    <x v="1"/>
    <n v="332"/>
    <n v="1296"/>
    <x v="6"/>
    <n v="20"/>
    <n v="0"/>
  </r>
  <r>
    <n v="33325"/>
    <s v="COLCHA LEMA LUIS GONZALO"/>
    <d v="2026-01-29T00:00:00"/>
    <d v="2026-01-29T00:00:00"/>
    <x v="1"/>
    <n v="307"/>
    <n v="254"/>
    <x v="5"/>
    <n v="450"/>
    <n v="9"/>
  </r>
  <r>
    <n v="33326"/>
    <s v="AREVALO COLCHA CESAR AUGUSTO"/>
    <d v="2026-01-29T00:00:00"/>
    <d v="2026-01-29T00:00:00"/>
    <x v="1"/>
    <n v="307"/>
    <n v="2672"/>
    <x v="5"/>
    <n v="60"/>
    <n v="1.2"/>
  </r>
  <r>
    <n v="33326"/>
    <s v="AREVALO COLCHA CESAR AUGUSTO"/>
    <d v="2026-01-29T00:00:00"/>
    <d v="2026-01-29T00:00:00"/>
    <x v="0"/>
    <n v="307"/>
    <n v="2672"/>
    <x v="2"/>
    <n v="9"/>
    <n v="6.3"/>
  </r>
  <r>
    <n v="33327"/>
    <s v="REINOSO SALAS YAJAIRA CAROLINA"/>
    <d v="2026-01-29T00:00:00"/>
    <d v="2026-01-29T00:00:00"/>
    <x v="1"/>
    <n v="312"/>
    <n v="113"/>
    <x v="1"/>
    <n v="160"/>
    <n v="2.8"/>
  </r>
  <r>
    <n v="33327"/>
    <s v="REINOSO SALAS YAJAIRA CAROLINA"/>
    <d v="2026-01-29T00:00:00"/>
    <d v="2026-01-29T00:00:00"/>
    <x v="0"/>
    <n v="312"/>
    <n v="113"/>
    <x v="0"/>
    <n v="24"/>
    <n v="7.2"/>
  </r>
  <r>
    <n v="33328"/>
    <s v="CERON CORDOVA JUAN SEBASTIAN"/>
    <d v="2026-01-29T00:00:00"/>
    <d v="2026-01-29T00:00:00"/>
    <x v="1"/>
    <n v="332"/>
    <n v="1771"/>
    <x v="6"/>
    <n v="18"/>
    <n v="0"/>
  </r>
  <r>
    <n v="33329"/>
    <s v="CRIOLLO ANALUISA GEOVANNY EFRAIN"/>
    <d v="2026-01-29T00:00:00"/>
    <d v="2026-01-29T00:00:00"/>
    <x v="1"/>
    <n v="332"/>
    <n v="1295"/>
    <x v="6"/>
    <n v="20"/>
    <n v="0"/>
  </r>
  <r>
    <n v="33330"/>
    <s v="ORTIZ LOPEZ EDGAR ENRIQUE"/>
    <d v="2026-01-29T00:00:00"/>
    <d v="2026-01-29T00:00:00"/>
    <x v="0"/>
    <n v="307"/>
    <n v="1529"/>
    <x v="2"/>
    <n v="1.5"/>
    <n v="1.05"/>
  </r>
  <r>
    <n v="33330"/>
    <s v="ORTIZ LOPEZ EDGAR ENRIQUE"/>
    <d v="2026-01-29T00:00:00"/>
    <d v="2026-01-29T00:00:00"/>
    <x v="1"/>
    <n v="307"/>
    <n v="1529"/>
    <x v="5"/>
    <n v="10"/>
    <n v="0.2"/>
  </r>
  <r>
    <n v="33331"/>
    <s v="CHAVEZ ZULA ZOILA"/>
    <d v="2026-01-29T00:00:00"/>
    <d v="2026-01-29T00:00:00"/>
    <x v="1"/>
    <n v="332"/>
    <n v="632"/>
    <x v="6"/>
    <n v="10"/>
    <n v="0"/>
  </r>
  <r>
    <n v="33332"/>
    <s v="ORTIZ LOPEZ EDGAR ENRIQUE"/>
    <d v="2026-01-29T00:00:00"/>
    <d v="2026-01-29T00:00:00"/>
    <x v="0"/>
    <n v="307"/>
    <n v="1527"/>
    <x v="2"/>
    <n v="2.25"/>
    <n v="1.58"/>
  </r>
  <r>
    <n v="33332"/>
    <s v="ORTIZ LOPEZ EDGAR ENRIQUE"/>
    <d v="2026-01-29T00:00:00"/>
    <d v="2026-01-29T00:00:00"/>
    <x v="1"/>
    <n v="307"/>
    <n v="1527"/>
    <x v="5"/>
    <n v="15"/>
    <n v="0.3"/>
  </r>
  <r>
    <n v="33333"/>
    <s v="LUBRIMEX CIA.LTDA."/>
    <d v="2026-01-29T00:00:00"/>
    <d v="2026-01-29T00:00:00"/>
    <x v="0"/>
    <n v="312"/>
    <n v="8230"/>
    <x v="0"/>
    <n v="250.37"/>
    <n v="75.11"/>
  </r>
  <r>
    <n v="33333"/>
    <s v="LUBRIMEX CIA.LTDA."/>
    <d v="2026-01-29T00:00:00"/>
    <d v="2026-01-29T00:00:00"/>
    <x v="1"/>
    <n v="312"/>
    <n v="8230"/>
    <x v="1"/>
    <n v="1669.15"/>
    <n v="29.21"/>
  </r>
  <r>
    <n v="33334"/>
    <s v="CERON CORDOVA JUAN SEBASTIAN"/>
    <d v="2026-01-29T00:00:00"/>
    <d v="2026-01-29T00:00:00"/>
    <x v="1"/>
    <n v="332"/>
    <n v="1774"/>
    <x v="6"/>
    <n v="8"/>
    <n v="0"/>
  </r>
  <r>
    <n v="33335"/>
    <s v="NOBOA CABRERA GALO HERNAN"/>
    <d v="2026-01-29T00:00:00"/>
    <d v="2026-01-29T00:00:00"/>
    <x v="1"/>
    <n v="343"/>
    <n v="791"/>
    <x v="7"/>
    <n v="20"/>
    <n v="0.2"/>
  </r>
  <r>
    <n v="33335"/>
    <s v="NOBOA CABRERA GALO HERNAN"/>
    <d v="2026-01-29T00:00:00"/>
    <d v="2026-01-29T00:00:00"/>
    <x v="0"/>
    <n v="343"/>
    <n v="791"/>
    <x v="2"/>
    <n v="3"/>
    <n v="2.1"/>
  </r>
  <r>
    <n v="33336"/>
    <s v="SOLIS SOLIS MARCO VINICIO"/>
    <d v="2026-01-29T00:00:00"/>
    <d v="2026-01-29T00:00:00"/>
    <x v="0"/>
    <n v="312"/>
    <n v="2810"/>
    <x v="0"/>
    <n v="40.76"/>
    <n v="12.23"/>
  </r>
  <r>
    <n v="33336"/>
    <s v="SOLIS SOLIS MARCO VINICIO"/>
    <d v="2026-01-29T00:00:00"/>
    <d v="2026-01-29T00:00:00"/>
    <x v="1"/>
    <n v="312"/>
    <n v="2810"/>
    <x v="1"/>
    <n v="271.74"/>
    <n v="4.76"/>
  </r>
  <r>
    <n v="33337"/>
    <s v="NOBOA CABRERA GALO HERNAN"/>
    <d v="2026-01-29T00:00:00"/>
    <d v="2026-01-29T00:00:00"/>
    <x v="1"/>
    <n v="343"/>
    <n v="793"/>
    <x v="7"/>
    <n v="4"/>
    <n v="0.04"/>
  </r>
  <r>
    <n v="33337"/>
    <s v="NOBOA CABRERA GALO HERNAN"/>
    <d v="2026-01-29T00:00:00"/>
    <d v="2026-01-29T00:00:00"/>
    <x v="0"/>
    <n v="343"/>
    <n v="793"/>
    <x v="2"/>
    <n v="0.6"/>
    <n v="0.42"/>
  </r>
  <r>
    <n v="33338"/>
    <s v="REINOSO SALAS YAJAIRA CAROLINA"/>
    <d v="2026-01-29T00:00:00"/>
    <d v="2026-01-29T00:00:00"/>
    <x v="0"/>
    <n v="312"/>
    <n v="114"/>
    <x v="0"/>
    <n v="6"/>
    <n v="1.8"/>
  </r>
  <r>
    <n v="33338"/>
    <s v="REINOSO SALAS YAJAIRA CAROLINA"/>
    <d v="2026-01-29T00:00:00"/>
    <d v="2026-01-29T00:00:00"/>
    <x v="1"/>
    <n v="312"/>
    <n v="114"/>
    <x v="1"/>
    <n v="40"/>
    <n v="0.7"/>
  </r>
  <r>
    <n v="33339"/>
    <s v="VARGAS TORRES WALTTER DARIO"/>
    <d v="2026-01-29T00:00:00"/>
    <d v="2026-01-29T00:00:00"/>
    <x v="1"/>
    <n v="312"/>
    <n v="31752"/>
    <x v="1"/>
    <n v="420"/>
    <n v="7.35"/>
  </r>
  <r>
    <n v="33339"/>
    <s v="VARGAS TORRES WALTTER DARIO"/>
    <d v="2026-01-29T00:00:00"/>
    <d v="2026-01-29T00:00:00"/>
    <x v="0"/>
    <n v="312"/>
    <n v="31752"/>
    <x v="0"/>
    <n v="63"/>
    <n v="18.899999999999999"/>
  </r>
  <r>
    <n v="33340"/>
    <s v="CERON CORDOVA JUAN SEBASTIAN"/>
    <d v="2026-01-29T00:00:00"/>
    <d v="2026-01-29T00:00:00"/>
    <x v="1"/>
    <n v="332"/>
    <n v="1775"/>
    <x v="6"/>
    <n v="8"/>
    <n v="0"/>
  </r>
  <r>
    <n v="33341"/>
    <s v="NOBOA CABRERA GALO HERNAN"/>
    <d v="2026-01-29T00:00:00"/>
    <d v="2026-01-29T00:00:00"/>
    <x v="1"/>
    <n v="343"/>
    <n v="792"/>
    <x v="7"/>
    <n v="8"/>
    <n v="0.08"/>
  </r>
  <r>
    <n v="33341"/>
    <s v="NOBOA CABRERA GALO HERNAN"/>
    <d v="2026-01-29T00:00:00"/>
    <d v="2026-01-29T00:00:00"/>
    <x v="0"/>
    <n v="343"/>
    <n v="792"/>
    <x v="2"/>
    <n v="1.2"/>
    <n v="0.84"/>
  </r>
  <r>
    <n v="33342"/>
    <s v="ORTIZ LOPEZ EDGAR ENRIQUE"/>
    <d v="2026-01-29T00:00:00"/>
    <d v="2026-01-29T00:00:00"/>
    <x v="1"/>
    <n v="307"/>
    <n v="1526"/>
    <x v="5"/>
    <n v="6"/>
    <n v="0.12"/>
  </r>
  <r>
    <n v="33342"/>
    <s v="ORTIZ LOPEZ EDGAR ENRIQUE"/>
    <d v="2026-01-29T00:00:00"/>
    <d v="2026-01-29T00:00:00"/>
    <x v="0"/>
    <n v="307"/>
    <n v="1526"/>
    <x v="2"/>
    <n v="0.9"/>
    <n v="0.63"/>
  </r>
  <r>
    <n v="33343"/>
    <s v="ORTIZ LOPEZ EDGAR ENRIQUE"/>
    <d v="2026-01-29T00:00:00"/>
    <d v="2026-01-29T00:00:00"/>
    <x v="1"/>
    <n v="307"/>
    <n v="1528"/>
    <x v="5"/>
    <n v="15"/>
    <n v="0.3"/>
  </r>
  <r>
    <n v="33343"/>
    <s v="ORTIZ LOPEZ EDGAR ENRIQUE"/>
    <d v="2026-01-29T00:00:00"/>
    <d v="2026-01-29T00:00:00"/>
    <x v="0"/>
    <n v="307"/>
    <n v="1528"/>
    <x v="2"/>
    <n v="2.25"/>
    <n v="1.58"/>
  </r>
  <r>
    <n v="33344"/>
    <s v="PROBEMOTOR CIA.LTDA."/>
    <d v="2026-01-30T00:00:00"/>
    <d v="2026-01-30T00:00:00"/>
    <x v="1"/>
    <n v="312"/>
    <n v="19434"/>
    <x v="1"/>
    <n v="225.6"/>
    <n v="3.95"/>
  </r>
  <r>
    <n v="33344"/>
    <s v="PROBEMOTOR CIA.LTDA."/>
    <d v="2026-01-30T00:00:00"/>
    <d v="2026-01-30T00:00:00"/>
    <x v="0"/>
    <n v="312"/>
    <n v="19434"/>
    <x v="0"/>
    <n v="33.840000000000003"/>
    <n v="10.15"/>
  </r>
  <r>
    <n v="33346"/>
    <s v="CERON CORDOVA JUAN SEBASTIAN"/>
    <d v="2026-01-30T00:00:00"/>
    <d v="2026-01-30T00:00:00"/>
    <x v="1"/>
    <n v="332"/>
    <n v="1777"/>
    <x v="6"/>
    <n v="7"/>
    <n v="0"/>
  </r>
  <r>
    <n v="33347"/>
    <s v="NOBOA CABRERA GALO HERNAN"/>
    <d v="2026-01-30T00:00:00"/>
    <d v="2026-01-30T00:00:00"/>
    <x v="1"/>
    <n v="343"/>
    <n v="804"/>
    <x v="7"/>
    <n v="10"/>
    <n v="0.1"/>
  </r>
  <r>
    <n v="33347"/>
    <s v="NOBOA CABRERA GALO HERNAN"/>
    <d v="2026-01-30T00:00:00"/>
    <d v="2026-01-30T00:00:00"/>
    <x v="0"/>
    <n v="343"/>
    <n v="804"/>
    <x v="2"/>
    <n v="1.5"/>
    <n v="1.05"/>
  </r>
  <r>
    <n v="33348"/>
    <s v="CERON CORDOVA JUAN SEBASTIAN"/>
    <d v="2026-01-30T00:00:00"/>
    <d v="2026-01-30T00:00:00"/>
    <x v="1"/>
    <n v="332"/>
    <n v="1778"/>
    <x v="6"/>
    <n v="18"/>
    <n v="0"/>
  </r>
  <r>
    <n v="33349"/>
    <s v="NOBOA CABRERA GALO HERNAN"/>
    <d v="2026-01-30T00:00:00"/>
    <d v="2026-01-30T00:00:00"/>
    <x v="1"/>
    <n v="343"/>
    <n v="802"/>
    <x v="7"/>
    <n v="8"/>
    <n v="0.08"/>
  </r>
  <r>
    <n v="33349"/>
    <s v="NOBOA CABRERA GALO HERNAN"/>
    <d v="2026-01-30T00:00:00"/>
    <d v="2026-01-30T00:00:00"/>
    <x v="0"/>
    <n v="343"/>
    <n v="802"/>
    <x v="2"/>
    <n v="1.2"/>
    <n v="0.84"/>
  </r>
  <r>
    <n v="33350"/>
    <s v="NOBOA CABRERA GALO HERNAN"/>
    <d v="2026-01-30T00:00:00"/>
    <d v="2026-01-30T00:00:00"/>
    <x v="1"/>
    <n v="343"/>
    <n v="803"/>
    <x v="7"/>
    <n v="20"/>
    <n v="0.2"/>
  </r>
  <r>
    <n v="33350"/>
    <s v="NOBOA CABRERA GALO HERNAN"/>
    <d v="2026-01-30T00:00:00"/>
    <d v="2026-01-30T00:00:00"/>
    <x v="0"/>
    <n v="343"/>
    <n v="803"/>
    <x v="2"/>
    <n v="3"/>
    <n v="2.1"/>
  </r>
  <r>
    <n v="33351"/>
    <s v="CRIOLLO ANALUISA GEOVANNY EFRAIN"/>
    <d v="2026-01-30T00:00:00"/>
    <d v="2026-01-30T00:00:00"/>
    <x v="1"/>
    <n v="332"/>
    <n v="1301"/>
    <x v="6"/>
    <n v="20"/>
    <n v="0"/>
  </r>
  <r>
    <n v="33352"/>
    <s v="CRIOLLO ANALUISA GEOVANNY EFRAIN"/>
    <d v="2026-01-30T00:00:00"/>
    <d v="2026-01-30T00:00:00"/>
    <x v="1"/>
    <n v="332"/>
    <n v="1302"/>
    <x v="6"/>
    <n v="20"/>
    <n v="0"/>
  </r>
  <r>
    <n v="33353"/>
    <s v="ORTIZ LOPEZ EDGAR ENRIQUE"/>
    <d v="2026-01-30T00:00:00"/>
    <d v="2026-01-30T00:00:00"/>
    <x v="0"/>
    <n v="307"/>
    <n v="1531"/>
    <x v="2"/>
    <n v="1.5"/>
    <n v="1.05"/>
  </r>
  <r>
    <n v="33353"/>
    <s v="ORTIZ LOPEZ EDGAR ENRIQUE"/>
    <d v="2026-01-30T00:00:00"/>
    <d v="2026-01-30T00:00:00"/>
    <x v="1"/>
    <n v="307"/>
    <n v="1531"/>
    <x v="5"/>
    <n v="10"/>
    <n v="0.2"/>
  </r>
  <r>
    <n v="33354"/>
    <s v="YANGTSE-AUTO DEL ECUADOR S.A."/>
    <d v="2026-01-30T00:00:00"/>
    <d v="2026-01-30T00:00:00"/>
    <x v="0"/>
    <n v="312"/>
    <n v="585"/>
    <x v="0"/>
    <n v="55.45"/>
    <n v="16.64"/>
  </r>
  <r>
    <n v="33354"/>
    <s v="YANGTSE-AUTO DEL ECUADOR S.A."/>
    <d v="2026-01-30T00:00:00"/>
    <d v="2026-01-30T00:00:00"/>
    <x v="1"/>
    <n v="312"/>
    <n v="585"/>
    <x v="1"/>
    <n v="369.65"/>
    <n v="6.47"/>
  </r>
  <r>
    <n v="33355"/>
    <s v="CERON CORDOVA JUAN SEBASTIAN"/>
    <d v="2026-01-30T00:00:00"/>
    <d v="2026-01-30T00:00:00"/>
    <x v="1"/>
    <n v="332"/>
    <n v="1779"/>
    <x v="6"/>
    <n v="7"/>
    <n v="0"/>
  </r>
  <r>
    <n v="33356"/>
    <s v="YANGTSE-AUTO DEL ECUADOR S.A."/>
    <d v="2026-01-30T00:00:00"/>
    <d v="2026-01-30T00:00:00"/>
    <x v="1"/>
    <n v="312"/>
    <n v="576"/>
    <x v="1"/>
    <n v="1326.44"/>
    <n v="23.21"/>
  </r>
  <r>
    <n v="33356"/>
    <s v="YANGTSE-AUTO DEL ECUADOR S.A."/>
    <d v="2026-01-30T00:00:00"/>
    <d v="2026-01-30T00:00:00"/>
    <x v="0"/>
    <n v="312"/>
    <n v="576"/>
    <x v="0"/>
    <n v="198.97"/>
    <n v="59.69"/>
  </r>
  <r>
    <n v="33357"/>
    <s v="YANGTSE-AUTO DEL ECUADOR S.A."/>
    <d v="2026-01-30T00:00:00"/>
    <d v="2026-01-30T00:00:00"/>
    <x v="0"/>
    <n v="312"/>
    <n v="583"/>
    <x v="0"/>
    <n v="3.01"/>
    <n v="0.9"/>
  </r>
  <r>
    <n v="33357"/>
    <s v="YANGTSE-AUTO DEL ECUADOR S.A."/>
    <d v="2026-01-30T00:00:00"/>
    <d v="2026-01-30T00:00:00"/>
    <x v="1"/>
    <n v="312"/>
    <n v="583"/>
    <x v="1"/>
    <n v="20.09"/>
    <n v="0.35"/>
  </r>
  <r>
    <n v="33358"/>
    <s v="SOLIS SOLIS MARCO VINICIO"/>
    <d v="2026-01-30T00:00:00"/>
    <d v="2026-01-30T00:00:00"/>
    <x v="0"/>
    <n v="312"/>
    <n v="2818"/>
    <x v="0"/>
    <n v="72"/>
    <n v="21.6"/>
  </r>
  <r>
    <n v="33358"/>
    <s v="SOLIS SOLIS MARCO VINICIO"/>
    <d v="2026-01-30T00:00:00"/>
    <d v="2026-01-30T00:00:00"/>
    <x v="1"/>
    <n v="312"/>
    <n v="2818"/>
    <x v="1"/>
    <n v="480"/>
    <n v="8.4"/>
  </r>
  <r>
    <n v="33359"/>
    <s v="VARGAS TORRES WALTTER DARIO"/>
    <d v="2026-01-30T00:00:00"/>
    <d v="2026-01-30T00:00:00"/>
    <x v="1"/>
    <n v="312"/>
    <n v="31770"/>
    <x v="1"/>
    <n v="880"/>
    <n v="15.4"/>
  </r>
  <r>
    <n v="33359"/>
    <s v="VARGAS TORRES WALTTER DARIO"/>
    <d v="2026-01-30T00:00:00"/>
    <d v="2026-01-30T00:00:00"/>
    <x v="0"/>
    <n v="312"/>
    <n v="31770"/>
    <x v="0"/>
    <n v="132"/>
    <n v="39.6"/>
  </r>
  <r>
    <n v="33360"/>
    <s v="CERON CORDOVA JUAN SEBASTIAN"/>
    <d v="2026-01-30T00:00:00"/>
    <d v="2026-01-30T00:00:00"/>
    <x v="1"/>
    <n v="332"/>
    <n v="1776"/>
    <x v="6"/>
    <n v="7"/>
    <n v="0"/>
  </r>
  <r>
    <n v="33361"/>
    <s v="NOBOA CABRERA GALO HERNAN"/>
    <d v="2026-01-30T00:00:00"/>
    <d v="2026-01-30T00:00:00"/>
    <x v="0"/>
    <n v="343"/>
    <n v="797"/>
    <x v="2"/>
    <n v="3"/>
    <n v="2.1"/>
  </r>
  <r>
    <n v="33361"/>
    <s v="NOBOA CABRERA GALO HERNAN"/>
    <d v="2026-01-30T00:00:00"/>
    <d v="2026-01-30T00:00:00"/>
    <x v="1"/>
    <n v="343"/>
    <n v="797"/>
    <x v="7"/>
    <n v="20"/>
    <n v="0.2"/>
  </r>
  <r>
    <n v="33362"/>
    <s v="NOBOA CABRERA GALO HERNAN"/>
    <d v="2026-01-30T00:00:00"/>
    <d v="2026-01-30T00:00:00"/>
    <x v="0"/>
    <n v="343"/>
    <n v="798"/>
    <x v="2"/>
    <n v="2.25"/>
    <n v="1.58"/>
  </r>
  <r>
    <n v="33362"/>
    <s v="NOBOA CABRERA GALO HERNAN"/>
    <d v="2026-01-30T00:00:00"/>
    <d v="2026-01-30T00:00:00"/>
    <x v="1"/>
    <n v="343"/>
    <n v="798"/>
    <x v="7"/>
    <n v="15"/>
    <n v="0.15"/>
  </r>
  <r>
    <n v="33363"/>
    <s v="YANGTSE-AUTO DEL ECUADOR S.A."/>
    <d v="2026-01-30T00:00:00"/>
    <d v="2026-01-30T00:00:00"/>
    <x v="1"/>
    <n v="312"/>
    <n v="571"/>
    <x v="1"/>
    <n v="854.88"/>
    <n v="14.96"/>
  </r>
  <r>
    <n v="33363"/>
    <s v="YANGTSE-AUTO DEL ECUADOR S.A."/>
    <d v="2026-01-30T00:00:00"/>
    <d v="2026-01-30T00:00:00"/>
    <x v="0"/>
    <n v="312"/>
    <n v="571"/>
    <x v="0"/>
    <n v="128.22999999999999"/>
    <n v="38.47"/>
  </r>
  <r>
    <n v="33364"/>
    <s v="CERON CORDOVA JUAN SEBASTIAN"/>
    <d v="2026-01-30T00:00:00"/>
    <d v="2026-01-30T00:00:00"/>
    <x v="1"/>
    <n v="332"/>
    <n v="1780"/>
    <x v="6"/>
    <n v="18"/>
    <n v="0"/>
  </r>
  <r>
    <n v="33365"/>
    <s v="NOBOA CABRERA GALO HERNAN"/>
    <d v="2026-01-30T00:00:00"/>
    <d v="2026-01-30T00:00:00"/>
    <x v="1"/>
    <n v="343"/>
    <n v="801"/>
    <x v="7"/>
    <n v="20"/>
    <n v="0.2"/>
  </r>
  <r>
    <n v="33365"/>
    <s v="NOBOA CABRERA GALO HERNAN"/>
    <d v="2026-01-30T00:00:00"/>
    <d v="2026-01-30T00:00:00"/>
    <x v="0"/>
    <n v="343"/>
    <n v="801"/>
    <x v="2"/>
    <n v="3"/>
    <n v="2.1"/>
  </r>
  <r>
    <n v="33366"/>
    <s v="YANGTSE-AUTO DEL ECUADOR S.A."/>
    <d v="2026-01-31T00:00:00"/>
    <d v="2026-01-31T00:00:00"/>
    <x v="1"/>
    <n v="312"/>
    <n v="587"/>
    <x v="1"/>
    <n v="30.43"/>
    <n v="0.53"/>
  </r>
  <r>
    <n v="33366"/>
    <s v="YANGTSE-AUTO DEL ECUADOR S.A."/>
    <d v="2026-01-31T00:00:00"/>
    <d v="2026-01-31T00:00:00"/>
    <x v="0"/>
    <n v="312"/>
    <n v="587"/>
    <x v="0"/>
    <n v="4.5599999999999996"/>
    <n v="1.37"/>
  </r>
  <r>
    <n v="33367"/>
    <s v="CRIOLLO ANALUISA GEOVANNY EFRAIN"/>
    <d v="2026-01-31T00:00:00"/>
    <d v="2026-01-31T00:00:00"/>
    <x v="1"/>
    <n v="332"/>
    <n v="1306"/>
    <x v="6"/>
    <n v="37"/>
    <n v="0"/>
  </r>
  <r>
    <n v="33368"/>
    <s v="ORTIZ LOPEZ EDGAR ENRIQUE"/>
    <d v="2026-01-31T00:00:00"/>
    <d v="2026-01-31T00:00:00"/>
    <x v="1"/>
    <n v="307"/>
    <n v="1532"/>
    <x v="5"/>
    <n v="10"/>
    <n v="0.2"/>
  </r>
  <r>
    <n v="33368"/>
    <s v="ORTIZ LOPEZ EDGAR ENRIQUE"/>
    <d v="2026-01-31T00:00:00"/>
    <d v="2026-01-31T00:00:00"/>
    <x v="0"/>
    <n v="307"/>
    <n v="1532"/>
    <x v="2"/>
    <n v="1.5"/>
    <n v="1.05"/>
  </r>
  <r>
    <n v="33369"/>
    <s v="CRIOLLO ANALUISA GEOVANNY EFRAIN"/>
    <d v="2026-01-31T00:00:00"/>
    <d v="2026-01-31T00:00:00"/>
    <x v="1"/>
    <n v="332"/>
    <n v="1304"/>
    <x v="6"/>
    <n v="20"/>
    <n v="0"/>
  </r>
  <r>
    <n v="33370"/>
    <s v="CRIOLLO ANALUISA GEOVANNY EFRAIN"/>
    <d v="2026-01-31T00:00:00"/>
    <d v="2026-01-31T00:00:00"/>
    <x v="1"/>
    <n v="332"/>
    <n v="1305"/>
    <x v="6"/>
    <n v="11"/>
    <n v="0"/>
  </r>
  <r>
    <n v="33371"/>
    <s v="CRIOLLO ANALUISA GEOVANNY EFRAIN"/>
    <d v="2026-01-31T00:00:00"/>
    <d v="2026-01-31T00:00:00"/>
    <x v="1"/>
    <n v="332"/>
    <n v="1303"/>
    <x v="6"/>
    <n v="6"/>
    <n v="0"/>
  </r>
  <r>
    <n v="33372"/>
    <s v="CERON CORDOVA JUAN SEBASTIAN"/>
    <d v="2026-01-31T00:00:00"/>
    <d v="2026-01-31T00:00:00"/>
    <x v="1"/>
    <n v="332"/>
    <n v="1781"/>
    <x v="6"/>
    <n v="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52578-21F8-4E37-A4A4-91FFFBF9DB74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:N13" firstHeaderRow="0" firstDataRow="1" firstDataCol="1"/>
  <pivotFields count="10">
    <pivotField showAll="0"/>
    <pivotField showAll="0"/>
    <pivotField numFmtId="14"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10">
        <item x="6"/>
        <item x="7"/>
        <item x="1"/>
        <item x="5"/>
        <item x="4"/>
        <item x="3"/>
        <item x="0"/>
        <item x="2"/>
        <item x="8"/>
        <item t="default"/>
      </items>
    </pivotField>
    <pivotField dataField="1" showAll="0"/>
    <pivotField dataField="1" showAll="0"/>
  </pivotFields>
  <rowFields count="2">
    <field x="4"/>
    <field x="7"/>
  </rowFields>
  <rowItems count="12">
    <i>
      <x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BASE" fld="8" baseField="0" baseItem="0"/>
    <dataField name="Suma de VALOR RETE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9F8DE-07CA-4EDF-BFD1-9E37EA540E66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4:O23" firstHeaderRow="0" firstDataRow="1" firstDataCol="1"/>
  <pivotFields count="11">
    <pivotField showAll="0"/>
    <pivotField axis="axisRow" showAll="0">
      <items count="9">
        <item x="3"/>
        <item x="6"/>
        <item x="5"/>
        <item x="2"/>
        <item x="4"/>
        <item x="7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ITO" fld="8" baseField="0" baseItem="0"/>
    <dataField name="Suma de CREDI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F5D1-4C6C-46E0-9898-702F506D5E47}">
  <dimension ref="A1:L703"/>
  <sheetViews>
    <sheetView topLeftCell="A684" workbookViewId="0">
      <selection sqref="A1:L703"/>
    </sheetView>
  </sheetViews>
  <sheetFormatPr baseColWidth="10" defaultRowHeight="15" x14ac:dyDescent="0.25"/>
  <cols>
    <col min="1" max="1" width="8.140625" bestFit="1" customWidth="1"/>
    <col min="5" max="5" width="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432</v>
      </c>
      <c r="B2">
        <v>190123626001</v>
      </c>
      <c r="C2" t="s">
        <v>12</v>
      </c>
      <c r="D2" s="1">
        <v>46042</v>
      </c>
      <c r="E2" t="s">
        <v>13</v>
      </c>
      <c r="F2">
        <v>50638</v>
      </c>
      <c r="G2" s="2">
        <v>6100.38</v>
      </c>
      <c r="H2" s="2">
        <v>5304.68</v>
      </c>
      <c r="I2">
        <v>0</v>
      </c>
      <c r="J2">
        <v>795.7</v>
      </c>
      <c r="K2">
        <v>0</v>
      </c>
      <c r="L2" s="2">
        <v>6100.38</v>
      </c>
    </row>
    <row r="3" spans="1:12" x14ac:dyDescent="0.25">
      <c r="A3">
        <v>1416</v>
      </c>
      <c r="B3">
        <v>201879962001</v>
      </c>
      <c r="C3" t="s">
        <v>14</v>
      </c>
      <c r="D3" s="1">
        <v>46044</v>
      </c>
      <c r="E3" t="s">
        <v>13</v>
      </c>
      <c r="F3">
        <v>238</v>
      </c>
      <c r="G3">
        <v>98.25</v>
      </c>
      <c r="H3">
        <v>0</v>
      </c>
      <c r="I3">
        <v>100</v>
      </c>
      <c r="J3">
        <v>0</v>
      </c>
      <c r="K3">
        <v>1.75</v>
      </c>
      <c r="L3">
        <v>98.25</v>
      </c>
    </row>
    <row r="4" spans="1:12" x14ac:dyDescent="0.25">
      <c r="A4">
        <v>1416</v>
      </c>
      <c r="B4">
        <v>201879962001</v>
      </c>
      <c r="C4" t="s">
        <v>14</v>
      </c>
      <c r="D4" s="1">
        <v>46044</v>
      </c>
      <c r="E4" t="s">
        <v>13</v>
      </c>
      <c r="F4">
        <v>240</v>
      </c>
      <c r="G4">
        <v>98.25</v>
      </c>
      <c r="H4">
        <v>0</v>
      </c>
      <c r="I4">
        <v>100</v>
      </c>
      <c r="J4">
        <v>0</v>
      </c>
      <c r="K4">
        <v>1.75</v>
      </c>
      <c r="L4">
        <v>98.25</v>
      </c>
    </row>
    <row r="5" spans="1:12" x14ac:dyDescent="0.25">
      <c r="A5">
        <v>1310</v>
      </c>
      <c r="B5">
        <v>501639371001</v>
      </c>
      <c r="C5" t="s">
        <v>15</v>
      </c>
      <c r="D5" s="1">
        <v>46030</v>
      </c>
      <c r="E5" t="s">
        <v>13</v>
      </c>
      <c r="F5">
        <v>2</v>
      </c>
      <c r="G5">
        <v>180</v>
      </c>
      <c r="H5">
        <v>200</v>
      </c>
      <c r="I5">
        <v>0</v>
      </c>
      <c r="J5">
        <v>30</v>
      </c>
      <c r="K5">
        <v>50</v>
      </c>
      <c r="L5">
        <v>0</v>
      </c>
    </row>
    <row r="6" spans="1:12" x14ac:dyDescent="0.25">
      <c r="A6">
        <v>1794</v>
      </c>
      <c r="B6">
        <v>602001810001</v>
      </c>
      <c r="C6" t="s">
        <v>16</v>
      </c>
      <c r="D6" s="1">
        <v>46028</v>
      </c>
      <c r="E6" t="s">
        <v>17</v>
      </c>
      <c r="F6">
        <v>612</v>
      </c>
      <c r="G6">
        <v>10</v>
      </c>
      <c r="H6">
        <v>0</v>
      </c>
      <c r="I6">
        <v>10</v>
      </c>
      <c r="J6">
        <v>0</v>
      </c>
      <c r="K6">
        <v>0</v>
      </c>
      <c r="L6">
        <v>10</v>
      </c>
    </row>
    <row r="7" spans="1:12" x14ac:dyDescent="0.25">
      <c r="A7">
        <v>1794</v>
      </c>
      <c r="B7">
        <v>602001810001</v>
      </c>
      <c r="C7" t="s">
        <v>16</v>
      </c>
      <c r="D7" s="1">
        <v>46029</v>
      </c>
      <c r="E7" t="s">
        <v>17</v>
      </c>
      <c r="F7">
        <v>613</v>
      </c>
      <c r="G7">
        <v>10</v>
      </c>
      <c r="H7">
        <v>0</v>
      </c>
      <c r="I7">
        <v>10</v>
      </c>
      <c r="J7">
        <v>0</v>
      </c>
      <c r="K7">
        <v>0</v>
      </c>
      <c r="L7">
        <v>10</v>
      </c>
    </row>
    <row r="8" spans="1:12" x14ac:dyDescent="0.25">
      <c r="A8">
        <v>1794</v>
      </c>
      <c r="B8">
        <v>602001810001</v>
      </c>
      <c r="C8" t="s">
        <v>16</v>
      </c>
      <c r="D8" s="1">
        <v>46030</v>
      </c>
      <c r="E8" t="s">
        <v>17</v>
      </c>
      <c r="F8">
        <v>614</v>
      </c>
      <c r="G8">
        <v>10</v>
      </c>
      <c r="H8">
        <v>0</v>
      </c>
      <c r="I8">
        <v>10</v>
      </c>
      <c r="J8">
        <v>0</v>
      </c>
      <c r="K8">
        <v>0</v>
      </c>
      <c r="L8">
        <v>10</v>
      </c>
    </row>
    <row r="9" spans="1:12" x14ac:dyDescent="0.25">
      <c r="A9">
        <v>1794</v>
      </c>
      <c r="B9">
        <v>602001810001</v>
      </c>
      <c r="C9" t="s">
        <v>16</v>
      </c>
      <c r="D9" s="1">
        <v>46030</v>
      </c>
      <c r="E9" t="s">
        <v>17</v>
      </c>
      <c r="F9">
        <v>615</v>
      </c>
      <c r="G9">
        <v>10</v>
      </c>
      <c r="H9">
        <v>0</v>
      </c>
      <c r="I9">
        <v>10</v>
      </c>
      <c r="J9">
        <v>0</v>
      </c>
      <c r="K9">
        <v>0</v>
      </c>
      <c r="L9">
        <v>10</v>
      </c>
    </row>
    <row r="10" spans="1:12" x14ac:dyDescent="0.25">
      <c r="A10">
        <v>1794</v>
      </c>
      <c r="B10">
        <v>602001810001</v>
      </c>
      <c r="C10" t="s">
        <v>16</v>
      </c>
      <c r="D10" s="1">
        <v>46032</v>
      </c>
      <c r="E10" t="s">
        <v>17</v>
      </c>
      <c r="F10">
        <v>617</v>
      </c>
      <c r="G10">
        <v>10</v>
      </c>
      <c r="H10">
        <v>0</v>
      </c>
      <c r="I10">
        <v>10</v>
      </c>
      <c r="J10">
        <v>0</v>
      </c>
      <c r="K10">
        <v>0</v>
      </c>
      <c r="L10">
        <v>10</v>
      </c>
    </row>
    <row r="11" spans="1:12" x14ac:dyDescent="0.25">
      <c r="A11">
        <v>1794</v>
      </c>
      <c r="B11">
        <v>602001810001</v>
      </c>
      <c r="C11" t="s">
        <v>16</v>
      </c>
      <c r="D11" s="1">
        <v>46032</v>
      </c>
      <c r="E11" t="s">
        <v>17</v>
      </c>
      <c r="F11">
        <v>618</v>
      </c>
      <c r="G11">
        <v>10</v>
      </c>
      <c r="H11">
        <v>0</v>
      </c>
      <c r="I11">
        <v>10</v>
      </c>
      <c r="J11">
        <v>0</v>
      </c>
      <c r="K11">
        <v>0</v>
      </c>
      <c r="L11">
        <v>10</v>
      </c>
    </row>
    <row r="12" spans="1:12" x14ac:dyDescent="0.25">
      <c r="A12">
        <v>1794</v>
      </c>
      <c r="B12">
        <v>602001810001</v>
      </c>
      <c r="C12" t="s">
        <v>16</v>
      </c>
      <c r="D12" s="1">
        <v>46037</v>
      </c>
      <c r="E12" t="s">
        <v>17</v>
      </c>
      <c r="F12">
        <v>620</v>
      </c>
      <c r="G12">
        <v>10</v>
      </c>
      <c r="H12">
        <v>0</v>
      </c>
      <c r="I12">
        <v>10</v>
      </c>
      <c r="J12">
        <v>0</v>
      </c>
      <c r="K12">
        <v>0</v>
      </c>
      <c r="L12">
        <v>10</v>
      </c>
    </row>
    <row r="13" spans="1:12" x14ac:dyDescent="0.25">
      <c r="A13">
        <v>1794</v>
      </c>
      <c r="B13">
        <v>602001810001</v>
      </c>
      <c r="C13" t="s">
        <v>16</v>
      </c>
      <c r="D13" s="1">
        <v>46038</v>
      </c>
      <c r="E13" t="s">
        <v>17</v>
      </c>
      <c r="F13">
        <v>621</v>
      </c>
      <c r="G13">
        <v>10</v>
      </c>
      <c r="H13">
        <v>0</v>
      </c>
      <c r="I13">
        <v>10</v>
      </c>
      <c r="J13">
        <v>0</v>
      </c>
      <c r="K13">
        <v>0</v>
      </c>
      <c r="L13">
        <v>10</v>
      </c>
    </row>
    <row r="14" spans="1:12" x14ac:dyDescent="0.25">
      <c r="A14">
        <v>1794</v>
      </c>
      <c r="B14">
        <v>602001810001</v>
      </c>
      <c r="C14" t="s">
        <v>16</v>
      </c>
      <c r="D14" s="1">
        <v>46039</v>
      </c>
      <c r="E14" t="s">
        <v>17</v>
      </c>
      <c r="F14">
        <v>622</v>
      </c>
      <c r="G14">
        <v>10</v>
      </c>
      <c r="H14">
        <v>0</v>
      </c>
      <c r="I14">
        <v>10</v>
      </c>
      <c r="J14">
        <v>0</v>
      </c>
      <c r="K14">
        <v>0</v>
      </c>
      <c r="L14">
        <v>10</v>
      </c>
    </row>
    <row r="15" spans="1:12" x14ac:dyDescent="0.25">
      <c r="A15">
        <v>1794</v>
      </c>
      <c r="B15">
        <v>602001810001</v>
      </c>
      <c r="C15" t="s">
        <v>16</v>
      </c>
      <c r="D15" s="1">
        <v>46041</v>
      </c>
      <c r="E15" t="s">
        <v>17</v>
      </c>
      <c r="F15">
        <v>624</v>
      </c>
      <c r="G15">
        <v>10</v>
      </c>
      <c r="H15">
        <v>0</v>
      </c>
      <c r="I15">
        <v>10</v>
      </c>
      <c r="J15">
        <v>0</v>
      </c>
      <c r="K15">
        <v>0</v>
      </c>
      <c r="L15">
        <v>10</v>
      </c>
    </row>
    <row r="16" spans="1:12" x14ac:dyDescent="0.25">
      <c r="A16">
        <v>1794</v>
      </c>
      <c r="B16">
        <v>602001810001</v>
      </c>
      <c r="C16" t="s">
        <v>16</v>
      </c>
      <c r="D16" s="1">
        <v>46041</v>
      </c>
      <c r="E16" t="s">
        <v>17</v>
      </c>
      <c r="F16">
        <v>625</v>
      </c>
      <c r="G16">
        <v>10</v>
      </c>
      <c r="H16">
        <v>0</v>
      </c>
      <c r="I16">
        <v>10</v>
      </c>
      <c r="J16">
        <v>0</v>
      </c>
      <c r="K16">
        <v>0</v>
      </c>
      <c r="L16">
        <v>10</v>
      </c>
    </row>
    <row r="17" spans="1:12" x14ac:dyDescent="0.25">
      <c r="A17">
        <v>1794</v>
      </c>
      <c r="B17">
        <v>602001810001</v>
      </c>
      <c r="C17" t="s">
        <v>16</v>
      </c>
      <c r="D17" s="1">
        <v>46042</v>
      </c>
      <c r="E17" t="s">
        <v>17</v>
      </c>
      <c r="F17">
        <v>626</v>
      </c>
      <c r="G17">
        <v>10</v>
      </c>
      <c r="H17">
        <v>0</v>
      </c>
      <c r="I17">
        <v>10</v>
      </c>
      <c r="J17">
        <v>0</v>
      </c>
      <c r="K17">
        <v>0</v>
      </c>
      <c r="L17">
        <v>10</v>
      </c>
    </row>
    <row r="18" spans="1:12" x14ac:dyDescent="0.25">
      <c r="A18">
        <v>1794</v>
      </c>
      <c r="B18">
        <v>602001810001</v>
      </c>
      <c r="C18" t="s">
        <v>16</v>
      </c>
      <c r="D18" s="1">
        <v>46044</v>
      </c>
      <c r="E18" t="s">
        <v>17</v>
      </c>
      <c r="F18">
        <v>627</v>
      </c>
      <c r="G18">
        <v>10</v>
      </c>
      <c r="H18">
        <v>0</v>
      </c>
      <c r="I18">
        <v>10</v>
      </c>
      <c r="J18">
        <v>0</v>
      </c>
      <c r="K18">
        <v>0</v>
      </c>
      <c r="L18">
        <v>10</v>
      </c>
    </row>
    <row r="19" spans="1:12" x14ac:dyDescent="0.25">
      <c r="A19">
        <v>1794</v>
      </c>
      <c r="B19">
        <v>602001810001</v>
      </c>
      <c r="C19" t="s">
        <v>16</v>
      </c>
      <c r="D19" s="1">
        <v>46044</v>
      </c>
      <c r="E19" t="s">
        <v>17</v>
      </c>
      <c r="F19">
        <v>629</v>
      </c>
      <c r="G19">
        <v>10</v>
      </c>
      <c r="H19">
        <v>0</v>
      </c>
      <c r="I19">
        <v>10</v>
      </c>
      <c r="J19">
        <v>0</v>
      </c>
      <c r="K19">
        <v>0</v>
      </c>
      <c r="L19">
        <v>10</v>
      </c>
    </row>
    <row r="20" spans="1:12" x14ac:dyDescent="0.25">
      <c r="A20">
        <v>1794</v>
      </c>
      <c r="B20">
        <v>602001810001</v>
      </c>
      <c r="C20" t="s">
        <v>16</v>
      </c>
      <c r="D20" s="1">
        <v>46048</v>
      </c>
      <c r="E20" t="s">
        <v>17</v>
      </c>
      <c r="F20">
        <v>631</v>
      </c>
      <c r="G20">
        <v>12</v>
      </c>
      <c r="H20">
        <v>0</v>
      </c>
      <c r="I20">
        <v>12</v>
      </c>
      <c r="J20">
        <v>0</v>
      </c>
      <c r="K20">
        <v>0</v>
      </c>
      <c r="L20">
        <v>12</v>
      </c>
    </row>
    <row r="21" spans="1:12" x14ac:dyDescent="0.25">
      <c r="A21">
        <v>1794</v>
      </c>
      <c r="B21">
        <v>602001810001</v>
      </c>
      <c r="C21" t="s">
        <v>16</v>
      </c>
      <c r="D21" s="1">
        <v>46051</v>
      </c>
      <c r="E21" t="s">
        <v>17</v>
      </c>
      <c r="F21">
        <v>632</v>
      </c>
      <c r="G21">
        <v>10</v>
      </c>
      <c r="H21">
        <v>0</v>
      </c>
      <c r="I21">
        <v>10</v>
      </c>
      <c r="J21">
        <v>0</v>
      </c>
      <c r="K21">
        <v>0</v>
      </c>
      <c r="L21">
        <v>10</v>
      </c>
    </row>
    <row r="22" spans="1:12" x14ac:dyDescent="0.25">
      <c r="A22">
        <v>1610</v>
      </c>
      <c r="B22">
        <v>602119992001</v>
      </c>
      <c r="C22" t="s">
        <v>18</v>
      </c>
      <c r="D22" s="1">
        <v>46028</v>
      </c>
      <c r="E22" t="s">
        <v>13</v>
      </c>
      <c r="F22">
        <v>250</v>
      </c>
      <c r="G22">
        <v>263.62</v>
      </c>
      <c r="H22">
        <v>0</v>
      </c>
      <c r="I22">
        <v>269</v>
      </c>
      <c r="J22">
        <v>0</v>
      </c>
      <c r="K22">
        <v>5.38</v>
      </c>
      <c r="L22">
        <v>263.62</v>
      </c>
    </row>
    <row r="23" spans="1:12" x14ac:dyDescent="0.25">
      <c r="A23">
        <v>1610</v>
      </c>
      <c r="B23">
        <v>602119992001</v>
      </c>
      <c r="C23" t="s">
        <v>18</v>
      </c>
      <c r="D23" s="1">
        <v>46028</v>
      </c>
      <c r="E23" t="s">
        <v>13</v>
      </c>
      <c r="F23">
        <v>251</v>
      </c>
      <c r="G23">
        <v>187.18</v>
      </c>
      <c r="H23">
        <v>0</v>
      </c>
      <c r="I23">
        <v>191</v>
      </c>
      <c r="J23">
        <v>0</v>
      </c>
      <c r="K23">
        <v>3.82</v>
      </c>
      <c r="L23">
        <v>187.18</v>
      </c>
    </row>
    <row r="24" spans="1:12" x14ac:dyDescent="0.25">
      <c r="A24">
        <v>1610</v>
      </c>
      <c r="B24">
        <v>602119992001</v>
      </c>
      <c r="C24" t="s">
        <v>18</v>
      </c>
      <c r="D24" s="1">
        <v>46041</v>
      </c>
      <c r="E24" t="s">
        <v>13</v>
      </c>
      <c r="F24">
        <v>253</v>
      </c>
      <c r="G24">
        <v>49</v>
      </c>
      <c r="H24">
        <v>0</v>
      </c>
      <c r="I24">
        <v>50</v>
      </c>
      <c r="J24">
        <v>0</v>
      </c>
      <c r="K24">
        <v>1</v>
      </c>
      <c r="L24">
        <v>49</v>
      </c>
    </row>
    <row r="25" spans="1:12" x14ac:dyDescent="0.25">
      <c r="A25">
        <v>1610</v>
      </c>
      <c r="B25">
        <v>602119992001</v>
      </c>
      <c r="C25" t="s">
        <v>18</v>
      </c>
      <c r="D25" s="1">
        <v>46051</v>
      </c>
      <c r="E25" t="s">
        <v>13</v>
      </c>
      <c r="F25">
        <v>254</v>
      </c>
      <c r="G25">
        <v>441</v>
      </c>
      <c r="H25">
        <v>0</v>
      </c>
      <c r="I25">
        <v>450</v>
      </c>
      <c r="J25">
        <v>0</v>
      </c>
      <c r="K25">
        <v>9</v>
      </c>
      <c r="L25">
        <v>441</v>
      </c>
    </row>
    <row r="26" spans="1:12" x14ac:dyDescent="0.25">
      <c r="A26">
        <v>1844</v>
      </c>
      <c r="B26">
        <v>602185464001</v>
      </c>
      <c r="C26" t="s">
        <v>19</v>
      </c>
      <c r="D26" s="1">
        <v>46029</v>
      </c>
      <c r="E26" t="s">
        <v>13</v>
      </c>
      <c r="F26">
        <v>1841</v>
      </c>
      <c r="G26">
        <v>24.58</v>
      </c>
      <c r="H26">
        <v>22.61</v>
      </c>
      <c r="I26">
        <v>0</v>
      </c>
      <c r="J26">
        <v>3.39</v>
      </c>
      <c r="K26">
        <v>1.42</v>
      </c>
      <c r="L26">
        <v>24.58</v>
      </c>
    </row>
    <row r="27" spans="1:12" x14ac:dyDescent="0.25">
      <c r="A27">
        <v>1597</v>
      </c>
      <c r="B27">
        <v>603128299</v>
      </c>
      <c r="C27" t="s">
        <v>20</v>
      </c>
      <c r="D27" s="1">
        <v>46045</v>
      </c>
      <c r="E27" t="s">
        <v>21</v>
      </c>
      <c r="F27">
        <v>231</v>
      </c>
      <c r="G27">
        <v>36.72</v>
      </c>
      <c r="H27">
        <v>27.58</v>
      </c>
      <c r="I27">
        <v>5</v>
      </c>
      <c r="J27">
        <v>4.1399999999999997</v>
      </c>
      <c r="K27">
        <v>0</v>
      </c>
      <c r="L27">
        <v>0</v>
      </c>
    </row>
    <row r="28" spans="1:12" x14ac:dyDescent="0.25">
      <c r="A28">
        <v>1597</v>
      </c>
      <c r="B28">
        <v>603128299</v>
      </c>
      <c r="C28" t="s">
        <v>20</v>
      </c>
      <c r="D28" s="1">
        <v>46051</v>
      </c>
      <c r="E28" t="s">
        <v>21</v>
      </c>
      <c r="F28">
        <v>234</v>
      </c>
      <c r="G28">
        <v>15.15</v>
      </c>
      <c r="H28">
        <v>9.01</v>
      </c>
      <c r="I28">
        <v>4.8</v>
      </c>
      <c r="J28">
        <v>1.34</v>
      </c>
      <c r="K28">
        <v>0</v>
      </c>
      <c r="L28">
        <v>15.15</v>
      </c>
    </row>
    <row r="29" spans="1:12" x14ac:dyDescent="0.25">
      <c r="A29">
        <v>1850</v>
      </c>
      <c r="B29">
        <v>604389825001</v>
      </c>
      <c r="C29" t="s">
        <v>22</v>
      </c>
      <c r="D29" s="1">
        <v>46041</v>
      </c>
      <c r="E29" t="s">
        <v>13</v>
      </c>
      <c r="F29">
        <v>2</v>
      </c>
      <c r="G29">
        <v>133.30000000000001</v>
      </c>
      <c r="H29">
        <v>121.74</v>
      </c>
      <c r="I29">
        <v>0</v>
      </c>
      <c r="J29">
        <v>18.260000000000002</v>
      </c>
      <c r="K29">
        <v>6.7</v>
      </c>
      <c r="L29">
        <v>133.30000000000001</v>
      </c>
    </row>
    <row r="30" spans="1:12" x14ac:dyDescent="0.25">
      <c r="A30">
        <v>1599</v>
      </c>
      <c r="B30">
        <v>604599126001</v>
      </c>
      <c r="C30" t="s">
        <v>23</v>
      </c>
      <c r="D30" s="1">
        <v>46027</v>
      </c>
      <c r="E30" t="s">
        <v>13</v>
      </c>
      <c r="F30">
        <v>2514</v>
      </c>
      <c r="G30">
        <v>18.309999999999999</v>
      </c>
      <c r="H30">
        <v>17.87</v>
      </c>
      <c r="I30">
        <v>0</v>
      </c>
      <c r="J30">
        <v>2.68</v>
      </c>
      <c r="K30">
        <v>2.2400000000000002</v>
      </c>
      <c r="L30">
        <v>18.309999999999999</v>
      </c>
    </row>
    <row r="31" spans="1:12" x14ac:dyDescent="0.25">
      <c r="A31">
        <v>1599</v>
      </c>
      <c r="B31">
        <v>604599126001</v>
      </c>
      <c r="C31" t="s">
        <v>23</v>
      </c>
      <c r="D31" s="1">
        <v>46027</v>
      </c>
      <c r="E31" t="s">
        <v>13</v>
      </c>
      <c r="F31">
        <v>2513</v>
      </c>
      <c r="G31">
        <v>18.309999999999999</v>
      </c>
      <c r="H31">
        <v>17.87</v>
      </c>
      <c r="I31">
        <v>0</v>
      </c>
      <c r="J31">
        <v>2.68</v>
      </c>
      <c r="K31">
        <v>2.2400000000000002</v>
      </c>
      <c r="L31">
        <v>18.309999999999999</v>
      </c>
    </row>
    <row r="32" spans="1:12" x14ac:dyDescent="0.25">
      <c r="A32">
        <v>1599</v>
      </c>
      <c r="B32">
        <v>604599126001</v>
      </c>
      <c r="C32" t="s">
        <v>23</v>
      </c>
      <c r="D32" s="1">
        <v>46027</v>
      </c>
      <c r="E32" t="s">
        <v>13</v>
      </c>
      <c r="F32">
        <v>2512</v>
      </c>
      <c r="G32">
        <v>18.309999999999999</v>
      </c>
      <c r="H32">
        <v>17.87</v>
      </c>
      <c r="I32">
        <v>0</v>
      </c>
      <c r="J32">
        <v>2.68</v>
      </c>
      <c r="K32">
        <v>2.2400000000000002</v>
      </c>
      <c r="L32">
        <v>18.309999999999999</v>
      </c>
    </row>
    <row r="33" spans="1:12" x14ac:dyDescent="0.25">
      <c r="A33">
        <v>1599</v>
      </c>
      <c r="B33">
        <v>604599126001</v>
      </c>
      <c r="C33" t="s">
        <v>23</v>
      </c>
      <c r="D33" s="1">
        <v>46028</v>
      </c>
      <c r="E33" t="s">
        <v>13</v>
      </c>
      <c r="F33">
        <v>2519</v>
      </c>
      <c r="G33">
        <v>18.309999999999999</v>
      </c>
      <c r="H33">
        <v>17.87</v>
      </c>
      <c r="I33">
        <v>0</v>
      </c>
      <c r="J33">
        <v>2.68</v>
      </c>
      <c r="K33">
        <v>2.2400000000000002</v>
      </c>
      <c r="L33">
        <v>18.309999999999999</v>
      </c>
    </row>
    <row r="34" spans="1:12" x14ac:dyDescent="0.25">
      <c r="A34">
        <v>1599</v>
      </c>
      <c r="B34">
        <v>604599126001</v>
      </c>
      <c r="C34" t="s">
        <v>23</v>
      </c>
      <c r="D34" s="1">
        <v>46029</v>
      </c>
      <c r="E34" t="s">
        <v>13</v>
      </c>
      <c r="F34">
        <v>2528</v>
      </c>
      <c r="G34">
        <v>18.309999999999999</v>
      </c>
      <c r="H34">
        <v>17.87</v>
      </c>
      <c r="I34">
        <v>0</v>
      </c>
      <c r="J34">
        <v>2.68</v>
      </c>
      <c r="K34">
        <v>2.2400000000000002</v>
      </c>
      <c r="L34">
        <v>18.309999999999999</v>
      </c>
    </row>
    <row r="35" spans="1:12" x14ac:dyDescent="0.25">
      <c r="A35">
        <v>1599</v>
      </c>
      <c r="B35">
        <v>604599126001</v>
      </c>
      <c r="C35" t="s">
        <v>23</v>
      </c>
      <c r="D35" s="1">
        <v>46029</v>
      </c>
      <c r="E35" t="s">
        <v>13</v>
      </c>
      <c r="F35">
        <v>2532</v>
      </c>
      <c r="G35">
        <v>18.309999999999999</v>
      </c>
      <c r="H35">
        <v>17.87</v>
      </c>
      <c r="I35">
        <v>0</v>
      </c>
      <c r="J35">
        <v>2.68</v>
      </c>
      <c r="K35">
        <v>2.2400000000000002</v>
      </c>
      <c r="L35">
        <v>18.309999999999999</v>
      </c>
    </row>
    <row r="36" spans="1:12" x14ac:dyDescent="0.25">
      <c r="A36">
        <v>1599</v>
      </c>
      <c r="B36">
        <v>604599126001</v>
      </c>
      <c r="C36" t="s">
        <v>23</v>
      </c>
      <c r="D36" s="1">
        <v>46029</v>
      </c>
      <c r="E36" t="s">
        <v>13</v>
      </c>
      <c r="F36">
        <v>2534</v>
      </c>
      <c r="G36">
        <v>18.309999999999999</v>
      </c>
      <c r="H36">
        <v>17.87</v>
      </c>
      <c r="I36">
        <v>0</v>
      </c>
      <c r="J36">
        <v>2.68</v>
      </c>
      <c r="K36">
        <v>2.2400000000000002</v>
      </c>
      <c r="L36">
        <v>18.309999999999999</v>
      </c>
    </row>
    <row r="37" spans="1:12" x14ac:dyDescent="0.25">
      <c r="A37">
        <v>1599</v>
      </c>
      <c r="B37">
        <v>604599126001</v>
      </c>
      <c r="C37" t="s">
        <v>23</v>
      </c>
      <c r="D37" s="1">
        <v>46029</v>
      </c>
      <c r="E37" t="s">
        <v>13</v>
      </c>
      <c r="F37">
        <v>2537</v>
      </c>
      <c r="G37">
        <v>18.309999999999999</v>
      </c>
      <c r="H37">
        <v>17.87</v>
      </c>
      <c r="I37">
        <v>0</v>
      </c>
      <c r="J37">
        <v>2.68</v>
      </c>
      <c r="K37">
        <v>2.2400000000000002</v>
      </c>
      <c r="L37">
        <v>18.309999999999999</v>
      </c>
    </row>
    <row r="38" spans="1:12" x14ac:dyDescent="0.25">
      <c r="A38">
        <v>1599</v>
      </c>
      <c r="B38">
        <v>604599126001</v>
      </c>
      <c r="C38" t="s">
        <v>23</v>
      </c>
      <c r="D38" s="1">
        <v>46029</v>
      </c>
      <c r="E38" t="s">
        <v>13</v>
      </c>
      <c r="F38">
        <v>2533</v>
      </c>
      <c r="G38">
        <v>3.07</v>
      </c>
      <c r="H38">
        <v>3</v>
      </c>
      <c r="I38">
        <v>0</v>
      </c>
      <c r="J38">
        <v>0.45</v>
      </c>
      <c r="K38">
        <v>0.38</v>
      </c>
      <c r="L38">
        <v>3.07</v>
      </c>
    </row>
    <row r="39" spans="1:12" x14ac:dyDescent="0.25">
      <c r="A39">
        <v>1599</v>
      </c>
      <c r="B39">
        <v>604599126001</v>
      </c>
      <c r="C39" t="s">
        <v>23</v>
      </c>
      <c r="D39" s="1">
        <v>46030</v>
      </c>
      <c r="E39" t="s">
        <v>13</v>
      </c>
      <c r="F39">
        <v>2551</v>
      </c>
      <c r="G39">
        <v>18.309999999999999</v>
      </c>
      <c r="H39">
        <v>17.87</v>
      </c>
      <c r="I39">
        <v>0</v>
      </c>
      <c r="J39">
        <v>2.68</v>
      </c>
      <c r="K39">
        <v>2.2400000000000002</v>
      </c>
      <c r="L39">
        <v>18.309999999999999</v>
      </c>
    </row>
    <row r="40" spans="1:12" x14ac:dyDescent="0.25">
      <c r="A40">
        <v>1599</v>
      </c>
      <c r="B40">
        <v>604599126001</v>
      </c>
      <c r="C40" t="s">
        <v>23</v>
      </c>
      <c r="D40" s="1">
        <v>46030</v>
      </c>
      <c r="E40" t="s">
        <v>13</v>
      </c>
      <c r="F40">
        <v>2544</v>
      </c>
      <c r="G40">
        <v>18.309999999999999</v>
      </c>
      <c r="H40">
        <v>17.87</v>
      </c>
      <c r="I40">
        <v>0</v>
      </c>
      <c r="J40">
        <v>2.68</v>
      </c>
      <c r="K40">
        <v>2.2400000000000002</v>
      </c>
      <c r="L40">
        <v>18.309999999999999</v>
      </c>
    </row>
    <row r="41" spans="1:12" x14ac:dyDescent="0.25">
      <c r="A41">
        <v>1599</v>
      </c>
      <c r="B41">
        <v>604599126001</v>
      </c>
      <c r="C41" t="s">
        <v>23</v>
      </c>
      <c r="D41" s="1">
        <v>46030</v>
      </c>
      <c r="E41" t="s">
        <v>13</v>
      </c>
      <c r="F41">
        <v>2549</v>
      </c>
      <c r="G41">
        <v>18.309999999999999</v>
      </c>
      <c r="H41">
        <v>17.87</v>
      </c>
      <c r="I41">
        <v>0</v>
      </c>
      <c r="J41">
        <v>2.68</v>
      </c>
      <c r="K41">
        <v>2.2400000000000002</v>
      </c>
      <c r="L41">
        <v>18.309999999999999</v>
      </c>
    </row>
    <row r="42" spans="1:12" x14ac:dyDescent="0.25">
      <c r="A42">
        <v>1599</v>
      </c>
      <c r="B42">
        <v>604599126001</v>
      </c>
      <c r="C42" t="s">
        <v>23</v>
      </c>
      <c r="D42" s="1">
        <v>46031</v>
      </c>
      <c r="E42" t="s">
        <v>13</v>
      </c>
      <c r="F42">
        <v>2555</v>
      </c>
      <c r="G42">
        <v>18.309999999999999</v>
      </c>
      <c r="H42">
        <v>17.87</v>
      </c>
      <c r="I42">
        <v>0</v>
      </c>
      <c r="J42">
        <v>2.68</v>
      </c>
      <c r="K42">
        <v>2.2400000000000002</v>
      </c>
      <c r="L42">
        <v>18.309999999999999</v>
      </c>
    </row>
    <row r="43" spans="1:12" x14ac:dyDescent="0.25">
      <c r="A43">
        <v>1599</v>
      </c>
      <c r="B43">
        <v>604599126001</v>
      </c>
      <c r="C43" t="s">
        <v>23</v>
      </c>
      <c r="D43" s="1">
        <v>46031</v>
      </c>
      <c r="E43" t="s">
        <v>13</v>
      </c>
      <c r="F43">
        <v>2561</v>
      </c>
      <c r="G43">
        <v>18.309999999999999</v>
      </c>
      <c r="H43">
        <v>17.87</v>
      </c>
      <c r="I43">
        <v>0</v>
      </c>
      <c r="J43">
        <v>2.68</v>
      </c>
      <c r="K43">
        <v>2.2400000000000002</v>
      </c>
      <c r="L43">
        <v>18.309999999999999</v>
      </c>
    </row>
    <row r="44" spans="1:12" x14ac:dyDescent="0.25">
      <c r="A44">
        <v>1599</v>
      </c>
      <c r="B44">
        <v>604599126001</v>
      </c>
      <c r="C44" t="s">
        <v>23</v>
      </c>
      <c r="D44" s="1">
        <v>46037</v>
      </c>
      <c r="E44" t="s">
        <v>13</v>
      </c>
      <c r="F44">
        <v>2589</v>
      </c>
      <c r="G44">
        <v>20.88</v>
      </c>
      <c r="H44">
        <v>20.37</v>
      </c>
      <c r="I44">
        <v>0</v>
      </c>
      <c r="J44">
        <v>3.06</v>
      </c>
      <c r="K44">
        <v>2.5499999999999998</v>
      </c>
      <c r="L44">
        <v>20.88</v>
      </c>
    </row>
    <row r="45" spans="1:12" x14ac:dyDescent="0.25">
      <c r="A45">
        <v>1599</v>
      </c>
      <c r="B45">
        <v>604599126001</v>
      </c>
      <c r="C45" t="s">
        <v>23</v>
      </c>
      <c r="D45" s="1">
        <v>46038</v>
      </c>
      <c r="E45" t="s">
        <v>13</v>
      </c>
      <c r="F45">
        <v>2595</v>
      </c>
      <c r="G45">
        <v>18.309999999999999</v>
      </c>
      <c r="H45">
        <v>17.87</v>
      </c>
      <c r="I45">
        <v>0</v>
      </c>
      <c r="J45">
        <v>2.68</v>
      </c>
      <c r="K45">
        <v>2.2400000000000002</v>
      </c>
      <c r="L45">
        <v>18.309999999999999</v>
      </c>
    </row>
    <row r="46" spans="1:12" x14ac:dyDescent="0.25">
      <c r="A46">
        <v>1599</v>
      </c>
      <c r="B46">
        <v>604599126001</v>
      </c>
      <c r="C46" t="s">
        <v>23</v>
      </c>
      <c r="D46" s="1">
        <v>46038</v>
      </c>
      <c r="E46" t="s">
        <v>13</v>
      </c>
      <c r="F46">
        <v>2597</v>
      </c>
      <c r="G46">
        <v>18.309999999999999</v>
      </c>
      <c r="H46">
        <v>17.87</v>
      </c>
      <c r="I46">
        <v>0</v>
      </c>
      <c r="J46">
        <v>2.68</v>
      </c>
      <c r="K46">
        <v>2.2400000000000002</v>
      </c>
      <c r="L46">
        <v>18.309999999999999</v>
      </c>
    </row>
    <row r="47" spans="1:12" x14ac:dyDescent="0.25">
      <c r="A47">
        <v>1599</v>
      </c>
      <c r="B47">
        <v>604599126001</v>
      </c>
      <c r="C47" t="s">
        <v>23</v>
      </c>
      <c r="D47" s="1">
        <v>46038</v>
      </c>
      <c r="E47" t="s">
        <v>13</v>
      </c>
      <c r="F47">
        <v>2599</v>
      </c>
      <c r="G47">
        <v>18.309999999999999</v>
      </c>
      <c r="H47">
        <v>17.87</v>
      </c>
      <c r="I47">
        <v>0</v>
      </c>
      <c r="J47">
        <v>2.68</v>
      </c>
      <c r="K47">
        <v>2.2400000000000002</v>
      </c>
      <c r="L47">
        <v>18.309999999999999</v>
      </c>
    </row>
    <row r="48" spans="1:12" x14ac:dyDescent="0.25">
      <c r="A48">
        <v>1599</v>
      </c>
      <c r="B48">
        <v>604599126001</v>
      </c>
      <c r="C48" t="s">
        <v>23</v>
      </c>
      <c r="D48" s="1">
        <v>46041</v>
      </c>
      <c r="E48" t="s">
        <v>13</v>
      </c>
      <c r="F48">
        <v>2616</v>
      </c>
      <c r="G48">
        <v>18.309999999999999</v>
      </c>
      <c r="H48">
        <v>17.87</v>
      </c>
      <c r="I48">
        <v>0</v>
      </c>
      <c r="J48">
        <v>2.68</v>
      </c>
      <c r="K48">
        <v>2.2400000000000002</v>
      </c>
      <c r="L48">
        <v>18.309999999999999</v>
      </c>
    </row>
    <row r="49" spans="1:12" x14ac:dyDescent="0.25">
      <c r="A49">
        <v>1599</v>
      </c>
      <c r="B49">
        <v>604599126001</v>
      </c>
      <c r="C49" t="s">
        <v>23</v>
      </c>
      <c r="D49" s="1">
        <v>46041</v>
      </c>
      <c r="E49" t="s">
        <v>13</v>
      </c>
      <c r="F49">
        <v>2614</v>
      </c>
      <c r="G49">
        <v>18.309999999999999</v>
      </c>
      <c r="H49">
        <v>17.87</v>
      </c>
      <c r="I49">
        <v>0</v>
      </c>
      <c r="J49">
        <v>2.68</v>
      </c>
      <c r="K49">
        <v>2.2400000000000002</v>
      </c>
      <c r="L49">
        <v>18.309999999999999</v>
      </c>
    </row>
    <row r="50" spans="1:12" x14ac:dyDescent="0.25">
      <c r="A50">
        <v>1599</v>
      </c>
      <c r="B50">
        <v>604599126001</v>
      </c>
      <c r="C50" t="s">
        <v>23</v>
      </c>
      <c r="D50" s="1">
        <v>46042</v>
      </c>
      <c r="E50" t="s">
        <v>13</v>
      </c>
      <c r="F50">
        <v>2623</v>
      </c>
      <c r="G50">
        <v>18.309999999999999</v>
      </c>
      <c r="H50">
        <v>17.87</v>
      </c>
      <c r="I50">
        <v>0</v>
      </c>
      <c r="J50">
        <v>2.68</v>
      </c>
      <c r="K50">
        <v>2.2400000000000002</v>
      </c>
      <c r="L50">
        <v>18.309999999999999</v>
      </c>
    </row>
    <row r="51" spans="1:12" x14ac:dyDescent="0.25">
      <c r="A51">
        <v>1599</v>
      </c>
      <c r="B51">
        <v>604599126001</v>
      </c>
      <c r="C51" t="s">
        <v>23</v>
      </c>
      <c r="D51" s="1">
        <v>46042</v>
      </c>
      <c r="E51" t="s">
        <v>13</v>
      </c>
      <c r="F51">
        <v>2624</v>
      </c>
      <c r="G51">
        <v>18.309999999999999</v>
      </c>
      <c r="H51">
        <v>17.87</v>
      </c>
      <c r="I51">
        <v>0</v>
      </c>
      <c r="J51">
        <v>2.68</v>
      </c>
      <c r="K51">
        <v>2.2400000000000002</v>
      </c>
      <c r="L51">
        <v>18.309999999999999</v>
      </c>
    </row>
    <row r="52" spans="1:12" x14ac:dyDescent="0.25">
      <c r="A52">
        <v>1599</v>
      </c>
      <c r="B52">
        <v>604599126001</v>
      </c>
      <c r="C52" t="s">
        <v>23</v>
      </c>
      <c r="D52" s="1">
        <v>46043</v>
      </c>
      <c r="E52" t="s">
        <v>13</v>
      </c>
      <c r="F52">
        <v>2635</v>
      </c>
      <c r="G52">
        <v>18.309999999999999</v>
      </c>
      <c r="H52">
        <v>17.87</v>
      </c>
      <c r="I52">
        <v>0</v>
      </c>
      <c r="J52">
        <v>2.68</v>
      </c>
      <c r="K52">
        <v>2.2400000000000002</v>
      </c>
      <c r="L52">
        <v>18.309999999999999</v>
      </c>
    </row>
    <row r="53" spans="1:12" x14ac:dyDescent="0.25">
      <c r="A53">
        <v>1599</v>
      </c>
      <c r="B53">
        <v>604599126001</v>
      </c>
      <c r="C53" t="s">
        <v>23</v>
      </c>
      <c r="D53" s="1">
        <v>46043</v>
      </c>
      <c r="E53" t="s">
        <v>13</v>
      </c>
      <c r="F53">
        <v>2634</v>
      </c>
      <c r="G53">
        <v>18.309999999999999</v>
      </c>
      <c r="H53">
        <v>17.87</v>
      </c>
      <c r="I53">
        <v>0</v>
      </c>
      <c r="J53">
        <v>2.68</v>
      </c>
      <c r="K53">
        <v>2.2400000000000002</v>
      </c>
      <c r="L53">
        <v>18.309999999999999</v>
      </c>
    </row>
    <row r="54" spans="1:12" x14ac:dyDescent="0.25">
      <c r="A54">
        <v>1599</v>
      </c>
      <c r="B54">
        <v>604599126001</v>
      </c>
      <c r="C54" t="s">
        <v>23</v>
      </c>
      <c r="D54" s="1">
        <v>46043</v>
      </c>
      <c r="E54" t="s">
        <v>13</v>
      </c>
      <c r="F54">
        <v>2627</v>
      </c>
      <c r="G54">
        <v>18.309999999999999</v>
      </c>
      <c r="H54">
        <v>17.87</v>
      </c>
      <c r="I54">
        <v>0</v>
      </c>
      <c r="J54">
        <v>2.68</v>
      </c>
      <c r="K54">
        <v>2.2400000000000002</v>
      </c>
      <c r="L54">
        <v>18.309999999999999</v>
      </c>
    </row>
    <row r="55" spans="1:12" x14ac:dyDescent="0.25">
      <c r="A55">
        <v>1599</v>
      </c>
      <c r="B55">
        <v>604599126001</v>
      </c>
      <c r="C55" t="s">
        <v>23</v>
      </c>
      <c r="D55" s="1">
        <v>46043</v>
      </c>
      <c r="E55" t="s">
        <v>13</v>
      </c>
      <c r="F55">
        <v>2636</v>
      </c>
      <c r="G55">
        <v>18.309999999999999</v>
      </c>
      <c r="H55">
        <v>17.87</v>
      </c>
      <c r="I55">
        <v>0</v>
      </c>
      <c r="J55">
        <v>2.68</v>
      </c>
      <c r="K55">
        <v>2.2400000000000002</v>
      </c>
      <c r="L55">
        <v>18.309999999999999</v>
      </c>
    </row>
    <row r="56" spans="1:12" x14ac:dyDescent="0.25">
      <c r="A56">
        <v>1599</v>
      </c>
      <c r="B56">
        <v>604599126001</v>
      </c>
      <c r="C56" t="s">
        <v>23</v>
      </c>
      <c r="D56" s="1">
        <v>46044</v>
      </c>
      <c r="E56" t="s">
        <v>13</v>
      </c>
      <c r="F56">
        <v>2640</v>
      </c>
      <c r="G56">
        <v>18.309999999999999</v>
      </c>
      <c r="H56">
        <v>17.87</v>
      </c>
      <c r="I56">
        <v>0</v>
      </c>
      <c r="J56">
        <v>2.68</v>
      </c>
      <c r="K56">
        <v>2.2400000000000002</v>
      </c>
      <c r="L56">
        <v>18.309999999999999</v>
      </c>
    </row>
    <row r="57" spans="1:12" x14ac:dyDescent="0.25">
      <c r="A57">
        <v>1599</v>
      </c>
      <c r="B57">
        <v>604599126001</v>
      </c>
      <c r="C57" t="s">
        <v>23</v>
      </c>
      <c r="D57" s="1">
        <v>46048</v>
      </c>
      <c r="E57" t="s">
        <v>13</v>
      </c>
      <c r="F57">
        <v>2652</v>
      </c>
      <c r="G57">
        <v>18.309999999999999</v>
      </c>
      <c r="H57">
        <v>17.87</v>
      </c>
      <c r="I57">
        <v>0</v>
      </c>
      <c r="J57">
        <v>2.68</v>
      </c>
      <c r="K57">
        <v>2.2400000000000002</v>
      </c>
      <c r="L57">
        <v>18.309999999999999</v>
      </c>
    </row>
    <row r="58" spans="1:12" x14ac:dyDescent="0.25">
      <c r="A58">
        <v>1599</v>
      </c>
      <c r="B58">
        <v>604599126001</v>
      </c>
      <c r="C58" t="s">
        <v>23</v>
      </c>
      <c r="D58" s="1">
        <v>46048</v>
      </c>
      <c r="E58" t="s">
        <v>13</v>
      </c>
      <c r="F58">
        <v>2651</v>
      </c>
      <c r="G58">
        <v>18.309999999999999</v>
      </c>
      <c r="H58">
        <v>17.87</v>
      </c>
      <c r="I58">
        <v>0</v>
      </c>
      <c r="J58">
        <v>2.68</v>
      </c>
      <c r="K58">
        <v>2.2400000000000002</v>
      </c>
      <c r="L58">
        <v>18.309999999999999</v>
      </c>
    </row>
    <row r="59" spans="1:12" x14ac:dyDescent="0.25">
      <c r="A59">
        <v>1599</v>
      </c>
      <c r="B59">
        <v>604599126001</v>
      </c>
      <c r="C59" t="s">
        <v>23</v>
      </c>
      <c r="D59" s="1">
        <v>46048</v>
      </c>
      <c r="E59" t="s">
        <v>13</v>
      </c>
      <c r="F59">
        <v>2647</v>
      </c>
      <c r="G59">
        <v>18.309999999999999</v>
      </c>
      <c r="H59">
        <v>17.87</v>
      </c>
      <c r="I59">
        <v>0</v>
      </c>
      <c r="J59">
        <v>2.68</v>
      </c>
      <c r="K59">
        <v>2.2400000000000002</v>
      </c>
      <c r="L59">
        <v>18.309999999999999</v>
      </c>
    </row>
    <row r="60" spans="1:12" x14ac:dyDescent="0.25">
      <c r="A60">
        <v>1599</v>
      </c>
      <c r="B60">
        <v>604599126001</v>
      </c>
      <c r="C60" t="s">
        <v>23</v>
      </c>
      <c r="D60" s="1">
        <v>46049</v>
      </c>
      <c r="E60" t="s">
        <v>13</v>
      </c>
      <c r="F60">
        <v>2661</v>
      </c>
      <c r="G60">
        <v>18.309999999999999</v>
      </c>
      <c r="H60">
        <v>17.87</v>
      </c>
      <c r="I60">
        <v>0</v>
      </c>
      <c r="J60">
        <v>2.68</v>
      </c>
      <c r="K60">
        <v>2.2400000000000002</v>
      </c>
      <c r="L60">
        <v>18.309999999999999</v>
      </c>
    </row>
    <row r="61" spans="1:12" x14ac:dyDescent="0.25">
      <c r="A61">
        <v>1599</v>
      </c>
      <c r="B61">
        <v>604599126001</v>
      </c>
      <c r="C61" t="s">
        <v>23</v>
      </c>
      <c r="D61" s="1">
        <v>46050</v>
      </c>
      <c r="E61" t="s">
        <v>13</v>
      </c>
      <c r="F61">
        <v>2663</v>
      </c>
      <c r="G61">
        <v>18.309999999999999</v>
      </c>
      <c r="H61">
        <v>17.87</v>
      </c>
      <c r="I61">
        <v>0</v>
      </c>
      <c r="J61">
        <v>2.68</v>
      </c>
      <c r="K61">
        <v>2.2400000000000002</v>
      </c>
      <c r="L61">
        <v>18.309999999999999</v>
      </c>
    </row>
    <row r="62" spans="1:12" x14ac:dyDescent="0.25">
      <c r="A62">
        <v>1599</v>
      </c>
      <c r="B62">
        <v>604599126001</v>
      </c>
      <c r="C62" t="s">
        <v>23</v>
      </c>
      <c r="D62" s="1">
        <v>46051</v>
      </c>
      <c r="E62" t="s">
        <v>13</v>
      </c>
      <c r="F62">
        <v>2672</v>
      </c>
      <c r="G62">
        <v>61.5</v>
      </c>
      <c r="H62">
        <v>60</v>
      </c>
      <c r="I62">
        <v>0</v>
      </c>
      <c r="J62">
        <v>9</v>
      </c>
      <c r="K62">
        <v>7.5</v>
      </c>
      <c r="L62">
        <v>61.5</v>
      </c>
    </row>
    <row r="63" spans="1:12" x14ac:dyDescent="0.25">
      <c r="A63">
        <v>1603</v>
      </c>
      <c r="B63">
        <v>690000512001</v>
      </c>
      <c r="C63" t="s">
        <v>24</v>
      </c>
      <c r="D63" s="1">
        <v>46038</v>
      </c>
      <c r="E63" t="s">
        <v>13</v>
      </c>
      <c r="F63">
        <v>16130207</v>
      </c>
      <c r="G63">
        <v>31.51</v>
      </c>
      <c r="H63">
        <v>0</v>
      </c>
      <c r="I63">
        <v>31.51</v>
      </c>
      <c r="J63">
        <v>0</v>
      </c>
      <c r="K63">
        <v>0</v>
      </c>
      <c r="L63">
        <v>31.51</v>
      </c>
    </row>
    <row r="64" spans="1:12" x14ac:dyDescent="0.25">
      <c r="A64">
        <v>1746</v>
      </c>
      <c r="B64">
        <v>956298442001</v>
      </c>
      <c r="C64" t="s">
        <v>25</v>
      </c>
      <c r="D64" s="1">
        <v>46038</v>
      </c>
      <c r="E64" t="s">
        <v>17</v>
      </c>
      <c r="F64">
        <v>140</v>
      </c>
      <c r="G64">
        <v>160</v>
      </c>
      <c r="H64">
        <v>160</v>
      </c>
      <c r="I64">
        <v>0</v>
      </c>
      <c r="J64">
        <v>0</v>
      </c>
      <c r="K64">
        <v>0</v>
      </c>
      <c r="L64">
        <v>160</v>
      </c>
    </row>
    <row r="65" spans="1:12" x14ac:dyDescent="0.25">
      <c r="A65">
        <v>425</v>
      </c>
      <c r="B65">
        <v>990018685001</v>
      </c>
      <c r="C65" t="s">
        <v>26</v>
      </c>
      <c r="D65" s="1">
        <v>46035</v>
      </c>
      <c r="E65" t="s">
        <v>13</v>
      </c>
      <c r="F65">
        <v>137292</v>
      </c>
      <c r="G65">
        <v>790.25</v>
      </c>
      <c r="H65">
        <v>687.17</v>
      </c>
      <c r="I65">
        <v>0</v>
      </c>
      <c r="J65">
        <v>103.08</v>
      </c>
      <c r="K65">
        <v>0</v>
      </c>
      <c r="L65">
        <v>790.25</v>
      </c>
    </row>
    <row r="66" spans="1:12" x14ac:dyDescent="0.25">
      <c r="A66">
        <v>425</v>
      </c>
      <c r="B66">
        <v>990018685001</v>
      </c>
      <c r="C66" t="s">
        <v>26</v>
      </c>
      <c r="D66" s="1">
        <v>46037</v>
      </c>
      <c r="E66" t="s">
        <v>13</v>
      </c>
      <c r="F66">
        <v>137406</v>
      </c>
      <c r="G66">
        <v>674.89</v>
      </c>
      <c r="H66">
        <v>586.86</v>
      </c>
      <c r="I66">
        <v>0</v>
      </c>
      <c r="J66">
        <v>88.03</v>
      </c>
      <c r="K66">
        <v>0</v>
      </c>
      <c r="L66">
        <v>674.89</v>
      </c>
    </row>
    <row r="67" spans="1:12" x14ac:dyDescent="0.25">
      <c r="A67">
        <v>196</v>
      </c>
      <c r="B67">
        <v>991285679001</v>
      </c>
      <c r="C67" t="s">
        <v>27</v>
      </c>
      <c r="D67" s="1">
        <v>46039</v>
      </c>
      <c r="E67" t="s">
        <v>13</v>
      </c>
      <c r="F67">
        <v>128858</v>
      </c>
      <c r="G67">
        <v>57.21</v>
      </c>
      <c r="H67">
        <v>49.75</v>
      </c>
      <c r="I67">
        <v>0</v>
      </c>
      <c r="J67">
        <v>7.46</v>
      </c>
      <c r="K67">
        <v>0</v>
      </c>
      <c r="L67">
        <v>57.21</v>
      </c>
    </row>
    <row r="68" spans="1:12" x14ac:dyDescent="0.25">
      <c r="A68">
        <v>692</v>
      </c>
      <c r="B68">
        <v>992141913001</v>
      </c>
      <c r="C68" t="s">
        <v>28</v>
      </c>
      <c r="D68" s="1">
        <v>46029</v>
      </c>
      <c r="E68" t="s">
        <v>13</v>
      </c>
      <c r="F68">
        <v>679</v>
      </c>
      <c r="G68">
        <v>105.32</v>
      </c>
      <c r="H68">
        <v>91.58</v>
      </c>
      <c r="I68">
        <v>0</v>
      </c>
      <c r="J68">
        <v>13.74</v>
      </c>
      <c r="K68">
        <v>0</v>
      </c>
      <c r="L68">
        <v>105.32</v>
      </c>
    </row>
    <row r="69" spans="1:12" x14ac:dyDescent="0.25">
      <c r="A69">
        <v>692</v>
      </c>
      <c r="B69">
        <v>992141913001</v>
      </c>
      <c r="C69" t="s">
        <v>28</v>
      </c>
      <c r="D69" s="1">
        <v>46036</v>
      </c>
      <c r="E69" t="s">
        <v>13</v>
      </c>
      <c r="F69">
        <v>695</v>
      </c>
      <c r="G69" s="2">
        <v>2336.1999999999998</v>
      </c>
      <c r="H69" s="2">
        <v>2031.48</v>
      </c>
      <c r="I69">
        <v>0</v>
      </c>
      <c r="J69">
        <v>304.72000000000003</v>
      </c>
      <c r="K69">
        <v>0</v>
      </c>
      <c r="L69" s="2">
        <v>2336.1999999999998</v>
      </c>
    </row>
    <row r="70" spans="1:12" x14ac:dyDescent="0.25">
      <c r="A70">
        <v>692</v>
      </c>
      <c r="B70">
        <v>992141913001</v>
      </c>
      <c r="C70" t="s">
        <v>28</v>
      </c>
      <c r="D70" s="1">
        <v>46042</v>
      </c>
      <c r="E70" t="s">
        <v>13</v>
      </c>
      <c r="F70">
        <v>715</v>
      </c>
      <c r="G70">
        <v>12.4</v>
      </c>
      <c r="H70">
        <v>10.78</v>
      </c>
      <c r="I70">
        <v>0</v>
      </c>
      <c r="J70">
        <v>1.62</v>
      </c>
      <c r="K70">
        <v>0</v>
      </c>
      <c r="L70">
        <v>12.4</v>
      </c>
    </row>
    <row r="71" spans="1:12" x14ac:dyDescent="0.25">
      <c r="A71">
        <v>692</v>
      </c>
      <c r="B71">
        <v>992141913001</v>
      </c>
      <c r="C71" t="s">
        <v>28</v>
      </c>
      <c r="D71" s="1">
        <v>46045</v>
      </c>
      <c r="E71" t="s">
        <v>13</v>
      </c>
      <c r="F71">
        <v>3279</v>
      </c>
      <c r="G71">
        <v>28.83</v>
      </c>
      <c r="H71">
        <v>25.07</v>
      </c>
      <c r="I71">
        <v>0</v>
      </c>
      <c r="J71">
        <v>3.76</v>
      </c>
      <c r="K71">
        <v>0</v>
      </c>
      <c r="L71">
        <v>28.83</v>
      </c>
    </row>
    <row r="72" spans="1:12" x14ac:dyDescent="0.25">
      <c r="A72">
        <v>692</v>
      </c>
      <c r="B72">
        <v>992141913001</v>
      </c>
      <c r="C72" t="s">
        <v>28</v>
      </c>
      <c r="D72" s="1">
        <v>46045</v>
      </c>
      <c r="E72" t="s">
        <v>13</v>
      </c>
      <c r="F72">
        <v>3278</v>
      </c>
      <c r="G72">
        <v>138.91999999999999</v>
      </c>
      <c r="H72">
        <v>120.8</v>
      </c>
      <c r="I72">
        <v>0</v>
      </c>
      <c r="J72">
        <v>18.12</v>
      </c>
      <c r="K72">
        <v>0</v>
      </c>
      <c r="L72">
        <v>138.91999999999999</v>
      </c>
    </row>
    <row r="73" spans="1:12" x14ac:dyDescent="0.25">
      <c r="A73">
        <v>692</v>
      </c>
      <c r="B73">
        <v>992141913001</v>
      </c>
      <c r="C73" t="s">
        <v>28</v>
      </c>
      <c r="D73" s="1">
        <v>46045</v>
      </c>
      <c r="E73" t="s">
        <v>13</v>
      </c>
      <c r="F73">
        <v>3276</v>
      </c>
      <c r="G73">
        <v>126.01</v>
      </c>
      <c r="H73">
        <v>109.57</v>
      </c>
      <c r="I73">
        <v>0</v>
      </c>
      <c r="J73">
        <v>16.440000000000001</v>
      </c>
      <c r="K73">
        <v>0</v>
      </c>
      <c r="L73">
        <v>126.01</v>
      </c>
    </row>
    <row r="74" spans="1:12" x14ac:dyDescent="0.25">
      <c r="A74">
        <v>692</v>
      </c>
      <c r="B74">
        <v>992141913001</v>
      </c>
      <c r="C74" t="s">
        <v>28</v>
      </c>
      <c r="D74" s="1">
        <v>46045</v>
      </c>
      <c r="E74" t="s">
        <v>13</v>
      </c>
      <c r="F74">
        <v>3277</v>
      </c>
      <c r="G74" s="2">
        <v>2391.0700000000002</v>
      </c>
      <c r="H74" s="2">
        <v>2079.19</v>
      </c>
      <c r="I74">
        <v>0</v>
      </c>
      <c r="J74">
        <v>311.88</v>
      </c>
      <c r="K74">
        <v>0</v>
      </c>
      <c r="L74" s="2">
        <v>2391.0700000000002</v>
      </c>
    </row>
    <row r="75" spans="1:12" x14ac:dyDescent="0.25">
      <c r="A75">
        <v>692</v>
      </c>
      <c r="B75">
        <v>992141913001</v>
      </c>
      <c r="C75" t="s">
        <v>28</v>
      </c>
      <c r="D75" s="1">
        <v>46049</v>
      </c>
      <c r="E75" t="s">
        <v>13</v>
      </c>
      <c r="F75">
        <v>737</v>
      </c>
      <c r="G75">
        <v>100.08</v>
      </c>
      <c r="H75">
        <v>87.03</v>
      </c>
      <c r="I75">
        <v>0</v>
      </c>
      <c r="J75">
        <v>13.05</v>
      </c>
      <c r="K75">
        <v>0</v>
      </c>
      <c r="L75">
        <v>100.08</v>
      </c>
    </row>
    <row r="76" spans="1:12" x14ac:dyDescent="0.25">
      <c r="A76">
        <v>692</v>
      </c>
      <c r="B76">
        <v>992141913001</v>
      </c>
      <c r="C76" t="s">
        <v>28</v>
      </c>
      <c r="D76" s="1">
        <v>46051</v>
      </c>
      <c r="E76" t="s">
        <v>13</v>
      </c>
      <c r="F76">
        <v>3313</v>
      </c>
      <c r="G76">
        <v>102.49</v>
      </c>
      <c r="H76">
        <v>89.12</v>
      </c>
      <c r="I76">
        <v>0</v>
      </c>
      <c r="J76">
        <v>13.37</v>
      </c>
      <c r="K76">
        <v>0</v>
      </c>
      <c r="L76">
        <v>102.49</v>
      </c>
    </row>
    <row r="77" spans="1:12" x14ac:dyDescent="0.25">
      <c r="A77">
        <v>1807</v>
      </c>
      <c r="B77">
        <v>992629991001</v>
      </c>
      <c r="C77" t="s">
        <v>29</v>
      </c>
      <c r="D77" s="1">
        <v>46028</v>
      </c>
      <c r="E77" t="s">
        <v>13</v>
      </c>
      <c r="F77">
        <v>4556</v>
      </c>
      <c r="G77" s="2">
        <v>1120.1199999999999</v>
      </c>
      <c r="H77" s="2">
        <v>1030</v>
      </c>
      <c r="I77">
        <v>0</v>
      </c>
      <c r="J77">
        <v>154.5</v>
      </c>
      <c r="K77">
        <v>64.38</v>
      </c>
      <c r="L77" s="2">
        <v>1120.1199999999999</v>
      </c>
    </row>
    <row r="78" spans="1:12" x14ac:dyDescent="0.25">
      <c r="A78">
        <v>1807</v>
      </c>
      <c r="B78">
        <v>992629991001</v>
      </c>
      <c r="C78" t="s">
        <v>29</v>
      </c>
      <c r="D78" s="1">
        <v>46042</v>
      </c>
      <c r="E78" t="s">
        <v>13</v>
      </c>
      <c r="F78">
        <v>4672</v>
      </c>
      <c r="G78">
        <v>309.93</v>
      </c>
      <c r="H78">
        <v>285</v>
      </c>
      <c r="I78">
        <v>0</v>
      </c>
      <c r="J78">
        <v>42.75</v>
      </c>
      <c r="K78">
        <v>17.82</v>
      </c>
      <c r="L78">
        <v>309.93</v>
      </c>
    </row>
    <row r="79" spans="1:12" x14ac:dyDescent="0.25">
      <c r="A79">
        <v>1807</v>
      </c>
      <c r="B79">
        <v>992629991001</v>
      </c>
      <c r="C79" t="s">
        <v>29</v>
      </c>
      <c r="D79" s="1">
        <v>46044</v>
      </c>
      <c r="E79" t="s">
        <v>13</v>
      </c>
      <c r="F79">
        <v>4700</v>
      </c>
      <c r="G79" s="2">
        <v>2240.25</v>
      </c>
      <c r="H79" s="2">
        <v>2060</v>
      </c>
      <c r="I79">
        <v>0</v>
      </c>
      <c r="J79">
        <v>309</v>
      </c>
      <c r="K79">
        <v>128.75</v>
      </c>
      <c r="L79" s="2">
        <v>2240.25</v>
      </c>
    </row>
    <row r="80" spans="1:12" x14ac:dyDescent="0.25">
      <c r="A80">
        <v>355</v>
      </c>
      <c r="B80">
        <v>1768152560001</v>
      </c>
      <c r="C80" t="s">
        <v>30</v>
      </c>
      <c r="D80" s="1">
        <v>46034</v>
      </c>
      <c r="E80" t="s">
        <v>13</v>
      </c>
      <c r="F80">
        <v>245293033</v>
      </c>
      <c r="G80">
        <v>13.8</v>
      </c>
      <c r="H80">
        <v>12</v>
      </c>
      <c r="I80">
        <v>0</v>
      </c>
      <c r="J80">
        <v>1.8</v>
      </c>
      <c r="K80">
        <v>0</v>
      </c>
      <c r="L80">
        <v>0</v>
      </c>
    </row>
    <row r="81" spans="1:12" x14ac:dyDescent="0.25">
      <c r="A81">
        <v>355</v>
      </c>
      <c r="B81">
        <v>1768152560001</v>
      </c>
      <c r="C81" t="s">
        <v>30</v>
      </c>
      <c r="D81" s="1">
        <v>46034</v>
      </c>
      <c r="E81" t="s">
        <v>13</v>
      </c>
      <c r="F81">
        <v>245293038</v>
      </c>
      <c r="G81">
        <v>7.13</v>
      </c>
      <c r="H81">
        <v>6.2</v>
      </c>
      <c r="I81">
        <v>0</v>
      </c>
      <c r="J81">
        <v>0.93</v>
      </c>
      <c r="K81">
        <v>0</v>
      </c>
      <c r="L81">
        <v>0</v>
      </c>
    </row>
    <row r="82" spans="1:12" x14ac:dyDescent="0.25">
      <c r="A82">
        <v>355</v>
      </c>
      <c r="B82">
        <v>1768152560001</v>
      </c>
      <c r="C82" t="s">
        <v>30</v>
      </c>
      <c r="D82" s="1">
        <v>46041</v>
      </c>
      <c r="E82" t="s">
        <v>31</v>
      </c>
      <c r="F82">
        <v>900293039</v>
      </c>
      <c r="G82">
        <v>7.13</v>
      </c>
      <c r="H82">
        <v>0</v>
      </c>
      <c r="I82">
        <v>7.13</v>
      </c>
      <c r="J82">
        <v>0</v>
      </c>
      <c r="K82">
        <v>0</v>
      </c>
      <c r="L82">
        <v>0</v>
      </c>
    </row>
    <row r="83" spans="1:12" x14ac:dyDescent="0.25">
      <c r="A83">
        <v>355</v>
      </c>
      <c r="B83">
        <v>1768152560001</v>
      </c>
      <c r="C83" t="s">
        <v>30</v>
      </c>
      <c r="D83" s="1">
        <v>46041</v>
      </c>
      <c r="E83" t="s">
        <v>31</v>
      </c>
      <c r="F83">
        <v>900293033</v>
      </c>
      <c r="G83">
        <v>13.8</v>
      </c>
      <c r="H83">
        <v>0</v>
      </c>
      <c r="I83">
        <v>13.8</v>
      </c>
      <c r="J83">
        <v>0</v>
      </c>
      <c r="K83">
        <v>0</v>
      </c>
      <c r="L83">
        <v>0</v>
      </c>
    </row>
    <row r="84" spans="1:12" x14ac:dyDescent="0.25">
      <c r="A84">
        <v>5</v>
      </c>
      <c r="B84">
        <v>1790009459001</v>
      </c>
      <c r="C84" t="s">
        <v>32</v>
      </c>
      <c r="D84" s="1">
        <v>46028</v>
      </c>
      <c r="E84" t="s">
        <v>13</v>
      </c>
      <c r="F84">
        <v>85315</v>
      </c>
      <c r="G84" s="2">
        <v>1752.74</v>
      </c>
      <c r="H84" s="2">
        <v>1524.12</v>
      </c>
      <c r="I84">
        <v>0</v>
      </c>
      <c r="J84">
        <v>228.62</v>
      </c>
      <c r="K84">
        <v>0</v>
      </c>
      <c r="L84" s="2">
        <v>1752.74</v>
      </c>
    </row>
    <row r="85" spans="1:12" x14ac:dyDescent="0.25">
      <c r="A85">
        <v>5</v>
      </c>
      <c r="B85">
        <v>1790009459001</v>
      </c>
      <c r="C85" t="s">
        <v>32</v>
      </c>
      <c r="D85" s="1">
        <v>46028</v>
      </c>
      <c r="E85" t="s">
        <v>13</v>
      </c>
      <c r="F85">
        <v>85330</v>
      </c>
      <c r="G85" s="2">
        <v>4782.79</v>
      </c>
      <c r="H85" s="2">
        <v>4158.95</v>
      </c>
      <c r="I85">
        <v>0</v>
      </c>
      <c r="J85">
        <v>623.84</v>
      </c>
      <c r="K85">
        <v>0</v>
      </c>
      <c r="L85" s="2">
        <v>4782.79</v>
      </c>
    </row>
    <row r="86" spans="1:12" x14ac:dyDescent="0.25">
      <c r="A86">
        <v>5</v>
      </c>
      <c r="B86">
        <v>1790009459001</v>
      </c>
      <c r="C86" t="s">
        <v>32</v>
      </c>
      <c r="D86" s="1">
        <v>46029</v>
      </c>
      <c r="E86" t="s">
        <v>13</v>
      </c>
      <c r="F86">
        <v>85364</v>
      </c>
      <c r="G86" s="2">
        <v>1328.14</v>
      </c>
      <c r="H86" s="2">
        <v>1154.9000000000001</v>
      </c>
      <c r="I86">
        <v>0</v>
      </c>
      <c r="J86">
        <v>173.24</v>
      </c>
      <c r="K86">
        <v>0</v>
      </c>
      <c r="L86" s="2">
        <v>1328.14</v>
      </c>
    </row>
    <row r="87" spans="1:12" x14ac:dyDescent="0.25">
      <c r="A87">
        <v>5</v>
      </c>
      <c r="B87">
        <v>1790009459001</v>
      </c>
      <c r="C87" t="s">
        <v>32</v>
      </c>
      <c r="D87" s="1">
        <v>46030</v>
      </c>
      <c r="E87" t="s">
        <v>13</v>
      </c>
      <c r="F87">
        <v>85408</v>
      </c>
      <c r="G87" s="2">
        <v>3679.28</v>
      </c>
      <c r="H87" s="2">
        <v>3199.37</v>
      </c>
      <c r="I87">
        <v>0</v>
      </c>
      <c r="J87">
        <v>479.91</v>
      </c>
      <c r="K87">
        <v>0</v>
      </c>
      <c r="L87" s="2">
        <v>3679.28</v>
      </c>
    </row>
    <row r="88" spans="1:12" x14ac:dyDescent="0.25">
      <c r="A88">
        <v>5</v>
      </c>
      <c r="B88">
        <v>1790009459001</v>
      </c>
      <c r="C88" t="s">
        <v>32</v>
      </c>
      <c r="D88" s="1">
        <v>46030</v>
      </c>
      <c r="E88" t="s">
        <v>13</v>
      </c>
      <c r="F88">
        <v>85378</v>
      </c>
      <c r="G88" s="2">
        <v>2895.7</v>
      </c>
      <c r="H88" s="2">
        <v>2518</v>
      </c>
      <c r="I88">
        <v>0</v>
      </c>
      <c r="J88">
        <v>377.7</v>
      </c>
      <c r="K88">
        <v>0</v>
      </c>
      <c r="L88" s="2">
        <v>2895.7</v>
      </c>
    </row>
    <row r="89" spans="1:12" x14ac:dyDescent="0.25">
      <c r="A89">
        <v>5</v>
      </c>
      <c r="B89">
        <v>1790009459001</v>
      </c>
      <c r="C89" t="s">
        <v>32</v>
      </c>
      <c r="D89" s="1">
        <v>46031</v>
      </c>
      <c r="E89" t="s">
        <v>13</v>
      </c>
      <c r="F89">
        <v>85430</v>
      </c>
      <c r="G89" s="2">
        <v>3110.06</v>
      </c>
      <c r="H89" s="2">
        <v>2704.4</v>
      </c>
      <c r="I89">
        <v>0</v>
      </c>
      <c r="J89">
        <v>405.66</v>
      </c>
      <c r="K89">
        <v>0</v>
      </c>
      <c r="L89" s="2">
        <v>3110.06</v>
      </c>
    </row>
    <row r="90" spans="1:12" x14ac:dyDescent="0.25">
      <c r="A90">
        <v>5</v>
      </c>
      <c r="B90">
        <v>1790009459001</v>
      </c>
      <c r="C90" t="s">
        <v>32</v>
      </c>
      <c r="D90" s="1">
        <v>46031</v>
      </c>
      <c r="E90" t="s">
        <v>13</v>
      </c>
      <c r="F90">
        <v>85402</v>
      </c>
      <c r="G90">
        <v>611.89</v>
      </c>
      <c r="H90">
        <v>532.08000000000004</v>
      </c>
      <c r="I90">
        <v>0</v>
      </c>
      <c r="J90">
        <v>79.81</v>
      </c>
      <c r="K90">
        <v>0</v>
      </c>
      <c r="L90">
        <v>611.89</v>
      </c>
    </row>
    <row r="91" spans="1:12" x14ac:dyDescent="0.25">
      <c r="A91">
        <v>5</v>
      </c>
      <c r="B91">
        <v>1790009459001</v>
      </c>
      <c r="C91" t="s">
        <v>32</v>
      </c>
      <c r="D91" s="1">
        <v>46031</v>
      </c>
      <c r="E91" t="s">
        <v>13</v>
      </c>
      <c r="F91">
        <v>85427</v>
      </c>
      <c r="G91">
        <v>497.35</v>
      </c>
      <c r="H91">
        <v>432.48</v>
      </c>
      <c r="I91">
        <v>0</v>
      </c>
      <c r="J91">
        <v>64.87</v>
      </c>
      <c r="K91">
        <v>0</v>
      </c>
      <c r="L91">
        <v>497.35</v>
      </c>
    </row>
    <row r="92" spans="1:12" x14ac:dyDescent="0.25">
      <c r="A92">
        <v>5</v>
      </c>
      <c r="B92">
        <v>1790009459001</v>
      </c>
      <c r="C92" t="s">
        <v>32</v>
      </c>
      <c r="D92" s="1">
        <v>46031</v>
      </c>
      <c r="E92" t="s">
        <v>13</v>
      </c>
      <c r="F92">
        <v>85451</v>
      </c>
      <c r="G92" s="2">
        <v>3505.48</v>
      </c>
      <c r="H92" s="2">
        <v>3048.24</v>
      </c>
      <c r="I92">
        <v>0</v>
      </c>
      <c r="J92">
        <v>457.24</v>
      </c>
      <c r="K92">
        <v>0</v>
      </c>
      <c r="L92" s="2">
        <v>3505.48</v>
      </c>
    </row>
    <row r="93" spans="1:12" x14ac:dyDescent="0.25">
      <c r="A93">
        <v>5</v>
      </c>
      <c r="B93">
        <v>1790009459001</v>
      </c>
      <c r="C93" t="s">
        <v>32</v>
      </c>
      <c r="D93" s="1">
        <v>46032</v>
      </c>
      <c r="E93" t="s">
        <v>13</v>
      </c>
      <c r="F93">
        <v>85464</v>
      </c>
      <c r="G93" s="2">
        <v>1104.92</v>
      </c>
      <c r="H93">
        <v>960.8</v>
      </c>
      <c r="I93">
        <v>0</v>
      </c>
      <c r="J93">
        <v>144.12</v>
      </c>
      <c r="K93">
        <v>0</v>
      </c>
      <c r="L93" s="2">
        <v>1104.92</v>
      </c>
    </row>
    <row r="94" spans="1:12" x14ac:dyDescent="0.25">
      <c r="A94">
        <v>5</v>
      </c>
      <c r="B94">
        <v>1790009459001</v>
      </c>
      <c r="C94" t="s">
        <v>32</v>
      </c>
      <c r="D94" s="1">
        <v>46035</v>
      </c>
      <c r="E94" t="s">
        <v>13</v>
      </c>
      <c r="F94">
        <v>85503</v>
      </c>
      <c r="G94" s="2">
        <v>3219.98</v>
      </c>
      <c r="H94" s="2">
        <v>2799.98</v>
      </c>
      <c r="I94">
        <v>0</v>
      </c>
      <c r="J94">
        <v>420</v>
      </c>
      <c r="K94">
        <v>0</v>
      </c>
      <c r="L94" s="2">
        <v>3219.98</v>
      </c>
    </row>
    <row r="95" spans="1:12" x14ac:dyDescent="0.25">
      <c r="A95">
        <v>5</v>
      </c>
      <c r="B95">
        <v>1790009459001</v>
      </c>
      <c r="C95" t="s">
        <v>32</v>
      </c>
      <c r="D95" s="1">
        <v>46036</v>
      </c>
      <c r="E95" t="s">
        <v>13</v>
      </c>
      <c r="F95">
        <v>85530</v>
      </c>
      <c r="G95" s="2">
        <v>1295.98</v>
      </c>
      <c r="H95" s="2">
        <v>1126.94</v>
      </c>
      <c r="I95">
        <v>0</v>
      </c>
      <c r="J95">
        <v>169.04</v>
      </c>
      <c r="K95">
        <v>0</v>
      </c>
      <c r="L95" s="2">
        <v>1295.98</v>
      </c>
    </row>
    <row r="96" spans="1:12" x14ac:dyDescent="0.25">
      <c r="A96">
        <v>5</v>
      </c>
      <c r="B96">
        <v>1790009459001</v>
      </c>
      <c r="C96" t="s">
        <v>32</v>
      </c>
      <c r="D96" s="1">
        <v>46036</v>
      </c>
      <c r="E96" t="s">
        <v>13</v>
      </c>
      <c r="F96">
        <v>85544</v>
      </c>
      <c r="G96" s="2">
        <v>2122.29</v>
      </c>
      <c r="H96" s="2">
        <v>1845.47</v>
      </c>
      <c r="I96">
        <v>0</v>
      </c>
      <c r="J96">
        <v>276.82</v>
      </c>
      <c r="K96">
        <v>0</v>
      </c>
      <c r="L96" s="2">
        <v>2122.29</v>
      </c>
    </row>
    <row r="97" spans="1:12" x14ac:dyDescent="0.25">
      <c r="A97">
        <v>5</v>
      </c>
      <c r="B97">
        <v>1790009459001</v>
      </c>
      <c r="C97" t="s">
        <v>32</v>
      </c>
      <c r="D97" s="1">
        <v>46037</v>
      </c>
      <c r="E97" t="s">
        <v>13</v>
      </c>
      <c r="F97">
        <v>85582</v>
      </c>
      <c r="G97">
        <v>284.76</v>
      </c>
      <c r="H97">
        <v>247.62</v>
      </c>
      <c r="I97">
        <v>0</v>
      </c>
      <c r="J97">
        <v>37.14</v>
      </c>
      <c r="K97">
        <v>0</v>
      </c>
      <c r="L97">
        <v>284.76</v>
      </c>
    </row>
    <row r="98" spans="1:12" x14ac:dyDescent="0.25">
      <c r="A98">
        <v>5</v>
      </c>
      <c r="B98">
        <v>1790009459001</v>
      </c>
      <c r="C98" t="s">
        <v>32</v>
      </c>
      <c r="D98" s="1">
        <v>46038</v>
      </c>
      <c r="E98" t="s">
        <v>13</v>
      </c>
      <c r="F98">
        <v>85627</v>
      </c>
      <c r="G98">
        <v>591.87</v>
      </c>
      <c r="H98">
        <v>514.66999999999996</v>
      </c>
      <c r="I98">
        <v>0</v>
      </c>
      <c r="J98">
        <v>77.2</v>
      </c>
      <c r="K98">
        <v>0</v>
      </c>
      <c r="L98">
        <v>591.87</v>
      </c>
    </row>
    <row r="99" spans="1:12" x14ac:dyDescent="0.25">
      <c r="A99">
        <v>5</v>
      </c>
      <c r="B99">
        <v>1790009459001</v>
      </c>
      <c r="C99" t="s">
        <v>32</v>
      </c>
      <c r="D99" s="1">
        <v>46039</v>
      </c>
      <c r="E99" t="s">
        <v>13</v>
      </c>
      <c r="F99">
        <v>85647</v>
      </c>
      <c r="G99">
        <v>328.42</v>
      </c>
      <c r="H99">
        <v>285.58</v>
      </c>
      <c r="I99">
        <v>0</v>
      </c>
      <c r="J99">
        <v>42.84</v>
      </c>
      <c r="K99">
        <v>0</v>
      </c>
      <c r="L99">
        <v>328.42</v>
      </c>
    </row>
    <row r="100" spans="1:12" x14ac:dyDescent="0.25">
      <c r="A100">
        <v>5</v>
      </c>
      <c r="B100">
        <v>1790009459001</v>
      </c>
      <c r="C100" t="s">
        <v>32</v>
      </c>
      <c r="D100" s="1">
        <v>46039</v>
      </c>
      <c r="E100" t="s">
        <v>13</v>
      </c>
      <c r="F100">
        <v>85639</v>
      </c>
      <c r="G100" s="2">
        <v>3380.7</v>
      </c>
      <c r="H100" s="2">
        <v>2939.74</v>
      </c>
      <c r="I100">
        <v>0</v>
      </c>
      <c r="J100">
        <v>440.96</v>
      </c>
      <c r="K100">
        <v>0</v>
      </c>
      <c r="L100" s="2">
        <v>3380.7</v>
      </c>
    </row>
    <row r="101" spans="1:12" x14ac:dyDescent="0.25">
      <c r="A101">
        <v>5</v>
      </c>
      <c r="B101">
        <v>1790009459001</v>
      </c>
      <c r="C101" t="s">
        <v>32</v>
      </c>
      <c r="D101" s="1">
        <v>46042</v>
      </c>
      <c r="E101" t="s">
        <v>13</v>
      </c>
      <c r="F101">
        <v>85677</v>
      </c>
      <c r="G101">
        <v>768.95</v>
      </c>
      <c r="H101">
        <v>668.65</v>
      </c>
      <c r="I101">
        <v>0</v>
      </c>
      <c r="J101">
        <v>100.3</v>
      </c>
      <c r="K101">
        <v>0</v>
      </c>
      <c r="L101">
        <v>768.95</v>
      </c>
    </row>
    <row r="102" spans="1:12" x14ac:dyDescent="0.25">
      <c r="A102">
        <v>5</v>
      </c>
      <c r="B102">
        <v>1790009459001</v>
      </c>
      <c r="C102" t="s">
        <v>32</v>
      </c>
      <c r="D102" s="1">
        <v>46042</v>
      </c>
      <c r="E102" t="s">
        <v>13</v>
      </c>
      <c r="F102">
        <v>85678</v>
      </c>
      <c r="G102" s="2">
        <v>1543.39</v>
      </c>
      <c r="H102">
        <v>0</v>
      </c>
      <c r="I102" s="2">
        <v>1543.39</v>
      </c>
      <c r="J102">
        <v>0</v>
      </c>
      <c r="K102">
        <v>0</v>
      </c>
      <c r="L102">
        <v>0</v>
      </c>
    </row>
    <row r="103" spans="1:12" x14ac:dyDescent="0.25">
      <c r="A103">
        <v>5</v>
      </c>
      <c r="B103">
        <v>1790009459001</v>
      </c>
      <c r="C103" t="s">
        <v>32</v>
      </c>
      <c r="D103" s="1">
        <v>46043</v>
      </c>
      <c r="E103" t="s">
        <v>13</v>
      </c>
      <c r="F103">
        <v>85694</v>
      </c>
      <c r="G103" s="2">
        <v>2024.29</v>
      </c>
      <c r="H103" s="2">
        <v>1760.25</v>
      </c>
      <c r="I103">
        <v>0</v>
      </c>
      <c r="J103">
        <v>264.04000000000002</v>
      </c>
      <c r="K103">
        <v>0</v>
      </c>
      <c r="L103" s="2">
        <v>2024.29</v>
      </c>
    </row>
    <row r="104" spans="1:12" x14ac:dyDescent="0.25">
      <c r="A104">
        <v>5</v>
      </c>
      <c r="B104">
        <v>1790009459001</v>
      </c>
      <c r="C104" t="s">
        <v>32</v>
      </c>
      <c r="D104" s="1">
        <v>46043</v>
      </c>
      <c r="E104" t="s">
        <v>13</v>
      </c>
      <c r="F104">
        <v>85696</v>
      </c>
      <c r="G104" s="2">
        <v>2001.86</v>
      </c>
      <c r="H104" s="2">
        <v>1740.75</v>
      </c>
      <c r="I104">
        <v>0</v>
      </c>
      <c r="J104">
        <v>261.11</v>
      </c>
      <c r="K104">
        <v>0</v>
      </c>
      <c r="L104" s="2">
        <v>2001.86</v>
      </c>
    </row>
    <row r="105" spans="1:12" x14ac:dyDescent="0.25">
      <c r="A105">
        <v>5</v>
      </c>
      <c r="B105">
        <v>1790009459001</v>
      </c>
      <c r="C105" t="s">
        <v>32</v>
      </c>
      <c r="D105" s="1">
        <v>46043</v>
      </c>
      <c r="E105" t="s">
        <v>13</v>
      </c>
      <c r="F105">
        <v>85692</v>
      </c>
      <c r="G105" s="2">
        <v>3233.47</v>
      </c>
      <c r="H105" s="2">
        <v>2811.71</v>
      </c>
      <c r="I105">
        <v>0</v>
      </c>
      <c r="J105">
        <v>421.76</v>
      </c>
      <c r="K105">
        <v>0</v>
      </c>
      <c r="L105" s="2">
        <v>3233.47</v>
      </c>
    </row>
    <row r="106" spans="1:12" x14ac:dyDescent="0.25">
      <c r="A106">
        <v>5</v>
      </c>
      <c r="B106">
        <v>1790009459001</v>
      </c>
      <c r="C106" t="s">
        <v>32</v>
      </c>
      <c r="D106" s="1">
        <v>46044</v>
      </c>
      <c r="E106" t="s">
        <v>13</v>
      </c>
      <c r="F106">
        <v>85736</v>
      </c>
      <c r="G106" s="2">
        <v>2413.61</v>
      </c>
      <c r="H106" s="2">
        <v>2098.79</v>
      </c>
      <c r="I106">
        <v>0</v>
      </c>
      <c r="J106">
        <v>314.82</v>
      </c>
      <c r="K106">
        <v>0</v>
      </c>
      <c r="L106" s="2">
        <v>2413.61</v>
      </c>
    </row>
    <row r="107" spans="1:12" x14ac:dyDescent="0.25">
      <c r="A107">
        <v>5</v>
      </c>
      <c r="B107">
        <v>1790009459001</v>
      </c>
      <c r="C107" t="s">
        <v>32</v>
      </c>
      <c r="D107" s="1">
        <v>46045</v>
      </c>
      <c r="E107" t="s">
        <v>13</v>
      </c>
      <c r="F107">
        <v>85763</v>
      </c>
      <c r="G107">
        <v>906.1</v>
      </c>
      <c r="H107">
        <v>787.91</v>
      </c>
      <c r="I107">
        <v>0</v>
      </c>
      <c r="J107">
        <v>118.19</v>
      </c>
      <c r="K107">
        <v>0</v>
      </c>
      <c r="L107">
        <v>906.1</v>
      </c>
    </row>
    <row r="108" spans="1:12" x14ac:dyDescent="0.25">
      <c r="A108">
        <v>5</v>
      </c>
      <c r="B108">
        <v>1790009459001</v>
      </c>
      <c r="C108" t="s">
        <v>32</v>
      </c>
      <c r="D108" s="1">
        <v>46045</v>
      </c>
      <c r="E108" t="s">
        <v>13</v>
      </c>
      <c r="F108">
        <v>85759</v>
      </c>
      <c r="G108">
        <v>564.92999999999995</v>
      </c>
      <c r="H108">
        <v>491.24</v>
      </c>
      <c r="I108">
        <v>0</v>
      </c>
      <c r="J108">
        <v>73.69</v>
      </c>
      <c r="K108">
        <v>0</v>
      </c>
      <c r="L108">
        <v>564.92999999999995</v>
      </c>
    </row>
    <row r="109" spans="1:12" x14ac:dyDescent="0.25">
      <c r="A109">
        <v>5</v>
      </c>
      <c r="B109">
        <v>1790009459001</v>
      </c>
      <c r="C109" t="s">
        <v>32</v>
      </c>
      <c r="D109" s="1">
        <v>46046</v>
      </c>
      <c r="E109" t="s">
        <v>13</v>
      </c>
      <c r="F109">
        <v>85794</v>
      </c>
      <c r="G109" s="2">
        <v>2190.42</v>
      </c>
      <c r="H109" s="2">
        <v>1904.71</v>
      </c>
      <c r="I109">
        <v>0</v>
      </c>
      <c r="J109">
        <v>285.70999999999998</v>
      </c>
      <c r="K109">
        <v>0</v>
      </c>
      <c r="L109" s="2">
        <v>2190.42</v>
      </c>
    </row>
    <row r="110" spans="1:12" x14ac:dyDescent="0.25">
      <c r="A110">
        <v>5</v>
      </c>
      <c r="B110">
        <v>1790009459001</v>
      </c>
      <c r="C110" t="s">
        <v>32</v>
      </c>
      <c r="D110" s="1">
        <v>46048</v>
      </c>
      <c r="E110" t="s">
        <v>13</v>
      </c>
      <c r="F110">
        <v>85806</v>
      </c>
      <c r="G110" s="2">
        <v>3505.48</v>
      </c>
      <c r="H110" s="2">
        <v>3048.24</v>
      </c>
      <c r="I110">
        <v>0</v>
      </c>
      <c r="J110">
        <v>457.24</v>
      </c>
      <c r="K110">
        <v>0</v>
      </c>
      <c r="L110" s="2">
        <v>3505.48</v>
      </c>
    </row>
    <row r="111" spans="1:12" x14ac:dyDescent="0.25">
      <c r="A111">
        <v>5</v>
      </c>
      <c r="B111">
        <v>1790009459001</v>
      </c>
      <c r="C111" t="s">
        <v>32</v>
      </c>
      <c r="D111" s="1">
        <v>46049</v>
      </c>
      <c r="E111" t="s">
        <v>13</v>
      </c>
      <c r="F111">
        <v>85813</v>
      </c>
      <c r="G111" s="2">
        <v>1141.81</v>
      </c>
      <c r="H111">
        <v>992.88</v>
      </c>
      <c r="I111">
        <v>0</v>
      </c>
      <c r="J111">
        <v>148.93</v>
      </c>
      <c r="K111">
        <v>0</v>
      </c>
      <c r="L111" s="2">
        <v>1141.81</v>
      </c>
    </row>
    <row r="112" spans="1:12" x14ac:dyDescent="0.25">
      <c r="A112">
        <v>5</v>
      </c>
      <c r="B112">
        <v>1790009459001</v>
      </c>
      <c r="C112" t="s">
        <v>32</v>
      </c>
      <c r="D112" s="1">
        <v>46049</v>
      </c>
      <c r="E112" t="s">
        <v>13</v>
      </c>
      <c r="F112">
        <v>85823</v>
      </c>
      <c r="G112" s="2">
        <v>6031.12</v>
      </c>
      <c r="H112" s="2">
        <v>5244.45</v>
      </c>
      <c r="I112">
        <v>0</v>
      </c>
      <c r="J112">
        <v>786.67</v>
      </c>
      <c r="K112">
        <v>0</v>
      </c>
      <c r="L112" s="2">
        <v>6031.12</v>
      </c>
    </row>
    <row r="113" spans="1:12" x14ac:dyDescent="0.25">
      <c r="A113">
        <v>5</v>
      </c>
      <c r="B113">
        <v>1790009459001</v>
      </c>
      <c r="C113" t="s">
        <v>32</v>
      </c>
      <c r="D113" s="1">
        <v>46049</v>
      </c>
      <c r="E113" t="s">
        <v>13</v>
      </c>
      <c r="F113">
        <v>85826</v>
      </c>
      <c r="G113" s="2">
        <v>2563.84</v>
      </c>
      <c r="H113" s="2">
        <v>2229.4299999999998</v>
      </c>
      <c r="I113">
        <v>0</v>
      </c>
      <c r="J113">
        <v>334.41</v>
      </c>
      <c r="K113">
        <v>0</v>
      </c>
      <c r="L113" s="2">
        <v>2563.84</v>
      </c>
    </row>
    <row r="114" spans="1:12" x14ac:dyDescent="0.25">
      <c r="A114">
        <v>5</v>
      </c>
      <c r="B114">
        <v>1790009459001</v>
      </c>
      <c r="C114" t="s">
        <v>32</v>
      </c>
      <c r="D114" s="1">
        <v>46050</v>
      </c>
      <c r="E114" t="s">
        <v>13</v>
      </c>
      <c r="F114">
        <v>85841</v>
      </c>
      <c r="G114" s="2">
        <v>1161.3399999999999</v>
      </c>
      <c r="H114" s="2">
        <v>1009.86</v>
      </c>
      <c r="I114">
        <v>0</v>
      </c>
      <c r="J114">
        <v>151.47999999999999</v>
      </c>
      <c r="K114">
        <v>0</v>
      </c>
      <c r="L114" s="2">
        <v>1161.3399999999999</v>
      </c>
    </row>
    <row r="115" spans="1:12" x14ac:dyDescent="0.25">
      <c r="A115">
        <v>5</v>
      </c>
      <c r="B115">
        <v>1790009459001</v>
      </c>
      <c r="C115" t="s">
        <v>32</v>
      </c>
      <c r="D115" s="1">
        <v>46050</v>
      </c>
      <c r="E115" t="s">
        <v>13</v>
      </c>
      <c r="F115">
        <v>85848</v>
      </c>
      <c r="G115" s="2">
        <v>1202.5</v>
      </c>
      <c r="H115" s="2">
        <v>1045.6500000000001</v>
      </c>
      <c r="I115">
        <v>0</v>
      </c>
      <c r="J115">
        <v>156.85</v>
      </c>
      <c r="K115">
        <v>0</v>
      </c>
      <c r="L115" s="2">
        <v>1202.5</v>
      </c>
    </row>
    <row r="116" spans="1:12" x14ac:dyDescent="0.25">
      <c r="A116">
        <v>5</v>
      </c>
      <c r="B116">
        <v>1790009459001</v>
      </c>
      <c r="C116" t="s">
        <v>32</v>
      </c>
      <c r="D116" s="1">
        <v>46050</v>
      </c>
      <c r="E116" t="s">
        <v>13</v>
      </c>
      <c r="F116">
        <v>85875</v>
      </c>
      <c r="G116" s="2">
        <v>1874.06</v>
      </c>
      <c r="H116">
        <v>0</v>
      </c>
      <c r="I116" s="2">
        <v>1874.06</v>
      </c>
      <c r="J116">
        <v>0</v>
      </c>
      <c r="K116">
        <v>0</v>
      </c>
      <c r="L116" s="2">
        <v>1874.06</v>
      </c>
    </row>
    <row r="117" spans="1:12" x14ac:dyDescent="0.25">
      <c r="A117">
        <v>5</v>
      </c>
      <c r="B117">
        <v>1790009459001</v>
      </c>
      <c r="C117" t="s">
        <v>32</v>
      </c>
      <c r="D117" s="1">
        <v>46050</v>
      </c>
      <c r="E117" t="s">
        <v>13</v>
      </c>
      <c r="F117">
        <v>31334</v>
      </c>
      <c r="G117" s="2">
        <v>1437.5</v>
      </c>
      <c r="H117" s="2">
        <v>1250</v>
      </c>
      <c r="I117">
        <v>0</v>
      </c>
      <c r="J117">
        <v>187.5</v>
      </c>
      <c r="K117">
        <v>0</v>
      </c>
      <c r="L117" s="2">
        <v>1437.5</v>
      </c>
    </row>
    <row r="118" spans="1:12" x14ac:dyDescent="0.25">
      <c r="A118">
        <v>5</v>
      </c>
      <c r="B118">
        <v>1790009459001</v>
      </c>
      <c r="C118" t="s">
        <v>32</v>
      </c>
      <c r="D118" s="1">
        <v>46051</v>
      </c>
      <c r="E118" t="s">
        <v>33</v>
      </c>
      <c r="F118">
        <v>2577</v>
      </c>
      <c r="G118" s="2">
        <v>1543.39</v>
      </c>
      <c r="H118">
        <v>0</v>
      </c>
      <c r="I118" s="2">
        <v>1543.39</v>
      </c>
      <c r="J118">
        <v>0</v>
      </c>
      <c r="K118">
        <v>0</v>
      </c>
      <c r="L118">
        <v>0</v>
      </c>
    </row>
    <row r="119" spans="1:12" x14ac:dyDescent="0.25">
      <c r="A119">
        <v>5</v>
      </c>
      <c r="B119">
        <v>1790009459001</v>
      </c>
      <c r="C119" t="s">
        <v>32</v>
      </c>
      <c r="D119" s="1">
        <v>46051</v>
      </c>
      <c r="E119" t="s">
        <v>13</v>
      </c>
      <c r="F119">
        <v>85899</v>
      </c>
      <c r="G119" s="2">
        <v>3064.88</v>
      </c>
      <c r="H119" s="2">
        <v>2665.11</v>
      </c>
      <c r="I119">
        <v>0</v>
      </c>
      <c r="J119">
        <v>399.77</v>
      </c>
      <c r="K119">
        <v>0</v>
      </c>
      <c r="L119" s="2">
        <v>3064.88</v>
      </c>
    </row>
    <row r="120" spans="1:12" x14ac:dyDescent="0.25">
      <c r="A120">
        <v>5</v>
      </c>
      <c r="B120">
        <v>1790009459001</v>
      </c>
      <c r="C120" t="s">
        <v>32</v>
      </c>
      <c r="D120" s="1">
        <v>46051</v>
      </c>
      <c r="E120" t="s">
        <v>13</v>
      </c>
      <c r="F120">
        <v>85870</v>
      </c>
      <c r="G120" s="2">
        <v>2828.75</v>
      </c>
      <c r="H120" s="2">
        <v>2459.7800000000002</v>
      </c>
      <c r="I120">
        <v>0</v>
      </c>
      <c r="J120">
        <v>368.97</v>
      </c>
      <c r="K120">
        <v>0</v>
      </c>
      <c r="L120" s="2">
        <v>2828.75</v>
      </c>
    </row>
    <row r="121" spans="1:12" x14ac:dyDescent="0.25">
      <c r="A121">
        <v>5</v>
      </c>
      <c r="B121">
        <v>1790009459001</v>
      </c>
      <c r="C121" t="s">
        <v>32</v>
      </c>
      <c r="D121" s="1">
        <v>46052</v>
      </c>
      <c r="E121" t="s">
        <v>13</v>
      </c>
      <c r="F121">
        <v>85908</v>
      </c>
      <c r="G121">
        <v>850.34</v>
      </c>
      <c r="H121">
        <v>739.43</v>
      </c>
      <c r="I121">
        <v>0</v>
      </c>
      <c r="J121">
        <v>110.91</v>
      </c>
      <c r="K121">
        <v>0</v>
      </c>
      <c r="L121">
        <v>850.34</v>
      </c>
    </row>
    <row r="122" spans="1:12" x14ac:dyDescent="0.25">
      <c r="A122">
        <v>5</v>
      </c>
      <c r="B122">
        <v>1790009459001</v>
      </c>
      <c r="C122" t="s">
        <v>32</v>
      </c>
      <c r="D122" s="1">
        <v>46053</v>
      </c>
      <c r="E122" t="s">
        <v>13</v>
      </c>
      <c r="F122">
        <v>85922</v>
      </c>
      <c r="G122">
        <v>687.25</v>
      </c>
      <c r="H122">
        <v>597.61</v>
      </c>
      <c r="I122">
        <v>0</v>
      </c>
      <c r="J122">
        <v>89.64</v>
      </c>
      <c r="K122">
        <v>0</v>
      </c>
      <c r="L122">
        <v>687.25</v>
      </c>
    </row>
    <row r="123" spans="1:12" x14ac:dyDescent="0.25">
      <c r="A123">
        <v>5</v>
      </c>
      <c r="B123">
        <v>1790009459001</v>
      </c>
      <c r="C123" t="s">
        <v>32</v>
      </c>
      <c r="D123" s="1">
        <v>46053</v>
      </c>
      <c r="E123" t="s">
        <v>13</v>
      </c>
      <c r="F123">
        <v>85938</v>
      </c>
      <c r="G123" s="2">
        <v>1927.91</v>
      </c>
      <c r="H123" s="2">
        <v>1676.44</v>
      </c>
      <c r="I123">
        <v>0</v>
      </c>
      <c r="J123">
        <v>251.47</v>
      </c>
      <c r="K123">
        <v>0</v>
      </c>
      <c r="L123" s="2">
        <v>1927.91</v>
      </c>
    </row>
    <row r="124" spans="1:12" x14ac:dyDescent="0.25">
      <c r="A124">
        <v>152</v>
      </c>
      <c r="B124">
        <v>1790041220001</v>
      </c>
      <c r="C124" t="s">
        <v>34</v>
      </c>
      <c r="D124" s="1">
        <v>46041</v>
      </c>
      <c r="E124" t="s">
        <v>13</v>
      </c>
      <c r="F124">
        <v>645084</v>
      </c>
      <c r="G124">
        <v>86.12</v>
      </c>
      <c r="H124">
        <v>74.89</v>
      </c>
      <c r="I124">
        <v>0</v>
      </c>
      <c r="J124">
        <v>11.23</v>
      </c>
      <c r="K124">
        <v>0</v>
      </c>
      <c r="L124">
        <v>86.12</v>
      </c>
    </row>
    <row r="125" spans="1:12" x14ac:dyDescent="0.25">
      <c r="A125">
        <v>152</v>
      </c>
      <c r="B125">
        <v>1790041220001</v>
      </c>
      <c r="C125" t="s">
        <v>34</v>
      </c>
      <c r="D125" s="1">
        <v>46043</v>
      </c>
      <c r="E125" t="s">
        <v>13</v>
      </c>
      <c r="F125">
        <v>646143</v>
      </c>
      <c r="G125">
        <v>251.92</v>
      </c>
      <c r="H125">
        <v>219.06</v>
      </c>
      <c r="I125">
        <v>0</v>
      </c>
      <c r="J125">
        <v>32.86</v>
      </c>
      <c r="K125">
        <v>0</v>
      </c>
      <c r="L125">
        <v>251.92</v>
      </c>
    </row>
    <row r="126" spans="1:12" x14ac:dyDescent="0.25">
      <c r="A126">
        <v>800</v>
      </c>
      <c r="B126">
        <v>1791256115001</v>
      </c>
      <c r="C126" t="s">
        <v>35</v>
      </c>
      <c r="D126" s="1">
        <v>46034</v>
      </c>
      <c r="E126" t="s">
        <v>13</v>
      </c>
      <c r="F126">
        <v>122556998</v>
      </c>
      <c r="G126">
        <v>57.5</v>
      </c>
      <c r="H126">
        <v>50</v>
      </c>
      <c r="I126">
        <v>0</v>
      </c>
      <c r="J126">
        <v>7.5</v>
      </c>
      <c r="K126">
        <v>0</v>
      </c>
      <c r="L126">
        <v>0</v>
      </c>
    </row>
    <row r="127" spans="1:12" x14ac:dyDescent="0.25">
      <c r="A127">
        <v>800</v>
      </c>
      <c r="B127">
        <v>1791256115001</v>
      </c>
      <c r="C127" t="s">
        <v>35</v>
      </c>
      <c r="D127" s="1">
        <v>46041</v>
      </c>
      <c r="E127" t="s">
        <v>31</v>
      </c>
      <c r="F127">
        <v>902556998</v>
      </c>
      <c r="G127">
        <v>57.5</v>
      </c>
      <c r="H127">
        <v>0</v>
      </c>
      <c r="I127">
        <v>57.5</v>
      </c>
      <c r="J127">
        <v>0</v>
      </c>
      <c r="K127">
        <v>0</v>
      </c>
      <c r="L127">
        <v>0</v>
      </c>
    </row>
    <row r="128" spans="1:12" x14ac:dyDescent="0.25">
      <c r="A128">
        <v>339</v>
      </c>
      <c r="B128">
        <v>1791310063001</v>
      </c>
      <c r="C128" t="s">
        <v>36</v>
      </c>
      <c r="D128" s="1">
        <v>46041</v>
      </c>
      <c r="E128" t="s">
        <v>13</v>
      </c>
      <c r="F128">
        <v>1453160</v>
      </c>
      <c r="G128">
        <v>60.09</v>
      </c>
      <c r="H128">
        <v>52.25</v>
      </c>
      <c r="I128">
        <v>0</v>
      </c>
      <c r="J128">
        <v>7.84</v>
      </c>
      <c r="K128">
        <v>0</v>
      </c>
      <c r="L128">
        <v>0</v>
      </c>
    </row>
    <row r="129" spans="1:12" x14ac:dyDescent="0.25">
      <c r="A129">
        <v>339</v>
      </c>
      <c r="B129">
        <v>1791310063001</v>
      </c>
      <c r="C129" t="s">
        <v>36</v>
      </c>
      <c r="D129" s="1">
        <v>46042</v>
      </c>
      <c r="E129" t="s">
        <v>31</v>
      </c>
      <c r="F129">
        <v>901453160</v>
      </c>
      <c r="G129">
        <v>60.09</v>
      </c>
      <c r="H129">
        <v>0</v>
      </c>
      <c r="I129">
        <v>60.09</v>
      </c>
      <c r="J129">
        <v>0</v>
      </c>
      <c r="K129">
        <v>0</v>
      </c>
      <c r="L129">
        <v>0</v>
      </c>
    </row>
    <row r="130" spans="1:12" x14ac:dyDescent="0.25">
      <c r="A130">
        <v>571</v>
      </c>
      <c r="B130">
        <v>1791317025001</v>
      </c>
      <c r="C130" t="s">
        <v>37</v>
      </c>
      <c r="D130" s="1">
        <v>46039</v>
      </c>
      <c r="E130" t="s">
        <v>13</v>
      </c>
      <c r="F130">
        <v>2626582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</v>
      </c>
    </row>
    <row r="131" spans="1:12" x14ac:dyDescent="0.25">
      <c r="A131">
        <v>571</v>
      </c>
      <c r="B131">
        <v>1791317025001</v>
      </c>
      <c r="C131" t="s">
        <v>37</v>
      </c>
      <c r="D131" s="1">
        <v>46039</v>
      </c>
      <c r="E131" t="s">
        <v>13</v>
      </c>
      <c r="F131">
        <v>1139694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1</v>
      </c>
    </row>
    <row r="132" spans="1:12" x14ac:dyDescent="0.25">
      <c r="A132">
        <v>571</v>
      </c>
      <c r="B132">
        <v>1791317025001</v>
      </c>
      <c r="C132" t="s">
        <v>37</v>
      </c>
      <c r="D132" s="1">
        <v>46039</v>
      </c>
      <c r="E132" t="s">
        <v>13</v>
      </c>
      <c r="F132">
        <v>8249394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</row>
    <row r="133" spans="1:12" x14ac:dyDescent="0.25">
      <c r="A133">
        <v>571</v>
      </c>
      <c r="B133">
        <v>1791317025001</v>
      </c>
      <c r="C133" t="s">
        <v>37</v>
      </c>
      <c r="D133" s="1">
        <v>46039</v>
      </c>
      <c r="E133" t="s">
        <v>13</v>
      </c>
      <c r="F133">
        <v>10049931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1</v>
      </c>
    </row>
    <row r="134" spans="1:12" x14ac:dyDescent="0.25">
      <c r="A134">
        <v>571</v>
      </c>
      <c r="B134">
        <v>1791317025001</v>
      </c>
      <c r="C134" t="s">
        <v>37</v>
      </c>
      <c r="D134" s="1">
        <v>46039</v>
      </c>
      <c r="E134" t="s">
        <v>13</v>
      </c>
      <c r="F134">
        <v>3583119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1</v>
      </c>
    </row>
    <row r="135" spans="1:12" x14ac:dyDescent="0.25">
      <c r="A135">
        <v>571</v>
      </c>
      <c r="B135">
        <v>1791317025001</v>
      </c>
      <c r="C135" t="s">
        <v>37</v>
      </c>
      <c r="D135" s="1">
        <v>46039</v>
      </c>
      <c r="E135" t="s">
        <v>13</v>
      </c>
      <c r="F135">
        <v>9946333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1</v>
      </c>
    </row>
    <row r="136" spans="1:12" x14ac:dyDescent="0.25">
      <c r="A136">
        <v>1441</v>
      </c>
      <c r="B136">
        <v>1792566606001</v>
      </c>
      <c r="C136" t="s">
        <v>38</v>
      </c>
      <c r="D136" s="1">
        <v>46045</v>
      </c>
      <c r="E136" t="s">
        <v>13</v>
      </c>
      <c r="F136">
        <v>7347</v>
      </c>
      <c r="G136">
        <v>114.18</v>
      </c>
      <c r="H136">
        <v>105</v>
      </c>
      <c r="I136">
        <v>0</v>
      </c>
      <c r="J136">
        <v>15.75</v>
      </c>
      <c r="K136">
        <v>6.57</v>
      </c>
      <c r="L136">
        <v>114.18</v>
      </c>
    </row>
    <row r="137" spans="1:12" x14ac:dyDescent="0.25">
      <c r="A137">
        <v>1579</v>
      </c>
      <c r="B137">
        <v>1792848776001</v>
      </c>
      <c r="C137" t="s">
        <v>39</v>
      </c>
      <c r="D137" s="1">
        <v>46046</v>
      </c>
      <c r="E137" t="s">
        <v>13</v>
      </c>
      <c r="F137">
        <v>33279</v>
      </c>
      <c r="G137">
        <v>255.91</v>
      </c>
      <c r="H137">
        <v>235.32</v>
      </c>
      <c r="I137">
        <v>0</v>
      </c>
      <c r="J137">
        <v>35.299999999999997</v>
      </c>
      <c r="K137">
        <v>14.71</v>
      </c>
      <c r="L137">
        <v>255.91</v>
      </c>
    </row>
    <row r="138" spans="1:12" x14ac:dyDescent="0.25">
      <c r="A138">
        <v>1522</v>
      </c>
      <c r="B138">
        <v>1792967724001</v>
      </c>
      <c r="C138" t="s">
        <v>40</v>
      </c>
      <c r="D138" s="1">
        <v>46052</v>
      </c>
      <c r="E138" t="s">
        <v>13</v>
      </c>
      <c r="F138" t="s">
        <v>41</v>
      </c>
      <c r="G138">
        <v>21.75</v>
      </c>
      <c r="H138">
        <v>20</v>
      </c>
      <c r="I138">
        <v>0</v>
      </c>
      <c r="J138">
        <v>3</v>
      </c>
      <c r="K138">
        <v>1.25</v>
      </c>
      <c r="L138">
        <v>0</v>
      </c>
    </row>
    <row r="139" spans="1:12" x14ac:dyDescent="0.25">
      <c r="A139">
        <v>1522</v>
      </c>
      <c r="B139">
        <v>1792967724001</v>
      </c>
      <c r="C139" t="s">
        <v>40</v>
      </c>
      <c r="D139" s="1">
        <v>46053</v>
      </c>
      <c r="E139" t="s">
        <v>31</v>
      </c>
      <c r="F139">
        <v>1751</v>
      </c>
      <c r="G139">
        <v>21.75</v>
      </c>
      <c r="H139">
        <v>21.75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>
        <v>1840</v>
      </c>
      <c r="B140">
        <v>1793025692001</v>
      </c>
      <c r="C140" t="s">
        <v>42</v>
      </c>
      <c r="D140" s="1">
        <v>46052</v>
      </c>
      <c r="E140" t="s">
        <v>13</v>
      </c>
      <c r="F140">
        <v>19434</v>
      </c>
      <c r="G140">
        <v>245.34</v>
      </c>
      <c r="H140">
        <v>225.6</v>
      </c>
      <c r="I140">
        <v>0</v>
      </c>
      <c r="J140">
        <v>33.840000000000003</v>
      </c>
      <c r="K140">
        <v>14.1</v>
      </c>
      <c r="L140">
        <v>245.34</v>
      </c>
    </row>
    <row r="141" spans="1:12" x14ac:dyDescent="0.25">
      <c r="A141">
        <v>1410</v>
      </c>
      <c r="B141">
        <v>1793107958001</v>
      </c>
      <c r="C141" t="s">
        <v>43</v>
      </c>
      <c r="D141" s="1">
        <v>46027</v>
      </c>
      <c r="E141" t="s">
        <v>13</v>
      </c>
      <c r="F141">
        <v>4023</v>
      </c>
      <c r="G141">
        <v>203.56</v>
      </c>
      <c r="H141">
        <v>177.01</v>
      </c>
      <c r="I141">
        <v>0</v>
      </c>
      <c r="J141">
        <v>26.55</v>
      </c>
      <c r="K141">
        <v>0</v>
      </c>
      <c r="L141">
        <v>203.56</v>
      </c>
    </row>
    <row r="142" spans="1:12" x14ac:dyDescent="0.25">
      <c r="A142">
        <v>1410</v>
      </c>
      <c r="B142">
        <v>1793107958001</v>
      </c>
      <c r="C142" t="s">
        <v>43</v>
      </c>
      <c r="D142" s="1">
        <v>46027</v>
      </c>
      <c r="E142" t="s">
        <v>13</v>
      </c>
      <c r="F142">
        <v>4022</v>
      </c>
      <c r="G142">
        <v>135.54</v>
      </c>
      <c r="H142">
        <v>117.86</v>
      </c>
      <c r="I142">
        <v>0</v>
      </c>
      <c r="J142">
        <v>17.68</v>
      </c>
      <c r="K142">
        <v>0</v>
      </c>
      <c r="L142">
        <v>135.54</v>
      </c>
    </row>
    <row r="143" spans="1:12" x14ac:dyDescent="0.25">
      <c r="A143">
        <v>1410</v>
      </c>
      <c r="B143">
        <v>1793107958001</v>
      </c>
      <c r="C143" t="s">
        <v>43</v>
      </c>
      <c r="D143" s="1">
        <v>46028</v>
      </c>
      <c r="E143" t="s">
        <v>13</v>
      </c>
      <c r="F143">
        <v>5329</v>
      </c>
      <c r="G143">
        <v>946.58</v>
      </c>
      <c r="H143">
        <v>823.11</v>
      </c>
      <c r="I143">
        <v>0</v>
      </c>
      <c r="J143">
        <v>123.47</v>
      </c>
      <c r="K143">
        <v>0</v>
      </c>
      <c r="L143">
        <v>946.58</v>
      </c>
    </row>
    <row r="144" spans="1:12" x14ac:dyDescent="0.25">
      <c r="A144">
        <v>1410</v>
      </c>
      <c r="B144">
        <v>1793107958001</v>
      </c>
      <c r="C144" t="s">
        <v>43</v>
      </c>
      <c r="D144" s="1">
        <v>46028</v>
      </c>
      <c r="E144" t="s">
        <v>13</v>
      </c>
      <c r="F144">
        <v>5333</v>
      </c>
      <c r="G144">
        <v>128.03</v>
      </c>
      <c r="H144">
        <v>111.33</v>
      </c>
      <c r="I144">
        <v>0</v>
      </c>
      <c r="J144">
        <v>16.7</v>
      </c>
      <c r="K144">
        <v>0</v>
      </c>
      <c r="L144">
        <v>128.03</v>
      </c>
    </row>
    <row r="145" spans="1:12" x14ac:dyDescent="0.25">
      <c r="A145">
        <v>1410</v>
      </c>
      <c r="B145">
        <v>1793107958001</v>
      </c>
      <c r="C145" t="s">
        <v>43</v>
      </c>
      <c r="D145" s="1">
        <v>46028</v>
      </c>
      <c r="E145" t="s">
        <v>13</v>
      </c>
      <c r="F145">
        <v>7686</v>
      </c>
      <c r="G145">
        <v>530.75</v>
      </c>
      <c r="H145">
        <v>461.52</v>
      </c>
      <c r="I145">
        <v>0</v>
      </c>
      <c r="J145">
        <v>69.23</v>
      </c>
      <c r="K145">
        <v>0</v>
      </c>
      <c r="L145">
        <v>530.75</v>
      </c>
    </row>
    <row r="146" spans="1:12" x14ac:dyDescent="0.25">
      <c r="A146">
        <v>1410</v>
      </c>
      <c r="B146">
        <v>1793107958001</v>
      </c>
      <c r="C146" t="s">
        <v>43</v>
      </c>
      <c r="D146" s="1">
        <v>46028</v>
      </c>
      <c r="E146" t="s">
        <v>13</v>
      </c>
      <c r="F146">
        <v>5321</v>
      </c>
      <c r="G146">
        <v>297</v>
      </c>
      <c r="H146">
        <v>258.26</v>
      </c>
      <c r="I146">
        <v>0</v>
      </c>
      <c r="J146">
        <v>38.74</v>
      </c>
      <c r="K146">
        <v>0</v>
      </c>
      <c r="L146">
        <v>297</v>
      </c>
    </row>
    <row r="147" spans="1:12" x14ac:dyDescent="0.25">
      <c r="A147">
        <v>1410</v>
      </c>
      <c r="B147">
        <v>1793107958001</v>
      </c>
      <c r="C147" t="s">
        <v>43</v>
      </c>
      <c r="D147" s="1">
        <v>46028</v>
      </c>
      <c r="E147" t="s">
        <v>13</v>
      </c>
      <c r="F147">
        <v>7691</v>
      </c>
      <c r="G147" s="2">
        <v>1046.3</v>
      </c>
      <c r="H147">
        <v>909.83</v>
      </c>
      <c r="I147">
        <v>0</v>
      </c>
      <c r="J147">
        <v>136.47</v>
      </c>
      <c r="K147">
        <v>0</v>
      </c>
      <c r="L147" s="2">
        <v>1046.3</v>
      </c>
    </row>
    <row r="148" spans="1:12" x14ac:dyDescent="0.25">
      <c r="A148">
        <v>1410</v>
      </c>
      <c r="B148">
        <v>1793107958001</v>
      </c>
      <c r="C148" t="s">
        <v>43</v>
      </c>
      <c r="D148" s="1">
        <v>46029</v>
      </c>
      <c r="E148" t="s">
        <v>13</v>
      </c>
      <c r="F148">
        <v>7701</v>
      </c>
      <c r="G148">
        <v>41.61</v>
      </c>
      <c r="H148">
        <v>36.18</v>
      </c>
      <c r="I148">
        <v>0</v>
      </c>
      <c r="J148">
        <v>5.43</v>
      </c>
      <c r="K148">
        <v>0</v>
      </c>
      <c r="L148">
        <v>41.61</v>
      </c>
    </row>
    <row r="149" spans="1:12" x14ac:dyDescent="0.25">
      <c r="A149">
        <v>1410</v>
      </c>
      <c r="B149">
        <v>1793107958001</v>
      </c>
      <c r="C149" t="s">
        <v>43</v>
      </c>
      <c r="D149" s="1">
        <v>46029</v>
      </c>
      <c r="E149" t="s">
        <v>13</v>
      </c>
      <c r="F149">
        <v>5338</v>
      </c>
      <c r="G149">
        <v>299.23</v>
      </c>
      <c r="H149">
        <v>260.2</v>
      </c>
      <c r="I149">
        <v>0</v>
      </c>
      <c r="J149">
        <v>39.03</v>
      </c>
      <c r="K149">
        <v>0</v>
      </c>
      <c r="L149">
        <v>299.23</v>
      </c>
    </row>
    <row r="150" spans="1:12" x14ac:dyDescent="0.25">
      <c r="A150">
        <v>1410</v>
      </c>
      <c r="B150">
        <v>1793107958001</v>
      </c>
      <c r="C150" t="s">
        <v>43</v>
      </c>
      <c r="D150" s="1">
        <v>46029</v>
      </c>
      <c r="E150" t="s">
        <v>13</v>
      </c>
      <c r="F150">
        <v>5336</v>
      </c>
      <c r="G150">
        <v>340</v>
      </c>
      <c r="H150">
        <v>295.64999999999998</v>
      </c>
      <c r="I150">
        <v>0</v>
      </c>
      <c r="J150">
        <v>44.35</v>
      </c>
      <c r="K150">
        <v>0</v>
      </c>
      <c r="L150">
        <v>340</v>
      </c>
    </row>
    <row r="151" spans="1:12" x14ac:dyDescent="0.25">
      <c r="A151">
        <v>1410</v>
      </c>
      <c r="B151">
        <v>1793107958001</v>
      </c>
      <c r="C151" t="s">
        <v>43</v>
      </c>
      <c r="D151" s="1">
        <v>46029</v>
      </c>
      <c r="E151" t="s">
        <v>13</v>
      </c>
      <c r="F151">
        <v>5334</v>
      </c>
      <c r="G151" s="2">
        <v>1105.0999999999999</v>
      </c>
      <c r="H151">
        <v>960.96</v>
      </c>
      <c r="I151">
        <v>0</v>
      </c>
      <c r="J151">
        <v>144.13999999999999</v>
      </c>
      <c r="K151">
        <v>0</v>
      </c>
      <c r="L151" s="2">
        <v>1105.0999999999999</v>
      </c>
    </row>
    <row r="152" spans="1:12" x14ac:dyDescent="0.25">
      <c r="A152">
        <v>1410</v>
      </c>
      <c r="B152">
        <v>1793107958001</v>
      </c>
      <c r="C152" t="s">
        <v>43</v>
      </c>
      <c r="D152" s="1">
        <v>46029</v>
      </c>
      <c r="E152" t="s">
        <v>13</v>
      </c>
      <c r="F152">
        <v>5335</v>
      </c>
      <c r="G152">
        <v>426.9</v>
      </c>
      <c r="H152">
        <v>371.22</v>
      </c>
      <c r="I152">
        <v>0</v>
      </c>
      <c r="J152">
        <v>55.68</v>
      </c>
      <c r="K152">
        <v>0</v>
      </c>
      <c r="L152">
        <v>426.9</v>
      </c>
    </row>
    <row r="153" spans="1:12" x14ac:dyDescent="0.25">
      <c r="A153">
        <v>1410</v>
      </c>
      <c r="B153">
        <v>1793107958001</v>
      </c>
      <c r="C153" t="s">
        <v>43</v>
      </c>
      <c r="D153" s="1">
        <v>46029</v>
      </c>
      <c r="E153" t="s">
        <v>13</v>
      </c>
      <c r="F153">
        <v>7705</v>
      </c>
      <c r="G153" s="2">
        <v>1344.97</v>
      </c>
      <c r="H153" s="2">
        <v>1169.54</v>
      </c>
      <c r="I153">
        <v>0</v>
      </c>
      <c r="J153">
        <v>175.43</v>
      </c>
      <c r="K153">
        <v>0</v>
      </c>
      <c r="L153" s="2">
        <v>1344.97</v>
      </c>
    </row>
    <row r="154" spans="1:12" x14ac:dyDescent="0.25">
      <c r="A154">
        <v>1410</v>
      </c>
      <c r="B154">
        <v>1793107958001</v>
      </c>
      <c r="C154" t="s">
        <v>43</v>
      </c>
      <c r="D154" s="1">
        <v>46029</v>
      </c>
      <c r="E154" t="s">
        <v>13</v>
      </c>
      <c r="F154">
        <v>7700</v>
      </c>
      <c r="G154">
        <v>552.42999999999995</v>
      </c>
      <c r="H154">
        <v>480.37</v>
      </c>
      <c r="I154">
        <v>0</v>
      </c>
      <c r="J154">
        <v>72.06</v>
      </c>
      <c r="K154">
        <v>0</v>
      </c>
      <c r="L154">
        <v>552.42999999999995</v>
      </c>
    </row>
    <row r="155" spans="1:12" x14ac:dyDescent="0.25">
      <c r="A155">
        <v>1410</v>
      </c>
      <c r="B155">
        <v>1793107958001</v>
      </c>
      <c r="C155" t="s">
        <v>43</v>
      </c>
      <c r="D155" s="1">
        <v>46029</v>
      </c>
      <c r="E155" t="s">
        <v>13</v>
      </c>
      <c r="F155">
        <v>5337</v>
      </c>
      <c r="G155">
        <v>138.72</v>
      </c>
      <c r="H155">
        <v>120.63</v>
      </c>
      <c r="I155">
        <v>0</v>
      </c>
      <c r="J155">
        <v>18.09</v>
      </c>
      <c r="K155">
        <v>0</v>
      </c>
      <c r="L155">
        <v>138.72</v>
      </c>
    </row>
    <row r="156" spans="1:12" x14ac:dyDescent="0.25">
      <c r="A156">
        <v>1410</v>
      </c>
      <c r="B156">
        <v>1793107958001</v>
      </c>
      <c r="C156" t="s">
        <v>43</v>
      </c>
      <c r="D156" s="1">
        <v>46029</v>
      </c>
      <c r="E156" t="s">
        <v>13</v>
      </c>
      <c r="F156">
        <v>7698</v>
      </c>
      <c r="G156">
        <v>305.33</v>
      </c>
      <c r="H156">
        <v>265.5</v>
      </c>
      <c r="I156">
        <v>0</v>
      </c>
      <c r="J156">
        <v>39.83</v>
      </c>
      <c r="K156">
        <v>0</v>
      </c>
      <c r="L156">
        <v>305.33</v>
      </c>
    </row>
    <row r="157" spans="1:12" x14ac:dyDescent="0.25">
      <c r="A157">
        <v>1410</v>
      </c>
      <c r="B157">
        <v>1793107958001</v>
      </c>
      <c r="C157" t="s">
        <v>43</v>
      </c>
      <c r="D157" s="1">
        <v>46030</v>
      </c>
      <c r="E157" t="s">
        <v>13</v>
      </c>
      <c r="F157">
        <v>5351</v>
      </c>
      <c r="G157">
        <v>138</v>
      </c>
      <c r="H157">
        <v>120</v>
      </c>
      <c r="I157">
        <v>0</v>
      </c>
      <c r="J157">
        <v>18</v>
      </c>
      <c r="K157">
        <v>0</v>
      </c>
      <c r="L157">
        <v>138</v>
      </c>
    </row>
    <row r="158" spans="1:12" x14ac:dyDescent="0.25">
      <c r="A158">
        <v>1410</v>
      </c>
      <c r="B158">
        <v>1793107958001</v>
      </c>
      <c r="C158" t="s">
        <v>43</v>
      </c>
      <c r="D158" s="1">
        <v>46030</v>
      </c>
      <c r="E158" t="s">
        <v>13</v>
      </c>
      <c r="F158">
        <v>7708</v>
      </c>
      <c r="G158" s="2">
        <v>2212.04</v>
      </c>
      <c r="H158" s="2">
        <v>1923.51</v>
      </c>
      <c r="I158">
        <v>0</v>
      </c>
      <c r="J158">
        <v>288.52999999999997</v>
      </c>
      <c r="K158">
        <v>0</v>
      </c>
      <c r="L158" s="2">
        <v>2212.04</v>
      </c>
    </row>
    <row r="159" spans="1:12" x14ac:dyDescent="0.25">
      <c r="A159">
        <v>1410</v>
      </c>
      <c r="B159">
        <v>1793107958001</v>
      </c>
      <c r="C159" t="s">
        <v>43</v>
      </c>
      <c r="D159" s="1">
        <v>46030</v>
      </c>
      <c r="E159" t="s">
        <v>13</v>
      </c>
      <c r="F159">
        <v>7710</v>
      </c>
      <c r="G159">
        <v>41.78</v>
      </c>
      <c r="H159">
        <v>36.33</v>
      </c>
      <c r="I159">
        <v>0</v>
      </c>
      <c r="J159">
        <v>5.45</v>
      </c>
      <c r="K159">
        <v>0</v>
      </c>
      <c r="L159">
        <v>41.78</v>
      </c>
    </row>
    <row r="160" spans="1:12" x14ac:dyDescent="0.25">
      <c r="A160">
        <v>1410</v>
      </c>
      <c r="B160">
        <v>1793107958001</v>
      </c>
      <c r="C160" t="s">
        <v>43</v>
      </c>
      <c r="D160" s="1">
        <v>46030</v>
      </c>
      <c r="E160" t="s">
        <v>13</v>
      </c>
      <c r="F160">
        <v>7709</v>
      </c>
      <c r="G160">
        <v>186.54</v>
      </c>
      <c r="H160">
        <v>162.21</v>
      </c>
      <c r="I160">
        <v>0</v>
      </c>
      <c r="J160">
        <v>24.33</v>
      </c>
      <c r="K160">
        <v>0</v>
      </c>
      <c r="L160">
        <v>186.54</v>
      </c>
    </row>
    <row r="161" spans="1:12" x14ac:dyDescent="0.25">
      <c r="A161">
        <v>1410</v>
      </c>
      <c r="B161">
        <v>1793107958001</v>
      </c>
      <c r="C161" t="s">
        <v>43</v>
      </c>
      <c r="D161" s="1">
        <v>46030</v>
      </c>
      <c r="E161" t="s">
        <v>13</v>
      </c>
      <c r="F161">
        <v>5343</v>
      </c>
      <c r="G161">
        <v>31.43</v>
      </c>
      <c r="H161">
        <v>27.33</v>
      </c>
      <c r="I161">
        <v>0</v>
      </c>
      <c r="J161">
        <v>4.0999999999999996</v>
      </c>
      <c r="K161">
        <v>0</v>
      </c>
      <c r="L161">
        <v>31.43</v>
      </c>
    </row>
    <row r="162" spans="1:12" x14ac:dyDescent="0.25">
      <c r="A162">
        <v>1410</v>
      </c>
      <c r="B162">
        <v>1793107958001</v>
      </c>
      <c r="C162" t="s">
        <v>43</v>
      </c>
      <c r="D162" s="1">
        <v>46030</v>
      </c>
      <c r="E162" t="s">
        <v>13</v>
      </c>
      <c r="F162">
        <v>5344</v>
      </c>
      <c r="G162">
        <v>67.7</v>
      </c>
      <c r="H162">
        <v>58.87</v>
      </c>
      <c r="I162">
        <v>0</v>
      </c>
      <c r="J162">
        <v>8.83</v>
      </c>
      <c r="K162">
        <v>0</v>
      </c>
      <c r="L162">
        <v>67.7</v>
      </c>
    </row>
    <row r="163" spans="1:12" x14ac:dyDescent="0.25">
      <c r="A163">
        <v>1410</v>
      </c>
      <c r="B163">
        <v>1793107958001</v>
      </c>
      <c r="C163" t="s">
        <v>43</v>
      </c>
      <c r="D163" s="1">
        <v>46031</v>
      </c>
      <c r="E163" t="s">
        <v>13</v>
      </c>
      <c r="F163">
        <v>7721</v>
      </c>
      <c r="G163">
        <v>217.3</v>
      </c>
      <c r="H163">
        <v>188.96</v>
      </c>
      <c r="I163">
        <v>0</v>
      </c>
      <c r="J163">
        <v>28.34</v>
      </c>
      <c r="K163">
        <v>0</v>
      </c>
      <c r="L163">
        <v>217.3</v>
      </c>
    </row>
    <row r="164" spans="1:12" x14ac:dyDescent="0.25">
      <c r="A164">
        <v>1410</v>
      </c>
      <c r="B164">
        <v>1793107958001</v>
      </c>
      <c r="C164" t="s">
        <v>43</v>
      </c>
      <c r="D164" s="1">
        <v>46031</v>
      </c>
      <c r="E164" t="s">
        <v>13</v>
      </c>
      <c r="F164">
        <v>7719</v>
      </c>
      <c r="G164">
        <v>82.12</v>
      </c>
      <c r="H164">
        <v>71.41</v>
      </c>
      <c r="I164">
        <v>0</v>
      </c>
      <c r="J164">
        <v>10.71</v>
      </c>
      <c r="K164">
        <v>0</v>
      </c>
      <c r="L164">
        <v>82.12</v>
      </c>
    </row>
    <row r="165" spans="1:12" x14ac:dyDescent="0.25">
      <c r="A165">
        <v>1410</v>
      </c>
      <c r="B165">
        <v>1793107958001</v>
      </c>
      <c r="C165" t="s">
        <v>43</v>
      </c>
      <c r="D165" s="1">
        <v>46031</v>
      </c>
      <c r="E165" t="s">
        <v>13</v>
      </c>
      <c r="F165">
        <v>7718</v>
      </c>
      <c r="G165">
        <v>652.4</v>
      </c>
      <c r="H165">
        <v>567.29999999999995</v>
      </c>
      <c r="I165">
        <v>0</v>
      </c>
      <c r="J165">
        <v>85.1</v>
      </c>
      <c r="K165">
        <v>0</v>
      </c>
      <c r="L165">
        <v>652.4</v>
      </c>
    </row>
    <row r="166" spans="1:12" x14ac:dyDescent="0.25">
      <c r="A166">
        <v>1410</v>
      </c>
      <c r="B166">
        <v>1793107958001</v>
      </c>
      <c r="C166" t="s">
        <v>43</v>
      </c>
      <c r="D166" s="1">
        <v>46031</v>
      </c>
      <c r="E166" t="s">
        <v>13</v>
      </c>
      <c r="F166">
        <v>5357</v>
      </c>
      <c r="G166">
        <v>169.28</v>
      </c>
      <c r="H166">
        <v>147.19999999999999</v>
      </c>
      <c r="I166">
        <v>0</v>
      </c>
      <c r="J166">
        <v>22.08</v>
      </c>
      <c r="K166">
        <v>0</v>
      </c>
      <c r="L166">
        <v>169.28</v>
      </c>
    </row>
    <row r="167" spans="1:12" x14ac:dyDescent="0.25">
      <c r="A167">
        <v>1410</v>
      </c>
      <c r="B167">
        <v>1793107958001</v>
      </c>
      <c r="C167" t="s">
        <v>43</v>
      </c>
      <c r="D167" s="1">
        <v>46032</v>
      </c>
      <c r="E167" t="s">
        <v>13</v>
      </c>
      <c r="F167">
        <v>5368</v>
      </c>
      <c r="G167">
        <v>196.9</v>
      </c>
      <c r="H167">
        <v>171.22</v>
      </c>
      <c r="I167">
        <v>0</v>
      </c>
      <c r="J167">
        <v>25.68</v>
      </c>
      <c r="K167">
        <v>0</v>
      </c>
      <c r="L167">
        <v>196.9</v>
      </c>
    </row>
    <row r="168" spans="1:12" x14ac:dyDescent="0.25">
      <c r="A168">
        <v>1410</v>
      </c>
      <c r="B168">
        <v>1793107958001</v>
      </c>
      <c r="C168" t="s">
        <v>43</v>
      </c>
      <c r="D168" s="1">
        <v>46032</v>
      </c>
      <c r="E168" t="s">
        <v>13</v>
      </c>
      <c r="F168">
        <v>7730</v>
      </c>
      <c r="G168">
        <v>284.27999999999997</v>
      </c>
      <c r="H168">
        <v>247.2</v>
      </c>
      <c r="I168">
        <v>0</v>
      </c>
      <c r="J168">
        <v>37.08</v>
      </c>
      <c r="K168">
        <v>0</v>
      </c>
      <c r="L168">
        <v>284.27999999999997</v>
      </c>
    </row>
    <row r="169" spans="1:12" x14ac:dyDescent="0.25">
      <c r="A169">
        <v>1410</v>
      </c>
      <c r="B169">
        <v>1793107958001</v>
      </c>
      <c r="C169" t="s">
        <v>43</v>
      </c>
      <c r="D169" s="1">
        <v>46032</v>
      </c>
      <c r="E169" t="s">
        <v>13</v>
      </c>
      <c r="F169" t="s">
        <v>44</v>
      </c>
      <c r="G169">
        <v>48.3</v>
      </c>
      <c r="H169">
        <v>42</v>
      </c>
      <c r="I169">
        <v>0</v>
      </c>
      <c r="J169">
        <v>6.3</v>
      </c>
      <c r="K169">
        <v>0</v>
      </c>
      <c r="L169">
        <v>0</v>
      </c>
    </row>
    <row r="170" spans="1:12" x14ac:dyDescent="0.25">
      <c r="A170">
        <v>1410</v>
      </c>
      <c r="B170">
        <v>1793107958001</v>
      </c>
      <c r="C170" t="s">
        <v>43</v>
      </c>
      <c r="D170" s="1">
        <v>46032</v>
      </c>
      <c r="E170" t="s">
        <v>13</v>
      </c>
      <c r="F170">
        <v>7727</v>
      </c>
      <c r="G170">
        <v>102.2</v>
      </c>
      <c r="H170">
        <v>88.87</v>
      </c>
      <c r="I170">
        <v>0</v>
      </c>
      <c r="J170">
        <v>13.33</v>
      </c>
      <c r="K170">
        <v>0</v>
      </c>
      <c r="L170">
        <v>102.2</v>
      </c>
    </row>
    <row r="171" spans="1:12" x14ac:dyDescent="0.25">
      <c r="A171">
        <v>1410</v>
      </c>
      <c r="B171">
        <v>1793107958001</v>
      </c>
      <c r="C171" t="s">
        <v>43</v>
      </c>
      <c r="D171" s="1">
        <v>46034</v>
      </c>
      <c r="E171" t="s">
        <v>13</v>
      </c>
      <c r="F171">
        <v>7724</v>
      </c>
      <c r="G171">
        <v>43.47</v>
      </c>
      <c r="H171">
        <v>37.799999999999997</v>
      </c>
      <c r="I171">
        <v>0</v>
      </c>
      <c r="J171">
        <v>5.67</v>
      </c>
      <c r="K171">
        <v>0</v>
      </c>
      <c r="L171">
        <v>43.47</v>
      </c>
    </row>
    <row r="172" spans="1:12" x14ac:dyDescent="0.25">
      <c r="A172">
        <v>1410</v>
      </c>
      <c r="B172">
        <v>1793107958001</v>
      </c>
      <c r="C172" t="s">
        <v>43</v>
      </c>
      <c r="D172" s="1">
        <v>46034</v>
      </c>
      <c r="E172" t="s">
        <v>31</v>
      </c>
      <c r="F172">
        <v>900007724</v>
      </c>
      <c r="G172">
        <v>48.3</v>
      </c>
      <c r="H172">
        <v>48.3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>
        <v>1410</v>
      </c>
      <c r="B173">
        <v>1793107958001</v>
      </c>
      <c r="C173" t="s">
        <v>43</v>
      </c>
      <c r="D173" s="1">
        <v>46035</v>
      </c>
      <c r="E173" t="s">
        <v>13</v>
      </c>
      <c r="F173">
        <v>7741</v>
      </c>
      <c r="G173">
        <v>684.97</v>
      </c>
      <c r="H173">
        <v>595.63</v>
      </c>
      <c r="I173">
        <v>0</v>
      </c>
      <c r="J173">
        <v>89.34</v>
      </c>
      <c r="K173">
        <v>0</v>
      </c>
      <c r="L173">
        <v>684.97</v>
      </c>
    </row>
    <row r="174" spans="1:12" x14ac:dyDescent="0.25">
      <c r="A174">
        <v>1410</v>
      </c>
      <c r="B174">
        <v>1793107958001</v>
      </c>
      <c r="C174" t="s">
        <v>43</v>
      </c>
      <c r="D174" s="1">
        <v>46035</v>
      </c>
      <c r="E174" t="s">
        <v>13</v>
      </c>
      <c r="F174">
        <v>5381</v>
      </c>
      <c r="G174" s="2">
        <v>1105.0999999999999</v>
      </c>
      <c r="H174">
        <v>960.96</v>
      </c>
      <c r="I174">
        <v>0</v>
      </c>
      <c r="J174">
        <v>144.13999999999999</v>
      </c>
      <c r="K174">
        <v>0</v>
      </c>
      <c r="L174" s="2">
        <v>1105.0999999999999</v>
      </c>
    </row>
    <row r="175" spans="1:12" x14ac:dyDescent="0.25">
      <c r="A175">
        <v>1410</v>
      </c>
      <c r="B175">
        <v>1793107958001</v>
      </c>
      <c r="C175" t="s">
        <v>43</v>
      </c>
      <c r="D175" s="1">
        <v>46035</v>
      </c>
      <c r="E175" t="s">
        <v>13</v>
      </c>
      <c r="F175">
        <v>7737</v>
      </c>
      <c r="G175">
        <v>78.180000000000007</v>
      </c>
      <c r="H175">
        <v>67.98</v>
      </c>
      <c r="I175">
        <v>0</v>
      </c>
      <c r="J175">
        <v>10.199999999999999</v>
      </c>
      <c r="K175">
        <v>0</v>
      </c>
      <c r="L175">
        <v>78.180000000000007</v>
      </c>
    </row>
    <row r="176" spans="1:12" x14ac:dyDescent="0.25">
      <c r="A176">
        <v>1410</v>
      </c>
      <c r="B176">
        <v>1793107958001</v>
      </c>
      <c r="C176" t="s">
        <v>43</v>
      </c>
      <c r="D176" s="1">
        <v>46035</v>
      </c>
      <c r="E176" t="s">
        <v>13</v>
      </c>
      <c r="F176">
        <v>7740</v>
      </c>
      <c r="G176">
        <v>466.64</v>
      </c>
      <c r="H176">
        <v>405.77</v>
      </c>
      <c r="I176">
        <v>0</v>
      </c>
      <c r="J176">
        <v>60.87</v>
      </c>
      <c r="K176">
        <v>0</v>
      </c>
      <c r="L176">
        <v>466.64</v>
      </c>
    </row>
    <row r="177" spans="1:12" x14ac:dyDescent="0.25">
      <c r="A177">
        <v>1410</v>
      </c>
      <c r="B177">
        <v>1793107958001</v>
      </c>
      <c r="C177" t="s">
        <v>43</v>
      </c>
      <c r="D177" s="1">
        <v>46035</v>
      </c>
      <c r="E177" t="s">
        <v>13</v>
      </c>
      <c r="F177">
        <v>7746</v>
      </c>
      <c r="G177">
        <v>26.73</v>
      </c>
      <c r="H177">
        <v>23.24</v>
      </c>
      <c r="I177">
        <v>0</v>
      </c>
      <c r="J177">
        <v>3.49</v>
      </c>
      <c r="K177">
        <v>0</v>
      </c>
      <c r="L177">
        <v>26.73</v>
      </c>
    </row>
    <row r="178" spans="1:12" x14ac:dyDescent="0.25">
      <c r="A178">
        <v>1410</v>
      </c>
      <c r="B178">
        <v>1793107958001</v>
      </c>
      <c r="C178" t="s">
        <v>43</v>
      </c>
      <c r="D178" s="1">
        <v>46036</v>
      </c>
      <c r="E178" t="s">
        <v>13</v>
      </c>
      <c r="F178">
        <v>5391</v>
      </c>
      <c r="G178">
        <v>239.2</v>
      </c>
      <c r="H178">
        <v>208</v>
      </c>
      <c r="I178">
        <v>0</v>
      </c>
      <c r="J178">
        <v>31.2</v>
      </c>
      <c r="K178">
        <v>0</v>
      </c>
      <c r="L178">
        <v>239.2</v>
      </c>
    </row>
    <row r="179" spans="1:12" x14ac:dyDescent="0.25">
      <c r="A179">
        <v>1410</v>
      </c>
      <c r="B179">
        <v>1793107958001</v>
      </c>
      <c r="C179" t="s">
        <v>43</v>
      </c>
      <c r="D179" s="1">
        <v>46036</v>
      </c>
      <c r="E179" t="s">
        <v>13</v>
      </c>
      <c r="F179">
        <v>7756</v>
      </c>
      <c r="G179">
        <v>675.36</v>
      </c>
      <c r="H179">
        <v>587.27</v>
      </c>
      <c r="I179">
        <v>0</v>
      </c>
      <c r="J179">
        <v>88.09</v>
      </c>
      <c r="K179">
        <v>0</v>
      </c>
      <c r="L179">
        <v>675.36</v>
      </c>
    </row>
    <row r="180" spans="1:12" x14ac:dyDescent="0.25">
      <c r="A180">
        <v>1410</v>
      </c>
      <c r="B180">
        <v>1793107958001</v>
      </c>
      <c r="C180" t="s">
        <v>43</v>
      </c>
      <c r="D180" s="1">
        <v>46036</v>
      </c>
      <c r="E180" t="s">
        <v>13</v>
      </c>
      <c r="F180">
        <v>5386</v>
      </c>
      <c r="G180">
        <v>193.69</v>
      </c>
      <c r="H180">
        <v>168.43</v>
      </c>
      <c r="I180">
        <v>0</v>
      </c>
      <c r="J180">
        <v>25.26</v>
      </c>
      <c r="K180">
        <v>0</v>
      </c>
      <c r="L180">
        <v>193.69</v>
      </c>
    </row>
    <row r="181" spans="1:12" x14ac:dyDescent="0.25">
      <c r="A181">
        <v>1410</v>
      </c>
      <c r="B181">
        <v>1793107958001</v>
      </c>
      <c r="C181" t="s">
        <v>43</v>
      </c>
      <c r="D181" s="1">
        <v>46037</v>
      </c>
      <c r="E181" t="s">
        <v>13</v>
      </c>
      <c r="F181">
        <v>5396</v>
      </c>
      <c r="G181">
        <v>24.1</v>
      </c>
      <c r="H181">
        <v>20.96</v>
      </c>
      <c r="I181">
        <v>0</v>
      </c>
      <c r="J181">
        <v>3.14</v>
      </c>
      <c r="K181">
        <v>0</v>
      </c>
      <c r="L181">
        <v>24.1</v>
      </c>
    </row>
    <row r="182" spans="1:12" x14ac:dyDescent="0.25">
      <c r="A182">
        <v>1410</v>
      </c>
      <c r="B182">
        <v>1793107958001</v>
      </c>
      <c r="C182" t="s">
        <v>43</v>
      </c>
      <c r="D182" s="1">
        <v>46037</v>
      </c>
      <c r="E182" t="s">
        <v>13</v>
      </c>
      <c r="F182">
        <v>7760</v>
      </c>
      <c r="G182" s="2">
        <v>1729.05</v>
      </c>
      <c r="H182" s="2">
        <v>1503.52</v>
      </c>
      <c r="I182">
        <v>0</v>
      </c>
      <c r="J182">
        <v>225.53</v>
      </c>
      <c r="K182">
        <v>0</v>
      </c>
      <c r="L182" s="2">
        <v>1729.05</v>
      </c>
    </row>
    <row r="183" spans="1:12" x14ac:dyDescent="0.25">
      <c r="A183">
        <v>1410</v>
      </c>
      <c r="B183">
        <v>1793107958001</v>
      </c>
      <c r="C183" t="s">
        <v>43</v>
      </c>
      <c r="D183" s="1">
        <v>46037</v>
      </c>
      <c r="E183" t="s">
        <v>13</v>
      </c>
      <c r="F183">
        <v>5397</v>
      </c>
      <c r="G183">
        <v>112.65</v>
      </c>
      <c r="H183">
        <v>97.96</v>
      </c>
      <c r="I183">
        <v>0</v>
      </c>
      <c r="J183">
        <v>14.69</v>
      </c>
      <c r="K183">
        <v>0</v>
      </c>
      <c r="L183">
        <v>112.65</v>
      </c>
    </row>
    <row r="184" spans="1:12" x14ac:dyDescent="0.25">
      <c r="A184">
        <v>1410</v>
      </c>
      <c r="B184">
        <v>1793107958001</v>
      </c>
      <c r="C184" t="s">
        <v>43</v>
      </c>
      <c r="D184" s="1">
        <v>46037</v>
      </c>
      <c r="E184" t="s">
        <v>13</v>
      </c>
      <c r="F184">
        <v>5404</v>
      </c>
      <c r="G184">
        <v>303.76</v>
      </c>
      <c r="H184">
        <v>264.14</v>
      </c>
      <c r="I184">
        <v>0</v>
      </c>
      <c r="J184">
        <v>39.619999999999997</v>
      </c>
      <c r="K184">
        <v>0</v>
      </c>
      <c r="L184">
        <v>303.76</v>
      </c>
    </row>
    <row r="185" spans="1:12" x14ac:dyDescent="0.25">
      <c r="A185">
        <v>1410</v>
      </c>
      <c r="B185">
        <v>1793107958001</v>
      </c>
      <c r="C185" t="s">
        <v>43</v>
      </c>
      <c r="D185" s="1">
        <v>46038</v>
      </c>
      <c r="E185" t="s">
        <v>13</v>
      </c>
      <c r="F185">
        <v>7774</v>
      </c>
      <c r="G185">
        <v>44.51</v>
      </c>
      <c r="H185">
        <v>38.700000000000003</v>
      </c>
      <c r="I185">
        <v>0</v>
      </c>
      <c r="J185">
        <v>5.81</v>
      </c>
      <c r="K185">
        <v>0</v>
      </c>
      <c r="L185">
        <v>44.51</v>
      </c>
    </row>
    <row r="186" spans="1:12" x14ac:dyDescent="0.25">
      <c r="A186">
        <v>1410</v>
      </c>
      <c r="B186">
        <v>1793107958001</v>
      </c>
      <c r="C186" t="s">
        <v>43</v>
      </c>
      <c r="D186" s="1">
        <v>46038</v>
      </c>
      <c r="E186" t="s">
        <v>13</v>
      </c>
      <c r="F186">
        <v>7772</v>
      </c>
      <c r="G186">
        <v>129.5</v>
      </c>
      <c r="H186">
        <v>112.61</v>
      </c>
      <c r="I186">
        <v>0</v>
      </c>
      <c r="J186">
        <v>16.89</v>
      </c>
      <c r="K186">
        <v>0</v>
      </c>
      <c r="L186">
        <v>129.5</v>
      </c>
    </row>
    <row r="187" spans="1:12" x14ac:dyDescent="0.25">
      <c r="A187">
        <v>1410</v>
      </c>
      <c r="B187">
        <v>1793107958001</v>
      </c>
      <c r="C187" t="s">
        <v>43</v>
      </c>
      <c r="D187" s="1">
        <v>46038</v>
      </c>
      <c r="E187" t="s">
        <v>13</v>
      </c>
      <c r="F187">
        <v>5406</v>
      </c>
      <c r="G187">
        <v>182.21</v>
      </c>
      <c r="H187">
        <v>158.44</v>
      </c>
      <c r="I187">
        <v>0</v>
      </c>
      <c r="J187">
        <v>23.77</v>
      </c>
      <c r="K187">
        <v>0</v>
      </c>
      <c r="L187">
        <v>182.21</v>
      </c>
    </row>
    <row r="188" spans="1:12" x14ac:dyDescent="0.25">
      <c r="A188">
        <v>1410</v>
      </c>
      <c r="B188">
        <v>1793107958001</v>
      </c>
      <c r="C188" t="s">
        <v>43</v>
      </c>
      <c r="D188" s="1">
        <v>46039</v>
      </c>
      <c r="E188" t="s">
        <v>13</v>
      </c>
      <c r="F188">
        <v>7784</v>
      </c>
      <c r="G188">
        <v>318.56</v>
      </c>
      <c r="H188">
        <v>277.01</v>
      </c>
      <c r="I188">
        <v>0</v>
      </c>
      <c r="J188">
        <v>41.55</v>
      </c>
      <c r="K188">
        <v>0</v>
      </c>
      <c r="L188">
        <v>318.56</v>
      </c>
    </row>
    <row r="189" spans="1:12" x14ac:dyDescent="0.25">
      <c r="A189">
        <v>1410</v>
      </c>
      <c r="B189">
        <v>1793107958001</v>
      </c>
      <c r="C189" t="s">
        <v>43</v>
      </c>
      <c r="D189" s="1">
        <v>46039</v>
      </c>
      <c r="E189" t="s">
        <v>13</v>
      </c>
      <c r="F189">
        <v>7781</v>
      </c>
      <c r="G189">
        <v>380.06</v>
      </c>
      <c r="H189">
        <v>330.49</v>
      </c>
      <c r="I189">
        <v>0</v>
      </c>
      <c r="J189">
        <v>49.57</v>
      </c>
      <c r="K189">
        <v>0</v>
      </c>
      <c r="L189">
        <v>380.06</v>
      </c>
    </row>
    <row r="190" spans="1:12" x14ac:dyDescent="0.25">
      <c r="A190">
        <v>1410</v>
      </c>
      <c r="B190">
        <v>1793107958001</v>
      </c>
      <c r="C190" t="s">
        <v>43</v>
      </c>
      <c r="D190" s="1">
        <v>46041</v>
      </c>
      <c r="E190" t="s">
        <v>13</v>
      </c>
      <c r="F190">
        <v>5415</v>
      </c>
      <c r="G190">
        <v>248.38</v>
      </c>
      <c r="H190">
        <v>215.98</v>
      </c>
      <c r="I190">
        <v>0</v>
      </c>
      <c r="J190">
        <v>32.4</v>
      </c>
      <c r="K190">
        <v>0</v>
      </c>
      <c r="L190">
        <v>248.38</v>
      </c>
    </row>
    <row r="191" spans="1:12" x14ac:dyDescent="0.25">
      <c r="A191">
        <v>1410</v>
      </c>
      <c r="B191">
        <v>1793107958001</v>
      </c>
      <c r="C191" t="s">
        <v>43</v>
      </c>
      <c r="D191" s="1">
        <v>46042</v>
      </c>
      <c r="E191" t="s">
        <v>13</v>
      </c>
      <c r="F191">
        <v>7790</v>
      </c>
      <c r="G191">
        <v>133.58000000000001</v>
      </c>
      <c r="H191">
        <v>116.16</v>
      </c>
      <c r="I191">
        <v>0</v>
      </c>
      <c r="J191">
        <v>17.420000000000002</v>
      </c>
      <c r="K191">
        <v>0</v>
      </c>
      <c r="L191">
        <v>133.58000000000001</v>
      </c>
    </row>
    <row r="192" spans="1:12" x14ac:dyDescent="0.25">
      <c r="A192">
        <v>1410</v>
      </c>
      <c r="B192">
        <v>1793107958001</v>
      </c>
      <c r="C192" t="s">
        <v>43</v>
      </c>
      <c r="D192" s="1">
        <v>46042</v>
      </c>
      <c r="E192" t="s">
        <v>13</v>
      </c>
      <c r="F192">
        <v>7795</v>
      </c>
      <c r="G192" s="2">
        <v>1523.07</v>
      </c>
      <c r="H192" s="2">
        <v>1324.41</v>
      </c>
      <c r="I192">
        <v>0</v>
      </c>
      <c r="J192">
        <v>198.66</v>
      </c>
      <c r="K192">
        <v>0</v>
      </c>
      <c r="L192" s="2">
        <v>1523.07</v>
      </c>
    </row>
    <row r="193" spans="1:12" x14ac:dyDescent="0.25">
      <c r="A193">
        <v>1410</v>
      </c>
      <c r="B193">
        <v>1793107958001</v>
      </c>
      <c r="C193" t="s">
        <v>43</v>
      </c>
      <c r="D193" s="1">
        <v>46042</v>
      </c>
      <c r="E193" t="s">
        <v>13</v>
      </c>
      <c r="F193">
        <v>7794</v>
      </c>
      <c r="G193">
        <v>845.76</v>
      </c>
      <c r="H193">
        <v>735.44</v>
      </c>
      <c r="I193">
        <v>0</v>
      </c>
      <c r="J193">
        <v>110.32</v>
      </c>
      <c r="K193">
        <v>0</v>
      </c>
      <c r="L193">
        <v>845.76</v>
      </c>
    </row>
    <row r="194" spans="1:12" x14ac:dyDescent="0.25">
      <c r="A194">
        <v>1410</v>
      </c>
      <c r="B194">
        <v>1793107958001</v>
      </c>
      <c r="C194" t="s">
        <v>43</v>
      </c>
      <c r="D194" s="1">
        <v>46042</v>
      </c>
      <c r="E194" t="s">
        <v>13</v>
      </c>
      <c r="F194">
        <v>7788</v>
      </c>
      <c r="G194">
        <v>396.58</v>
      </c>
      <c r="H194">
        <v>344.85</v>
      </c>
      <c r="I194">
        <v>0</v>
      </c>
      <c r="J194">
        <v>51.73</v>
      </c>
      <c r="K194">
        <v>0</v>
      </c>
      <c r="L194">
        <v>396.58</v>
      </c>
    </row>
    <row r="195" spans="1:12" x14ac:dyDescent="0.25">
      <c r="A195">
        <v>1410</v>
      </c>
      <c r="B195">
        <v>1793107958001</v>
      </c>
      <c r="C195" t="s">
        <v>43</v>
      </c>
      <c r="D195" s="1">
        <v>46043</v>
      </c>
      <c r="E195" t="s">
        <v>13</v>
      </c>
      <c r="F195">
        <v>5433</v>
      </c>
      <c r="G195">
        <v>269.08999999999997</v>
      </c>
      <c r="H195">
        <v>233.99</v>
      </c>
      <c r="I195">
        <v>0</v>
      </c>
      <c r="J195">
        <v>35.1</v>
      </c>
      <c r="K195">
        <v>0</v>
      </c>
      <c r="L195">
        <v>269.08999999999997</v>
      </c>
    </row>
    <row r="196" spans="1:12" x14ac:dyDescent="0.25">
      <c r="A196">
        <v>1410</v>
      </c>
      <c r="B196">
        <v>1793107958001</v>
      </c>
      <c r="C196" t="s">
        <v>43</v>
      </c>
      <c r="D196" s="1">
        <v>46043</v>
      </c>
      <c r="E196" t="s">
        <v>13</v>
      </c>
      <c r="F196">
        <v>7797</v>
      </c>
      <c r="G196">
        <v>529.59</v>
      </c>
      <c r="H196">
        <v>460.51</v>
      </c>
      <c r="I196">
        <v>0</v>
      </c>
      <c r="J196">
        <v>69.08</v>
      </c>
      <c r="K196">
        <v>0</v>
      </c>
      <c r="L196">
        <v>529.59</v>
      </c>
    </row>
    <row r="197" spans="1:12" x14ac:dyDescent="0.25">
      <c r="A197">
        <v>1410</v>
      </c>
      <c r="B197">
        <v>1793107958001</v>
      </c>
      <c r="C197" t="s">
        <v>43</v>
      </c>
      <c r="D197" s="1">
        <v>46043</v>
      </c>
      <c r="E197" t="s">
        <v>13</v>
      </c>
      <c r="F197">
        <v>7796</v>
      </c>
      <c r="G197">
        <v>10.63</v>
      </c>
      <c r="H197">
        <v>9.24</v>
      </c>
      <c r="I197">
        <v>0</v>
      </c>
      <c r="J197">
        <v>1.39</v>
      </c>
      <c r="K197">
        <v>0</v>
      </c>
      <c r="L197">
        <v>10.63</v>
      </c>
    </row>
    <row r="198" spans="1:12" x14ac:dyDescent="0.25">
      <c r="A198">
        <v>1410</v>
      </c>
      <c r="B198">
        <v>1793107958001</v>
      </c>
      <c r="C198" t="s">
        <v>43</v>
      </c>
      <c r="D198" s="1">
        <v>46043</v>
      </c>
      <c r="E198" t="s">
        <v>13</v>
      </c>
      <c r="F198">
        <v>7798</v>
      </c>
      <c r="G198" s="2">
        <v>1418.66</v>
      </c>
      <c r="H198" s="2">
        <v>1233.6199999999999</v>
      </c>
      <c r="I198">
        <v>0</v>
      </c>
      <c r="J198">
        <v>185.04</v>
      </c>
      <c r="K198">
        <v>0</v>
      </c>
      <c r="L198" s="2">
        <v>1418.66</v>
      </c>
    </row>
    <row r="199" spans="1:12" x14ac:dyDescent="0.25">
      <c r="A199">
        <v>1410</v>
      </c>
      <c r="B199">
        <v>1793107958001</v>
      </c>
      <c r="C199" t="s">
        <v>43</v>
      </c>
      <c r="D199" s="1">
        <v>46044</v>
      </c>
      <c r="E199" t="s">
        <v>13</v>
      </c>
      <c r="F199">
        <v>5439</v>
      </c>
      <c r="G199">
        <v>182.21</v>
      </c>
      <c r="H199">
        <v>158.44</v>
      </c>
      <c r="I199">
        <v>0</v>
      </c>
      <c r="J199">
        <v>23.77</v>
      </c>
      <c r="K199">
        <v>0</v>
      </c>
      <c r="L199">
        <v>182.21</v>
      </c>
    </row>
    <row r="200" spans="1:12" x14ac:dyDescent="0.25">
      <c r="A200">
        <v>1410</v>
      </c>
      <c r="B200">
        <v>1793107958001</v>
      </c>
      <c r="C200" t="s">
        <v>43</v>
      </c>
      <c r="D200" s="1">
        <v>46044</v>
      </c>
      <c r="E200" t="s">
        <v>13</v>
      </c>
      <c r="F200">
        <v>7810</v>
      </c>
      <c r="G200">
        <v>964.54</v>
      </c>
      <c r="H200">
        <v>838.73</v>
      </c>
      <c r="I200">
        <v>0</v>
      </c>
      <c r="J200">
        <v>125.81</v>
      </c>
      <c r="K200">
        <v>0</v>
      </c>
      <c r="L200">
        <v>964.54</v>
      </c>
    </row>
    <row r="201" spans="1:12" x14ac:dyDescent="0.25">
      <c r="A201">
        <v>1410</v>
      </c>
      <c r="B201">
        <v>1793107958001</v>
      </c>
      <c r="C201" t="s">
        <v>43</v>
      </c>
      <c r="D201" s="1">
        <v>46044</v>
      </c>
      <c r="E201" t="s">
        <v>13</v>
      </c>
      <c r="F201">
        <v>7806</v>
      </c>
      <c r="G201">
        <v>544.09</v>
      </c>
      <c r="H201">
        <v>473.12</v>
      </c>
      <c r="I201">
        <v>0</v>
      </c>
      <c r="J201">
        <v>70.97</v>
      </c>
      <c r="K201">
        <v>0</v>
      </c>
      <c r="L201">
        <v>544.09</v>
      </c>
    </row>
    <row r="202" spans="1:12" x14ac:dyDescent="0.25">
      <c r="A202">
        <v>1410</v>
      </c>
      <c r="B202">
        <v>1793107958001</v>
      </c>
      <c r="C202" t="s">
        <v>43</v>
      </c>
      <c r="D202" s="1">
        <v>46044</v>
      </c>
      <c r="E202" t="s">
        <v>13</v>
      </c>
      <c r="F202">
        <v>5449</v>
      </c>
      <c r="G202" s="2">
        <v>1105.0999999999999</v>
      </c>
      <c r="H202">
        <v>960.96</v>
      </c>
      <c r="I202">
        <v>0</v>
      </c>
      <c r="J202">
        <v>144.13999999999999</v>
      </c>
      <c r="K202">
        <v>0</v>
      </c>
      <c r="L202" s="2">
        <v>1105.0999999999999</v>
      </c>
    </row>
    <row r="203" spans="1:12" x14ac:dyDescent="0.25">
      <c r="A203">
        <v>1410</v>
      </c>
      <c r="B203">
        <v>1793107958001</v>
      </c>
      <c r="C203" t="s">
        <v>43</v>
      </c>
      <c r="D203" s="1">
        <v>46044</v>
      </c>
      <c r="E203" t="s">
        <v>13</v>
      </c>
      <c r="F203">
        <v>5451</v>
      </c>
      <c r="G203">
        <v>147.19999999999999</v>
      </c>
      <c r="H203">
        <v>128</v>
      </c>
      <c r="I203">
        <v>0</v>
      </c>
      <c r="J203">
        <v>19.2</v>
      </c>
      <c r="K203">
        <v>0</v>
      </c>
      <c r="L203">
        <v>147.19999999999999</v>
      </c>
    </row>
    <row r="204" spans="1:12" x14ac:dyDescent="0.25">
      <c r="A204">
        <v>1410</v>
      </c>
      <c r="B204">
        <v>1793107958001</v>
      </c>
      <c r="C204" t="s">
        <v>43</v>
      </c>
      <c r="D204" s="1">
        <v>46045</v>
      </c>
      <c r="E204" t="s">
        <v>45</v>
      </c>
      <c r="F204">
        <v>11605802</v>
      </c>
      <c r="G204" s="2">
        <v>41800.93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>
        <v>1410</v>
      </c>
      <c r="B205">
        <v>1793107958001</v>
      </c>
      <c r="C205" t="s">
        <v>43</v>
      </c>
      <c r="D205" s="1">
        <v>46045</v>
      </c>
      <c r="E205" t="s">
        <v>13</v>
      </c>
      <c r="F205">
        <v>7813</v>
      </c>
      <c r="G205">
        <v>75.44</v>
      </c>
      <c r="H205">
        <v>65.599999999999994</v>
      </c>
      <c r="I205">
        <v>0</v>
      </c>
      <c r="J205">
        <v>9.84</v>
      </c>
      <c r="K205">
        <v>0</v>
      </c>
      <c r="L205">
        <v>75.44</v>
      </c>
    </row>
    <row r="206" spans="1:12" x14ac:dyDescent="0.25">
      <c r="A206">
        <v>1410</v>
      </c>
      <c r="B206">
        <v>1793107958001</v>
      </c>
      <c r="C206" t="s">
        <v>43</v>
      </c>
      <c r="D206" s="1">
        <v>46045</v>
      </c>
      <c r="E206" t="s">
        <v>45</v>
      </c>
      <c r="F206">
        <v>11605902</v>
      </c>
      <c r="G206" s="2">
        <v>2379.48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>
        <v>1410</v>
      </c>
      <c r="B207">
        <v>1793107958001</v>
      </c>
      <c r="C207" t="s">
        <v>43</v>
      </c>
      <c r="D207" s="1">
        <v>46045</v>
      </c>
      <c r="E207" t="s">
        <v>13</v>
      </c>
      <c r="F207">
        <v>5450</v>
      </c>
      <c r="G207">
        <v>335.62</v>
      </c>
      <c r="H207">
        <v>291.83999999999997</v>
      </c>
      <c r="I207">
        <v>0</v>
      </c>
      <c r="J207">
        <v>43.78</v>
      </c>
      <c r="K207">
        <v>0</v>
      </c>
      <c r="L207">
        <v>335.62</v>
      </c>
    </row>
    <row r="208" spans="1:12" x14ac:dyDescent="0.25">
      <c r="A208">
        <v>1410</v>
      </c>
      <c r="B208">
        <v>1793107958001</v>
      </c>
      <c r="C208" t="s">
        <v>43</v>
      </c>
      <c r="D208" s="1">
        <v>46046</v>
      </c>
      <c r="E208" t="s">
        <v>13</v>
      </c>
      <c r="F208">
        <v>7821</v>
      </c>
      <c r="G208" s="2">
        <v>5583.88</v>
      </c>
      <c r="H208" s="2">
        <v>4855.55</v>
      </c>
      <c r="I208">
        <v>0</v>
      </c>
      <c r="J208">
        <v>728.33</v>
      </c>
      <c r="K208">
        <v>0</v>
      </c>
      <c r="L208" s="2">
        <v>5583.88</v>
      </c>
    </row>
    <row r="209" spans="1:12" x14ac:dyDescent="0.25">
      <c r="A209">
        <v>1410</v>
      </c>
      <c r="B209">
        <v>1793107958001</v>
      </c>
      <c r="C209" t="s">
        <v>43</v>
      </c>
      <c r="D209" s="1">
        <v>46046</v>
      </c>
      <c r="E209" t="s">
        <v>13</v>
      </c>
      <c r="F209">
        <v>7817</v>
      </c>
      <c r="G209">
        <v>16.329999999999998</v>
      </c>
      <c r="H209">
        <v>14.2</v>
      </c>
      <c r="I209">
        <v>0</v>
      </c>
      <c r="J209">
        <v>2.13</v>
      </c>
      <c r="K209">
        <v>0</v>
      </c>
      <c r="L209">
        <v>16.329999999999998</v>
      </c>
    </row>
    <row r="210" spans="1:12" x14ac:dyDescent="0.25">
      <c r="A210">
        <v>1410</v>
      </c>
      <c r="B210">
        <v>1793107958001</v>
      </c>
      <c r="C210" t="s">
        <v>43</v>
      </c>
      <c r="D210" s="1">
        <v>46046</v>
      </c>
      <c r="E210" t="s">
        <v>13</v>
      </c>
      <c r="F210">
        <v>7820</v>
      </c>
      <c r="G210">
        <v>20</v>
      </c>
      <c r="H210">
        <v>17.39</v>
      </c>
      <c r="I210">
        <v>0</v>
      </c>
      <c r="J210">
        <v>2.61</v>
      </c>
      <c r="K210">
        <v>0</v>
      </c>
      <c r="L210">
        <v>20</v>
      </c>
    </row>
    <row r="211" spans="1:12" x14ac:dyDescent="0.25">
      <c r="A211">
        <v>1410</v>
      </c>
      <c r="B211">
        <v>1793107958001</v>
      </c>
      <c r="C211" t="s">
        <v>43</v>
      </c>
      <c r="D211" s="1">
        <v>46046</v>
      </c>
      <c r="E211" t="s">
        <v>13</v>
      </c>
      <c r="F211">
        <v>5462</v>
      </c>
      <c r="G211">
        <v>266.5</v>
      </c>
      <c r="H211">
        <v>231.74</v>
      </c>
      <c r="I211">
        <v>0</v>
      </c>
      <c r="J211">
        <v>34.76</v>
      </c>
      <c r="K211">
        <v>0</v>
      </c>
      <c r="L211">
        <v>266.5</v>
      </c>
    </row>
    <row r="212" spans="1:12" x14ac:dyDescent="0.25">
      <c r="A212">
        <v>1410</v>
      </c>
      <c r="B212">
        <v>1793107958001</v>
      </c>
      <c r="C212" t="s">
        <v>43</v>
      </c>
      <c r="D212" s="1">
        <v>46046</v>
      </c>
      <c r="E212" t="s">
        <v>13</v>
      </c>
      <c r="F212">
        <v>5447</v>
      </c>
      <c r="G212">
        <v>322.36</v>
      </c>
      <c r="H212">
        <v>280.31</v>
      </c>
      <c r="I212">
        <v>0</v>
      </c>
      <c r="J212">
        <v>42.05</v>
      </c>
      <c r="K212">
        <v>0</v>
      </c>
      <c r="L212">
        <v>322.36</v>
      </c>
    </row>
    <row r="213" spans="1:12" x14ac:dyDescent="0.25">
      <c r="A213">
        <v>1410</v>
      </c>
      <c r="B213">
        <v>1793107958001</v>
      </c>
      <c r="C213" t="s">
        <v>43</v>
      </c>
      <c r="D213" s="1">
        <v>46046</v>
      </c>
      <c r="E213" t="s">
        <v>13</v>
      </c>
      <c r="F213">
        <v>5442</v>
      </c>
      <c r="G213">
        <v>692.94</v>
      </c>
      <c r="H213">
        <v>602.55999999999995</v>
      </c>
      <c r="I213">
        <v>0</v>
      </c>
      <c r="J213">
        <v>90.38</v>
      </c>
      <c r="K213">
        <v>0</v>
      </c>
      <c r="L213">
        <v>692.94</v>
      </c>
    </row>
    <row r="214" spans="1:12" x14ac:dyDescent="0.25">
      <c r="A214">
        <v>1410</v>
      </c>
      <c r="B214">
        <v>1793107958001</v>
      </c>
      <c r="C214" t="s">
        <v>43</v>
      </c>
      <c r="D214" s="1">
        <v>46046</v>
      </c>
      <c r="E214" t="s">
        <v>13</v>
      </c>
      <c r="F214">
        <v>7809</v>
      </c>
      <c r="G214">
        <v>88.83</v>
      </c>
      <c r="H214">
        <v>77.239999999999995</v>
      </c>
      <c r="I214">
        <v>0</v>
      </c>
      <c r="J214">
        <v>11.59</v>
      </c>
      <c r="K214">
        <v>0</v>
      </c>
      <c r="L214">
        <v>88.83</v>
      </c>
    </row>
    <row r="215" spans="1:12" x14ac:dyDescent="0.25">
      <c r="A215">
        <v>1410</v>
      </c>
      <c r="B215">
        <v>1793107958001</v>
      </c>
      <c r="C215" t="s">
        <v>43</v>
      </c>
      <c r="D215" s="1">
        <v>46046</v>
      </c>
      <c r="E215" t="s">
        <v>13</v>
      </c>
      <c r="F215">
        <v>5466</v>
      </c>
      <c r="G215">
        <v>338.56</v>
      </c>
      <c r="H215">
        <v>294.39999999999998</v>
      </c>
      <c r="I215">
        <v>0</v>
      </c>
      <c r="J215">
        <v>44.16</v>
      </c>
      <c r="K215">
        <v>0</v>
      </c>
      <c r="L215">
        <v>338.56</v>
      </c>
    </row>
    <row r="216" spans="1:12" x14ac:dyDescent="0.25">
      <c r="A216">
        <v>1410</v>
      </c>
      <c r="B216">
        <v>1793107958001</v>
      </c>
      <c r="C216" t="s">
        <v>43</v>
      </c>
      <c r="D216" s="1">
        <v>46049</v>
      </c>
      <c r="E216" t="s">
        <v>13</v>
      </c>
      <c r="F216">
        <v>7832</v>
      </c>
      <c r="G216">
        <v>784.39</v>
      </c>
      <c r="H216">
        <v>682.08</v>
      </c>
      <c r="I216">
        <v>0</v>
      </c>
      <c r="J216">
        <v>102.31</v>
      </c>
      <c r="K216">
        <v>0</v>
      </c>
      <c r="L216">
        <v>784.39</v>
      </c>
    </row>
    <row r="217" spans="1:12" x14ac:dyDescent="0.25">
      <c r="A217">
        <v>1410</v>
      </c>
      <c r="B217">
        <v>1793107958001</v>
      </c>
      <c r="C217" t="s">
        <v>43</v>
      </c>
      <c r="D217" s="1">
        <v>46049</v>
      </c>
      <c r="E217" t="s">
        <v>13</v>
      </c>
      <c r="F217">
        <v>7823</v>
      </c>
      <c r="G217">
        <v>1.7</v>
      </c>
      <c r="H217">
        <v>1.48</v>
      </c>
      <c r="I217">
        <v>0</v>
      </c>
      <c r="J217">
        <v>0.22</v>
      </c>
      <c r="K217">
        <v>0</v>
      </c>
      <c r="L217">
        <v>1.7</v>
      </c>
    </row>
    <row r="218" spans="1:12" x14ac:dyDescent="0.25">
      <c r="A218">
        <v>1410</v>
      </c>
      <c r="B218">
        <v>1793107958001</v>
      </c>
      <c r="C218" t="s">
        <v>43</v>
      </c>
      <c r="D218" s="1">
        <v>46049</v>
      </c>
      <c r="E218" t="s">
        <v>13</v>
      </c>
      <c r="F218">
        <v>5476</v>
      </c>
      <c r="G218">
        <v>164.7</v>
      </c>
      <c r="H218">
        <v>143.22</v>
      </c>
      <c r="I218">
        <v>0</v>
      </c>
      <c r="J218">
        <v>21.48</v>
      </c>
      <c r="K218">
        <v>0</v>
      </c>
      <c r="L218">
        <v>164.7</v>
      </c>
    </row>
    <row r="219" spans="1:12" x14ac:dyDescent="0.25">
      <c r="A219">
        <v>1410</v>
      </c>
      <c r="B219">
        <v>1793107958001</v>
      </c>
      <c r="C219" t="s">
        <v>43</v>
      </c>
      <c r="D219" s="1">
        <v>46050</v>
      </c>
      <c r="E219" t="s">
        <v>13</v>
      </c>
      <c r="F219">
        <v>7834</v>
      </c>
      <c r="G219">
        <v>609.84</v>
      </c>
      <c r="H219">
        <v>530.29999999999995</v>
      </c>
      <c r="I219">
        <v>0</v>
      </c>
      <c r="J219">
        <v>79.540000000000006</v>
      </c>
      <c r="K219">
        <v>0</v>
      </c>
      <c r="L219">
        <v>609.84</v>
      </c>
    </row>
    <row r="220" spans="1:12" x14ac:dyDescent="0.25">
      <c r="A220">
        <v>1410</v>
      </c>
      <c r="B220">
        <v>1793107958001</v>
      </c>
      <c r="C220" t="s">
        <v>43</v>
      </c>
      <c r="D220" s="1">
        <v>46050</v>
      </c>
      <c r="E220" t="s">
        <v>13</v>
      </c>
      <c r="F220">
        <v>7822</v>
      </c>
      <c r="G220">
        <v>250.75</v>
      </c>
      <c r="H220">
        <v>218.04</v>
      </c>
      <c r="I220">
        <v>0</v>
      </c>
      <c r="J220">
        <v>32.71</v>
      </c>
      <c r="K220">
        <v>0</v>
      </c>
      <c r="L220">
        <v>250.75</v>
      </c>
    </row>
    <row r="221" spans="1:12" x14ac:dyDescent="0.25">
      <c r="A221">
        <v>1410</v>
      </c>
      <c r="B221">
        <v>1793107958001</v>
      </c>
      <c r="C221" t="s">
        <v>43</v>
      </c>
      <c r="D221" s="1">
        <v>46050</v>
      </c>
      <c r="E221" t="s">
        <v>13</v>
      </c>
      <c r="F221">
        <v>7829</v>
      </c>
      <c r="G221">
        <v>153.88</v>
      </c>
      <c r="H221">
        <v>133.81</v>
      </c>
      <c r="I221">
        <v>0</v>
      </c>
      <c r="J221">
        <v>20.07</v>
      </c>
      <c r="K221">
        <v>0</v>
      </c>
      <c r="L221">
        <v>153.88</v>
      </c>
    </row>
    <row r="222" spans="1:12" x14ac:dyDescent="0.25">
      <c r="A222">
        <v>1410</v>
      </c>
      <c r="B222">
        <v>1793107958001</v>
      </c>
      <c r="C222" t="s">
        <v>43</v>
      </c>
      <c r="D222" s="1">
        <v>46050</v>
      </c>
      <c r="E222" t="s">
        <v>13</v>
      </c>
      <c r="F222">
        <v>7849</v>
      </c>
      <c r="G222">
        <v>24.1</v>
      </c>
      <c r="H222">
        <v>20.96</v>
      </c>
      <c r="I222">
        <v>0</v>
      </c>
      <c r="J222">
        <v>3.14</v>
      </c>
      <c r="K222">
        <v>0</v>
      </c>
      <c r="L222">
        <v>24.1</v>
      </c>
    </row>
    <row r="223" spans="1:12" x14ac:dyDescent="0.25">
      <c r="A223">
        <v>1410</v>
      </c>
      <c r="B223">
        <v>1793107958001</v>
      </c>
      <c r="C223" t="s">
        <v>43</v>
      </c>
      <c r="D223" s="1">
        <v>46050</v>
      </c>
      <c r="E223" t="s">
        <v>13</v>
      </c>
      <c r="F223">
        <v>7845</v>
      </c>
      <c r="G223">
        <v>71.88</v>
      </c>
      <c r="H223">
        <v>62.5</v>
      </c>
      <c r="I223">
        <v>0</v>
      </c>
      <c r="J223">
        <v>9.3800000000000008</v>
      </c>
      <c r="K223">
        <v>0</v>
      </c>
      <c r="L223">
        <v>71.88</v>
      </c>
    </row>
    <row r="224" spans="1:12" x14ac:dyDescent="0.25">
      <c r="A224">
        <v>1410</v>
      </c>
      <c r="B224">
        <v>1793107958001</v>
      </c>
      <c r="C224" t="s">
        <v>43</v>
      </c>
      <c r="D224" s="1">
        <v>46050</v>
      </c>
      <c r="E224" t="s">
        <v>13</v>
      </c>
      <c r="F224">
        <v>7824</v>
      </c>
      <c r="G224">
        <v>1.7</v>
      </c>
      <c r="H224">
        <v>1.48</v>
      </c>
      <c r="I224">
        <v>0</v>
      </c>
      <c r="J224">
        <v>0.22</v>
      </c>
      <c r="K224">
        <v>0</v>
      </c>
      <c r="L224">
        <v>1.7</v>
      </c>
    </row>
    <row r="225" spans="1:12" x14ac:dyDescent="0.25">
      <c r="A225">
        <v>1410</v>
      </c>
      <c r="B225">
        <v>1793107958001</v>
      </c>
      <c r="C225" t="s">
        <v>43</v>
      </c>
      <c r="D225" s="1">
        <v>46051</v>
      </c>
      <c r="E225" t="s">
        <v>13</v>
      </c>
      <c r="F225">
        <v>5492</v>
      </c>
      <c r="G225">
        <v>767.52</v>
      </c>
      <c r="H225">
        <v>667.41</v>
      </c>
      <c r="I225">
        <v>0</v>
      </c>
      <c r="J225">
        <v>100.11</v>
      </c>
      <c r="K225">
        <v>0</v>
      </c>
      <c r="L225">
        <v>767.52</v>
      </c>
    </row>
    <row r="226" spans="1:12" x14ac:dyDescent="0.25">
      <c r="A226">
        <v>1410</v>
      </c>
      <c r="B226">
        <v>1793107958001</v>
      </c>
      <c r="C226" t="s">
        <v>43</v>
      </c>
      <c r="D226" s="1">
        <v>46051</v>
      </c>
      <c r="E226" t="s">
        <v>13</v>
      </c>
      <c r="F226">
        <v>7852</v>
      </c>
      <c r="G226">
        <v>323.58999999999997</v>
      </c>
      <c r="H226">
        <v>281.38</v>
      </c>
      <c r="I226">
        <v>0</v>
      </c>
      <c r="J226">
        <v>42.21</v>
      </c>
      <c r="K226">
        <v>0</v>
      </c>
      <c r="L226">
        <v>323.58999999999997</v>
      </c>
    </row>
    <row r="227" spans="1:12" x14ac:dyDescent="0.25">
      <c r="A227">
        <v>1410</v>
      </c>
      <c r="B227">
        <v>1793107958001</v>
      </c>
      <c r="C227" t="s">
        <v>43</v>
      </c>
      <c r="D227" s="1">
        <v>46051</v>
      </c>
      <c r="E227" t="s">
        <v>13</v>
      </c>
      <c r="F227">
        <v>5490</v>
      </c>
      <c r="G227" s="2">
        <v>2486.17</v>
      </c>
      <c r="H227" s="2">
        <v>2161.89</v>
      </c>
      <c r="I227">
        <v>0</v>
      </c>
      <c r="J227">
        <v>324.27999999999997</v>
      </c>
      <c r="K227">
        <v>0</v>
      </c>
      <c r="L227" s="2">
        <v>2486.17</v>
      </c>
    </row>
    <row r="228" spans="1:12" x14ac:dyDescent="0.25">
      <c r="A228">
        <v>1410</v>
      </c>
      <c r="B228">
        <v>1793107958001</v>
      </c>
      <c r="C228" t="s">
        <v>43</v>
      </c>
      <c r="D228" s="1">
        <v>46051</v>
      </c>
      <c r="E228" t="s">
        <v>13</v>
      </c>
      <c r="F228">
        <v>7855</v>
      </c>
      <c r="G228">
        <v>91.06</v>
      </c>
      <c r="H228">
        <v>79.180000000000007</v>
      </c>
      <c r="I228">
        <v>0</v>
      </c>
      <c r="J228">
        <v>11.88</v>
      </c>
      <c r="K228">
        <v>0</v>
      </c>
      <c r="L228">
        <v>91.06</v>
      </c>
    </row>
    <row r="229" spans="1:12" x14ac:dyDescent="0.25">
      <c r="A229">
        <v>1410</v>
      </c>
      <c r="B229">
        <v>1793107958001</v>
      </c>
      <c r="C229" t="s">
        <v>43</v>
      </c>
      <c r="D229" s="1">
        <v>46051</v>
      </c>
      <c r="E229" t="s">
        <v>13</v>
      </c>
      <c r="F229">
        <v>7862</v>
      </c>
      <c r="G229">
        <v>27.21</v>
      </c>
      <c r="H229">
        <v>23.66</v>
      </c>
      <c r="I229">
        <v>0</v>
      </c>
      <c r="J229">
        <v>3.55</v>
      </c>
      <c r="K229">
        <v>0</v>
      </c>
      <c r="L229">
        <v>27.21</v>
      </c>
    </row>
    <row r="230" spans="1:12" x14ac:dyDescent="0.25">
      <c r="A230">
        <v>1410</v>
      </c>
      <c r="B230">
        <v>1793107958001</v>
      </c>
      <c r="C230" t="s">
        <v>43</v>
      </c>
      <c r="D230" s="1">
        <v>46051</v>
      </c>
      <c r="E230" t="s">
        <v>13</v>
      </c>
      <c r="F230">
        <v>7858</v>
      </c>
      <c r="G230">
        <v>41.83</v>
      </c>
      <c r="H230">
        <v>36.369999999999997</v>
      </c>
      <c r="I230">
        <v>0</v>
      </c>
      <c r="J230">
        <v>5.46</v>
      </c>
      <c r="K230">
        <v>0</v>
      </c>
      <c r="L230">
        <v>41.83</v>
      </c>
    </row>
    <row r="231" spans="1:12" x14ac:dyDescent="0.25">
      <c r="A231">
        <v>1410</v>
      </c>
      <c r="B231">
        <v>1793107958001</v>
      </c>
      <c r="C231" t="s">
        <v>43</v>
      </c>
      <c r="D231" s="1">
        <v>46051</v>
      </c>
      <c r="E231" t="s">
        <v>13</v>
      </c>
      <c r="F231">
        <v>7853</v>
      </c>
      <c r="G231">
        <v>468.07</v>
      </c>
      <c r="H231">
        <v>407.02</v>
      </c>
      <c r="I231">
        <v>0</v>
      </c>
      <c r="J231">
        <v>61.05</v>
      </c>
      <c r="K231">
        <v>0</v>
      </c>
      <c r="L231">
        <v>468.07</v>
      </c>
    </row>
    <row r="232" spans="1:12" x14ac:dyDescent="0.25">
      <c r="A232">
        <v>1410</v>
      </c>
      <c r="B232">
        <v>1793107958001</v>
      </c>
      <c r="C232" t="s">
        <v>43</v>
      </c>
      <c r="D232" s="1">
        <v>46052</v>
      </c>
      <c r="E232" t="s">
        <v>13</v>
      </c>
      <c r="F232">
        <v>5494</v>
      </c>
      <c r="G232">
        <v>898.29</v>
      </c>
      <c r="H232">
        <v>781.12</v>
      </c>
      <c r="I232">
        <v>0</v>
      </c>
      <c r="J232">
        <v>117.17</v>
      </c>
      <c r="K232">
        <v>0</v>
      </c>
      <c r="L232">
        <v>898.29</v>
      </c>
    </row>
    <row r="233" spans="1:12" x14ac:dyDescent="0.25">
      <c r="A233">
        <v>1410</v>
      </c>
      <c r="B233">
        <v>1793107958001</v>
      </c>
      <c r="C233" t="s">
        <v>43</v>
      </c>
      <c r="D233" s="1">
        <v>46052</v>
      </c>
      <c r="E233" t="s">
        <v>13</v>
      </c>
      <c r="F233">
        <v>7859</v>
      </c>
      <c r="G233">
        <v>390.03</v>
      </c>
      <c r="H233">
        <v>339.16</v>
      </c>
      <c r="I233">
        <v>0</v>
      </c>
      <c r="J233">
        <v>50.87</v>
      </c>
      <c r="K233">
        <v>0</v>
      </c>
      <c r="L233">
        <v>390.03</v>
      </c>
    </row>
    <row r="234" spans="1:12" x14ac:dyDescent="0.25">
      <c r="A234">
        <v>1410</v>
      </c>
      <c r="B234">
        <v>1793107958001</v>
      </c>
      <c r="C234" t="s">
        <v>43</v>
      </c>
      <c r="D234" s="1">
        <v>46052</v>
      </c>
      <c r="E234" t="s">
        <v>13</v>
      </c>
      <c r="F234">
        <v>7860</v>
      </c>
      <c r="G234">
        <v>69.91</v>
      </c>
      <c r="H234">
        <v>60.79</v>
      </c>
      <c r="I234">
        <v>0</v>
      </c>
      <c r="J234">
        <v>9.1199999999999992</v>
      </c>
      <c r="K234">
        <v>0</v>
      </c>
      <c r="L234">
        <v>69.91</v>
      </c>
    </row>
    <row r="235" spans="1:12" x14ac:dyDescent="0.25">
      <c r="A235">
        <v>1410</v>
      </c>
      <c r="B235">
        <v>1793107958001</v>
      </c>
      <c r="C235" t="s">
        <v>43</v>
      </c>
      <c r="D235" s="1">
        <v>46052</v>
      </c>
      <c r="E235" t="s">
        <v>13</v>
      </c>
      <c r="F235">
        <v>7867</v>
      </c>
      <c r="G235">
        <v>387.58</v>
      </c>
      <c r="H235">
        <v>337.03</v>
      </c>
      <c r="I235">
        <v>0</v>
      </c>
      <c r="J235">
        <v>50.55</v>
      </c>
      <c r="K235">
        <v>0</v>
      </c>
      <c r="L235">
        <v>387.58</v>
      </c>
    </row>
    <row r="236" spans="1:12" x14ac:dyDescent="0.25">
      <c r="A236">
        <v>1410</v>
      </c>
      <c r="B236">
        <v>1793107958001</v>
      </c>
      <c r="C236" t="s">
        <v>43</v>
      </c>
      <c r="D236" s="1">
        <v>46052</v>
      </c>
      <c r="E236" t="s">
        <v>13</v>
      </c>
      <c r="F236">
        <v>7861</v>
      </c>
      <c r="G236">
        <v>7.25</v>
      </c>
      <c r="H236">
        <v>6.3</v>
      </c>
      <c r="I236">
        <v>0</v>
      </c>
      <c r="J236">
        <v>0.95</v>
      </c>
      <c r="K236">
        <v>0</v>
      </c>
      <c r="L236">
        <v>7.25</v>
      </c>
    </row>
    <row r="237" spans="1:12" x14ac:dyDescent="0.25">
      <c r="A237">
        <v>1410</v>
      </c>
      <c r="B237">
        <v>1793107958001</v>
      </c>
      <c r="C237" t="s">
        <v>43</v>
      </c>
      <c r="D237" s="1">
        <v>46053</v>
      </c>
      <c r="E237" t="s">
        <v>13</v>
      </c>
      <c r="F237">
        <v>7868</v>
      </c>
      <c r="G237">
        <v>33.200000000000003</v>
      </c>
      <c r="H237">
        <v>28.87</v>
      </c>
      <c r="I237">
        <v>0</v>
      </c>
      <c r="J237">
        <v>4.33</v>
      </c>
      <c r="K237">
        <v>0</v>
      </c>
      <c r="L237">
        <v>33.200000000000003</v>
      </c>
    </row>
    <row r="238" spans="1:12" x14ac:dyDescent="0.25">
      <c r="A238">
        <v>1792</v>
      </c>
      <c r="B238">
        <v>1793162797001</v>
      </c>
      <c r="C238" t="s">
        <v>46</v>
      </c>
      <c r="D238" s="1">
        <v>46030</v>
      </c>
      <c r="E238" t="s">
        <v>13</v>
      </c>
      <c r="F238">
        <v>509</v>
      </c>
      <c r="G238">
        <v>227.57</v>
      </c>
      <c r="H238">
        <v>209.26</v>
      </c>
      <c r="I238">
        <v>0</v>
      </c>
      <c r="J238">
        <v>31.39</v>
      </c>
      <c r="K238">
        <v>13.08</v>
      </c>
      <c r="L238">
        <v>227.57</v>
      </c>
    </row>
    <row r="239" spans="1:12" x14ac:dyDescent="0.25">
      <c r="A239">
        <v>1792</v>
      </c>
      <c r="B239">
        <v>1793162797001</v>
      </c>
      <c r="C239" t="s">
        <v>46</v>
      </c>
      <c r="D239" s="1">
        <v>46030</v>
      </c>
      <c r="E239" t="s">
        <v>13</v>
      </c>
      <c r="F239">
        <v>508</v>
      </c>
      <c r="G239">
        <v>156.04</v>
      </c>
      <c r="H239">
        <v>143.49</v>
      </c>
      <c r="I239">
        <v>0</v>
      </c>
      <c r="J239">
        <v>21.52</v>
      </c>
      <c r="K239">
        <v>8.9700000000000006</v>
      </c>
      <c r="L239">
        <v>156.04</v>
      </c>
    </row>
    <row r="240" spans="1:12" x14ac:dyDescent="0.25">
      <c r="A240">
        <v>1792</v>
      </c>
      <c r="B240">
        <v>1793162797001</v>
      </c>
      <c r="C240" t="s">
        <v>46</v>
      </c>
      <c r="D240" s="1">
        <v>46032</v>
      </c>
      <c r="E240" t="s">
        <v>13</v>
      </c>
      <c r="F240">
        <v>519</v>
      </c>
      <c r="G240">
        <v>119.34</v>
      </c>
      <c r="H240">
        <v>109.74</v>
      </c>
      <c r="I240">
        <v>0</v>
      </c>
      <c r="J240">
        <v>16.46</v>
      </c>
      <c r="K240">
        <v>6.86</v>
      </c>
      <c r="L240">
        <v>119.34</v>
      </c>
    </row>
    <row r="241" spans="1:12" x14ac:dyDescent="0.25">
      <c r="A241">
        <v>1792</v>
      </c>
      <c r="B241">
        <v>1793162797001</v>
      </c>
      <c r="C241" t="s">
        <v>46</v>
      </c>
      <c r="D241" s="1">
        <v>46032</v>
      </c>
      <c r="E241" t="s">
        <v>13</v>
      </c>
      <c r="F241">
        <v>515</v>
      </c>
      <c r="G241">
        <v>153.32</v>
      </c>
      <c r="H241">
        <v>140.99</v>
      </c>
      <c r="I241">
        <v>0</v>
      </c>
      <c r="J241">
        <v>21.15</v>
      </c>
      <c r="K241">
        <v>8.82</v>
      </c>
      <c r="L241">
        <v>153.32</v>
      </c>
    </row>
    <row r="242" spans="1:12" x14ac:dyDescent="0.25">
      <c r="A242">
        <v>1792</v>
      </c>
      <c r="B242">
        <v>1793162797001</v>
      </c>
      <c r="C242" t="s">
        <v>46</v>
      </c>
      <c r="D242" s="1">
        <v>46032</v>
      </c>
      <c r="E242" t="s">
        <v>13</v>
      </c>
      <c r="F242">
        <v>514</v>
      </c>
      <c r="G242">
        <v>375.1</v>
      </c>
      <c r="H242">
        <v>344.92</v>
      </c>
      <c r="I242">
        <v>0</v>
      </c>
      <c r="J242">
        <v>51.74</v>
      </c>
      <c r="K242">
        <v>21.56</v>
      </c>
      <c r="L242">
        <v>375.1</v>
      </c>
    </row>
    <row r="243" spans="1:12" x14ac:dyDescent="0.25">
      <c r="A243">
        <v>1792</v>
      </c>
      <c r="B243">
        <v>1793162797001</v>
      </c>
      <c r="C243" t="s">
        <v>46</v>
      </c>
      <c r="D243" s="1">
        <v>46034</v>
      </c>
      <c r="E243" t="s">
        <v>13</v>
      </c>
      <c r="F243">
        <v>521</v>
      </c>
      <c r="G243">
        <v>225.24</v>
      </c>
      <c r="H243">
        <v>207.11</v>
      </c>
      <c r="I243">
        <v>0</v>
      </c>
      <c r="J243">
        <v>31.07</v>
      </c>
      <c r="K243">
        <v>12.94</v>
      </c>
      <c r="L243">
        <v>225.24</v>
      </c>
    </row>
    <row r="244" spans="1:12" x14ac:dyDescent="0.25">
      <c r="A244">
        <v>1792</v>
      </c>
      <c r="B244">
        <v>1793162797001</v>
      </c>
      <c r="C244" t="s">
        <v>46</v>
      </c>
      <c r="D244" s="1">
        <v>46036</v>
      </c>
      <c r="E244" t="s">
        <v>13</v>
      </c>
      <c r="F244">
        <v>528</v>
      </c>
      <c r="G244">
        <v>110.99</v>
      </c>
      <c r="H244">
        <v>102.06</v>
      </c>
      <c r="I244">
        <v>0</v>
      </c>
      <c r="J244">
        <v>15.31</v>
      </c>
      <c r="K244">
        <v>6.38</v>
      </c>
      <c r="L244">
        <v>110.99</v>
      </c>
    </row>
    <row r="245" spans="1:12" x14ac:dyDescent="0.25">
      <c r="A245">
        <v>1792</v>
      </c>
      <c r="B245">
        <v>1793162797001</v>
      </c>
      <c r="C245" t="s">
        <v>46</v>
      </c>
      <c r="D245" s="1">
        <v>46036</v>
      </c>
      <c r="E245" t="s">
        <v>13</v>
      </c>
      <c r="F245">
        <v>523</v>
      </c>
      <c r="G245">
        <v>218.78</v>
      </c>
      <c r="H245">
        <v>201.17</v>
      </c>
      <c r="I245">
        <v>0</v>
      </c>
      <c r="J245">
        <v>30.18</v>
      </c>
      <c r="K245">
        <v>12.57</v>
      </c>
      <c r="L245">
        <v>218.78</v>
      </c>
    </row>
    <row r="246" spans="1:12" x14ac:dyDescent="0.25">
      <c r="A246">
        <v>1792</v>
      </c>
      <c r="B246">
        <v>1793162797001</v>
      </c>
      <c r="C246" t="s">
        <v>46</v>
      </c>
      <c r="D246" s="1">
        <v>46037</v>
      </c>
      <c r="E246" t="s">
        <v>13</v>
      </c>
      <c r="F246">
        <v>535</v>
      </c>
      <c r="G246">
        <v>11.7</v>
      </c>
      <c r="H246">
        <v>10.76</v>
      </c>
      <c r="I246">
        <v>0</v>
      </c>
      <c r="J246">
        <v>1.61</v>
      </c>
      <c r="K246">
        <v>0.67</v>
      </c>
      <c r="L246">
        <v>11.7</v>
      </c>
    </row>
    <row r="247" spans="1:12" x14ac:dyDescent="0.25">
      <c r="A247">
        <v>1792</v>
      </c>
      <c r="B247">
        <v>1793162797001</v>
      </c>
      <c r="C247" t="s">
        <v>46</v>
      </c>
      <c r="D247" s="1">
        <v>46037</v>
      </c>
      <c r="E247" t="s">
        <v>13</v>
      </c>
      <c r="F247">
        <v>536</v>
      </c>
      <c r="G247">
        <v>133.97</v>
      </c>
      <c r="H247">
        <v>123.19</v>
      </c>
      <c r="I247">
        <v>0</v>
      </c>
      <c r="J247">
        <v>18.48</v>
      </c>
      <c r="K247">
        <v>7.7</v>
      </c>
      <c r="L247">
        <v>133.97</v>
      </c>
    </row>
    <row r="248" spans="1:12" x14ac:dyDescent="0.25">
      <c r="A248">
        <v>1792</v>
      </c>
      <c r="B248">
        <v>1793162797001</v>
      </c>
      <c r="C248" t="s">
        <v>46</v>
      </c>
      <c r="D248" s="1">
        <v>46043</v>
      </c>
      <c r="E248" t="s">
        <v>13</v>
      </c>
      <c r="F248">
        <v>553</v>
      </c>
      <c r="G248">
        <v>134.54</v>
      </c>
      <c r="H248">
        <v>123.72</v>
      </c>
      <c r="I248">
        <v>0</v>
      </c>
      <c r="J248">
        <v>18.559999999999999</v>
      </c>
      <c r="K248">
        <v>7.74</v>
      </c>
      <c r="L248">
        <v>134.54</v>
      </c>
    </row>
    <row r="249" spans="1:12" x14ac:dyDescent="0.25">
      <c r="A249">
        <v>1792</v>
      </c>
      <c r="B249">
        <v>1793162797001</v>
      </c>
      <c r="C249" t="s">
        <v>46</v>
      </c>
      <c r="D249" s="1">
        <v>46043</v>
      </c>
      <c r="E249" t="s">
        <v>13</v>
      </c>
      <c r="F249">
        <v>554</v>
      </c>
      <c r="G249">
        <v>547.79</v>
      </c>
      <c r="H249">
        <v>503.71</v>
      </c>
      <c r="I249">
        <v>0</v>
      </c>
      <c r="J249">
        <v>75.56</v>
      </c>
      <c r="K249">
        <v>31.48</v>
      </c>
      <c r="L249">
        <v>547.79</v>
      </c>
    </row>
    <row r="250" spans="1:12" x14ac:dyDescent="0.25">
      <c r="A250">
        <v>1792</v>
      </c>
      <c r="B250">
        <v>1793162797001</v>
      </c>
      <c r="C250" t="s">
        <v>46</v>
      </c>
      <c r="D250" s="1">
        <v>46043</v>
      </c>
      <c r="E250" t="s">
        <v>13</v>
      </c>
      <c r="F250">
        <v>549</v>
      </c>
      <c r="G250">
        <v>502.91</v>
      </c>
      <c r="H250">
        <v>462.44</v>
      </c>
      <c r="I250">
        <v>0</v>
      </c>
      <c r="J250">
        <v>69.37</v>
      </c>
      <c r="K250">
        <v>28.9</v>
      </c>
      <c r="L250">
        <v>502.91</v>
      </c>
    </row>
    <row r="251" spans="1:12" x14ac:dyDescent="0.25">
      <c r="A251">
        <v>1792</v>
      </c>
      <c r="B251">
        <v>1793162797001</v>
      </c>
      <c r="C251" t="s">
        <v>46</v>
      </c>
      <c r="D251" s="1">
        <v>46044</v>
      </c>
      <c r="E251" t="s">
        <v>13</v>
      </c>
      <c r="F251">
        <v>558</v>
      </c>
      <c r="G251">
        <v>12.4</v>
      </c>
      <c r="H251">
        <v>11.4</v>
      </c>
      <c r="I251">
        <v>0</v>
      </c>
      <c r="J251">
        <v>1.71</v>
      </c>
      <c r="K251">
        <v>0.71</v>
      </c>
      <c r="L251">
        <v>12.4</v>
      </c>
    </row>
    <row r="252" spans="1:12" x14ac:dyDescent="0.25">
      <c r="A252">
        <v>1792</v>
      </c>
      <c r="B252">
        <v>1793162797001</v>
      </c>
      <c r="C252" t="s">
        <v>46</v>
      </c>
      <c r="D252" s="1">
        <v>46045</v>
      </c>
      <c r="E252" t="s">
        <v>45</v>
      </c>
      <c r="F252">
        <v>11606002</v>
      </c>
      <c r="G252" s="2">
        <v>12512.75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>
        <v>1792</v>
      </c>
      <c r="B253">
        <v>1793162797001</v>
      </c>
      <c r="C253" t="s">
        <v>46</v>
      </c>
      <c r="D253" s="1">
        <v>46046</v>
      </c>
      <c r="E253" t="s">
        <v>13</v>
      </c>
      <c r="F253">
        <v>565</v>
      </c>
      <c r="G253">
        <v>3.91</v>
      </c>
      <c r="H253">
        <v>3.59</v>
      </c>
      <c r="I253">
        <v>0</v>
      </c>
      <c r="J253">
        <v>0.54</v>
      </c>
      <c r="K253">
        <v>0.22</v>
      </c>
      <c r="L253">
        <v>3.91</v>
      </c>
    </row>
    <row r="254" spans="1:12" x14ac:dyDescent="0.25">
      <c r="A254">
        <v>1792</v>
      </c>
      <c r="B254">
        <v>1793162797001</v>
      </c>
      <c r="C254" t="s">
        <v>46</v>
      </c>
      <c r="D254" s="1">
        <v>46052</v>
      </c>
      <c r="E254" t="s">
        <v>13</v>
      </c>
      <c r="F254">
        <v>571</v>
      </c>
      <c r="G254">
        <v>929.68</v>
      </c>
      <c r="H254">
        <v>854.88</v>
      </c>
      <c r="I254">
        <v>0</v>
      </c>
      <c r="J254">
        <v>128.22999999999999</v>
      </c>
      <c r="K254">
        <v>53.43</v>
      </c>
      <c r="L254">
        <v>929.68</v>
      </c>
    </row>
    <row r="255" spans="1:12" x14ac:dyDescent="0.25">
      <c r="A255">
        <v>1792</v>
      </c>
      <c r="B255">
        <v>1793162797001</v>
      </c>
      <c r="C255" t="s">
        <v>46</v>
      </c>
      <c r="D255" s="1">
        <v>46052</v>
      </c>
      <c r="E255" t="s">
        <v>13</v>
      </c>
      <c r="F255">
        <v>576</v>
      </c>
      <c r="G255" s="2">
        <v>1442.51</v>
      </c>
      <c r="H255" s="2">
        <v>1326.44</v>
      </c>
      <c r="I255">
        <v>0</v>
      </c>
      <c r="J255">
        <v>198.97</v>
      </c>
      <c r="K255">
        <v>82.9</v>
      </c>
      <c r="L255" s="2">
        <v>1442.51</v>
      </c>
    </row>
    <row r="256" spans="1:12" x14ac:dyDescent="0.25">
      <c r="A256">
        <v>1792</v>
      </c>
      <c r="B256">
        <v>1793162797001</v>
      </c>
      <c r="C256" t="s">
        <v>46</v>
      </c>
      <c r="D256" s="1">
        <v>46052</v>
      </c>
      <c r="E256" t="s">
        <v>13</v>
      </c>
      <c r="F256">
        <v>583</v>
      </c>
      <c r="G256">
        <v>21.85</v>
      </c>
      <c r="H256">
        <v>20.09</v>
      </c>
      <c r="I256">
        <v>0</v>
      </c>
      <c r="J256">
        <v>3.01</v>
      </c>
      <c r="K256">
        <v>1.25</v>
      </c>
      <c r="L256">
        <v>21.85</v>
      </c>
    </row>
    <row r="257" spans="1:12" x14ac:dyDescent="0.25">
      <c r="A257">
        <v>1792</v>
      </c>
      <c r="B257">
        <v>1793162797001</v>
      </c>
      <c r="C257" t="s">
        <v>46</v>
      </c>
      <c r="D257" s="1">
        <v>46052</v>
      </c>
      <c r="E257" t="s">
        <v>13</v>
      </c>
      <c r="F257">
        <v>585</v>
      </c>
      <c r="G257">
        <v>401.99</v>
      </c>
      <c r="H257">
        <v>369.65</v>
      </c>
      <c r="I257">
        <v>0</v>
      </c>
      <c r="J257">
        <v>55.45</v>
      </c>
      <c r="K257">
        <v>23.11</v>
      </c>
      <c r="L257">
        <v>401.99</v>
      </c>
    </row>
    <row r="258" spans="1:12" x14ac:dyDescent="0.25">
      <c r="A258">
        <v>1792</v>
      </c>
      <c r="B258">
        <v>1793162797001</v>
      </c>
      <c r="C258" t="s">
        <v>46</v>
      </c>
      <c r="D258" s="1">
        <v>46053</v>
      </c>
      <c r="E258" t="s">
        <v>13</v>
      </c>
      <c r="F258">
        <v>587</v>
      </c>
      <c r="G258">
        <v>33.090000000000003</v>
      </c>
      <c r="H258">
        <v>30.43</v>
      </c>
      <c r="I258">
        <v>0</v>
      </c>
      <c r="J258">
        <v>4.5599999999999996</v>
      </c>
      <c r="K258">
        <v>1.9</v>
      </c>
      <c r="L258">
        <v>33.090000000000003</v>
      </c>
    </row>
    <row r="259" spans="1:12" x14ac:dyDescent="0.25">
      <c r="A259">
        <v>1421</v>
      </c>
      <c r="B259">
        <v>1793169171001</v>
      </c>
      <c r="C259" t="s">
        <v>47</v>
      </c>
      <c r="D259" s="1">
        <v>46031</v>
      </c>
      <c r="E259" t="s">
        <v>13</v>
      </c>
      <c r="F259">
        <v>919</v>
      </c>
      <c r="G259" s="2">
        <v>1796.8</v>
      </c>
      <c r="H259" s="2">
        <v>1604.29</v>
      </c>
      <c r="I259">
        <v>0</v>
      </c>
      <c r="J259">
        <v>240.64</v>
      </c>
      <c r="K259">
        <v>48.13</v>
      </c>
      <c r="L259" s="2">
        <v>1796.8</v>
      </c>
    </row>
    <row r="260" spans="1:12" x14ac:dyDescent="0.25">
      <c r="A260">
        <v>1101</v>
      </c>
      <c r="B260">
        <v>1800749044001</v>
      </c>
      <c r="C260" t="s">
        <v>48</v>
      </c>
      <c r="D260" s="1">
        <v>46030</v>
      </c>
      <c r="E260" t="s">
        <v>13</v>
      </c>
      <c r="F260">
        <v>77</v>
      </c>
      <c r="G260" s="2">
        <v>1620</v>
      </c>
      <c r="H260" s="2">
        <v>1800</v>
      </c>
      <c r="I260">
        <v>0</v>
      </c>
      <c r="J260">
        <v>270</v>
      </c>
      <c r="K260">
        <v>450</v>
      </c>
      <c r="L260" s="2">
        <v>1620</v>
      </c>
    </row>
    <row r="261" spans="1:12" x14ac:dyDescent="0.25">
      <c r="A261">
        <v>1052</v>
      </c>
      <c r="B261">
        <v>1801216225001</v>
      </c>
      <c r="C261" t="s">
        <v>49</v>
      </c>
      <c r="D261" s="1">
        <v>46045</v>
      </c>
      <c r="E261" t="s">
        <v>17</v>
      </c>
      <c r="F261">
        <v>203</v>
      </c>
      <c r="G261">
        <v>93.26</v>
      </c>
      <c r="H261">
        <v>93.26</v>
      </c>
      <c r="I261">
        <v>0</v>
      </c>
      <c r="J261">
        <v>0</v>
      </c>
      <c r="K261">
        <v>0</v>
      </c>
      <c r="L261">
        <v>93.26</v>
      </c>
    </row>
    <row r="262" spans="1:12" x14ac:dyDescent="0.25">
      <c r="A262">
        <v>689</v>
      </c>
      <c r="B262">
        <v>1801421593001</v>
      </c>
      <c r="C262" t="s">
        <v>50</v>
      </c>
      <c r="D262" s="1">
        <v>46028</v>
      </c>
      <c r="E262" t="s">
        <v>13</v>
      </c>
      <c r="F262">
        <v>161</v>
      </c>
      <c r="G262">
        <v>33.24</v>
      </c>
      <c r="H262">
        <v>32.43</v>
      </c>
      <c r="I262">
        <v>0</v>
      </c>
      <c r="J262">
        <v>4.8600000000000003</v>
      </c>
      <c r="K262">
        <v>4.05</v>
      </c>
      <c r="L262">
        <v>33.24</v>
      </c>
    </row>
    <row r="263" spans="1:12" x14ac:dyDescent="0.25">
      <c r="A263">
        <v>689</v>
      </c>
      <c r="B263">
        <v>1801421593001</v>
      </c>
      <c r="C263" t="s">
        <v>50</v>
      </c>
      <c r="D263" s="1">
        <v>46037</v>
      </c>
      <c r="E263" t="s">
        <v>13</v>
      </c>
      <c r="F263">
        <v>165</v>
      </c>
      <c r="G263">
        <v>42.68</v>
      </c>
      <c r="H263">
        <v>41.64</v>
      </c>
      <c r="I263">
        <v>0</v>
      </c>
      <c r="J263">
        <v>6.25</v>
      </c>
      <c r="K263">
        <v>5.21</v>
      </c>
      <c r="L263">
        <v>42.68</v>
      </c>
    </row>
    <row r="264" spans="1:12" x14ac:dyDescent="0.25">
      <c r="A264">
        <v>689</v>
      </c>
      <c r="B264">
        <v>1801421593001</v>
      </c>
      <c r="C264" t="s">
        <v>50</v>
      </c>
      <c r="D264" s="1">
        <v>46037</v>
      </c>
      <c r="E264" t="s">
        <v>13</v>
      </c>
      <c r="F264">
        <v>163</v>
      </c>
      <c r="G264">
        <v>65.62</v>
      </c>
      <c r="H264">
        <v>64.02</v>
      </c>
      <c r="I264">
        <v>0</v>
      </c>
      <c r="J264">
        <v>9.6</v>
      </c>
      <c r="K264">
        <v>8</v>
      </c>
      <c r="L264">
        <v>65.62</v>
      </c>
    </row>
    <row r="265" spans="1:12" x14ac:dyDescent="0.25">
      <c r="A265">
        <v>689</v>
      </c>
      <c r="B265">
        <v>1801421593001</v>
      </c>
      <c r="C265" t="s">
        <v>50</v>
      </c>
      <c r="D265" s="1">
        <v>46037</v>
      </c>
      <c r="E265" t="s">
        <v>13</v>
      </c>
      <c r="F265">
        <v>164</v>
      </c>
      <c r="G265">
        <v>83.58</v>
      </c>
      <c r="H265">
        <v>81.540000000000006</v>
      </c>
      <c r="I265">
        <v>0</v>
      </c>
      <c r="J265">
        <v>12.23</v>
      </c>
      <c r="K265">
        <v>10.19</v>
      </c>
      <c r="L265">
        <v>83.58</v>
      </c>
    </row>
    <row r="266" spans="1:12" x14ac:dyDescent="0.25">
      <c r="A266">
        <v>689</v>
      </c>
      <c r="B266">
        <v>1801421593001</v>
      </c>
      <c r="C266" t="s">
        <v>50</v>
      </c>
      <c r="D266" s="1">
        <v>46045</v>
      </c>
      <c r="E266" t="s">
        <v>13</v>
      </c>
      <c r="F266">
        <v>167</v>
      </c>
      <c r="G266">
        <v>191.5</v>
      </c>
      <c r="H266">
        <v>176.09</v>
      </c>
      <c r="I266">
        <v>0</v>
      </c>
      <c r="J266">
        <v>26.41</v>
      </c>
      <c r="K266">
        <v>11</v>
      </c>
      <c r="L266">
        <v>191.5</v>
      </c>
    </row>
    <row r="267" spans="1:12" x14ac:dyDescent="0.25">
      <c r="A267">
        <v>1666</v>
      </c>
      <c r="B267">
        <v>1801595156001</v>
      </c>
      <c r="C267" t="s">
        <v>51</v>
      </c>
      <c r="D267" s="1">
        <v>46042</v>
      </c>
      <c r="E267" t="s">
        <v>17</v>
      </c>
      <c r="F267">
        <v>246</v>
      </c>
      <c r="G267">
        <v>60</v>
      </c>
      <c r="H267">
        <v>0</v>
      </c>
      <c r="I267">
        <v>60</v>
      </c>
      <c r="J267">
        <v>0</v>
      </c>
      <c r="K267">
        <v>0</v>
      </c>
      <c r="L267">
        <v>60</v>
      </c>
    </row>
    <row r="268" spans="1:12" x14ac:dyDescent="0.25">
      <c r="A268">
        <v>1111</v>
      </c>
      <c r="B268">
        <v>1801719152001</v>
      </c>
      <c r="C268" t="s">
        <v>52</v>
      </c>
      <c r="D268" s="1">
        <v>46028</v>
      </c>
      <c r="E268" t="s">
        <v>13</v>
      </c>
      <c r="F268">
        <v>31473</v>
      </c>
      <c r="G268" s="2">
        <v>1044</v>
      </c>
      <c r="H268">
        <v>960</v>
      </c>
      <c r="I268">
        <v>0</v>
      </c>
      <c r="J268">
        <v>144</v>
      </c>
      <c r="K268">
        <v>60</v>
      </c>
      <c r="L268" s="2">
        <v>1044</v>
      </c>
    </row>
    <row r="269" spans="1:12" x14ac:dyDescent="0.25">
      <c r="A269">
        <v>1111</v>
      </c>
      <c r="B269">
        <v>1801719152001</v>
      </c>
      <c r="C269" t="s">
        <v>52</v>
      </c>
      <c r="D269" s="1">
        <v>46037</v>
      </c>
      <c r="E269" t="s">
        <v>13</v>
      </c>
      <c r="F269">
        <v>31613</v>
      </c>
      <c r="G269" s="2">
        <v>2919.98</v>
      </c>
      <c r="H269" s="2">
        <v>2685.04</v>
      </c>
      <c r="I269">
        <v>0</v>
      </c>
      <c r="J269">
        <v>402.76</v>
      </c>
      <c r="K269">
        <v>167.82</v>
      </c>
      <c r="L269" s="2">
        <v>2919.98</v>
      </c>
    </row>
    <row r="270" spans="1:12" x14ac:dyDescent="0.25">
      <c r="A270">
        <v>1111</v>
      </c>
      <c r="B270">
        <v>1801719152001</v>
      </c>
      <c r="C270" t="s">
        <v>52</v>
      </c>
      <c r="D270" s="1">
        <v>46042</v>
      </c>
      <c r="E270" t="s">
        <v>13</v>
      </c>
      <c r="F270">
        <v>31647</v>
      </c>
      <c r="G270">
        <v>217.5</v>
      </c>
      <c r="H270">
        <v>200</v>
      </c>
      <c r="I270">
        <v>0</v>
      </c>
      <c r="J270">
        <v>30</v>
      </c>
      <c r="K270">
        <v>12.5</v>
      </c>
      <c r="L270">
        <v>217.5</v>
      </c>
    </row>
    <row r="271" spans="1:12" x14ac:dyDescent="0.25">
      <c r="A271">
        <v>1111</v>
      </c>
      <c r="B271">
        <v>1801719152001</v>
      </c>
      <c r="C271" t="s">
        <v>52</v>
      </c>
      <c r="D271" s="1">
        <v>46044</v>
      </c>
      <c r="E271" t="s">
        <v>13</v>
      </c>
      <c r="F271">
        <v>31673</v>
      </c>
      <c r="G271">
        <v>217.5</v>
      </c>
      <c r="H271">
        <v>200</v>
      </c>
      <c r="I271">
        <v>0</v>
      </c>
      <c r="J271">
        <v>30</v>
      </c>
      <c r="K271">
        <v>12.5</v>
      </c>
      <c r="L271">
        <v>217.5</v>
      </c>
    </row>
    <row r="272" spans="1:12" x14ac:dyDescent="0.25">
      <c r="A272">
        <v>1111</v>
      </c>
      <c r="B272">
        <v>1801719152001</v>
      </c>
      <c r="C272" t="s">
        <v>52</v>
      </c>
      <c r="D272" s="1">
        <v>46051</v>
      </c>
      <c r="E272" t="s">
        <v>13</v>
      </c>
      <c r="F272">
        <v>31752</v>
      </c>
      <c r="G272">
        <v>456.75</v>
      </c>
      <c r="H272">
        <v>420</v>
      </c>
      <c r="I272">
        <v>0</v>
      </c>
      <c r="J272">
        <v>63</v>
      </c>
      <c r="K272">
        <v>26.25</v>
      </c>
      <c r="L272">
        <v>456.75</v>
      </c>
    </row>
    <row r="273" spans="1:12" x14ac:dyDescent="0.25">
      <c r="A273">
        <v>1111</v>
      </c>
      <c r="B273">
        <v>1801719152001</v>
      </c>
      <c r="C273" t="s">
        <v>52</v>
      </c>
      <c r="D273" s="1">
        <v>46052</v>
      </c>
      <c r="E273" t="s">
        <v>13</v>
      </c>
      <c r="F273">
        <v>31770</v>
      </c>
      <c r="G273">
        <v>957</v>
      </c>
      <c r="H273">
        <v>880</v>
      </c>
      <c r="I273">
        <v>0</v>
      </c>
      <c r="J273">
        <v>132</v>
      </c>
      <c r="K273">
        <v>55</v>
      </c>
      <c r="L273">
        <v>957</v>
      </c>
    </row>
    <row r="274" spans="1:12" x14ac:dyDescent="0.25">
      <c r="A274">
        <v>1826</v>
      </c>
      <c r="B274">
        <v>1801806124001</v>
      </c>
      <c r="C274" t="s">
        <v>53</v>
      </c>
      <c r="D274" s="1">
        <v>46028</v>
      </c>
      <c r="E274" t="s">
        <v>13</v>
      </c>
      <c r="F274">
        <v>1037</v>
      </c>
      <c r="G274" s="2">
        <v>1305</v>
      </c>
      <c r="H274" s="2">
        <v>1200</v>
      </c>
      <c r="I274">
        <v>0</v>
      </c>
      <c r="J274">
        <v>180</v>
      </c>
      <c r="K274">
        <v>75</v>
      </c>
      <c r="L274" s="2">
        <v>1305</v>
      </c>
    </row>
    <row r="275" spans="1:12" x14ac:dyDescent="0.25">
      <c r="A275">
        <v>1826</v>
      </c>
      <c r="B275">
        <v>1801806124001</v>
      </c>
      <c r="C275" t="s">
        <v>53</v>
      </c>
      <c r="D275" s="1">
        <v>46035</v>
      </c>
      <c r="E275" t="s">
        <v>13</v>
      </c>
      <c r="F275">
        <v>1049</v>
      </c>
      <c r="G275">
        <v>43.5</v>
      </c>
      <c r="H275">
        <v>40</v>
      </c>
      <c r="I275">
        <v>0</v>
      </c>
      <c r="J275">
        <v>6</v>
      </c>
      <c r="K275">
        <v>2.5</v>
      </c>
      <c r="L275">
        <v>43.5</v>
      </c>
    </row>
    <row r="276" spans="1:12" x14ac:dyDescent="0.25">
      <c r="A276">
        <v>1120</v>
      </c>
      <c r="B276">
        <v>1801866276001</v>
      </c>
      <c r="C276" t="s">
        <v>54</v>
      </c>
      <c r="D276" s="1">
        <v>46044</v>
      </c>
      <c r="E276" t="s">
        <v>13</v>
      </c>
      <c r="F276">
        <v>81</v>
      </c>
      <c r="G276">
        <v>98</v>
      </c>
      <c r="H276">
        <v>0</v>
      </c>
      <c r="I276">
        <v>100</v>
      </c>
      <c r="J276">
        <v>0</v>
      </c>
      <c r="K276">
        <v>2</v>
      </c>
      <c r="L276">
        <v>98</v>
      </c>
    </row>
    <row r="277" spans="1:12" x14ac:dyDescent="0.25">
      <c r="A277">
        <v>1431</v>
      </c>
      <c r="B277">
        <v>1801880574001</v>
      </c>
      <c r="C277" t="s">
        <v>55</v>
      </c>
      <c r="D277" s="1">
        <v>46027</v>
      </c>
      <c r="E277" t="s">
        <v>13</v>
      </c>
      <c r="F277">
        <v>663</v>
      </c>
      <c r="G277">
        <v>20.7</v>
      </c>
      <c r="H277">
        <v>20</v>
      </c>
      <c r="I277">
        <v>0</v>
      </c>
      <c r="J277">
        <v>3</v>
      </c>
      <c r="K277">
        <v>2.2999999999999998</v>
      </c>
      <c r="L277">
        <v>20.7</v>
      </c>
    </row>
    <row r="278" spans="1:12" x14ac:dyDescent="0.25">
      <c r="A278">
        <v>1431</v>
      </c>
      <c r="B278">
        <v>1801880574001</v>
      </c>
      <c r="C278" t="s">
        <v>55</v>
      </c>
      <c r="D278" s="1">
        <v>46027</v>
      </c>
      <c r="E278" t="s">
        <v>13</v>
      </c>
      <c r="F278">
        <v>664</v>
      </c>
      <c r="G278">
        <v>10.35</v>
      </c>
      <c r="H278">
        <v>10</v>
      </c>
      <c r="I278">
        <v>0</v>
      </c>
      <c r="J278">
        <v>1.5</v>
      </c>
      <c r="K278">
        <v>1.1499999999999999</v>
      </c>
      <c r="L278">
        <v>10.35</v>
      </c>
    </row>
    <row r="279" spans="1:12" x14ac:dyDescent="0.25">
      <c r="A279">
        <v>1431</v>
      </c>
      <c r="B279">
        <v>1801880574001</v>
      </c>
      <c r="C279" t="s">
        <v>55</v>
      </c>
      <c r="D279" s="1">
        <v>46027</v>
      </c>
      <c r="E279" t="s">
        <v>13</v>
      </c>
      <c r="F279">
        <v>666</v>
      </c>
      <c r="G279">
        <v>20.7</v>
      </c>
      <c r="H279">
        <v>20</v>
      </c>
      <c r="I279">
        <v>0</v>
      </c>
      <c r="J279">
        <v>3</v>
      </c>
      <c r="K279">
        <v>2.2999999999999998</v>
      </c>
      <c r="L279">
        <v>20.7</v>
      </c>
    </row>
    <row r="280" spans="1:12" x14ac:dyDescent="0.25">
      <c r="A280">
        <v>1431</v>
      </c>
      <c r="B280">
        <v>1801880574001</v>
      </c>
      <c r="C280" t="s">
        <v>55</v>
      </c>
      <c r="D280" s="1">
        <v>46027</v>
      </c>
      <c r="E280" t="s">
        <v>13</v>
      </c>
      <c r="F280">
        <v>667</v>
      </c>
      <c r="G280">
        <v>20.7</v>
      </c>
      <c r="H280">
        <v>20</v>
      </c>
      <c r="I280">
        <v>0</v>
      </c>
      <c r="J280">
        <v>3</v>
      </c>
      <c r="K280">
        <v>2.2999999999999998</v>
      </c>
      <c r="L280">
        <v>20.7</v>
      </c>
    </row>
    <row r="281" spans="1:12" x14ac:dyDescent="0.25">
      <c r="A281">
        <v>1431</v>
      </c>
      <c r="B281">
        <v>1801880574001</v>
      </c>
      <c r="C281" t="s">
        <v>55</v>
      </c>
      <c r="D281" s="1">
        <v>46027</v>
      </c>
      <c r="E281" t="s">
        <v>13</v>
      </c>
      <c r="F281">
        <v>670</v>
      </c>
      <c r="G281">
        <v>11.9</v>
      </c>
      <c r="H281">
        <v>11.5</v>
      </c>
      <c r="I281">
        <v>0</v>
      </c>
      <c r="J281">
        <v>1.73</v>
      </c>
      <c r="K281">
        <v>1.33</v>
      </c>
      <c r="L281">
        <v>11.9</v>
      </c>
    </row>
    <row r="282" spans="1:12" x14ac:dyDescent="0.25">
      <c r="A282">
        <v>1431</v>
      </c>
      <c r="B282">
        <v>1801880574001</v>
      </c>
      <c r="C282" t="s">
        <v>55</v>
      </c>
      <c r="D282" s="1">
        <v>46028</v>
      </c>
      <c r="E282" t="s">
        <v>13</v>
      </c>
      <c r="F282">
        <v>676</v>
      </c>
      <c r="G282">
        <v>20.7</v>
      </c>
      <c r="H282">
        <v>20</v>
      </c>
      <c r="I282">
        <v>0</v>
      </c>
      <c r="J282">
        <v>3</v>
      </c>
      <c r="K282">
        <v>2.2999999999999998</v>
      </c>
      <c r="L282">
        <v>20.7</v>
      </c>
    </row>
    <row r="283" spans="1:12" x14ac:dyDescent="0.25">
      <c r="A283">
        <v>1431</v>
      </c>
      <c r="B283">
        <v>1801880574001</v>
      </c>
      <c r="C283" t="s">
        <v>55</v>
      </c>
      <c r="D283" s="1">
        <v>46028</v>
      </c>
      <c r="E283" t="s">
        <v>13</v>
      </c>
      <c r="F283">
        <v>677</v>
      </c>
      <c r="G283">
        <v>10.35</v>
      </c>
      <c r="H283">
        <v>10</v>
      </c>
      <c r="I283">
        <v>0</v>
      </c>
      <c r="J283">
        <v>1.5</v>
      </c>
      <c r="K283">
        <v>1.1499999999999999</v>
      </c>
      <c r="L283">
        <v>10.35</v>
      </c>
    </row>
    <row r="284" spans="1:12" x14ac:dyDescent="0.25">
      <c r="A284">
        <v>1431</v>
      </c>
      <c r="B284">
        <v>1801880574001</v>
      </c>
      <c r="C284" t="s">
        <v>55</v>
      </c>
      <c r="D284" s="1">
        <v>46028</v>
      </c>
      <c r="E284" t="s">
        <v>13</v>
      </c>
      <c r="F284">
        <v>678</v>
      </c>
      <c r="G284">
        <v>20.7</v>
      </c>
      <c r="H284">
        <v>20</v>
      </c>
      <c r="I284">
        <v>0</v>
      </c>
      <c r="J284">
        <v>3</v>
      </c>
      <c r="K284">
        <v>2.2999999999999998</v>
      </c>
      <c r="L284">
        <v>20.7</v>
      </c>
    </row>
    <row r="285" spans="1:12" x14ac:dyDescent="0.25">
      <c r="A285">
        <v>1431</v>
      </c>
      <c r="B285">
        <v>1801880574001</v>
      </c>
      <c r="C285" t="s">
        <v>55</v>
      </c>
      <c r="D285" s="1">
        <v>46028</v>
      </c>
      <c r="E285" t="s">
        <v>13</v>
      </c>
      <c r="F285">
        <v>679</v>
      </c>
      <c r="G285">
        <v>25.87</v>
      </c>
      <c r="H285">
        <v>25</v>
      </c>
      <c r="I285">
        <v>0</v>
      </c>
      <c r="J285">
        <v>3.75</v>
      </c>
      <c r="K285">
        <v>2.88</v>
      </c>
      <c r="L285">
        <v>25.87</v>
      </c>
    </row>
    <row r="286" spans="1:12" x14ac:dyDescent="0.25">
      <c r="A286">
        <v>1431</v>
      </c>
      <c r="B286">
        <v>1801880574001</v>
      </c>
      <c r="C286" t="s">
        <v>55</v>
      </c>
      <c r="D286" s="1">
        <v>46028</v>
      </c>
      <c r="E286" t="s">
        <v>13</v>
      </c>
      <c r="F286">
        <v>674</v>
      </c>
      <c r="G286">
        <v>20.7</v>
      </c>
      <c r="H286">
        <v>20</v>
      </c>
      <c r="I286">
        <v>0</v>
      </c>
      <c r="J286">
        <v>3</v>
      </c>
      <c r="K286">
        <v>2.2999999999999998</v>
      </c>
      <c r="L286">
        <v>20.7</v>
      </c>
    </row>
    <row r="287" spans="1:12" x14ac:dyDescent="0.25">
      <c r="A287">
        <v>1431</v>
      </c>
      <c r="B287">
        <v>1801880574001</v>
      </c>
      <c r="C287" t="s">
        <v>55</v>
      </c>
      <c r="D287" s="1">
        <v>46028</v>
      </c>
      <c r="E287" t="s">
        <v>13</v>
      </c>
      <c r="F287">
        <v>675</v>
      </c>
      <c r="G287">
        <v>10.35</v>
      </c>
      <c r="H287">
        <v>10</v>
      </c>
      <c r="I287">
        <v>0</v>
      </c>
      <c r="J287">
        <v>1.5</v>
      </c>
      <c r="K287">
        <v>1.1499999999999999</v>
      </c>
      <c r="L287">
        <v>10.35</v>
      </c>
    </row>
    <row r="288" spans="1:12" x14ac:dyDescent="0.25">
      <c r="A288">
        <v>1431</v>
      </c>
      <c r="B288">
        <v>1801880574001</v>
      </c>
      <c r="C288" t="s">
        <v>55</v>
      </c>
      <c r="D288" s="1">
        <v>46029</v>
      </c>
      <c r="E288" t="s">
        <v>13</v>
      </c>
      <c r="F288">
        <v>685</v>
      </c>
      <c r="G288">
        <v>20.7</v>
      </c>
      <c r="H288">
        <v>20</v>
      </c>
      <c r="I288">
        <v>0</v>
      </c>
      <c r="J288">
        <v>3</v>
      </c>
      <c r="K288">
        <v>2.2999999999999998</v>
      </c>
      <c r="L288">
        <v>20.7</v>
      </c>
    </row>
    <row r="289" spans="1:12" x14ac:dyDescent="0.25">
      <c r="A289">
        <v>1431</v>
      </c>
      <c r="B289">
        <v>1801880574001</v>
      </c>
      <c r="C289" t="s">
        <v>55</v>
      </c>
      <c r="D289" s="1">
        <v>46029</v>
      </c>
      <c r="E289" t="s">
        <v>13</v>
      </c>
      <c r="F289">
        <v>687</v>
      </c>
      <c r="G289">
        <v>24.84</v>
      </c>
      <c r="H289">
        <v>24</v>
      </c>
      <c r="I289">
        <v>0</v>
      </c>
      <c r="J289">
        <v>3.6</v>
      </c>
      <c r="K289">
        <v>2.76</v>
      </c>
      <c r="L289">
        <v>24.84</v>
      </c>
    </row>
    <row r="290" spans="1:12" x14ac:dyDescent="0.25">
      <c r="A290">
        <v>1431</v>
      </c>
      <c r="B290">
        <v>1801880574001</v>
      </c>
      <c r="C290" t="s">
        <v>55</v>
      </c>
      <c r="D290" s="1">
        <v>46029</v>
      </c>
      <c r="E290" t="s">
        <v>13</v>
      </c>
      <c r="F290">
        <v>686</v>
      </c>
      <c r="G290">
        <v>10.35</v>
      </c>
      <c r="H290">
        <v>10</v>
      </c>
      <c r="I290">
        <v>0</v>
      </c>
      <c r="J290">
        <v>1.5</v>
      </c>
      <c r="K290">
        <v>1.1499999999999999</v>
      </c>
      <c r="L290">
        <v>10.35</v>
      </c>
    </row>
    <row r="291" spans="1:12" x14ac:dyDescent="0.25">
      <c r="A291">
        <v>1431</v>
      </c>
      <c r="B291">
        <v>1801880574001</v>
      </c>
      <c r="C291" t="s">
        <v>55</v>
      </c>
      <c r="D291" s="1">
        <v>46030</v>
      </c>
      <c r="E291" t="s">
        <v>13</v>
      </c>
      <c r="F291">
        <v>690</v>
      </c>
      <c r="G291">
        <v>20.7</v>
      </c>
      <c r="H291">
        <v>20</v>
      </c>
      <c r="I291">
        <v>0</v>
      </c>
      <c r="J291">
        <v>3</v>
      </c>
      <c r="K291">
        <v>2.2999999999999998</v>
      </c>
      <c r="L291">
        <v>20.7</v>
      </c>
    </row>
    <row r="292" spans="1:12" x14ac:dyDescent="0.25">
      <c r="A292">
        <v>1431</v>
      </c>
      <c r="B292">
        <v>1801880574001</v>
      </c>
      <c r="C292" t="s">
        <v>55</v>
      </c>
      <c r="D292" s="1">
        <v>46030</v>
      </c>
      <c r="E292" t="s">
        <v>13</v>
      </c>
      <c r="F292">
        <v>691</v>
      </c>
      <c r="G292">
        <v>10.35</v>
      </c>
      <c r="H292">
        <v>10</v>
      </c>
      <c r="I292">
        <v>0</v>
      </c>
      <c r="J292">
        <v>1.5</v>
      </c>
      <c r="K292">
        <v>1.1499999999999999</v>
      </c>
      <c r="L292">
        <v>10.35</v>
      </c>
    </row>
    <row r="293" spans="1:12" x14ac:dyDescent="0.25">
      <c r="A293">
        <v>1431</v>
      </c>
      <c r="B293">
        <v>1801880574001</v>
      </c>
      <c r="C293" t="s">
        <v>55</v>
      </c>
      <c r="D293" s="1">
        <v>46030</v>
      </c>
      <c r="E293" t="s">
        <v>13</v>
      </c>
      <c r="F293">
        <v>697</v>
      </c>
      <c r="G293">
        <v>20.7</v>
      </c>
      <c r="H293">
        <v>20</v>
      </c>
      <c r="I293">
        <v>0</v>
      </c>
      <c r="J293">
        <v>3</v>
      </c>
      <c r="K293">
        <v>2.2999999999999998</v>
      </c>
      <c r="L293">
        <v>20.7</v>
      </c>
    </row>
    <row r="294" spans="1:12" x14ac:dyDescent="0.25">
      <c r="A294">
        <v>1431</v>
      </c>
      <c r="B294">
        <v>1801880574001</v>
      </c>
      <c r="C294" t="s">
        <v>55</v>
      </c>
      <c r="D294" s="1">
        <v>46030</v>
      </c>
      <c r="E294" t="s">
        <v>13</v>
      </c>
      <c r="F294">
        <v>695</v>
      </c>
      <c r="G294">
        <v>20.7</v>
      </c>
      <c r="H294">
        <v>20</v>
      </c>
      <c r="I294">
        <v>0</v>
      </c>
      <c r="J294">
        <v>3</v>
      </c>
      <c r="K294">
        <v>2.2999999999999998</v>
      </c>
      <c r="L294">
        <v>20.7</v>
      </c>
    </row>
    <row r="295" spans="1:12" x14ac:dyDescent="0.25">
      <c r="A295">
        <v>1431</v>
      </c>
      <c r="B295">
        <v>1801880574001</v>
      </c>
      <c r="C295" t="s">
        <v>55</v>
      </c>
      <c r="D295" s="1">
        <v>46030</v>
      </c>
      <c r="E295" t="s">
        <v>13</v>
      </c>
      <c r="F295">
        <v>696</v>
      </c>
      <c r="G295">
        <v>10.35</v>
      </c>
      <c r="H295">
        <v>10</v>
      </c>
      <c r="I295">
        <v>0</v>
      </c>
      <c r="J295">
        <v>1.5</v>
      </c>
      <c r="K295">
        <v>1.1499999999999999</v>
      </c>
      <c r="L295">
        <v>10.35</v>
      </c>
    </row>
    <row r="296" spans="1:12" x14ac:dyDescent="0.25">
      <c r="A296">
        <v>1431</v>
      </c>
      <c r="B296">
        <v>1801880574001</v>
      </c>
      <c r="C296" t="s">
        <v>55</v>
      </c>
      <c r="D296" s="1">
        <v>46030</v>
      </c>
      <c r="E296" t="s">
        <v>13</v>
      </c>
      <c r="F296">
        <v>693</v>
      </c>
      <c r="G296">
        <v>20.7</v>
      </c>
      <c r="H296">
        <v>20</v>
      </c>
      <c r="I296">
        <v>0</v>
      </c>
      <c r="J296">
        <v>3</v>
      </c>
      <c r="K296">
        <v>2.2999999999999998</v>
      </c>
      <c r="L296">
        <v>20.7</v>
      </c>
    </row>
    <row r="297" spans="1:12" x14ac:dyDescent="0.25">
      <c r="A297">
        <v>1431</v>
      </c>
      <c r="B297">
        <v>1801880574001</v>
      </c>
      <c r="C297" t="s">
        <v>55</v>
      </c>
      <c r="D297" s="1">
        <v>46031</v>
      </c>
      <c r="E297" t="s">
        <v>13</v>
      </c>
      <c r="F297">
        <v>698</v>
      </c>
      <c r="G297">
        <v>20.7</v>
      </c>
      <c r="H297">
        <v>20</v>
      </c>
      <c r="I297">
        <v>0</v>
      </c>
      <c r="J297">
        <v>3</v>
      </c>
      <c r="K297">
        <v>2.2999999999999998</v>
      </c>
      <c r="L297">
        <v>20.7</v>
      </c>
    </row>
    <row r="298" spans="1:12" x14ac:dyDescent="0.25">
      <c r="A298">
        <v>1431</v>
      </c>
      <c r="B298">
        <v>1801880574001</v>
      </c>
      <c r="C298" t="s">
        <v>55</v>
      </c>
      <c r="D298" s="1">
        <v>46031</v>
      </c>
      <c r="E298" t="s">
        <v>13</v>
      </c>
      <c r="F298">
        <v>702</v>
      </c>
      <c r="G298">
        <v>5.17</v>
      </c>
      <c r="H298">
        <v>5</v>
      </c>
      <c r="I298">
        <v>0</v>
      </c>
      <c r="J298">
        <v>0.75</v>
      </c>
      <c r="K298">
        <v>0.57999999999999996</v>
      </c>
      <c r="L298">
        <v>5.17</v>
      </c>
    </row>
    <row r="299" spans="1:12" x14ac:dyDescent="0.25">
      <c r="A299">
        <v>1431</v>
      </c>
      <c r="B299">
        <v>1801880574001</v>
      </c>
      <c r="C299" t="s">
        <v>55</v>
      </c>
      <c r="D299" s="1">
        <v>46031</v>
      </c>
      <c r="E299" t="s">
        <v>13</v>
      </c>
      <c r="F299">
        <v>699</v>
      </c>
      <c r="G299">
        <v>35.19</v>
      </c>
      <c r="H299">
        <v>34</v>
      </c>
      <c r="I299">
        <v>0</v>
      </c>
      <c r="J299">
        <v>5.0999999999999996</v>
      </c>
      <c r="K299">
        <v>3.91</v>
      </c>
      <c r="L299">
        <v>35.19</v>
      </c>
    </row>
    <row r="300" spans="1:12" x14ac:dyDescent="0.25">
      <c r="A300">
        <v>1431</v>
      </c>
      <c r="B300">
        <v>1801880574001</v>
      </c>
      <c r="C300" t="s">
        <v>55</v>
      </c>
      <c r="D300" s="1">
        <v>46032</v>
      </c>
      <c r="E300" t="s">
        <v>13</v>
      </c>
      <c r="F300">
        <v>704</v>
      </c>
      <c r="G300">
        <v>20.7</v>
      </c>
      <c r="H300">
        <v>20</v>
      </c>
      <c r="I300">
        <v>0</v>
      </c>
      <c r="J300">
        <v>3</v>
      </c>
      <c r="K300">
        <v>2.2999999999999998</v>
      </c>
      <c r="L300">
        <v>20.7</v>
      </c>
    </row>
    <row r="301" spans="1:12" x14ac:dyDescent="0.25">
      <c r="A301">
        <v>1431</v>
      </c>
      <c r="B301">
        <v>1801880574001</v>
      </c>
      <c r="C301" t="s">
        <v>55</v>
      </c>
      <c r="D301" s="1">
        <v>46032</v>
      </c>
      <c r="E301" t="s">
        <v>13</v>
      </c>
      <c r="F301">
        <v>703</v>
      </c>
      <c r="G301">
        <v>20.7</v>
      </c>
      <c r="H301">
        <v>20</v>
      </c>
      <c r="I301">
        <v>0</v>
      </c>
      <c r="J301">
        <v>3</v>
      </c>
      <c r="K301">
        <v>2.2999999999999998</v>
      </c>
      <c r="L301">
        <v>20.7</v>
      </c>
    </row>
    <row r="302" spans="1:12" x14ac:dyDescent="0.25">
      <c r="A302">
        <v>1431</v>
      </c>
      <c r="B302">
        <v>1801880574001</v>
      </c>
      <c r="C302" t="s">
        <v>55</v>
      </c>
      <c r="D302" s="1">
        <v>46034</v>
      </c>
      <c r="E302" t="s">
        <v>13</v>
      </c>
      <c r="F302">
        <v>705</v>
      </c>
      <c r="G302">
        <v>20.7</v>
      </c>
      <c r="H302">
        <v>20</v>
      </c>
      <c r="I302">
        <v>0</v>
      </c>
      <c r="J302">
        <v>3</v>
      </c>
      <c r="K302">
        <v>2.2999999999999998</v>
      </c>
      <c r="L302">
        <v>20.7</v>
      </c>
    </row>
    <row r="303" spans="1:12" x14ac:dyDescent="0.25">
      <c r="A303">
        <v>1431</v>
      </c>
      <c r="B303">
        <v>1801880574001</v>
      </c>
      <c r="C303" t="s">
        <v>55</v>
      </c>
      <c r="D303" s="1">
        <v>46034</v>
      </c>
      <c r="E303" t="s">
        <v>13</v>
      </c>
      <c r="F303">
        <v>706</v>
      </c>
      <c r="G303">
        <v>15.52</v>
      </c>
      <c r="H303">
        <v>15</v>
      </c>
      <c r="I303">
        <v>0</v>
      </c>
      <c r="J303">
        <v>2.25</v>
      </c>
      <c r="K303">
        <v>1.73</v>
      </c>
      <c r="L303">
        <v>15.52</v>
      </c>
    </row>
    <row r="304" spans="1:12" x14ac:dyDescent="0.25">
      <c r="A304">
        <v>1431</v>
      </c>
      <c r="B304">
        <v>1801880574001</v>
      </c>
      <c r="C304" t="s">
        <v>55</v>
      </c>
      <c r="D304" s="1">
        <v>46034</v>
      </c>
      <c r="E304" t="s">
        <v>13</v>
      </c>
      <c r="F304">
        <v>707</v>
      </c>
      <c r="G304">
        <v>20.7</v>
      </c>
      <c r="H304">
        <v>20</v>
      </c>
      <c r="I304">
        <v>0</v>
      </c>
      <c r="J304">
        <v>3</v>
      </c>
      <c r="K304">
        <v>2.2999999999999998</v>
      </c>
      <c r="L304">
        <v>20.7</v>
      </c>
    </row>
    <row r="305" spans="1:12" x14ac:dyDescent="0.25">
      <c r="A305">
        <v>1431</v>
      </c>
      <c r="B305">
        <v>1801880574001</v>
      </c>
      <c r="C305" t="s">
        <v>55</v>
      </c>
      <c r="D305" s="1">
        <v>46034</v>
      </c>
      <c r="E305" t="s">
        <v>13</v>
      </c>
      <c r="F305">
        <v>712</v>
      </c>
      <c r="G305">
        <v>20.7</v>
      </c>
      <c r="H305">
        <v>20</v>
      </c>
      <c r="I305">
        <v>0</v>
      </c>
      <c r="J305">
        <v>3</v>
      </c>
      <c r="K305">
        <v>2.2999999999999998</v>
      </c>
      <c r="L305">
        <v>20.7</v>
      </c>
    </row>
    <row r="306" spans="1:12" x14ac:dyDescent="0.25">
      <c r="A306">
        <v>1431</v>
      </c>
      <c r="B306">
        <v>1801880574001</v>
      </c>
      <c r="C306" t="s">
        <v>55</v>
      </c>
      <c r="D306" s="1">
        <v>46034</v>
      </c>
      <c r="E306" t="s">
        <v>13</v>
      </c>
      <c r="F306">
        <v>710</v>
      </c>
      <c r="G306">
        <v>10.35</v>
      </c>
      <c r="H306">
        <v>10</v>
      </c>
      <c r="I306">
        <v>0</v>
      </c>
      <c r="J306">
        <v>1.5</v>
      </c>
      <c r="K306">
        <v>1.1499999999999999</v>
      </c>
      <c r="L306">
        <v>10.35</v>
      </c>
    </row>
    <row r="307" spans="1:12" x14ac:dyDescent="0.25">
      <c r="A307">
        <v>1431</v>
      </c>
      <c r="B307">
        <v>1801880574001</v>
      </c>
      <c r="C307" t="s">
        <v>55</v>
      </c>
      <c r="D307" s="1">
        <v>46034</v>
      </c>
      <c r="E307" t="s">
        <v>13</v>
      </c>
      <c r="F307">
        <v>711</v>
      </c>
      <c r="G307">
        <v>20.7</v>
      </c>
      <c r="H307">
        <v>20</v>
      </c>
      <c r="I307">
        <v>0</v>
      </c>
      <c r="J307">
        <v>3</v>
      </c>
      <c r="K307">
        <v>2.2999999999999998</v>
      </c>
      <c r="L307">
        <v>20.7</v>
      </c>
    </row>
    <row r="308" spans="1:12" x14ac:dyDescent="0.25">
      <c r="A308">
        <v>1431</v>
      </c>
      <c r="B308">
        <v>1801880574001</v>
      </c>
      <c r="C308" t="s">
        <v>55</v>
      </c>
      <c r="D308" s="1">
        <v>46034</v>
      </c>
      <c r="E308" t="s">
        <v>13</v>
      </c>
      <c r="F308">
        <v>709</v>
      </c>
      <c r="G308">
        <v>20.7</v>
      </c>
      <c r="H308">
        <v>20</v>
      </c>
      <c r="I308">
        <v>0</v>
      </c>
      <c r="J308">
        <v>3</v>
      </c>
      <c r="K308">
        <v>2.2999999999999998</v>
      </c>
      <c r="L308">
        <v>20.7</v>
      </c>
    </row>
    <row r="309" spans="1:12" x14ac:dyDescent="0.25">
      <c r="A309">
        <v>1431</v>
      </c>
      <c r="B309">
        <v>1801880574001</v>
      </c>
      <c r="C309" t="s">
        <v>55</v>
      </c>
      <c r="D309" s="1">
        <v>46035</v>
      </c>
      <c r="E309" t="s">
        <v>13</v>
      </c>
      <c r="F309">
        <v>715</v>
      </c>
      <c r="G309">
        <v>20.7</v>
      </c>
      <c r="H309">
        <v>20</v>
      </c>
      <c r="I309">
        <v>0</v>
      </c>
      <c r="J309">
        <v>3</v>
      </c>
      <c r="K309">
        <v>2.2999999999999998</v>
      </c>
      <c r="L309">
        <v>20.7</v>
      </c>
    </row>
    <row r="310" spans="1:12" x14ac:dyDescent="0.25">
      <c r="A310">
        <v>1431</v>
      </c>
      <c r="B310">
        <v>1801880574001</v>
      </c>
      <c r="C310" t="s">
        <v>55</v>
      </c>
      <c r="D310" s="1">
        <v>46035</v>
      </c>
      <c r="E310" t="s">
        <v>13</v>
      </c>
      <c r="F310">
        <v>716</v>
      </c>
      <c r="G310">
        <v>15.52</v>
      </c>
      <c r="H310">
        <v>15</v>
      </c>
      <c r="I310">
        <v>0</v>
      </c>
      <c r="J310">
        <v>2.25</v>
      </c>
      <c r="K310">
        <v>1.73</v>
      </c>
      <c r="L310">
        <v>15.52</v>
      </c>
    </row>
    <row r="311" spans="1:12" x14ac:dyDescent="0.25">
      <c r="A311">
        <v>1431</v>
      </c>
      <c r="B311">
        <v>1801880574001</v>
      </c>
      <c r="C311" t="s">
        <v>55</v>
      </c>
      <c r="D311" s="1">
        <v>46036</v>
      </c>
      <c r="E311" t="s">
        <v>13</v>
      </c>
      <c r="F311">
        <v>722</v>
      </c>
      <c r="G311">
        <v>10.35</v>
      </c>
      <c r="H311">
        <v>10</v>
      </c>
      <c r="I311">
        <v>0</v>
      </c>
      <c r="J311">
        <v>1.5</v>
      </c>
      <c r="K311">
        <v>1.1499999999999999</v>
      </c>
      <c r="L311">
        <v>10.35</v>
      </c>
    </row>
    <row r="312" spans="1:12" x14ac:dyDescent="0.25">
      <c r="A312">
        <v>1431</v>
      </c>
      <c r="B312">
        <v>1801880574001</v>
      </c>
      <c r="C312" t="s">
        <v>55</v>
      </c>
      <c r="D312" s="1">
        <v>46036</v>
      </c>
      <c r="E312" t="s">
        <v>13</v>
      </c>
      <c r="F312">
        <v>721</v>
      </c>
      <c r="G312">
        <v>20.7</v>
      </c>
      <c r="H312">
        <v>20</v>
      </c>
      <c r="I312">
        <v>0</v>
      </c>
      <c r="J312">
        <v>3</v>
      </c>
      <c r="K312">
        <v>2.2999999999999998</v>
      </c>
      <c r="L312">
        <v>20.7</v>
      </c>
    </row>
    <row r="313" spans="1:12" x14ac:dyDescent="0.25">
      <c r="A313">
        <v>1431</v>
      </c>
      <c r="B313">
        <v>1801880574001</v>
      </c>
      <c r="C313" t="s">
        <v>55</v>
      </c>
      <c r="D313" s="1">
        <v>46038</v>
      </c>
      <c r="E313" t="s">
        <v>13</v>
      </c>
      <c r="F313">
        <v>727</v>
      </c>
      <c r="G313">
        <v>20.7</v>
      </c>
      <c r="H313">
        <v>20</v>
      </c>
      <c r="I313">
        <v>0</v>
      </c>
      <c r="J313">
        <v>3</v>
      </c>
      <c r="K313">
        <v>2.2999999999999998</v>
      </c>
      <c r="L313">
        <v>20.7</v>
      </c>
    </row>
    <row r="314" spans="1:12" x14ac:dyDescent="0.25">
      <c r="A314">
        <v>1431</v>
      </c>
      <c r="B314">
        <v>1801880574001</v>
      </c>
      <c r="C314" t="s">
        <v>55</v>
      </c>
      <c r="D314" s="1">
        <v>46038</v>
      </c>
      <c r="E314" t="s">
        <v>13</v>
      </c>
      <c r="F314">
        <v>728</v>
      </c>
      <c r="G314">
        <v>10.35</v>
      </c>
      <c r="H314">
        <v>10</v>
      </c>
      <c r="I314">
        <v>0</v>
      </c>
      <c r="J314">
        <v>1.5</v>
      </c>
      <c r="K314">
        <v>1.1499999999999999</v>
      </c>
      <c r="L314">
        <v>10.35</v>
      </c>
    </row>
    <row r="315" spans="1:12" x14ac:dyDescent="0.25">
      <c r="A315">
        <v>1431</v>
      </c>
      <c r="B315">
        <v>1801880574001</v>
      </c>
      <c r="C315" t="s">
        <v>55</v>
      </c>
      <c r="D315" s="1">
        <v>46038</v>
      </c>
      <c r="E315" t="s">
        <v>13</v>
      </c>
      <c r="F315">
        <v>732</v>
      </c>
      <c r="G315">
        <v>10.35</v>
      </c>
      <c r="H315">
        <v>10</v>
      </c>
      <c r="I315">
        <v>0</v>
      </c>
      <c r="J315">
        <v>1.5</v>
      </c>
      <c r="K315">
        <v>1.1499999999999999</v>
      </c>
      <c r="L315">
        <v>10.35</v>
      </c>
    </row>
    <row r="316" spans="1:12" x14ac:dyDescent="0.25">
      <c r="A316">
        <v>1431</v>
      </c>
      <c r="B316">
        <v>1801880574001</v>
      </c>
      <c r="C316" t="s">
        <v>55</v>
      </c>
      <c r="D316" s="1">
        <v>46038</v>
      </c>
      <c r="E316" t="s">
        <v>13</v>
      </c>
      <c r="F316">
        <v>730</v>
      </c>
      <c r="G316">
        <v>10.35</v>
      </c>
      <c r="H316">
        <v>10</v>
      </c>
      <c r="I316">
        <v>0</v>
      </c>
      <c r="J316">
        <v>1.5</v>
      </c>
      <c r="K316">
        <v>1.1499999999999999</v>
      </c>
      <c r="L316">
        <v>10.35</v>
      </c>
    </row>
    <row r="317" spans="1:12" x14ac:dyDescent="0.25">
      <c r="A317">
        <v>1431</v>
      </c>
      <c r="B317">
        <v>1801880574001</v>
      </c>
      <c r="C317" t="s">
        <v>55</v>
      </c>
      <c r="D317" s="1">
        <v>46038</v>
      </c>
      <c r="E317" t="s">
        <v>13</v>
      </c>
      <c r="F317">
        <v>731</v>
      </c>
      <c r="G317">
        <v>20.7</v>
      </c>
      <c r="H317">
        <v>20</v>
      </c>
      <c r="I317">
        <v>0</v>
      </c>
      <c r="J317">
        <v>3</v>
      </c>
      <c r="K317">
        <v>2.2999999999999998</v>
      </c>
      <c r="L317">
        <v>20.7</v>
      </c>
    </row>
    <row r="318" spans="1:12" x14ac:dyDescent="0.25">
      <c r="A318">
        <v>1431</v>
      </c>
      <c r="B318">
        <v>1801880574001</v>
      </c>
      <c r="C318" t="s">
        <v>55</v>
      </c>
      <c r="D318" s="1">
        <v>46038</v>
      </c>
      <c r="E318" t="s">
        <v>13</v>
      </c>
      <c r="F318">
        <v>729</v>
      </c>
      <c r="G318">
        <v>20.7</v>
      </c>
      <c r="H318">
        <v>20</v>
      </c>
      <c r="I318">
        <v>0</v>
      </c>
      <c r="J318">
        <v>3</v>
      </c>
      <c r="K318">
        <v>2.2999999999999998</v>
      </c>
      <c r="L318">
        <v>20.7</v>
      </c>
    </row>
    <row r="319" spans="1:12" x14ac:dyDescent="0.25">
      <c r="A319">
        <v>1431</v>
      </c>
      <c r="B319">
        <v>1801880574001</v>
      </c>
      <c r="C319" t="s">
        <v>55</v>
      </c>
      <c r="D319" s="1">
        <v>46042</v>
      </c>
      <c r="E319" t="s">
        <v>13</v>
      </c>
      <c r="F319">
        <v>741</v>
      </c>
      <c r="G319">
        <v>20.7</v>
      </c>
      <c r="H319">
        <v>20</v>
      </c>
      <c r="I319">
        <v>0</v>
      </c>
      <c r="J319">
        <v>3</v>
      </c>
      <c r="K319">
        <v>2.2999999999999998</v>
      </c>
      <c r="L319">
        <v>20.7</v>
      </c>
    </row>
    <row r="320" spans="1:12" x14ac:dyDescent="0.25">
      <c r="A320">
        <v>1431</v>
      </c>
      <c r="B320">
        <v>1801880574001</v>
      </c>
      <c r="C320" t="s">
        <v>55</v>
      </c>
      <c r="D320" s="1">
        <v>46042</v>
      </c>
      <c r="E320" t="s">
        <v>13</v>
      </c>
      <c r="F320">
        <v>742</v>
      </c>
      <c r="G320">
        <v>10.35</v>
      </c>
      <c r="H320">
        <v>10</v>
      </c>
      <c r="I320">
        <v>0</v>
      </c>
      <c r="J320">
        <v>1.5</v>
      </c>
      <c r="K320">
        <v>1.1499999999999999</v>
      </c>
      <c r="L320">
        <v>10.35</v>
      </c>
    </row>
    <row r="321" spans="1:12" x14ac:dyDescent="0.25">
      <c r="A321">
        <v>1431</v>
      </c>
      <c r="B321">
        <v>1801880574001</v>
      </c>
      <c r="C321" t="s">
        <v>55</v>
      </c>
      <c r="D321" s="1">
        <v>46042</v>
      </c>
      <c r="E321" t="s">
        <v>13</v>
      </c>
      <c r="F321">
        <v>748</v>
      </c>
      <c r="G321">
        <v>20.7</v>
      </c>
      <c r="H321">
        <v>20</v>
      </c>
      <c r="I321">
        <v>0</v>
      </c>
      <c r="J321">
        <v>3</v>
      </c>
      <c r="K321">
        <v>2.2999999999999998</v>
      </c>
      <c r="L321">
        <v>20.7</v>
      </c>
    </row>
    <row r="322" spans="1:12" x14ac:dyDescent="0.25">
      <c r="A322">
        <v>1431</v>
      </c>
      <c r="B322">
        <v>1801880574001</v>
      </c>
      <c r="C322" t="s">
        <v>55</v>
      </c>
      <c r="D322" s="1">
        <v>46042</v>
      </c>
      <c r="E322" t="s">
        <v>13</v>
      </c>
      <c r="F322">
        <v>744</v>
      </c>
      <c r="G322">
        <v>10.35</v>
      </c>
      <c r="H322">
        <v>10</v>
      </c>
      <c r="I322">
        <v>0</v>
      </c>
      <c r="J322">
        <v>1.5</v>
      </c>
      <c r="K322">
        <v>1.1499999999999999</v>
      </c>
      <c r="L322">
        <v>10.35</v>
      </c>
    </row>
    <row r="323" spans="1:12" x14ac:dyDescent="0.25">
      <c r="A323">
        <v>1431</v>
      </c>
      <c r="B323">
        <v>1801880574001</v>
      </c>
      <c r="C323" t="s">
        <v>55</v>
      </c>
      <c r="D323" s="1">
        <v>46042</v>
      </c>
      <c r="E323" t="s">
        <v>13</v>
      </c>
      <c r="F323">
        <v>743</v>
      </c>
      <c r="G323">
        <v>20.7</v>
      </c>
      <c r="H323">
        <v>20</v>
      </c>
      <c r="I323">
        <v>0</v>
      </c>
      <c r="J323">
        <v>3</v>
      </c>
      <c r="K323">
        <v>2.2999999999999998</v>
      </c>
      <c r="L323">
        <v>20.7</v>
      </c>
    </row>
    <row r="324" spans="1:12" x14ac:dyDescent="0.25">
      <c r="A324">
        <v>1431</v>
      </c>
      <c r="B324">
        <v>1801880574001</v>
      </c>
      <c r="C324" t="s">
        <v>55</v>
      </c>
      <c r="D324" s="1">
        <v>46043</v>
      </c>
      <c r="E324" t="s">
        <v>13</v>
      </c>
      <c r="F324">
        <v>749</v>
      </c>
      <c r="G324">
        <v>20.7</v>
      </c>
      <c r="H324">
        <v>20</v>
      </c>
      <c r="I324">
        <v>0</v>
      </c>
      <c r="J324">
        <v>3</v>
      </c>
      <c r="K324">
        <v>2.2999999999999998</v>
      </c>
      <c r="L324">
        <v>20.7</v>
      </c>
    </row>
    <row r="325" spans="1:12" x14ac:dyDescent="0.25">
      <c r="A325">
        <v>1431</v>
      </c>
      <c r="B325">
        <v>1801880574001</v>
      </c>
      <c r="C325" t="s">
        <v>55</v>
      </c>
      <c r="D325" s="1">
        <v>46043</v>
      </c>
      <c r="E325" t="s">
        <v>13</v>
      </c>
      <c r="F325">
        <v>750</v>
      </c>
      <c r="G325">
        <v>8.2799999999999994</v>
      </c>
      <c r="H325">
        <v>8</v>
      </c>
      <c r="I325">
        <v>0</v>
      </c>
      <c r="J325">
        <v>1.2</v>
      </c>
      <c r="K325">
        <v>0.92</v>
      </c>
      <c r="L325">
        <v>8.2799999999999994</v>
      </c>
    </row>
    <row r="326" spans="1:12" x14ac:dyDescent="0.25">
      <c r="A326">
        <v>1431</v>
      </c>
      <c r="B326">
        <v>1801880574001</v>
      </c>
      <c r="C326" t="s">
        <v>55</v>
      </c>
      <c r="D326" s="1">
        <v>46043</v>
      </c>
      <c r="E326" t="s">
        <v>13</v>
      </c>
      <c r="F326">
        <v>751</v>
      </c>
      <c r="G326">
        <v>20.7</v>
      </c>
      <c r="H326">
        <v>20</v>
      </c>
      <c r="I326">
        <v>0</v>
      </c>
      <c r="J326">
        <v>3</v>
      </c>
      <c r="K326">
        <v>2.2999999999999998</v>
      </c>
      <c r="L326">
        <v>20.7</v>
      </c>
    </row>
    <row r="327" spans="1:12" x14ac:dyDescent="0.25">
      <c r="A327">
        <v>1431</v>
      </c>
      <c r="B327">
        <v>1801880574001</v>
      </c>
      <c r="C327" t="s">
        <v>55</v>
      </c>
      <c r="D327" s="1">
        <v>46043</v>
      </c>
      <c r="E327" t="s">
        <v>13</v>
      </c>
      <c r="F327">
        <v>753</v>
      </c>
      <c r="G327">
        <v>8.2799999999999994</v>
      </c>
      <c r="H327">
        <v>8</v>
      </c>
      <c r="I327">
        <v>0</v>
      </c>
      <c r="J327">
        <v>1.2</v>
      </c>
      <c r="K327">
        <v>0.92</v>
      </c>
      <c r="L327">
        <v>8.2799999999999994</v>
      </c>
    </row>
    <row r="328" spans="1:12" x14ac:dyDescent="0.25">
      <c r="A328">
        <v>1431</v>
      </c>
      <c r="B328">
        <v>1801880574001</v>
      </c>
      <c r="C328" t="s">
        <v>55</v>
      </c>
      <c r="D328" s="1">
        <v>46043</v>
      </c>
      <c r="E328" t="s">
        <v>13</v>
      </c>
      <c r="F328">
        <v>761</v>
      </c>
      <c r="G328">
        <v>10.35</v>
      </c>
      <c r="H328">
        <v>10</v>
      </c>
      <c r="I328">
        <v>0</v>
      </c>
      <c r="J328">
        <v>1.5</v>
      </c>
      <c r="K328">
        <v>1.1499999999999999</v>
      </c>
      <c r="L328">
        <v>10.35</v>
      </c>
    </row>
    <row r="329" spans="1:12" x14ac:dyDescent="0.25">
      <c r="A329">
        <v>1431</v>
      </c>
      <c r="B329">
        <v>1801880574001</v>
      </c>
      <c r="C329" t="s">
        <v>55</v>
      </c>
      <c r="D329" s="1">
        <v>46043</v>
      </c>
      <c r="E329" t="s">
        <v>13</v>
      </c>
      <c r="F329">
        <v>756</v>
      </c>
      <c r="G329">
        <v>10.35</v>
      </c>
      <c r="H329">
        <v>10</v>
      </c>
      <c r="I329">
        <v>0</v>
      </c>
      <c r="J329">
        <v>1.5</v>
      </c>
      <c r="K329">
        <v>1.1499999999999999</v>
      </c>
      <c r="L329">
        <v>10.35</v>
      </c>
    </row>
    <row r="330" spans="1:12" x14ac:dyDescent="0.25">
      <c r="A330">
        <v>1431</v>
      </c>
      <c r="B330">
        <v>1801880574001</v>
      </c>
      <c r="C330" t="s">
        <v>55</v>
      </c>
      <c r="D330" s="1">
        <v>46043</v>
      </c>
      <c r="E330" t="s">
        <v>13</v>
      </c>
      <c r="F330">
        <v>757</v>
      </c>
      <c r="G330">
        <v>8.2799999999999994</v>
      </c>
      <c r="H330">
        <v>8</v>
      </c>
      <c r="I330">
        <v>0</v>
      </c>
      <c r="J330">
        <v>1.2</v>
      </c>
      <c r="K330">
        <v>0.92</v>
      </c>
      <c r="L330">
        <v>8.2799999999999994</v>
      </c>
    </row>
    <row r="331" spans="1:12" x14ac:dyDescent="0.25">
      <c r="A331">
        <v>1431</v>
      </c>
      <c r="B331">
        <v>1801880574001</v>
      </c>
      <c r="C331" t="s">
        <v>55</v>
      </c>
      <c r="D331" s="1">
        <v>46043</v>
      </c>
      <c r="E331" t="s">
        <v>13</v>
      </c>
      <c r="F331">
        <v>758</v>
      </c>
      <c r="G331">
        <v>20.7</v>
      </c>
      <c r="H331">
        <v>20</v>
      </c>
      <c r="I331">
        <v>0</v>
      </c>
      <c r="J331">
        <v>3</v>
      </c>
      <c r="K331">
        <v>2.2999999999999998</v>
      </c>
      <c r="L331">
        <v>20.7</v>
      </c>
    </row>
    <row r="332" spans="1:12" x14ac:dyDescent="0.25">
      <c r="A332">
        <v>1431</v>
      </c>
      <c r="B332">
        <v>1801880574001</v>
      </c>
      <c r="C332" t="s">
        <v>55</v>
      </c>
      <c r="D332" s="1">
        <v>46043</v>
      </c>
      <c r="E332" t="s">
        <v>13</v>
      </c>
      <c r="F332">
        <v>755</v>
      </c>
      <c r="G332">
        <v>20.7</v>
      </c>
      <c r="H332">
        <v>20</v>
      </c>
      <c r="I332">
        <v>0</v>
      </c>
      <c r="J332">
        <v>3</v>
      </c>
      <c r="K332">
        <v>2.2999999999999998</v>
      </c>
      <c r="L332">
        <v>20.7</v>
      </c>
    </row>
    <row r="333" spans="1:12" x14ac:dyDescent="0.25">
      <c r="A333">
        <v>1431</v>
      </c>
      <c r="B333">
        <v>1801880574001</v>
      </c>
      <c r="C333" t="s">
        <v>55</v>
      </c>
      <c r="D333" s="1">
        <v>46044</v>
      </c>
      <c r="E333" t="s">
        <v>13</v>
      </c>
      <c r="F333">
        <v>762</v>
      </c>
      <c r="G333">
        <v>20.7</v>
      </c>
      <c r="H333">
        <v>20</v>
      </c>
      <c r="I333">
        <v>0</v>
      </c>
      <c r="J333">
        <v>3</v>
      </c>
      <c r="K333">
        <v>2.2999999999999998</v>
      </c>
      <c r="L333">
        <v>20.7</v>
      </c>
    </row>
    <row r="334" spans="1:12" x14ac:dyDescent="0.25">
      <c r="A334">
        <v>1431</v>
      </c>
      <c r="B334">
        <v>1801880574001</v>
      </c>
      <c r="C334" t="s">
        <v>55</v>
      </c>
      <c r="D334" s="1">
        <v>46044</v>
      </c>
      <c r="E334" t="s">
        <v>13</v>
      </c>
      <c r="F334">
        <v>763</v>
      </c>
      <c r="G334">
        <v>10.35</v>
      </c>
      <c r="H334">
        <v>10</v>
      </c>
      <c r="I334">
        <v>0</v>
      </c>
      <c r="J334">
        <v>1.5</v>
      </c>
      <c r="K334">
        <v>1.1499999999999999</v>
      </c>
      <c r="L334">
        <v>10.35</v>
      </c>
    </row>
    <row r="335" spans="1:12" x14ac:dyDescent="0.25">
      <c r="A335">
        <v>1431</v>
      </c>
      <c r="B335">
        <v>1801880574001</v>
      </c>
      <c r="C335" t="s">
        <v>55</v>
      </c>
      <c r="D335" s="1">
        <v>46044</v>
      </c>
      <c r="E335" t="s">
        <v>13</v>
      </c>
      <c r="F335">
        <v>769</v>
      </c>
      <c r="G335">
        <v>8.2799999999999994</v>
      </c>
      <c r="H335">
        <v>8</v>
      </c>
      <c r="I335">
        <v>0</v>
      </c>
      <c r="J335">
        <v>1.2</v>
      </c>
      <c r="K335">
        <v>0.92</v>
      </c>
      <c r="L335">
        <v>8.2799999999999994</v>
      </c>
    </row>
    <row r="336" spans="1:12" x14ac:dyDescent="0.25">
      <c r="A336">
        <v>1431</v>
      </c>
      <c r="B336">
        <v>1801880574001</v>
      </c>
      <c r="C336" t="s">
        <v>55</v>
      </c>
      <c r="D336" s="1">
        <v>46044</v>
      </c>
      <c r="E336" t="s">
        <v>13</v>
      </c>
      <c r="F336">
        <v>766</v>
      </c>
      <c r="G336">
        <v>10.35</v>
      </c>
      <c r="H336">
        <v>10</v>
      </c>
      <c r="I336">
        <v>0</v>
      </c>
      <c r="J336">
        <v>1.5</v>
      </c>
      <c r="K336">
        <v>1.1499999999999999</v>
      </c>
      <c r="L336">
        <v>10.35</v>
      </c>
    </row>
    <row r="337" spans="1:12" x14ac:dyDescent="0.25">
      <c r="A337">
        <v>1431</v>
      </c>
      <c r="B337">
        <v>1801880574001</v>
      </c>
      <c r="C337" t="s">
        <v>55</v>
      </c>
      <c r="D337" s="1">
        <v>46044</v>
      </c>
      <c r="E337" t="s">
        <v>13</v>
      </c>
      <c r="F337">
        <v>767</v>
      </c>
      <c r="G337">
        <v>20.7</v>
      </c>
      <c r="H337">
        <v>20</v>
      </c>
      <c r="I337">
        <v>0</v>
      </c>
      <c r="J337">
        <v>3</v>
      </c>
      <c r="K337">
        <v>2.2999999999999998</v>
      </c>
      <c r="L337">
        <v>20.7</v>
      </c>
    </row>
    <row r="338" spans="1:12" x14ac:dyDescent="0.25">
      <c r="A338">
        <v>1431</v>
      </c>
      <c r="B338">
        <v>1801880574001</v>
      </c>
      <c r="C338" t="s">
        <v>55</v>
      </c>
      <c r="D338" s="1">
        <v>46044</v>
      </c>
      <c r="E338" t="s">
        <v>13</v>
      </c>
      <c r="F338">
        <v>765</v>
      </c>
      <c r="G338">
        <v>20.7</v>
      </c>
      <c r="H338">
        <v>20</v>
      </c>
      <c r="I338">
        <v>0</v>
      </c>
      <c r="J338">
        <v>3</v>
      </c>
      <c r="K338">
        <v>2.2999999999999998</v>
      </c>
      <c r="L338">
        <v>20.7</v>
      </c>
    </row>
    <row r="339" spans="1:12" x14ac:dyDescent="0.25">
      <c r="A339">
        <v>1431</v>
      </c>
      <c r="B339">
        <v>1801880574001</v>
      </c>
      <c r="C339" t="s">
        <v>55</v>
      </c>
      <c r="D339" s="1">
        <v>46045</v>
      </c>
      <c r="E339" t="s">
        <v>13</v>
      </c>
      <c r="F339">
        <v>771</v>
      </c>
      <c r="G339">
        <v>25.87</v>
      </c>
      <c r="H339">
        <v>25</v>
      </c>
      <c r="I339">
        <v>0</v>
      </c>
      <c r="J339">
        <v>3.75</v>
      </c>
      <c r="K339">
        <v>2.88</v>
      </c>
      <c r="L339">
        <v>25.87</v>
      </c>
    </row>
    <row r="340" spans="1:12" x14ac:dyDescent="0.25">
      <c r="A340">
        <v>1431</v>
      </c>
      <c r="B340">
        <v>1801880574001</v>
      </c>
      <c r="C340" t="s">
        <v>55</v>
      </c>
      <c r="D340" s="1">
        <v>46045</v>
      </c>
      <c r="E340" t="s">
        <v>13</v>
      </c>
      <c r="F340">
        <v>773</v>
      </c>
      <c r="G340">
        <v>15.52</v>
      </c>
      <c r="H340">
        <v>15</v>
      </c>
      <c r="I340">
        <v>0</v>
      </c>
      <c r="J340">
        <v>2.25</v>
      </c>
      <c r="K340">
        <v>1.73</v>
      </c>
      <c r="L340">
        <v>15.52</v>
      </c>
    </row>
    <row r="341" spans="1:12" x14ac:dyDescent="0.25">
      <c r="A341">
        <v>1431</v>
      </c>
      <c r="B341">
        <v>1801880574001</v>
      </c>
      <c r="C341" t="s">
        <v>55</v>
      </c>
      <c r="D341" s="1">
        <v>46045</v>
      </c>
      <c r="E341" t="s">
        <v>13</v>
      </c>
      <c r="F341">
        <v>772</v>
      </c>
      <c r="G341">
        <v>20.7</v>
      </c>
      <c r="H341">
        <v>20</v>
      </c>
      <c r="I341">
        <v>0</v>
      </c>
      <c r="J341">
        <v>3</v>
      </c>
      <c r="K341">
        <v>2.2999999999999998</v>
      </c>
      <c r="L341">
        <v>20.7</v>
      </c>
    </row>
    <row r="342" spans="1:12" x14ac:dyDescent="0.25">
      <c r="A342">
        <v>1431</v>
      </c>
      <c r="B342">
        <v>1801880574001</v>
      </c>
      <c r="C342" t="s">
        <v>55</v>
      </c>
      <c r="D342" s="1">
        <v>46048</v>
      </c>
      <c r="E342" t="s">
        <v>13</v>
      </c>
      <c r="F342">
        <v>777</v>
      </c>
      <c r="G342">
        <v>10.35</v>
      </c>
      <c r="H342">
        <v>10</v>
      </c>
      <c r="I342">
        <v>0</v>
      </c>
      <c r="J342">
        <v>1.5</v>
      </c>
      <c r="K342">
        <v>1.1499999999999999</v>
      </c>
      <c r="L342">
        <v>10.35</v>
      </c>
    </row>
    <row r="343" spans="1:12" x14ac:dyDescent="0.25">
      <c r="A343">
        <v>1431</v>
      </c>
      <c r="B343">
        <v>1801880574001</v>
      </c>
      <c r="C343" t="s">
        <v>55</v>
      </c>
      <c r="D343" s="1">
        <v>46048</v>
      </c>
      <c r="E343" t="s">
        <v>13</v>
      </c>
      <c r="F343">
        <v>776</v>
      </c>
      <c r="G343">
        <v>12.42</v>
      </c>
      <c r="H343">
        <v>12</v>
      </c>
      <c r="I343">
        <v>0</v>
      </c>
      <c r="J343">
        <v>1.8</v>
      </c>
      <c r="K343">
        <v>1.38</v>
      </c>
      <c r="L343">
        <v>12.42</v>
      </c>
    </row>
    <row r="344" spans="1:12" x14ac:dyDescent="0.25">
      <c r="A344">
        <v>1431</v>
      </c>
      <c r="B344">
        <v>1801880574001</v>
      </c>
      <c r="C344" t="s">
        <v>55</v>
      </c>
      <c r="D344" s="1">
        <v>46049</v>
      </c>
      <c r="E344" t="s">
        <v>13</v>
      </c>
      <c r="F344">
        <v>784</v>
      </c>
      <c r="G344">
        <v>15.52</v>
      </c>
      <c r="H344">
        <v>15</v>
      </c>
      <c r="I344">
        <v>0</v>
      </c>
      <c r="J344">
        <v>2.25</v>
      </c>
      <c r="K344">
        <v>1.73</v>
      </c>
      <c r="L344">
        <v>15.52</v>
      </c>
    </row>
    <row r="345" spans="1:12" x14ac:dyDescent="0.25">
      <c r="A345">
        <v>1431</v>
      </c>
      <c r="B345">
        <v>1801880574001</v>
      </c>
      <c r="C345" t="s">
        <v>55</v>
      </c>
      <c r="D345" s="1">
        <v>46049</v>
      </c>
      <c r="E345" t="s">
        <v>13</v>
      </c>
      <c r="F345">
        <v>783</v>
      </c>
      <c r="G345">
        <v>20.7</v>
      </c>
      <c r="H345">
        <v>20</v>
      </c>
      <c r="I345">
        <v>0</v>
      </c>
      <c r="J345">
        <v>3</v>
      </c>
      <c r="K345">
        <v>2.2999999999999998</v>
      </c>
      <c r="L345">
        <v>20.7</v>
      </c>
    </row>
    <row r="346" spans="1:12" x14ac:dyDescent="0.25">
      <c r="A346">
        <v>1431</v>
      </c>
      <c r="B346">
        <v>1801880574001</v>
      </c>
      <c r="C346" t="s">
        <v>55</v>
      </c>
      <c r="D346" s="1">
        <v>46051</v>
      </c>
      <c r="E346" t="s">
        <v>13</v>
      </c>
      <c r="F346">
        <v>791</v>
      </c>
      <c r="G346">
        <v>20.7</v>
      </c>
      <c r="H346">
        <v>20</v>
      </c>
      <c r="I346">
        <v>0</v>
      </c>
      <c r="J346">
        <v>3</v>
      </c>
      <c r="K346">
        <v>2.2999999999999998</v>
      </c>
      <c r="L346">
        <v>20.7</v>
      </c>
    </row>
    <row r="347" spans="1:12" x14ac:dyDescent="0.25">
      <c r="A347">
        <v>1431</v>
      </c>
      <c r="B347">
        <v>1801880574001</v>
      </c>
      <c r="C347" t="s">
        <v>55</v>
      </c>
      <c r="D347" s="1">
        <v>46051</v>
      </c>
      <c r="E347" t="s">
        <v>13</v>
      </c>
      <c r="F347">
        <v>793</v>
      </c>
      <c r="G347">
        <v>4.1399999999999997</v>
      </c>
      <c r="H347">
        <v>4</v>
      </c>
      <c r="I347">
        <v>0</v>
      </c>
      <c r="J347">
        <v>0.6</v>
      </c>
      <c r="K347">
        <v>0.46</v>
      </c>
      <c r="L347">
        <v>4.1399999999999997</v>
      </c>
    </row>
    <row r="348" spans="1:12" x14ac:dyDescent="0.25">
      <c r="A348">
        <v>1431</v>
      </c>
      <c r="B348">
        <v>1801880574001</v>
      </c>
      <c r="C348" t="s">
        <v>55</v>
      </c>
      <c r="D348" s="1">
        <v>46051</v>
      </c>
      <c r="E348" t="s">
        <v>13</v>
      </c>
      <c r="F348">
        <v>792</v>
      </c>
      <c r="G348">
        <v>8.2799999999999994</v>
      </c>
      <c r="H348">
        <v>8</v>
      </c>
      <c r="I348">
        <v>0</v>
      </c>
      <c r="J348">
        <v>1.2</v>
      </c>
      <c r="K348">
        <v>0.92</v>
      </c>
      <c r="L348">
        <v>8.2799999999999994</v>
      </c>
    </row>
    <row r="349" spans="1:12" x14ac:dyDescent="0.25">
      <c r="A349">
        <v>1431</v>
      </c>
      <c r="B349">
        <v>1801880574001</v>
      </c>
      <c r="C349" t="s">
        <v>55</v>
      </c>
      <c r="D349" s="1">
        <v>46052</v>
      </c>
      <c r="E349" t="s">
        <v>13</v>
      </c>
      <c r="F349">
        <v>797</v>
      </c>
      <c r="G349">
        <v>20.7</v>
      </c>
      <c r="H349">
        <v>20</v>
      </c>
      <c r="I349">
        <v>0</v>
      </c>
      <c r="J349">
        <v>3</v>
      </c>
      <c r="K349">
        <v>2.2999999999999998</v>
      </c>
      <c r="L349">
        <v>20.7</v>
      </c>
    </row>
    <row r="350" spans="1:12" x14ac:dyDescent="0.25">
      <c r="A350">
        <v>1431</v>
      </c>
      <c r="B350">
        <v>1801880574001</v>
      </c>
      <c r="C350" t="s">
        <v>55</v>
      </c>
      <c r="D350" s="1">
        <v>46052</v>
      </c>
      <c r="E350" t="s">
        <v>13</v>
      </c>
      <c r="F350">
        <v>798</v>
      </c>
      <c r="G350">
        <v>15.52</v>
      </c>
      <c r="H350">
        <v>15</v>
      </c>
      <c r="I350">
        <v>0</v>
      </c>
      <c r="J350">
        <v>2.25</v>
      </c>
      <c r="K350">
        <v>1.73</v>
      </c>
      <c r="L350">
        <v>15.52</v>
      </c>
    </row>
    <row r="351" spans="1:12" x14ac:dyDescent="0.25">
      <c r="A351">
        <v>1431</v>
      </c>
      <c r="B351">
        <v>1801880574001</v>
      </c>
      <c r="C351" t="s">
        <v>55</v>
      </c>
      <c r="D351" s="1">
        <v>46052</v>
      </c>
      <c r="E351" t="s">
        <v>13</v>
      </c>
      <c r="F351">
        <v>804</v>
      </c>
      <c r="G351">
        <v>10.35</v>
      </c>
      <c r="H351">
        <v>10</v>
      </c>
      <c r="I351">
        <v>0</v>
      </c>
      <c r="J351">
        <v>1.5</v>
      </c>
      <c r="K351">
        <v>1.1499999999999999</v>
      </c>
      <c r="L351">
        <v>10.35</v>
      </c>
    </row>
    <row r="352" spans="1:12" x14ac:dyDescent="0.25">
      <c r="A352">
        <v>1431</v>
      </c>
      <c r="B352">
        <v>1801880574001</v>
      </c>
      <c r="C352" t="s">
        <v>55</v>
      </c>
      <c r="D352" s="1">
        <v>46052</v>
      </c>
      <c r="E352" t="s">
        <v>13</v>
      </c>
      <c r="F352">
        <v>802</v>
      </c>
      <c r="G352">
        <v>8.2799999999999994</v>
      </c>
      <c r="H352">
        <v>8</v>
      </c>
      <c r="I352">
        <v>0</v>
      </c>
      <c r="J352">
        <v>1.2</v>
      </c>
      <c r="K352">
        <v>0.92</v>
      </c>
      <c r="L352">
        <v>8.2799999999999994</v>
      </c>
    </row>
    <row r="353" spans="1:12" x14ac:dyDescent="0.25">
      <c r="A353">
        <v>1431</v>
      </c>
      <c r="B353">
        <v>1801880574001</v>
      </c>
      <c r="C353" t="s">
        <v>55</v>
      </c>
      <c r="D353" s="1">
        <v>46052</v>
      </c>
      <c r="E353" t="s">
        <v>13</v>
      </c>
      <c r="F353">
        <v>803</v>
      </c>
      <c r="G353">
        <v>20.7</v>
      </c>
      <c r="H353">
        <v>20</v>
      </c>
      <c r="I353">
        <v>0</v>
      </c>
      <c r="J353">
        <v>3</v>
      </c>
      <c r="K353">
        <v>2.2999999999999998</v>
      </c>
      <c r="L353">
        <v>20.7</v>
      </c>
    </row>
    <row r="354" spans="1:12" x14ac:dyDescent="0.25">
      <c r="A354">
        <v>1431</v>
      </c>
      <c r="B354">
        <v>1801880574001</v>
      </c>
      <c r="C354" t="s">
        <v>55</v>
      </c>
      <c r="D354" s="1">
        <v>46052</v>
      </c>
      <c r="E354" t="s">
        <v>13</v>
      </c>
      <c r="F354">
        <v>801</v>
      </c>
      <c r="G354">
        <v>20.7</v>
      </c>
      <c r="H354">
        <v>20</v>
      </c>
      <c r="I354">
        <v>0</v>
      </c>
      <c r="J354">
        <v>3</v>
      </c>
      <c r="K354">
        <v>2.2999999999999998</v>
      </c>
      <c r="L354">
        <v>20.7</v>
      </c>
    </row>
    <row r="355" spans="1:12" x14ac:dyDescent="0.25">
      <c r="A355">
        <v>1754</v>
      </c>
      <c r="B355">
        <v>1802565182001</v>
      </c>
      <c r="C355" t="s">
        <v>56</v>
      </c>
      <c r="D355" s="1">
        <v>46027</v>
      </c>
      <c r="E355" t="s">
        <v>13</v>
      </c>
      <c r="F355">
        <v>1421</v>
      </c>
      <c r="G355">
        <v>15.37</v>
      </c>
      <c r="H355">
        <v>15</v>
      </c>
      <c r="I355">
        <v>0</v>
      </c>
      <c r="J355">
        <v>2.25</v>
      </c>
      <c r="K355">
        <v>1.88</v>
      </c>
      <c r="L355">
        <v>15.37</v>
      </c>
    </row>
    <row r="356" spans="1:12" x14ac:dyDescent="0.25">
      <c r="A356">
        <v>1754</v>
      </c>
      <c r="B356">
        <v>1802565182001</v>
      </c>
      <c r="C356" t="s">
        <v>56</v>
      </c>
      <c r="D356" s="1">
        <v>46027</v>
      </c>
      <c r="E356" t="s">
        <v>13</v>
      </c>
      <c r="F356">
        <v>1424</v>
      </c>
      <c r="G356">
        <v>8.1999999999999993</v>
      </c>
      <c r="H356">
        <v>8</v>
      </c>
      <c r="I356">
        <v>0</v>
      </c>
      <c r="J356">
        <v>1.2</v>
      </c>
      <c r="K356">
        <v>1</v>
      </c>
      <c r="L356">
        <v>8.1999999999999993</v>
      </c>
    </row>
    <row r="357" spans="1:12" x14ac:dyDescent="0.25">
      <c r="A357">
        <v>1754</v>
      </c>
      <c r="B357">
        <v>1802565182001</v>
      </c>
      <c r="C357" t="s">
        <v>56</v>
      </c>
      <c r="D357" s="1">
        <v>46027</v>
      </c>
      <c r="E357" t="s">
        <v>13</v>
      </c>
      <c r="F357">
        <v>1423</v>
      </c>
      <c r="G357">
        <v>6.15</v>
      </c>
      <c r="H357">
        <v>6</v>
      </c>
      <c r="I357">
        <v>0</v>
      </c>
      <c r="J357">
        <v>0.9</v>
      </c>
      <c r="K357">
        <v>0.75</v>
      </c>
      <c r="L357">
        <v>6.15</v>
      </c>
    </row>
    <row r="358" spans="1:12" x14ac:dyDescent="0.25">
      <c r="A358">
        <v>1754</v>
      </c>
      <c r="B358">
        <v>1802565182001</v>
      </c>
      <c r="C358" t="s">
        <v>56</v>
      </c>
      <c r="D358" s="1">
        <v>46027</v>
      </c>
      <c r="E358" t="s">
        <v>13</v>
      </c>
      <c r="F358">
        <v>1422</v>
      </c>
      <c r="G358">
        <v>10.25</v>
      </c>
      <c r="H358">
        <v>10</v>
      </c>
      <c r="I358">
        <v>0</v>
      </c>
      <c r="J358">
        <v>1.5</v>
      </c>
      <c r="K358">
        <v>1.25</v>
      </c>
      <c r="L358">
        <v>10.25</v>
      </c>
    </row>
    <row r="359" spans="1:12" x14ac:dyDescent="0.25">
      <c r="A359">
        <v>1754</v>
      </c>
      <c r="B359">
        <v>1802565182001</v>
      </c>
      <c r="C359" t="s">
        <v>56</v>
      </c>
      <c r="D359" s="1">
        <v>46027</v>
      </c>
      <c r="E359" t="s">
        <v>13</v>
      </c>
      <c r="F359">
        <v>1420</v>
      </c>
      <c r="G359">
        <v>10.25</v>
      </c>
      <c r="H359">
        <v>10</v>
      </c>
      <c r="I359">
        <v>0</v>
      </c>
      <c r="J359">
        <v>1.5</v>
      </c>
      <c r="K359">
        <v>1.25</v>
      </c>
      <c r="L359">
        <v>10.25</v>
      </c>
    </row>
    <row r="360" spans="1:12" x14ac:dyDescent="0.25">
      <c r="A360">
        <v>1754</v>
      </c>
      <c r="B360">
        <v>1802565182001</v>
      </c>
      <c r="C360" t="s">
        <v>56</v>
      </c>
      <c r="D360" s="1">
        <v>46028</v>
      </c>
      <c r="E360" t="s">
        <v>13</v>
      </c>
      <c r="F360">
        <v>1427</v>
      </c>
      <c r="G360">
        <v>10.25</v>
      </c>
      <c r="H360">
        <v>10</v>
      </c>
      <c r="I360">
        <v>0</v>
      </c>
      <c r="J360">
        <v>1.5</v>
      </c>
      <c r="K360">
        <v>1.25</v>
      </c>
      <c r="L360">
        <v>10.25</v>
      </c>
    </row>
    <row r="361" spans="1:12" x14ac:dyDescent="0.25">
      <c r="A361">
        <v>1754</v>
      </c>
      <c r="B361">
        <v>1802565182001</v>
      </c>
      <c r="C361" t="s">
        <v>56</v>
      </c>
      <c r="D361" s="1">
        <v>46028</v>
      </c>
      <c r="E361" t="s">
        <v>13</v>
      </c>
      <c r="F361">
        <v>1428</v>
      </c>
      <c r="G361">
        <v>15.37</v>
      </c>
      <c r="H361">
        <v>15</v>
      </c>
      <c r="I361">
        <v>0</v>
      </c>
      <c r="J361">
        <v>2.25</v>
      </c>
      <c r="K361">
        <v>1.88</v>
      </c>
      <c r="L361">
        <v>15.37</v>
      </c>
    </row>
    <row r="362" spans="1:12" x14ac:dyDescent="0.25">
      <c r="A362">
        <v>1754</v>
      </c>
      <c r="B362">
        <v>1802565182001</v>
      </c>
      <c r="C362" t="s">
        <v>56</v>
      </c>
      <c r="D362" s="1">
        <v>46028</v>
      </c>
      <c r="E362" t="s">
        <v>13</v>
      </c>
      <c r="F362">
        <v>1429</v>
      </c>
      <c r="G362">
        <v>6.15</v>
      </c>
      <c r="H362">
        <v>6</v>
      </c>
      <c r="I362">
        <v>0</v>
      </c>
      <c r="J362">
        <v>0.9</v>
      </c>
      <c r="K362">
        <v>0.75</v>
      </c>
      <c r="L362">
        <v>6.15</v>
      </c>
    </row>
    <row r="363" spans="1:12" x14ac:dyDescent="0.25">
      <c r="A363">
        <v>1754</v>
      </c>
      <c r="B363">
        <v>1802565182001</v>
      </c>
      <c r="C363" t="s">
        <v>56</v>
      </c>
      <c r="D363" s="1">
        <v>46028</v>
      </c>
      <c r="E363" t="s">
        <v>13</v>
      </c>
      <c r="F363">
        <v>1432</v>
      </c>
      <c r="G363">
        <v>6.15</v>
      </c>
      <c r="H363">
        <v>6</v>
      </c>
      <c r="I363">
        <v>0</v>
      </c>
      <c r="J363">
        <v>0.9</v>
      </c>
      <c r="K363">
        <v>0.75</v>
      </c>
      <c r="L363">
        <v>6.15</v>
      </c>
    </row>
    <row r="364" spans="1:12" x14ac:dyDescent="0.25">
      <c r="A364">
        <v>1754</v>
      </c>
      <c r="B364">
        <v>1802565182001</v>
      </c>
      <c r="C364" t="s">
        <v>56</v>
      </c>
      <c r="D364" s="1">
        <v>46028</v>
      </c>
      <c r="E364" t="s">
        <v>13</v>
      </c>
      <c r="F364">
        <v>1433</v>
      </c>
      <c r="G364">
        <v>10.25</v>
      </c>
      <c r="H364">
        <v>10</v>
      </c>
      <c r="I364">
        <v>0</v>
      </c>
      <c r="J364">
        <v>1.5</v>
      </c>
      <c r="K364">
        <v>1.25</v>
      </c>
      <c r="L364">
        <v>10.25</v>
      </c>
    </row>
    <row r="365" spans="1:12" x14ac:dyDescent="0.25">
      <c r="A365">
        <v>1754</v>
      </c>
      <c r="B365">
        <v>1802565182001</v>
      </c>
      <c r="C365" t="s">
        <v>56</v>
      </c>
      <c r="D365" s="1">
        <v>46028</v>
      </c>
      <c r="E365" t="s">
        <v>13</v>
      </c>
      <c r="F365">
        <v>1434</v>
      </c>
      <c r="G365">
        <v>10.25</v>
      </c>
      <c r="H365">
        <v>10</v>
      </c>
      <c r="I365">
        <v>0</v>
      </c>
      <c r="J365">
        <v>1.5</v>
      </c>
      <c r="K365">
        <v>1.25</v>
      </c>
      <c r="L365">
        <v>10.25</v>
      </c>
    </row>
    <row r="366" spans="1:12" x14ac:dyDescent="0.25">
      <c r="A366">
        <v>1754</v>
      </c>
      <c r="B366">
        <v>1802565182001</v>
      </c>
      <c r="C366" t="s">
        <v>56</v>
      </c>
      <c r="D366" s="1">
        <v>46028</v>
      </c>
      <c r="E366" t="s">
        <v>13</v>
      </c>
      <c r="F366">
        <v>1431</v>
      </c>
      <c r="G366">
        <v>10.25</v>
      </c>
      <c r="H366">
        <v>10</v>
      </c>
      <c r="I366">
        <v>0</v>
      </c>
      <c r="J366">
        <v>1.5</v>
      </c>
      <c r="K366">
        <v>1.25</v>
      </c>
      <c r="L366">
        <v>10.25</v>
      </c>
    </row>
    <row r="367" spans="1:12" x14ac:dyDescent="0.25">
      <c r="A367">
        <v>1754</v>
      </c>
      <c r="B367">
        <v>1802565182001</v>
      </c>
      <c r="C367" t="s">
        <v>56</v>
      </c>
      <c r="D367" s="1">
        <v>46029</v>
      </c>
      <c r="E367" t="s">
        <v>13</v>
      </c>
      <c r="F367">
        <v>1436</v>
      </c>
      <c r="G367">
        <v>6.15</v>
      </c>
      <c r="H367">
        <v>6</v>
      </c>
      <c r="I367">
        <v>0</v>
      </c>
      <c r="J367">
        <v>0.9</v>
      </c>
      <c r="K367">
        <v>0.75</v>
      </c>
      <c r="L367">
        <v>6.15</v>
      </c>
    </row>
    <row r="368" spans="1:12" x14ac:dyDescent="0.25">
      <c r="A368">
        <v>1754</v>
      </c>
      <c r="B368">
        <v>1802565182001</v>
      </c>
      <c r="C368" t="s">
        <v>56</v>
      </c>
      <c r="D368" s="1">
        <v>46029</v>
      </c>
      <c r="E368" t="s">
        <v>13</v>
      </c>
      <c r="F368">
        <v>1435</v>
      </c>
      <c r="G368">
        <v>6.15</v>
      </c>
      <c r="H368">
        <v>6</v>
      </c>
      <c r="I368">
        <v>0</v>
      </c>
      <c r="J368">
        <v>0.9</v>
      </c>
      <c r="K368">
        <v>0.75</v>
      </c>
      <c r="L368">
        <v>6.15</v>
      </c>
    </row>
    <row r="369" spans="1:12" x14ac:dyDescent="0.25">
      <c r="A369">
        <v>1754</v>
      </c>
      <c r="B369">
        <v>1802565182001</v>
      </c>
      <c r="C369" t="s">
        <v>56</v>
      </c>
      <c r="D369" s="1">
        <v>46029</v>
      </c>
      <c r="E369" t="s">
        <v>13</v>
      </c>
      <c r="F369">
        <v>1437</v>
      </c>
      <c r="G369">
        <v>18.45</v>
      </c>
      <c r="H369">
        <v>18</v>
      </c>
      <c r="I369">
        <v>0</v>
      </c>
      <c r="J369">
        <v>2.7</v>
      </c>
      <c r="K369">
        <v>2.25</v>
      </c>
      <c r="L369">
        <v>18.45</v>
      </c>
    </row>
    <row r="370" spans="1:12" x14ac:dyDescent="0.25">
      <c r="A370">
        <v>1754</v>
      </c>
      <c r="B370">
        <v>1802565182001</v>
      </c>
      <c r="C370" t="s">
        <v>56</v>
      </c>
      <c r="D370" s="1">
        <v>46030</v>
      </c>
      <c r="E370" t="s">
        <v>13</v>
      </c>
      <c r="F370">
        <v>1445</v>
      </c>
      <c r="G370">
        <v>6.15</v>
      </c>
      <c r="H370">
        <v>6</v>
      </c>
      <c r="I370">
        <v>0</v>
      </c>
      <c r="J370">
        <v>0.9</v>
      </c>
      <c r="K370">
        <v>0.75</v>
      </c>
      <c r="L370">
        <v>6.15</v>
      </c>
    </row>
    <row r="371" spans="1:12" x14ac:dyDescent="0.25">
      <c r="A371">
        <v>1754</v>
      </c>
      <c r="B371">
        <v>1802565182001</v>
      </c>
      <c r="C371" t="s">
        <v>56</v>
      </c>
      <c r="D371" s="1">
        <v>46030</v>
      </c>
      <c r="E371" t="s">
        <v>13</v>
      </c>
      <c r="F371">
        <v>1444</v>
      </c>
      <c r="G371">
        <v>6.15</v>
      </c>
      <c r="H371">
        <v>6</v>
      </c>
      <c r="I371">
        <v>0</v>
      </c>
      <c r="J371">
        <v>0.9</v>
      </c>
      <c r="K371">
        <v>0.75</v>
      </c>
      <c r="L371">
        <v>6.15</v>
      </c>
    </row>
    <row r="372" spans="1:12" x14ac:dyDescent="0.25">
      <c r="A372">
        <v>1754</v>
      </c>
      <c r="B372">
        <v>1802565182001</v>
      </c>
      <c r="C372" t="s">
        <v>56</v>
      </c>
      <c r="D372" s="1">
        <v>46030</v>
      </c>
      <c r="E372" t="s">
        <v>13</v>
      </c>
      <c r="F372">
        <v>1443</v>
      </c>
      <c r="G372">
        <v>10.25</v>
      </c>
      <c r="H372">
        <v>10</v>
      </c>
      <c r="I372">
        <v>0</v>
      </c>
      <c r="J372">
        <v>1.5</v>
      </c>
      <c r="K372">
        <v>1.25</v>
      </c>
      <c r="L372">
        <v>10.25</v>
      </c>
    </row>
    <row r="373" spans="1:12" x14ac:dyDescent="0.25">
      <c r="A373">
        <v>1754</v>
      </c>
      <c r="B373">
        <v>1802565182001</v>
      </c>
      <c r="C373" t="s">
        <v>56</v>
      </c>
      <c r="D373" s="1">
        <v>46030</v>
      </c>
      <c r="E373" t="s">
        <v>13</v>
      </c>
      <c r="F373">
        <v>1442</v>
      </c>
      <c r="G373">
        <v>6.15</v>
      </c>
      <c r="H373">
        <v>6</v>
      </c>
      <c r="I373">
        <v>0</v>
      </c>
      <c r="J373">
        <v>0.9</v>
      </c>
      <c r="K373">
        <v>0.75</v>
      </c>
      <c r="L373">
        <v>6.15</v>
      </c>
    </row>
    <row r="374" spans="1:12" x14ac:dyDescent="0.25">
      <c r="A374">
        <v>1754</v>
      </c>
      <c r="B374">
        <v>1802565182001</v>
      </c>
      <c r="C374" t="s">
        <v>56</v>
      </c>
      <c r="D374" s="1">
        <v>46030</v>
      </c>
      <c r="E374" t="s">
        <v>13</v>
      </c>
      <c r="F374">
        <v>1438</v>
      </c>
      <c r="G374">
        <v>6.15</v>
      </c>
      <c r="H374">
        <v>6</v>
      </c>
      <c r="I374">
        <v>0</v>
      </c>
      <c r="J374">
        <v>0.9</v>
      </c>
      <c r="K374">
        <v>0.75</v>
      </c>
      <c r="L374">
        <v>6.15</v>
      </c>
    </row>
    <row r="375" spans="1:12" x14ac:dyDescent="0.25">
      <c r="A375">
        <v>1754</v>
      </c>
      <c r="B375">
        <v>1802565182001</v>
      </c>
      <c r="C375" t="s">
        <v>56</v>
      </c>
      <c r="D375" s="1">
        <v>46030</v>
      </c>
      <c r="E375" t="s">
        <v>13</v>
      </c>
      <c r="F375">
        <v>1439</v>
      </c>
      <c r="G375">
        <v>6.15</v>
      </c>
      <c r="H375">
        <v>6</v>
      </c>
      <c r="I375">
        <v>0</v>
      </c>
      <c r="J375">
        <v>0.9</v>
      </c>
      <c r="K375">
        <v>0.75</v>
      </c>
      <c r="L375">
        <v>6.15</v>
      </c>
    </row>
    <row r="376" spans="1:12" x14ac:dyDescent="0.25">
      <c r="A376">
        <v>1754</v>
      </c>
      <c r="B376">
        <v>1802565182001</v>
      </c>
      <c r="C376" t="s">
        <v>56</v>
      </c>
      <c r="D376" s="1">
        <v>46030</v>
      </c>
      <c r="E376" t="s">
        <v>13</v>
      </c>
      <c r="F376">
        <v>1440</v>
      </c>
      <c r="G376">
        <v>10.25</v>
      </c>
      <c r="H376">
        <v>10</v>
      </c>
      <c r="I376">
        <v>0</v>
      </c>
      <c r="J376">
        <v>1.5</v>
      </c>
      <c r="K376">
        <v>1.25</v>
      </c>
      <c r="L376">
        <v>10.25</v>
      </c>
    </row>
    <row r="377" spans="1:12" x14ac:dyDescent="0.25">
      <c r="A377">
        <v>1754</v>
      </c>
      <c r="B377">
        <v>1802565182001</v>
      </c>
      <c r="C377" t="s">
        <v>56</v>
      </c>
      <c r="D377" s="1">
        <v>46030</v>
      </c>
      <c r="E377" t="s">
        <v>13</v>
      </c>
      <c r="F377">
        <v>1441</v>
      </c>
      <c r="G377">
        <v>10.25</v>
      </c>
      <c r="H377">
        <v>10</v>
      </c>
      <c r="I377">
        <v>0</v>
      </c>
      <c r="J377">
        <v>1.5</v>
      </c>
      <c r="K377">
        <v>1.25</v>
      </c>
      <c r="L377">
        <v>10.25</v>
      </c>
    </row>
    <row r="378" spans="1:12" x14ac:dyDescent="0.25">
      <c r="A378">
        <v>1754</v>
      </c>
      <c r="B378">
        <v>1802565182001</v>
      </c>
      <c r="C378" t="s">
        <v>56</v>
      </c>
      <c r="D378" s="1">
        <v>46031</v>
      </c>
      <c r="E378" t="s">
        <v>13</v>
      </c>
      <c r="F378">
        <v>1447</v>
      </c>
      <c r="G378">
        <v>10.25</v>
      </c>
      <c r="H378">
        <v>10</v>
      </c>
      <c r="I378">
        <v>0</v>
      </c>
      <c r="J378">
        <v>1.5</v>
      </c>
      <c r="K378">
        <v>1.25</v>
      </c>
      <c r="L378">
        <v>10.25</v>
      </c>
    </row>
    <row r="379" spans="1:12" x14ac:dyDescent="0.25">
      <c r="A379">
        <v>1754</v>
      </c>
      <c r="B379">
        <v>1802565182001</v>
      </c>
      <c r="C379" t="s">
        <v>56</v>
      </c>
      <c r="D379" s="1">
        <v>46031</v>
      </c>
      <c r="E379" t="s">
        <v>13</v>
      </c>
      <c r="F379">
        <v>1449</v>
      </c>
      <c r="G379">
        <v>10.25</v>
      </c>
      <c r="H379">
        <v>10</v>
      </c>
      <c r="I379">
        <v>0</v>
      </c>
      <c r="J379">
        <v>1.5</v>
      </c>
      <c r="K379">
        <v>1.25</v>
      </c>
      <c r="L379">
        <v>10.25</v>
      </c>
    </row>
    <row r="380" spans="1:12" x14ac:dyDescent="0.25">
      <c r="A380">
        <v>1754</v>
      </c>
      <c r="B380">
        <v>1802565182001</v>
      </c>
      <c r="C380" t="s">
        <v>56</v>
      </c>
      <c r="D380" s="1">
        <v>46031</v>
      </c>
      <c r="E380" t="s">
        <v>13</v>
      </c>
      <c r="F380">
        <v>1448</v>
      </c>
      <c r="G380">
        <v>6.15</v>
      </c>
      <c r="H380">
        <v>6</v>
      </c>
      <c r="I380">
        <v>0</v>
      </c>
      <c r="J380">
        <v>0.9</v>
      </c>
      <c r="K380">
        <v>0.75</v>
      </c>
      <c r="L380">
        <v>6.15</v>
      </c>
    </row>
    <row r="381" spans="1:12" x14ac:dyDescent="0.25">
      <c r="A381">
        <v>1754</v>
      </c>
      <c r="B381">
        <v>1802565182001</v>
      </c>
      <c r="C381" t="s">
        <v>56</v>
      </c>
      <c r="D381" s="1">
        <v>46031</v>
      </c>
      <c r="E381" t="s">
        <v>13</v>
      </c>
      <c r="F381">
        <v>1446</v>
      </c>
      <c r="G381">
        <v>10.25</v>
      </c>
      <c r="H381">
        <v>10</v>
      </c>
      <c r="I381">
        <v>0</v>
      </c>
      <c r="J381">
        <v>1.5</v>
      </c>
      <c r="K381">
        <v>1.25</v>
      </c>
      <c r="L381">
        <v>10.25</v>
      </c>
    </row>
    <row r="382" spans="1:12" x14ac:dyDescent="0.25">
      <c r="A382">
        <v>1754</v>
      </c>
      <c r="B382">
        <v>1802565182001</v>
      </c>
      <c r="C382" t="s">
        <v>56</v>
      </c>
      <c r="D382" s="1">
        <v>46032</v>
      </c>
      <c r="E382" t="s">
        <v>13</v>
      </c>
      <c r="F382">
        <v>1451</v>
      </c>
      <c r="G382">
        <v>6.15</v>
      </c>
      <c r="H382">
        <v>6</v>
      </c>
      <c r="I382">
        <v>0</v>
      </c>
      <c r="J382">
        <v>0.9</v>
      </c>
      <c r="K382">
        <v>0.75</v>
      </c>
      <c r="L382">
        <v>6.15</v>
      </c>
    </row>
    <row r="383" spans="1:12" x14ac:dyDescent="0.25">
      <c r="A383">
        <v>1754</v>
      </c>
      <c r="B383">
        <v>1802565182001</v>
      </c>
      <c r="C383" t="s">
        <v>56</v>
      </c>
      <c r="D383" s="1">
        <v>46032</v>
      </c>
      <c r="E383" t="s">
        <v>13</v>
      </c>
      <c r="F383">
        <v>1450</v>
      </c>
      <c r="G383">
        <v>10.25</v>
      </c>
      <c r="H383">
        <v>10</v>
      </c>
      <c r="I383">
        <v>0</v>
      </c>
      <c r="J383">
        <v>1.5</v>
      </c>
      <c r="K383">
        <v>1.25</v>
      </c>
      <c r="L383">
        <v>10.25</v>
      </c>
    </row>
    <row r="384" spans="1:12" x14ac:dyDescent="0.25">
      <c r="A384">
        <v>1754</v>
      </c>
      <c r="B384">
        <v>1802565182001</v>
      </c>
      <c r="C384" t="s">
        <v>56</v>
      </c>
      <c r="D384" s="1">
        <v>46034</v>
      </c>
      <c r="E384" t="s">
        <v>13</v>
      </c>
      <c r="F384">
        <v>1452</v>
      </c>
      <c r="G384">
        <v>10.25</v>
      </c>
      <c r="H384">
        <v>10</v>
      </c>
      <c r="I384">
        <v>0</v>
      </c>
      <c r="J384">
        <v>1.5</v>
      </c>
      <c r="K384">
        <v>1.25</v>
      </c>
      <c r="L384">
        <v>10.25</v>
      </c>
    </row>
    <row r="385" spans="1:12" x14ac:dyDescent="0.25">
      <c r="A385">
        <v>1754</v>
      </c>
      <c r="B385">
        <v>1802565182001</v>
      </c>
      <c r="C385" t="s">
        <v>56</v>
      </c>
      <c r="D385" s="1">
        <v>46034</v>
      </c>
      <c r="E385" t="s">
        <v>13</v>
      </c>
      <c r="F385">
        <v>1458</v>
      </c>
      <c r="G385">
        <v>10.25</v>
      </c>
      <c r="H385">
        <v>10</v>
      </c>
      <c r="I385">
        <v>0</v>
      </c>
      <c r="J385">
        <v>1.5</v>
      </c>
      <c r="K385">
        <v>1.25</v>
      </c>
      <c r="L385">
        <v>10.25</v>
      </c>
    </row>
    <row r="386" spans="1:12" x14ac:dyDescent="0.25">
      <c r="A386">
        <v>1754</v>
      </c>
      <c r="B386">
        <v>1802565182001</v>
      </c>
      <c r="C386" t="s">
        <v>56</v>
      </c>
      <c r="D386" s="1">
        <v>46034</v>
      </c>
      <c r="E386" t="s">
        <v>13</v>
      </c>
      <c r="F386">
        <v>1456</v>
      </c>
      <c r="G386">
        <v>6.15</v>
      </c>
      <c r="H386">
        <v>6</v>
      </c>
      <c r="I386">
        <v>0</v>
      </c>
      <c r="J386">
        <v>0.9</v>
      </c>
      <c r="K386">
        <v>0.75</v>
      </c>
      <c r="L386">
        <v>6.15</v>
      </c>
    </row>
    <row r="387" spans="1:12" x14ac:dyDescent="0.25">
      <c r="A387">
        <v>1754</v>
      </c>
      <c r="B387">
        <v>1802565182001</v>
      </c>
      <c r="C387" t="s">
        <v>56</v>
      </c>
      <c r="D387" s="1">
        <v>46034</v>
      </c>
      <c r="E387" t="s">
        <v>13</v>
      </c>
      <c r="F387">
        <v>1457</v>
      </c>
      <c r="G387">
        <v>6.15</v>
      </c>
      <c r="H387">
        <v>6</v>
      </c>
      <c r="I387">
        <v>0</v>
      </c>
      <c r="J387">
        <v>0.9</v>
      </c>
      <c r="K387">
        <v>0.75</v>
      </c>
      <c r="L387">
        <v>6.15</v>
      </c>
    </row>
    <row r="388" spans="1:12" x14ac:dyDescent="0.25">
      <c r="A388">
        <v>1754</v>
      </c>
      <c r="B388">
        <v>1802565182001</v>
      </c>
      <c r="C388" t="s">
        <v>56</v>
      </c>
      <c r="D388" s="1">
        <v>46034</v>
      </c>
      <c r="E388" t="s">
        <v>13</v>
      </c>
      <c r="F388">
        <v>1459</v>
      </c>
      <c r="G388">
        <v>10.25</v>
      </c>
      <c r="H388">
        <v>10</v>
      </c>
      <c r="I388">
        <v>0</v>
      </c>
      <c r="J388">
        <v>1.5</v>
      </c>
      <c r="K388">
        <v>1.25</v>
      </c>
      <c r="L388">
        <v>10.25</v>
      </c>
    </row>
    <row r="389" spans="1:12" x14ac:dyDescent="0.25">
      <c r="A389">
        <v>1754</v>
      </c>
      <c r="B389">
        <v>1802565182001</v>
      </c>
      <c r="C389" t="s">
        <v>56</v>
      </c>
      <c r="D389" s="1">
        <v>46034</v>
      </c>
      <c r="E389" t="s">
        <v>13</v>
      </c>
      <c r="F389">
        <v>1453</v>
      </c>
      <c r="G389">
        <v>6.15</v>
      </c>
      <c r="H389">
        <v>6</v>
      </c>
      <c r="I389">
        <v>0</v>
      </c>
      <c r="J389">
        <v>0.9</v>
      </c>
      <c r="K389">
        <v>0.75</v>
      </c>
      <c r="L389">
        <v>6.15</v>
      </c>
    </row>
    <row r="390" spans="1:12" x14ac:dyDescent="0.25">
      <c r="A390">
        <v>1754</v>
      </c>
      <c r="B390">
        <v>1802565182001</v>
      </c>
      <c r="C390" t="s">
        <v>56</v>
      </c>
      <c r="D390" s="1">
        <v>46034</v>
      </c>
      <c r="E390" t="s">
        <v>13</v>
      </c>
      <c r="F390">
        <v>1454</v>
      </c>
      <c r="G390">
        <v>6.15</v>
      </c>
      <c r="H390">
        <v>6</v>
      </c>
      <c r="I390">
        <v>0</v>
      </c>
      <c r="J390">
        <v>0.9</v>
      </c>
      <c r="K390">
        <v>0.75</v>
      </c>
      <c r="L390">
        <v>6.15</v>
      </c>
    </row>
    <row r="391" spans="1:12" x14ac:dyDescent="0.25">
      <c r="A391">
        <v>1754</v>
      </c>
      <c r="B391">
        <v>1802565182001</v>
      </c>
      <c r="C391" t="s">
        <v>56</v>
      </c>
      <c r="D391" s="1">
        <v>46035</v>
      </c>
      <c r="E391" t="s">
        <v>13</v>
      </c>
      <c r="F391">
        <v>1463</v>
      </c>
      <c r="G391">
        <v>6.15</v>
      </c>
      <c r="H391">
        <v>6</v>
      </c>
      <c r="I391">
        <v>0</v>
      </c>
      <c r="J391">
        <v>0.9</v>
      </c>
      <c r="K391">
        <v>0.75</v>
      </c>
      <c r="L391">
        <v>6.15</v>
      </c>
    </row>
    <row r="392" spans="1:12" x14ac:dyDescent="0.25">
      <c r="A392">
        <v>1754</v>
      </c>
      <c r="B392">
        <v>1802565182001</v>
      </c>
      <c r="C392" t="s">
        <v>56</v>
      </c>
      <c r="D392" s="1">
        <v>46035</v>
      </c>
      <c r="E392" t="s">
        <v>13</v>
      </c>
      <c r="F392">
        <v>1465</v>
      </c>
      <c r="G392">
        <v>10.25</v>
      </c>
      <c r="H392">
        <v>10</v>
      </c>
      <c r="I392">
        <v>0</v>
      </c>
      <c r="J392">
        <v>1.5</v>
      </c>
      <c r="K392">
        <v>1.25</v>
      </c>
      <c r="L392">
        <v>10.25</v>
      </c>
    </row>
    <row r="393" spans="1:12" x14ac:dyDescent="0.25">
      <c r="A393">
        <v>1754</v>
      </c>
      <c r="B393">
        <v>1802565182001</v>
      </c>
      <c r="C393" t="s">
        <v>56</v>
      </c>
      <c r="D393" s="1">
        <v>46036</v>
      </c>
      <c r="E393" t="s">
        <v>13</v>
      </c>
      <c r="F393">
        <v>1470</v>
      </c>
      <c r="G393">
        <v>10.25</v>
      </c>
      <c r="H393">
        <v>10</v>
      </c>
      <c r="I393">
        <v>0</v>
      </c>
      <c r="J393">
        <v>1.5</v>
      </c>
      <c r="K393">
        <v>1.25</v>
      </c>
      <c r="L393">
        <v>10.25</v>
      </c>
    </row>
    <row r="394" spans="1:12" x14ac:dyDescent="0.25">
      <c r="A394">
        <v>1754</v>
      </c>
      <c r="B394">
        <v>1802565182001</v>
      </c>
      <c r="C394" t="s">
        <v>56</v>
      </c>
      <c r="D394" s="1">
        <v>46036</v>
      </c>
      <c r="E394" t="s">
        <v>13</v>
      </c>
      <c r="F394">
        <v>1469</v>
      </c>
      <c r="G394">
        <v>6.15</v>
      </c>
      <c r="H394">
        <v>6</v>
      </c>
      <c r="I394">
        <v>0</v>
      </c>
      <c r="J394">
        <v>0.9</v>
      </c>
      <c r="K394">
        <v>0.75</v>
      </c>
      <c r="L394">
        <v>6.15</v>
      </c>
    </row>
    <row r="395" spans="1:12" x14ac:dyDescent="0.25">
      <c r="A395">
        <v>1754</v>
      </c>
      <c r="B395">
        <v>1802565182001</v>
      </c>
      <c r="C395" t="s">
        <v>56</v>
      </c>
      <c r="D395" s="1">
        <v>46036</v>
      </c>
      <c r="E395" t="s">
        <v>13</v>
      </c>
      <c r="F395">
        <v>1468</v>
      </c>
      <c r="G395">
        <v>6.15</v>
      </c>
      <c r="H395">
        <v>6</v>
      </c>
      <c r="I395">
        <v>0</v>
      </c>
      <c r="J395">
        <v>0.9</v>
      </c>
      <c r="K395">
        <v>0.75</v>
      </c>
      <c r="L395">
        <v>6.15</v>
      </c>
    </row>
    <row r="396" spans="1:12" x14ac:dyDescent="0.25">
      <c r="A396">
        <v>1754</v>
      </c>
      <c r="B396">
        <v>1802565182001</v>
      </c>
      <c r="C396" t="s">
        <v>56</v>
      </c>
      <c r="D396" s="1">
        <v>46036</v>
      </c>
      <c r="E396" t="s">
        <v>13</v>
      </c>
      <c r="F396">
        <v>1471</v>
      </c>
      <c r="G396">
        <v>71.75</v>
      </c>
      <c r="H396">
        <v>70</v>
      </c>
      <c r="I396">
        <v>0</v>
      </c>
      <c r="J396">
        <v>10.5</v>
      </c>
      <c r="K396">
        <v>8.75</v>
      </c>
      <c r="L396">
        <v>71.75</v>
      </c>
    </row>
    <row r="397" spans="1:12" x14ac:dyDescent="0.25">
      <c r="A397">
        <v>1754</v>
      </c>
      <c r="B397">
        <v>1802565182001</v>
      </c>
      <c r="C397" t="s">
        <v>56</v>
      </c>
      <c r="D397" s="1">
        <v>46037</v>
      </c>
      <c r="E397" t="s">
        <v>13</v>
      </c>
      <c r="F397">
        <v>1474</v>
      </c>
      <c r="G397">
        <v>6.15</v>
      </c>
      <c r="H397">
        <v>6</v>
      </c>
      <c r="I397">
        <v>0</v>
      </c>
      <c r="J397">
        <v>0.9</v>
      </c>
      <c r="K397">
        <v>0.75</v>
      </c>
      <c r="L397">
        <v>6.15</v>
      </c>
    </row>
    <row r="398" spans="1:12" x14ac:dyDescent="0.25">
      <c r="A398">
        <v>1754</v>
      </c>
      <c r="B398">
        <v>1802565182001</v>
      </c>
      <c r="C398" t="s">
        <v>56</v>
      </c>
      <c r="D398" s="1">
        <v>46037</v>
      </c>
      <c r="E398" t="s">
        <v>13</v>
      </c>
      <c r="F398">
        <v>1472</v>
      </c>
      <c r="G398">
        <v>10.25</v>
      </c>
      <c r="H398">
        <v>10</v>
      </c>
      <c r="I398">
        <v>0</v>
      </c>
      <c r="J398">
        <v>1.5</v>
      </c>
      <c r="K398">
        <v>1.25</v>
      </c>
      <c r="L398">
        <v>10.25</v>
      </c>
    </row>
    <row r="399" spans="1:12" x14ac:dyDescent="0.25">
      <c r="A399">
        <v>1754</v>
      </c>
      <c r="B399">
        <v>1802565182001</v>
      </c>
      <c r="C399" t="s">
        <v>56</v>
      </c>
      <c r="D399" s="1">
        <v>46037</v>
      </c>
      <c r="E399" t="s">
        <v>13</v>
      </c>
      <c r="F399">
        <v>1473</v>
      </c>
      <c r="G399">
        <v>10.25</v>
      </c>
      <c r="H399">
        <v>10</v>
      </c>
      <c r="I399">
        <v>0</v>
      </c>
      <c r="J399">
        <v>1.5</v>
      </c>
      <c r="K399">
        <v>1.25</v>
      </c>
      <c r="L399">
        <v>10.25</v>
      </c>
    </row>
    <row r="400" spans="1:12" x14ac:dyDescent="0.25">
      <c r="A400">
        <v>1754</v>
      </c>
      <c r="B400">
        <v>1802565182001</v>
      </c>
      <c r="C400" t="s">
        <v>56</v>
      </c>
      <c r="D400" s="1">
        <v>46038</v>
      </c>
      <c r="E400" t="s">
        <v>13</v>
      </c>
      <c r="F400">
        <v>1476</v>
      </c>
      <c r="G400">
        <v>10.25</v>
      </c>
      <c r="H400">
        <v>10</v>
      </c>
      <c r="I400">
        <v>0</v>
      </c>
      <c r="J400">
        <v>1.5</v>
      </c>
      <c r="K400">
        <v>1.25</v>
      </c>
      <c r="L400">
        <v>10.25</v>
      </c>
    </row>
    <row r="401" spans="1:12" x14ac:dyDescent="0.25">
      <c r="A401">
        <v>1754</v>
      </c>
      <c r="B401">
        <v>1802565182001</v>
      </c>
      <c r="C401" t="s">
        <v>56</v>
      </c>
      <c r="D401" s="1">
        <v>46038</v>
      </c>
      <c r="E401" t="s">
        <v>13</v>
      </c>
      <c r="F401">
        <v>1477</v>
      </c>
      <c r="G401">
        <v>6.15</v>
      </c>
      <c r="H401">
        <v>6</v>
      </c>
      <c r="I401">
        <v>0</v>
      </c>
      <c r="J401">
        <v>0.9</v>
      </c>
      <c r="K401">
        <v>0.75</v>
      </c>
      <c r="L401">
        <v>6.15</v>
      </c>
    </row>
    <row r="402" spans="1:12" x14ac:dyDescent="0.25">
      <c r="A402">
        <v>1754</v>
      </c>
      <c r="B402">
        <v>1802565182001</v>
      </c>
      <c r="C402" t="s">
        <v>56</v>
      </c>
      <c r="D402" s="1">
        <v>46038</v>
      </c>
      <c r="E402" t="s">
        <v>13</v>
      </c>
      <c r="F402">
        <v>1481</v>
      </c>
      <c r="G402">
        <v>6.15</v>
      </c>
      <c r="H402">
        <v>6</v>
      </c>
      <c r="I402">
        <v>0</v>
      </c>
      <c r="J402">
        <v>0.9</v>
      </c>
      <c r="K402">
        <v>0.75</v>
      </c>
      <c r="L402">
        <v>6.15</v>
      </c>
    </row>
    <row r="403" spans="1:12" x14ac:dyDescent="0.25">
      <c r="A403">
        <v>1754</v>
      </c>
      <c r="B403">
        <v>1802565182001</v>
      </c>
      <c r="C403" t="s">
        <v>56</v>
      </c>
      <c r="D403" s="1">
        <v>46038</v>
      </c>
      <c r="E403" t="s">
        <v>13</v>
      </c>
      <c r="F403">
        <v>1479</v>
      </c>
      <c r="G403">
        <v>10.25</v>
      </c>
      <c r="H403">
        <v>10</v>
      </c>
      <c r="I403">
        <v>0</v>
      </c>
      <c r="J403">
        <v>1.5</v>
      </c>
      <c r="K403">
        <v>1.25</v>
      </c>
      <c r="L403">
        <v>10.25</v>
      </c>
    </row>
    <row r="404" spans="1:12" x14ac:dyDescent="0.25">
      <c r="A404">
        <v>1754</v>
      </c>
      <c r="B404">
        <v>1802565182001</v>
      </c>
      <c r="C404" t="s">
        <v>56</v>
      </c>
      <c r="D404" s="1">
        <v>46038</v>
      </c>
      <c r="E404" t="s">
        <v>13</v>
      </c>
      <c r="F404">
        <v>1478</v>
      </c>
      <c r="G404">
        <v>10.25</v>
      </c>
      <c r="H404">
        <v>10</v>
      </c>
      <c r="I404">
        <v>0</v>
      </c>
      <c r="J404">
        <v>1.5</v>
      </c>
      <c r="K404">
        <v>1.25</v>
      </c>
      <c r="L404">
        <v>10.25</v>
      </c>
    </row>
    <row r="405" spans="1:12" x14ac:dyDescent="0.25">
      <c r="A405">
        <v>1754</v>
      </c>
      <c r="B405">
        <v>1802565182001</v>
      </c>
      <c r="C405" t="s">
        <v>56</v>
      </c>
      <c r="D405" s="1">
        <v>46041</v>
      </c>
      <c r="E405" t="s">
        <v>13</v>
      </c>
      <c r="F405">
        <v>1483</v>
      </c>
      <c r="G405">
        <v>10.25</v>
      </c>
      <c r="H405">
        <v>10</v>
      </c>
      <c r="I405">
        <v>0</v>
      </c>
      <c r="J405">
        <v>1.5</v>
      </c>
      <c r="K405">
        <v>1.25</v>
      </c>
      <c r="L405">
        <v>10.25</v>
      </c>
    </row>
    <row r="406" spans="1:12" x14ac:dyDescent="0.25">
      <c r="A406">
        <v>1754</v>
      </c>
      <c r="B406">
        <v>1802565182001</v>
      </c>
      <c r="C406" t="s">
        <v>56</v>
      </c>
      <c r="D406" s="1">
        <v>46041</v>
      </c>
      <c r="E406" t="s">
        <v>13</v>
      </c>
      <c r="F406">
        <v>1486</v>
      </c>
      <c r="G406">
        <v>10.25</v>
      </c>
      <c r="H406">
        <v>10</v>
      </c>
      <c r="I406">
        <v>0</v>
      </c>
      <c r="J406">
        <v>1.5</v>
      </c>
      <c r="K406">
        <v>1.25</v>
      </c>
      <c r="L406">
        <v>10.25</v>
      </c>
    </row>
    <row r="407" spans="1:12" x14ac:dyDescent="0.25">
      <c r="A407">
        <v>1754</v>
      </c>
      <c r="B407">
        <v>1802565182001</v>
      </c>
      <c r="C407" t="s">
        <v>56</v>
      </c>
      <c r="D407" s="1">
        <v>46041</v>
      </c>
      <c r="E407" t="s">
        <v>13</v>
      </c>
      <c r="F407">
        <v>1485</v>
      </c>
      <c r="G407">
        <v>10.25</v>
      </c>
      <c r="H407">
        <v>10</v>
      </c>
      <c r="I407">
        <v>0</v>
      </c>
      <c r="J407">
        <v>1.5</v>
      </c>
      <c r="K407">
        <v>1.25</v>
      </c>
      <c r="L407">
        <v>10.25</v>
      </c>
    </row>
    <row r="408" spans="1:12" x14ac:dyDescent="0.25">
      <c r="A408">
        <v>1754</v>
      </c>
      <c r="B408">
        <v>1802565182001</v>
      </c>
      <c r="C408" t="s">
        <v>56</v>
      </c>
      <c r="D408" s="1">
        <v>46042</v>
      </c>
      <c r="E408" t="s">
        <v>13</v>
      </c>
      <c r="F408">
        <v>1492</v>
      </c>
      <c r="G408">
        <v>6.15</v>
      </c>
      <c r="H408">
        <v>6</v>
      </c>
      <c r="I408">
        <v>0</v>
      </c>
      <c r="J408">
        <v>0.9</v>
      </c>
      <c r="K408">
        <v>0.75</v>
      </c>
      <c r="L408">
        <v>6.15</v>
      </c>
    </row>
    <row r="409" spans="1:12" x14ac:dyDescent="0.25">
      <c r="A409">
        <v>1754</v>
      </c>
      <c r="B409">
        <v>1802565182001</v>
      </c>
      <c r="C409" t="s">
        <v>56</v>
      </c>
      <c r="D409" s="1">
        <v>46042</v>
      </c>
      <c r="E409" t="s">
        <v>13</v>
      </c>
      <c r="F409">
        <v>1491</v>
      </c>
      <c r="G409">
        <v>10.25</v>
      </c>
      <c r="H409">
        <v>10</v>
      </c>
      <c r="I409">
        <v>0</v>
      </c>
      <c r="J409">
        <v>1.5</v>
      </c>
      <c r="K409">
        <v>1.25</v>
      </c>
      <c r="L409">
        <v>10.25</v>
      </c>
    </row>
    <row r="410" spans="1:12" x14ac:dyDescent="0.25">
      <c r="A410">
        <v>1754</v>
      </c>
      <c r="B410">
        <v>1802565182001</v>
      </c>
      <c r="C410" t="s">
        <v>56</v>
      </c>
      <c r="D410" s="1">
        <v>46042</v>
      </c>
      <c r="E410" t="s">
        <v>13</v>
      </c>
      <c r="F410">
        <v>1490</v>
      </c>
      <c r="G410">
        <v>6.15</v>
      </c>
      <c r="H410">
        <v>6</v>
      </c>
      <c r="I410">
        <v>0</v>
      </c>
      <c r="J410">
        <v>0.9</v>
      </c>
      <c r="K410">
        <v>0.75</v>
      </c>
      <c r="L410">
        <v>6.15</v>
      </c>
    </row>
    <row r="411" spans="1:12" x14ac:dyDescent="0.25">
      <c r="A411">
        <v>1754</v>
      </c>
      <c r="B411">
        <v>1802565182001</v>
      </c>
      <c r="C411" t="s">
        <v>56</v>
      </c>
      <c r="D411" s="1">
        <v>46042</v>
      </c>
      <c r="E411" t="s">
        <v>13</v>
      </c>
      <c r="F411">
        <v>1489</v>
      </c>
      <c r="G411">
        <v>10.25</v>
      </c>
      <c r="H411">
        <v>10</v>
      </c>
      <c r="I411">
        <v>0</v>
      </c>
      <c r="J411">
        <v>1.5</v>
      </c>
      <c r="K411">
        <v>1.25</v>
      </c>
      <c r="L411">
        <v>10.25</v>
      </c>
    </row>
    <row r="412" spans="1:12" x14ac:dyDescent="0.25">
      <c r="A412">
        <v>1754</v>
      </c>
      <c r="B412">
        <v>1802565182001</v>
      </c>
      <c r="C412" t="s">
        <v>56</v>
      </c>
      <c r="D412" s="1">
        <v>46043</v>
      </c>
      <c r="E412" t="s">
        <v>13</v>
      </c>
      <c r="F412">
        <v>1493</v>
      </c>
      <c r="G412">
        <v>10.25</v>
      </c>
      <c r="H412">
        <v>10</v>
      </c>
      <c r="I412">
        <v>0</v>
      </c>
      <c r="J412">
        <v>1.5</v>
      </c>
      <c r="K412">
        <v>1.25</v>
      </c>
      <c r="L412">
        <v>10.25</v>
      </c>
    </row>
    <row r="413" spans="1:12" x14ac:dyDescent="0.25">
      <c r="A413">
        <v>1754</v>
      </c>
      <c r="B413">
        <v>1802565182001</v>
      </c>
      <c r="C413" t="s">
        <v>56</v>
      </c>
      <c r="D413" s="1">
        <v>46043</v>
      </c>
      <c r="E413" t="s">
        <v>13</v>
      </c>
      <c r="F413">
        <v>1494</v>
      </c>
      <c r="G413">
        <v>10.25</v>
      </c>
      <c r="H413">
        <v>10</v>
      </c>
      <c r="I413">
        <v>0</v>
      </c>
      <c r="J413">
        <v>1.5</v>
      </c>
      <c r="K413">
        <v>1.25</v>
      </c>
      <c r="L413">
        <v>10.25</v>
      </c>
    </row>
    <row r="414" spans="1:12" x14ac:dyDescent="0.25">
      <c r="A414">
        <v>1754</v>
      </c>
      <c r="B414">
        <v>1802565182001</v>
      </c>
      <c r="C414" t="s">
        <v>56</v>
      </c>
      <c r="D414" s="1">
        <v>46044</v>
      </c>
      <c r="E414" t="s">
        <v>13</v>
      </c>
      <c r="F414">
        <v>1498</v>
      </c>
      <c r="G414">
        <v>12.3</v>
      </c>
      <c r="H414">
        <v>12</v>
      </c>
      <c r="I414">
        <v>0</v>
      </c>
      <c r="J414">
        <v>1.8</v>
      </c>
      <c r="K414">
        <v>1.5</v>
      </c>
      <c r="L414">
        <v>12.3</v>
      </c>
    </row>
    <row r="415" spans="1:12" x14ac:dyDescent="0.25">
      <c r="A415">
        <v>1754</v>
      </c>
      <c r="B415">
        <v>1802565182001</v>
      </c>
      <c r="C415" t="s">
        <v>56</v>
      </c>
      <c r="D415" s="1">
        <v>46044</v>
      </c>
      <c r="E415" t="s">
        <v>13</v>
      </c>
      <c r="F415">
        <v>1497</v>
      </c>
      <c r="G415">
        <v>6.15</v>
      </c>
      <c r="H415">
        <v>6</v>
      </c>
      <c r="I415">
        <v>0</v>
      </c>
      <c r="J415">
        <v>0.9</v>
      </c>
      <c r="K415">
        <v>0.75</v>
      </c>
      <c r="L415">
        <v>6.15</v>
      </c>
    </row>
    <row r="416" spans="1:12" x14ac:dyDescent="0.25">
      <c r="A416">
        <v>1754</v>
      </c>
      <c r="B416">
        <v>1802565182001</v>
      </c>
      <c r="C416" t="s">
        <v>56</v>
      </c>
      <c r="D416" s="1">
        <v>46044</v>
      </c>
      <c r="E416" t="s">
        <v>13</v>
      </c>
      <c r="F416">
        <v>1496</v>
      </c>
      <c r="G416">
        <v>6.15</v>
      </c>
      <c r="H416">
        <v>6</v>
      </c>
      <c r="I416">
        <v>0</v>
      </c>
      <c r="J416">
        <v>0.9</v>
      </c>
      <c r="K416">
        <v>0.75</v>
      </c>
      <c r="L416">
        <v>6.15</v>
      </c>
    </row>
    <row r="417" spans="1:12" x14ac:dyDescent="0.25">
      <c r="A417">
        <v>1754</v>
      </c>
      <c r="B417">
        <v>1802565182001</v>
      </c>
      <c r="C417" t="s">
        <v>56</v>
      </c>
      <c r="D417" s="1">
        <v>46044</v>
      </c>
      <c r="E417" t="s">
        <v>13</v>
      </c>
      <c r="F417">
        <v>1499</v>
      </c>
      <c r="G417">
        <v>10.25</v>
      </c>
      <c r="H417">
        <v>10</v>
      </c>
      <c r="I417">
        <v>0</v>
      </c>
      <c r="J417">
        <v>1.5</v>
      </c>
      <c r="K417">
        <v>1.25</v>
      </c>
      <c r="L417">
        <v>10.25</v>
      </c>
    </row>
    <row r="418" spans="1:12" x14ac:dyDescent="0.25">
      <c r="A418">
        <v>1754</v>
      </c>
      <c r="B418">
        <v>1802565182001</v>
      </c>
      <c r="C418" t="s">
        <v>56</v>
      </c>
      <c r="D418" s="1">
        <v>46044</v>
      </c>
      <c r="E418" t="s">
        <v>13</v>
      </c>
      <c r="F418">
        <v>1500</v>
      </c>
      <c r="G418">
        <v>10.25</v>
      </c>
      <c r="H418">
        <v>10</v>
      </c>
      <c r="I418">
        <v>0</v>
      </c>
      <c r="J418">
        <v>1.5</v>
      </c>
      <c r="K418">
        <v>1.25</v>
      </c>
      <c r="L418">
        <v>10.25</v>
      </c>
    </row>
    <row r="419" spans="1:12" x14ac:dyDescent="0.25">
      <c r="A419">
        <v>1754</v>
      </c>
      <c r="B419">
        <v>1802565182001</v>
      </c>
      <c r="C419" t="s">
        <v>56</v>
      </c>
      <c r="D419" s="1">
        <v>46044</v>
      </c>
      <c r="E419" t="s">
        <v>13</v>
      </c>
      <c r="F419">
        <v>1495</v>
      </c>
      <c r="G419">
        <v>10.25</v>
      </c>
      <c r="H419">
        <v>10</v>
      </c>
      <c r="I419">
        <v>0</v>
      </c>
      <c r="J419">
        <v>1.5</v>
      </c>
      <c r="K419">
        <v>1.25</v>
      </c>
      <c r="L419">
        <v>10.25</v>
      </c>
    </row>
    <row r="420" spans="1:12" x14ac:dyDescent="0.25">
      <c r="A420">
        <v>1754</v>
      </c>
      <c r="B420">
        <v>1802565182001</v>
      </c>
      <c r="C420" t="s">
        <v>56</v>
      </c>
      <c r="D420" s="1">
        <v>46045</v>
      </c>
      <c r="E420" t="s">
        <v>13</v>
      </c>
      <c r="F420">
        <v>1501</v>
      </c>
      <c r="G420">
        <v>10.25</v>
      </c>
      <c r="H420">
        <v>10</v>
      </c>
      <c r="I420">
        <v>0</v>
      </c>
      <c r="J420">
        <v>1.5</v>
      </c>
      <c r="K420">
        <v>1.25</v>
      </c>
      <c r="L420">
        <v>10.25</v>
      </c>
    </row>
    <row r="421" spans="1:12" x14ac:dyDescent="0.25">
      <c r="A421">
        <v>1754</v>
      </c>
      <c r="B421">
        <v>1802565182001</v>
      </c>
      <c r="C421" t="s">
        <v>56</v>
      </c>
      <c r="D421" s="1">
        <v>46045</v>
      </c>
      <c r="E421" t="s">
        <v>13</v>
      </c>
      <c r="F421">
        <v>1502</v>
      </c>
      <c r="G421">
        <v>10.25</v>
      </c>
      <c r="H421">
        <v>10</v>
      </c>
      <c r="I421">
        <v>0</v>
      </c>
      <c r="J421">
        <v>1.5</v>
      </c>
      <c r="K421">
        <v>1.25</v>
      </c>
      <c r="L421">
        <v>10.25</v>
      </c>
    </row>
    <row r="422" spans="1:12" x14ac:dyDescent="0.25">
      <c r="A422">
        <v>1754</v>
      </c>
      <c r="B422">
        <v>1802565182001</v>
      </c>
      <c r="C422" t="s">
        <v>56</v>
      </c>
      <c r="D422" s="1">
        <v>46045</v>
      </c>
      <c r="E422" t="s">
        <v>13</v>
      </c>
      <c r="F422">
        <v>1505</v>
      </c>
      <c r="G422">
        <v>10.25</v>
      </c>
      <c r="H422">
        <v>10</v>
      </c>
      <c r="I422">
        <v>0</v>
      </c>
      <c r="J422">
        <v>1.5</v>
      </c>
      <c r="K422">
        <v>1.25</v>
      </c>
      <c r="L422">
        <v>10.25</v>
      </c>
    </row>
    <row r="423" spans="1:12" x14ac:dyDescent="0.25">
      <c r="A423">
        <v>1754</v>
      </c>
      <c r="B423">
        <v>1802565182001</v>
      </c>
      <c r="C423" t="s">
        <v>56</v>
      </c>
      <c r="D423" s="1">
        <v>46045</v>
      </c>
      <c r="E423" t="s">
        <v>13</v>
      </c>
      <c r="F423">
        <v>1503</v>
      </c>
      <c r="G423">
        <v>10.25</v>
      </c>
      <c r="H423">
        <v>10</v>
      </c>
      <c r="I423">
        <v>0</v>
      </c>
      <c r="J423">
        <v>1.5</v>
      </c>
      <c r="K423">
        <v>1.25</v>
      </c>
      <c r="L423">
        <v>10.25</v>
      </c>
    </row>
    <row r="424" spans="1:12" x14ac:dyDescent="0.25">
      <c r="A424">
        <v>1754</v>
      </c>
      <c r="B424">
        <v>1802565182001</v>
      </c>
      <c r="C424" t="s">
        <v>56</v>
      </c>
      <c r="D424" s="1">
        <v>46046</v>
      </c>
      <c r="E424" t="s">
        <v>13</v>
      </c>
      <c r="F424">
        <v>1508</v>
      </c>
      <c r="G424">
        <v>6.15</v>
      </c>
      <c r="H424">
        <v>6</v>
      </c>
      <c r="I424">
        <v>0</v>
      </c>
      <c r="J424">
        <v>0.9</v>
      </c>
      <c r="K424">
        <v>0.75</v>
      </c>
      <c r="L424">
        <v>6.15</v>
      </c>
    </row>
    <row r="425" spans="1:12" x14ac:dyDescent="0.25">
      <c r="A425">
        <v>1754</v>
      </c>
      <c r="B425">
        <v>1802565182001</v>
      </c>
      <c r="C425" t="s">
        <v>56</v>
      </c>
      <c r="D425" s="1">
        <v>46046</v>
      </c>
      <c r="E425" t="s">
        <v>13</v>
      </c>
      <c r="F425">
        <v>1509</v>
      </c>
      <c r="G425">
        <v>10.25</v>
      </c>
      <c r="H425">
        <v>10</v>
      </c>
      <c r="I425">
        <v>0</v>
      </c>
      <c r="J425">
        <v>1.5</v>
      </c>
      <c r="K425">
        <v>1.25</v>
      </c>
      <c r="L425">
        <v>10.25</v>
      </c>
    </row>
    <row r="426" spans="1:12" x14ac:dyDescent="0.25">
      <c r="A426">
        <v>1754</v>
      </c>
      <c r="B426">
        <v>1802565182001</v>
      </c>
      <c r="C426" t="s">
        <v>56</v>
      </c>
      <c r="D426" s="1">
        <v>46046</v>
      </c>
      <c r="E426" t="s">
        <v>13</v>
      </c>
      <c r="F426">
        <v>1507</v>
      </c>
      <c r="G426">
        <v>6.15</v>
      </c>
      <c r="H426">
        <v>6</v>
      </c>
      <c r="I426">
        <v>0</v>
      </c>
      <c r="J426">
        <v>0.9</v>
      </c>
      <c r="K426">
        <v>0.75</v>
      </c>
      <c r="L426">
        <v>6.15</v>
      </c>
    </row>
    <row r="427" spans="1:12" x14ac:dyDescent="0.25">
      <c r="A427">
        <v>1754</v>
      </c>
      <c r="B427">
        <v>1802565182001</v>
      </c>
      <c r="C427" t="s">
        <v>56</v>
      </c>
      <c r="D427" s="1">
        <v>46048</v>
      </c>
      <c r="E427" t="s">
        <v>13</v>
      </c>
      <c r="F427">
        <v>1510</v>
      </c>
      <c r="G427">
        <v>10.25</v>
      </c>
      <c r="H427">
        <v>10</v>
      </c>
      <c r="I427">
        <v>0</v>
      </c>
      <c r="J427">
        <v>1.5</v>
      </c>
      <c r="K427">
        <v>1.25</v>
      </c>
      <c r="L427">
        <v>10.25</v>
      </c>
    </row>
    <row r="428" spans="1:12" x14ac:dyDescent="0.25">
      <c r="A428">
        <v>1754</v>
      </c>
      <c r="B428">
        <v>1802565182001</v>
      </c>
      <c r="C428" t="s">
        <v>56</v>
      </c>
      <c r="D428" s="1">
        <v>46049</v>
      </c>
      <c r="E428" t="s">
        <v>13</v>
      </c>
      <c r="F428">
        <v>1516</v>
      </c>
      <c r="G428">
        <v>6.15</v>
      </c>
      <c r="H428">
        <v>6</v>
      </c>
      <c r="I428">
        <v>0</v>
      </c>
      <c r="J428">
        <v>0.9</v>
      </c>
      <c r="K428">
        <v>0.75</v>
      </c>
      <c r="L428">
        <v>6.15</v>
      </c>
    </row>
    <row r="429" spans="1:12" x14ac:dyDescent="0.25">
      <c r="A429">
        <v>1754</v>
      </c>
      <c r="B429">
        <v>1802565182001</v>
      </c>
      <c r="C429" t="s">
        <v>56</v>
      </c>
      <c r="D429" s="1">
        <v>46049</v>
      </c>
      <c r="E429" t="s">
        <v>13</v>
      </c>
      <c r="F429">
        <v>1512</v>
      </c>
      <c r="G429">
        <v>10.25</v>
      </c>
      <c r="H429">
        <v>10</v>
      </c>
      <c r="I429">
        <v>0</v>
      </c>
      <c r="J429">
        <v>1.5</v>
      </c>
      <c r="K429">
        <v>1.25</v>
      </c>
      <c r="L429">
        <v>10.25</v>
      </c>
    </row>
    <row r="430" spans="1:12" x14ac:dyDescent="0.25">
      <c r="A430">
        <v>1754</v>
      </c>
      <c r="B430">
        <v>1802565182001</v>
      </c>
      <c r="C430" t="s">
        <v>56</v>
      </c>
      <c r="D430" s="1">
        <v>46049</v>
      </c>
      <c r="E430" t="s">
        <v>13</v>
      </c>
      <c r="F430">
        <v>1513</v>
      </c>
      <c r="G430">
        <v>10.25</v>
      </c>
      <c r="H430">
        <v>10</v>
      </c>
      <c r="I430">
        <v>0</v>
      </c>
      <c r="J430">
        <v>1.5</v>
      </c>
      <c r="K430">
        <v>1.25</v>
      </c>
      <c r="L430">
        <v>10.25</v>
      </c>
    </row>
    <row r="431" spans="1:12" x14ac:dyDescent="0.25">
      <c r="A431">
        <v>1754</v>
      </c>
      <c r="B431">
        <v>1802565182001</v>
      </c>
      <c r="C431" t="s">
        <v>56</v>
      </c>
      <c r="D431" s="1">
        <v>46049</v>
      </c>
      <c r="E431" t="s">
        <v>13</v>
      </c>
      <c r="F431">
        <v>1514</v>
      </c>
      <c r="G431">
        <v>10.25</v>
      </c>
      <c r="H431">
        <v>10</v>
      </c>
      <c r="I431">
        <v>0</v>
      </c>
      <c r="J431">
        <v>1.5</v>
      </c>
      <c r="K431">
        <v>1.25</v>
      </c>
      <c r="L431">
        <v>10.25</v>
      </c>
    </row>
    <row r="432" spans="1:12" x14ac:dyDescent="0.25">
      <c r="A432">
        <v>1754</v>
      </c>
      <c r="B432">
        <v>1802565182001</v>
      </c>
      <c r="C432" t="s">
        <v>56</v>
      </c>
      <c r="D432" s="1">
        <v>46049</v>
      </c>
      <c r="E432" t="s">
        <v>13</v>
      </c>
      <c r="F432">
        <v>1515</v>
      </c>
      <c r="G432">
        <v>10.25</v>
      </c>
      <c r="H432">
        <v>10</v>
      </c>
      <c r="I432">
        <v>0</v>
      </c>
      <c r="J432">
        <v>1.5</v>
      </c>
      <c r="K432">
        <v>1.25</v>
      </c>
      <c r="L432">
        <v>10.25</v>
      </c>
    </row>
    <row r="433" spans="1:12" x14ac:dyDescent="0.25">
      <c r="A433">
        <v>1754</v>
      </c>
      <c r="B433">
        <v>1802565182001</v>
      </c>
      <c r="C433" t="s">
        <v>56</v>
      </c>
      <c r="D433" s="1">
        <v>46050</v>
      </c>
      <c r="E433" t="s">
        <v>13</v>
      </c>
      <c r="F433">
        <v>1524</v>
      </c>
      <c r="G433">
        <v>6.15</v>
      </c>
      <c r="H433">
        <v>6</v>
      </c>
      <c r="I433">
        <v>0</v>
      </c>
      <c r="J433">
        <v>0.9</v>
      </c>
      <c r="K433">
        <v>0.75</v>
      </c>
      <c r="L433">
        <v>6.15</v>
      </c>
    </row>
    <row r="434" spans="1:12" x14ac:dyDescent="0.25">
      <c r="A434">
        <v>1754</v>
      </c>
      <c r="B434">
        <v>1802565182001</v>
      </c>
      <c r="C434" t="s">
        <v>56</v>
      </c>
      <c r="D434" s="1">
        <v>46050</v>
      </c>
      <c r="E434" t="s">
        <v>13</v>
      </c>
      <c r="F434">
        <v>1523</v>
      </c>
      <c r="G434">
        <v>10.25</v>
      </c>
      <c r="H434">
        <v>10</v>
      </c>
      <c r="I434">
        <v>0</v>
      </c>
      <c r="J434">
        <v>1.5</v>
      </c>
      <c r="K434">
        <v>1.25</v>
      </c>
      <c r="L434">
        <v>10.25</v>
      </c>
    </row>
    <row r="435" spans="1:12" x14ac:dyDescent="0.25">
      <c r="A435">
        <v>1754</v>
      </c>
      <c r="B435">
        <v>1802565182001</v>
      </c>
      <c r="C435" t="s">
        <v>56</v>
      </c>
      <c r="D435" s="1">
        <v>46050</v>
      </c>
      <c r="E435" t="s">
        <v>13</v>
      </c>
      <c r="F435">
        <v>1519</v>
      </c>
      <c r="G435">
        <v>10.25</v>
      </c>
      <c r="H435">
        <v>10</v>
      </c>
      <c r="I435">
        <v>0</v>
      </c>
      <c r="J435">
        <v>1.5</v>
      </c>
      <c r="K435">
        <v>1.25</v>
      </c>
      <c r="L435">
        <v>10.25</v>
      </c>
    </row>
    <row r="436" spans="1:12" x14ac:dyDescent="0.25">
      <c r="A436">
        <v>1754</v>
      </c>
      <c r="B436">
        <v>1802565182001</v>
      </c>
      <c r="C436" t="s">
        <v>56</v>
      </c>
      <c r="D436" s="1">
        <v>46050</v>
      </c>
      <c r="E436" t="s">
        <v>13</v>
      </c>
      <c r="F436">
        <v>1520</v>
      </c>
      <c r="G436">
        <v>6.15</v>
      </c>
      <c r="H436">
        <v>6</v>
      </c>
      <c r="I436">
        <v>0</v>
      </c>
      <c r="J436">
        <v>0.9</v>
      </c>
      <c r="K436">
        <v>0.75</v>
      </c>
      <c r="L436">
        <v>6.15</v>
      </c>
    </row>
    <row r="437" spans="1:12" x14ac:dyDescent="0.25">
      <c r="A437">
        <v>1754</v>
      </c>
      <c r="B437">
        <v>1802565182001</v>
      </c>
      <c r="C437" t="s">
        <v>56</v>
      </c>
      <c r="D437" s="1">
        <v>46050</v>
      </c>
      <c r="E437" t="s">
        <v>13</v>
      </c>
      <c r="F437">
        <v>1521</v>
      </c>
      <c r="G437">
        <v>10.25</v>
      </c>
      <c r="H437">
        <v>10</v>
      </c>
      <c r="I437">
        <v>0</v>
      </c>
      <c r="J437">
        <v>1.5</v>
      </c>
      <c r="K437">
        <v>1.25</v>
      </c>
      <c r="L437">
        <v>10.25</v>
      </c>
    </row>
    <row r="438" spans="1:12" x14ac:dyDescent="0.25">
      <c r="A438">
        <v>1754</v>
      </c>
      <c r="B438">
        <v>1802565182001</v>
      </c>
      <c r="C438" t="s">
        <v>56</v>
      </c>
      <c r="D438" s="1">
        <v>46050</v>
      </c>
      <c r="E438" t="s">
        <v>13</v>
      </c>
      <c r="F438">
        <v>1522</v>
      </c>
      <c r="G438">
        <v>6.15</v>
      </c>
      <c r="H438">
        <v>6</v>
      </c>
      <c r="I438">
        <v>0</v>
      </c>
      <c r="J438">
        <v>0.9</v>
      </c>
      <c r="K438">
        <v>0.75</v>
      </c>
      <c r="L438">
        <v>6.15</v>
      </c>
    </row>
    <row r="439" spans="1:12" x14ac:dyDescent="0.25">
      <c r="A439">
        <v>1754</v>
      </c>
      <c r="B439">
        <v>1802565182001</v>
      </c>
      <c r="C439" t="s">
        <v>56</v>
      </c>
      <c r="D439" s="1">
        <v>46051</v>
      </c>
      <c r="E439" t="s">
        <v>13</v>
      </c>
      <c r="F439">
        <v>1526</v>
      </c>
      <c r="G439">
        <v>6.15</v>
      </c>
      <c r="H439">
        <v>6</v>
      </c>
      <c r="I439">
        <v>0</v>
      </c>
      <c r="J439">
        <v>0.9</v>
      </c>
      <c r="K439">
        <v>0.75</v>
      </c>
      <c r="L439">
        <v>6.15</v>
      </c>
    </row>
    <row r="440" spans="1:12" x14ac:dyDescent="0.25">
      <c r="A440">
        <v>1754</v>
      </c>
      <c r="B440">
        <v>1802565182001</v>
      </c>
      <c r="C440" t="s">
        <v>56</v>
      </c>
      <c r="D440" s="1">
        <v>46051</v>
      </c>
      <c r="E440" t="s">
        <v>13</v>
      </c>
      <c r="F440">
        <v>1528</v>
      </c>
      <c r="G440">
        <v>15.37</v>
      </c>
      <c r="H440">
        <v>15</v>
      </c>
      <c r="I440">
        <v>0</v>
      </c>
      <c r="J440">
        <v>2.25</v>
      </c>
      <c r="K440">
        <v>1.88</v>
      </c>
      <c r="L440">
        <v>15.37</v>
      </c>
    </row>
    <row r="441" spans="1:12" x14ac:dyDescent="0.25">
      <c r="A441">
        <v>1754</v>
      </c>
      <c r="B441">
        <v>1802565182001</v>
      </c>
      <c r="C441" t="s">
        <v>56</v>
      </c>
      <c r="D441" s="1">
        <v>46051</v>
      </c>
      <c r="E441" t="s">
        <v>13</v>
      </c>
      <c r="F441">
        <v>1527</v>
      </c>
      <c r="G441">
        <v>15.37</v>
      </c>
      <c r="H441">
        <v>15</v>
      </c>
      <c r="I441">
        <v>0</v>
      </c>
      <c r="J441">
        <v>2.25</v>
      </c>
      <c r="K441">
        <v>1.88</v>
      </c>
      <c r="L441">
        <v>15.37</v>
      </c>
    </row>
    <row r="442" spans="1:12" x14ac:dyDescent="0.25">
      <c r="A442">
        <v>1754</v>
      </c>
      <c r="B442">
        <v>1802565182001</v>
      </c>
      <c r="C442" t="s">
        <v>56</v>
      </c>
      <c r="D442" s="1">
        <v>46051</v>
      </c>
      <c r="E442" t="s">
        <v>13</v>
      </c>
      <c r="F442">
        <v>1529</v>
      </c>
      <c r="G442">
        <v>10.25</v>
      </c>
      <c r="H442">
        <v>10</v>
      </c>
      <c r="I442">
        <v>0</v>
      </c>
      <c r="J442">
        <v>1.5</v>
      </c>
      <c r="K442">
        <v>1.25</v>
      </c>
      <c r="L442">
        <v>10.25</v>
      </c>
    </row>
    <row r="443" spans="1:12" x14ac:dyDescent="0.25">
      <c r="A443">
        <v>1754</v>
      </c>
      <c r="B443">
        <v>1802565182001</v>
      </c>
      <c r="C443" t="s">
        <v>56</v>
      </c>
      <c r="D443" s="1">
        <v>46052</v>
      </c>
      <c r="E443" t="s">
        <v>13</v>
      </c>
      <c r="F443">
        <v>1531</v>
      </c>
      <c r="G443">
        <v>10.25</v>
      </c>
      <c r="H443">
        <v>10</v>
      </c>
      <c r="I443">
        <v>0</v>
      </c>
      <c r="J443">
        <v>1.5</v>
      </c>
      <c r="K443">
        <v>1.25</v>
      </c>
      <c r="L443">
        <v>10.25</v>
      </c>
    </row>
    <row r="444" spans="1:12" x14ac:dyDescent="0.25">
      <c r="A444">
        <v>1754</v>
      </c>
      <c r="B444">
        <v>1802565182001</v>
      </c>
      <c r="C444" t="s">
        <v>56</v>
      </c>
      <c r="D444" s="1">
        <v>46053</v>
      </c>
      <c r="E444" t="s">
        <v>13</v>
      </c>
      <c r="F444">
        <v>1532</v>
      </c>
      <c r="G444">
        <v>10.25</v>
      </c>
      <c r="H444">
        <v>10</v>
      </c>
      <c r="I444">
        <v>0</v>
      </c>
      <c r="J444">
        <v>1.5</v>
      </c>
      <c r="K444">
        <v>1.25</v>
      </c>
      <c r="L444">
        <v>10.25</v>
      </c>
    </row>
    <row r="445" spans="1:12" x14ac:dyDescent="0.25">
      <c r="A445">
        <v>1455</v>
      </c>
      <c r="B445">
        <v>1802588002001</v>
      </c>
      <c r="C445" t="s">
        <v>57</v>
      </c>
      <c r="D445" s="1">
        <v>46027</v>
      </c>
      <c r="E445" t="s">
        <v>13</v>
      </c>
      <c r="F445">
        <v>3553</v>
      </c>
      <c r="G445">
        <v>5.43</v>
      </c>
      <c r="H445">
        <v>5</v>
      </c>
      <c r="I445">
        <v>0</v>
      </c>
      <c r="J445">
        <v>0.75</v>
      </c>
      <c r="K445">
        <v>0.32</v>
      </c>
      <c r="L445">
        <v>5.43</v>
      </c>
    </row>
    <row r="446" spans="1:12" x14ac:dyDescent="0.25">
      <c r="A446">
        <v>1455</v>
      </c>
      <c r="B446">
        <v>1802588002001</v>
      </c>
      <c r="C446" t="s">
        <v>57</v>
      </c>
      <c r="D446" s="1">
        <v>46037</v>
      </c>
      <c r="E446" t="s">
        <v>13</v>
      </c>
      <c r="F446">
        <v>3567</v>
      </c>
      <c r="G446">
        <v>97.87</v>
      </c>
      <c r="H446">
        <v>90</v>
      </c>
      <c r="I446">
        <v>0</v>
      </c>
      <c r="J446">
        <v>13.5</v>
      </c>
      <c r="K446">
        <v>5.63</v>
      </c>
      <c r="L446">
        <v>97.87</v>
      </c>
    </row>
    <row r="447" spans="1:12" x14ac:dyDescent="0.25">
      <c r="A447">
        <v>1455</v>
      </c>
      <c r="B447">
        <v>1802588002001</v>
      </c>
      <c r="C447" t="s">
        <v>57</v>
      </c>
      <c r="D447" s="1">
        <v>46045</v>
      </c>
      <c r="E447" t="s">
        <v>13</v>
      </c>
      <c r="F447">
        <v>3585</v>
      </c>
      <c r="G447">
        <v>16.309999999999999</v>
      </c>
      <c r="H447">
        <v>15</v>
      </c>
      <c r="I447">
        <v>0</v>
      </c>
      <c r="J447">
        <v>2.25</v>
      </c>
      <c r="K447">
        <v>0.94</v>
      </c>
      <c r="L447">
        <v>16.309999999999999</v>
      </c>
    </row>
    <row r="448" spans="1:12" x14ac:dyDescent="0.25">
      <c r="A448">
        <v>1455</v>
      </c>
      <c r="B448">
        <v>1802588002001</v>
      </c>
      <c r="C448" t="s">
        <v>57</v>
      </c>
      <c r="D448" s="1">
        <v>46045</v>
      </c>
      <c r="E448" t="s">
        <v>13</v>
      </c>
      <c r="F448">
        <v>3580</v>
      </c>
      <c r="G448">
        <v>65.25</v>
      </c>
      <c r="H448">
        <v>60</v>
      </c>
      <c r="I448">
        <v>0</v>
      </c>
      <c r="J448">
        <v>9</v>
      </c>
      <c r="K448">
        <v>3.75</v>
      </c>
      <c r="L448">
        <v>65.25</v>
      </c>
    </row>
    <row r="449" spans="1:12" x14ac:dyDescent="0.25">
      <c r="A449">
        <v>1455</v>
      </c>
      <c r="B449">
        <v>1802588002001</v>
      </c>
      <c r="C449" t="s">
        <v>57</v>
      </c>
      <c r="D449" s="1">
        <v>46045</v>
      </c>
      <c r="E449" t="s">
        <v>13</v>
      </c>
      <c r="F449">
        <v>3579</v>
      </c>
      <c r="G449">
        <v>65.25</v>
      </c>
      <c r="H449">
        <v>60</v>
      </c>
      <c r="I449">
        <v>0</v>
      </c>
      <c r="J449">
        <v>9</v>
      </c>
      <c r="K449">
        <v>3.75</v>
      </c>
      <c r="L449">
        <v>65.25</v>
      </c>
    </row>
    <row r="450" spans="1:12" x14ac:dyDescent="0.25">
      <c r="A450">
        <v>59</v>
      </c>
      <c r="B450">
        <v>1802676997001</v>
      </c>
      <c r="C450" t="s">
        <v>58</v>
      </c>
      <c r="D450" s="1">
        <v>46028</v>
      </c>
      <c r="E450" t="s">
        <v>13</v>
      </c>
      <c r="F450">
        <v>382</v>
      </c>
      <c r="G450">
        <v>836.05</v>
      </c>
      <c r="H450">
        <v>768.78</v>
      </c>
      <c r="I450">
        <v>0</v>
      </c>
      <c r="J450">
        <v>115.32</v>
      </c>
      <c r="K450">
        <v>48.05</v>
      </c>
      <c r="L450">
        <v>836.05</v>
      </c>
    </row>
    <row r="451" spans="1:12" x14ac:dyDescent="0.25">
      <c r="A451">
        <v>59</v>
      </c>
      <c r="B451">
        <v>1802676997001</v>
      </c>
      <c r="C451" t="s">
        <v>58</v>
      </c>
      <c r="D451" s="1">
        <v>46029</v>
      </c>
      <c r="E451" t="s">
        <v>13</v>
      </c>
      <c r="F451">
        <v>383</v>
      </c>
      <c r="G451">
        <v>460.4</v>
      </c>
      <c r="H451">
        <v>423.36</v>
      </c>
      <c r="I451">
        <v>0</v>
      </c>
      <c r="J451">
        <v>63.5</v>
      </c>
      <c r="K451">
        <v>26.46</v>
      </c>
      <c r="L451">
        <v>460.4</v>
      </c>
    </row>
    <row r="452" spans="1:12" x14ac:dyDescent="0.25">
      <c r="A452">
        <v>59</v>
      </c>
      <c r="B452">
        <v>1802676997001</v>
      </c>
      <c r="C452" t="s">
        <v>58</v>
      </c>
      <c r="D452" s="1">
        <v>46036</v>
      </c>
      <c r="E452" t="s">
        <v>13</v>
      </c>
      <c r="F452">
        <v>386</v>
      </c>
      <c r="G452">
        <v>839.2</v>
      </c>
      <c r="H452">
        <v>771.68</v>
      </c>
      <c r="I452">
        <v>0</v>
      </c>
      <c r="J452">
        <v>115.75</v>
      </c>
      <c r="K452">
        <v>48.23</v>
      </c>
      <c r="L452">
        <v>839.2</v>
      </c>
    </row>
    <row r="453" spans="1:12" x14ac:dyDescent="0.25">
      <c r="A453">
        <v>59</v>
      </c>
      <c r="B453">
        <v>1802676997001</v>
      </c>
      <c r="C453" t="s">
        <v>58</v>
      </c>
      <c r="D453" s="1">
        <v>46045</v>
      </c>
      <c r="E453" t="s">
        <v>13</v>
      </c>
      <c r="F453">
        <v>392</v>
      </c>
      <c r="G453">
        <v>533.80999999999995</v>
      </c>
      <c r="H453">
        <v>490.86</v>
      </c>
      <c r="I453">
        <v>0</v>
      </c>
      <c r="J453">
        <v>73.63</v>
      </c>
      <c r="K453">
        <v>30.68</v>
      </c>
      <c r="L453">
        <v>533.80999999999995</v>
      </c>
    </row>
    <row r="454" spans="1:12" x14ac:dyDescent="0.25">
      <c r="A454">
        <v>59</v>
      </c>
      <c r="B454">
        <v>1802676997001</v>
      </c>
      <c r="C454" t="s">
        <v>58</v>
      </c>
      <c r="D454" s="1">
        <v>46050</v>
      </c>
      <c r="E454" t="s">
        <v>13</v>
      </c>
      <c r="F454">
        <v>394</v>
      </c>
      <c r="G454">
        <v>885.59</v>
      </c>
      <c r="H454">
        <v>814.34</v>
      </c>
      <c r="I454">
        <v>0</v>
      </c>
      <c r="J454">
        <v>122.15</v>
      </c>
      <c r="K454">
        <v>50.9</v>
      </c>
      <c r="L454">
        <v>885.59</v>
      </c>
    </row>
    <row r="455" spans="1:12" x14ac:dyDescent="0.25">
      <c r="A455">
        <v>739</v>
      </c>
      <c r="B455">
        <v>1802740876001</v>
      </c>
      <c r="C455" t="s">
        <v>59</v>
      </c>
      <c r="D455" s="1">
        <v>46031</v>
      </c>
      <c r="E455" t="s">
        <v>13</v>
      </c>
      <c r="F455">
        <v>360</v>
      </c>
      <c r="G455">
        <v>58.8</v>
      </c>
      <c r="H455">
        <v>0</v>
      </c>
      <c r="I455">
        <v>60</v>
      </c>
      <c r="J455">
        <v>0</v>
      </c>
      <c r="K455">
        <v>1.2</v>
      </c>
      <c r="L455">
        <v>58.8</v>
      </c>
    </row>
    <row r="456" spans="1:12" x14ac:dyDescent="0.25">
      <c r="A456">
        <v>739</v>
      </c>
      <c r="B456">
        <v>1802740876001</v>
      </c>
      <c r="C456" t="s">
        <v>59</v>
      </c>
      <c r="D456" s="1">
        <v>46041</v>
      </c>
      <c r="E456" t="s">
        <v>13</v>
      </c>
      <c r="F456">
        <v>366</v>
      </c>
      <c r="G456">
        <v>43.12</v>
      </c>
      <c r="H456">
        <v>0</v>
      </c>
      <c r="I456">
        <v>44</v>
      </c>
      <c r="J456">
        <v>0</v>
      </c>
      <c r="K456">
        <v>0.88</v>
      </c>
      <c r="L456">
        <v>43.12</v>
      </c>
    </row>
    <row r="457" spans="1:12" x14ac:dyDescent="0.25">
      <c r="A457">
        <v>739</v>
      </c>
      <c r="B457">
        <v>1802740876001</v>
      </c>
      <c r="C457" t="s">
        <v>59</v>
      </c>
      <c r="D457" s="1">
        <v>46041</v>
      </c>
      <c r="E457" t="s">
        <v>13</v>
      </c>
      <c r="F457">
        <v>367</v>
      </c>
      <c r="G457">
        <v>23.52</v>
      </c>
      <c r="H457">
        <v>0</v>
      </c>
      <c r="I457">
        <v>24</v>
      </c>
      <c r="J457">
        <v>0</v>
      </c>
      <c r="K457">
        <v>0.48</v>
      </c>
      <c r="L457">
        <v>23.52</v>
      </c>
    </row>
    <row r="458" spans="1:12" x14ac:dyDescent="0.25">
      <c r="A458">
        <v>739</v>
      </c>
      <c r="B458">
        <v>1802740876001</v>
      </c>
      <c r="C458" t="s">
        <v>59</v>
      </c>
      <c r="D458" s="1">
        <v>46048</v>
      </c>
      <c r="E458" t="s">
        <v>13</v>
      </c>
      <c r="F458">
        <v>372</v>
      </c>
      <c r="G458">
        <v>23.52</v>
      </c>
      <c r="H458">
        <v>0</v>
      </c>
      <c r="I458">
        <v>24</v>
      </c>
      <c r="J458">
        <v>0</v>
      </c>
      <c r="K458">
        <v>0.48</v>
      </c>
      <c r="L458">
        <v>23.52</v>
      </c>
    </row>
    <row r="459" spans="1:12" x14ac:dyDescent="0.25">
      <c r="A459">
        <v>533</v>
      </c>
      <c r="B459">
        <v>1802955151001</v>
      </c>
      <c r="C459" t="s">
        <v>60</v>
      </c>
      <c r="D459" s="1">
        <v>46035</v>
      </c>
      <c r="E459" t="s">
        <v>13</v>
      </c>
      <c r="F459">
        <v>2759</v>
      </c>
      <c r="G459" s="2">
        <v>1618.72</v>
      </c>
      <c r="H459" s="2">
        <v>1488.48</v>
      </c>
      <c r="I459">
        <v>0</v>
      </c>
      <c r="J459">
        <v>223.27</v>
      </c>
      <c r="K459">
        <v>93.03</v>
      </c>
      <c r="L459" s="2">
        <v>1618.72</v>
      </c>
    </row>
    <row r="460" spans="1:12" x14ac:dyDescent="0.25">
      <c r="A460">
        <v>533</v>
      </c>
      <c r="B460">
        <v>1802955151001</v>
      </c>
      <c r="C460" t="s">
        <v>60</v>
      </c>
      <c r="D460" s="1">
        <v>46051</v>
      </c>
      <c r="E460" t="s">
        <v>13</v>
      </c>
      <c r="F460">
        <v>2810</v>
      </c>
      <c r="G460">
        <v>295.51</v>
      </c>
      <c r="H460">
        <v>271.74</v>
      </c>
      <c r="I460">
        <v>0</v>
      </c>
      <c r="J460">
        <v>40.76</v>
      </c>
      <c r="K460">
        <v>16.989999999999998</v>
      </c>
      <c r="L460">
        <v>295.51</v>
      </c>
    </row>
    <row r="461" spans="1:12" x14ac:dyDescent="0.25">
      <c r="A461">
        <v>533</v>
      </c>
      <c r="B461">
        <v>1802955151001</v>
      </c>
      <c r="C461" t="s">
        <v>60</v>
      </c>
      <c r="D461" s="1">
        <v>46052</v>
      </c>
      <c r="E461" t="s">
        <v>13</v>
      </c>
      <c r="F461">
        <v>2818</v>
      </c>
      <c r="G461">
        <v>522</v>
      </c>
      <c r="H461">
        <v>480</v>
      </c>
      <c r="I461">
        <v>0</v>
      </c>
      <c r="J461">
        <v>72</v>
      </c>
      <c r="K461">
        <v>30</v>
      </c>
      <c r="L461">
        <v>522</v>
      </c>
    </row>
    <row r="462" spans="1:12" x14ac:dyDescent="0.25">
      <c r="A462">
        <v>1110</v>
      </c>
      <c r="B462">
        <v>1803039534001</v>
      </c>
      <c r="C462" t="s">
        <v>61</v>
      </c>
      <c r="D462" s="1">
        <v>46027</v>
      </c>
      <c r="E462" t="s">
        <v>13</v>
      </c>
      <c r="F462">
        <v>6232</v>
      </c>
      <c r="G462">
        <v>42.56</v>
      </c>
      <c r="H462">
        <v>39.130000000000003</v>
      </c>
      <c r="I462">
        <v>0</v>
      </c>
      <c r="J462">
        <v>5.87</v>
      </c>
      <c r="K462">
        <v>2.44</v>
      </c>
      <c r="L462">
        <v>42.56</v>
      </c>
    </row>
    <row r="463" spans="1:12" x14ac:dyDescent="0.25">
      <c r="A463">
        <v>1110</v>
      </c>
      <c r="B463">
        <v>1803039534001</v>
      </c>
      <c r="C463" t="s">
        <v>61</v>
      </c>
      <c r="D463" s="1">
        <v>46028</v>
      </c>
      <c r="E463" t="s">
        <v>13</v>
      </c>
      <c r="F463">
        <v>6231</v>
      </c>
      <c r="G463">
        <v>26.74</v>
      </c>
      <c r="H463">
        <v>26.09</v>
      </c>
      <c r="I463">
        <v>0</v>
      </c>
      <c r="J463">
        <v>3.91</v>
      </c>
      <c r="K463">
        <v>3.26</v>
      </c>
      <c r="L463">
        <v>26.74</v>
      </c>
    </row>
    <row r="464" spans="1:12" x14ac:dyDescent="0.25">
      <c r="A464">
        <v>492</v>
      </c>
      <c r="B464">
        <v>1803339124001</v>
      </c>
      <c r="C464" t="s">
        <v>62</v>
      </c>
      <c r="D464" s="1">
        <v>46041</v>
      </c>
      <c r="E464" t="s">
        <v>13</v>
      </c>
      <c r="F464">
        <v>9674</v>
      </c>
      <c r="G464">
        <v>397.18</v>
      </c>
      <c r="H464">
        <v>365.22</v>
      </c>
      <c r="I464">
        <v>0</v>
      </c>
      <c r="J464">
        <v>54.78</v>
      </c>
      <c r="K464">
        <v>22.82</v>
      </c>
      <c r="L464">
        <v>397.18</v>
      </c>
    </row>
    <row r="465" spans="1:12" x14ac:dyDescent="0.25">
      <c r="A465">
        <v>1494</v>
      </c>
      <c r="B465">
        <v>1803347317001</v>
      </c>
      <c r="C465" t="s">
        <v>63</v>
      </c>
      <c r="D465" s="1">
        <v>46044</v>
      </c>
      <c r="E465" t="s">
        <v>13</v>
      </c>
      <c r="F465">
        <v>627</v>
      </c>
      <c r="G465">
        <v>199.04</v>
      </c>
      <c r="H465">
        <v>0</v>
      </c>
      <c r="I465">
        <v>201.05</v>
      </c>
      <c r="J465">
        <v>0</v>
      </c>
      <c r="K465">
        <v>2.0099999999999998</v>
      </c>
      <c r="L465">
        <v>199.04</v>
      </c>
    </row>
    <row r="466" spans="1:12" x14ac:dyDescent="0.25">
      <c r="A466">
        <v>1418</v>
      </c>
      <c r="B466">
        <v>1803450749001</v>
      </c>
      <c r="C466" t="s">
        <v>64</v>
      </c>
      <c r="D466" s="1">
        <v>46049</v>
      </c>
      <c r="E466" t="s">
        <v>13</v>
      </c>
      <c r="F466">
        <v>4714</v>
      </c>
      <c r="G466">
        <v>4.9000000000000004</v>
      </c>
      <c r="H466">
        <v>0</v>
      </c>
      <c r="I466">
        <v>5</v>
      </c>
      <c r="J466">
        <v>0</v>
      </c>
      <c r="K466">
        <v>0.1</v>
      </c>
      <c r="L466">
        <v>4.9000000000000004</v>
      </c>
    </row>
    <row r="467" spans="1:12" x14ac:dyDescent="0.25">
      <c r="A467">
        <v>794</v>
      </c>
      <c r="B467">
        <v>1803451952001</v>
      </c>
      <c r="C467" t="s">
        <v>65</v>
      </c>
      <c r="D467" s="1">
        <v>46036</v>
      </c>
      <c r="E467" t="s">
        <v>13</v>
      </c>
      <c r="F467">
        <v>1347</v>
      </c>
      <c r="G467">
        <v>103.31</v>
      </c>
      <c r="H467">
        <v>95</v>
      </c>
      <c r="I467">
        <v>0</v>
      </c>
      <c r="J467">
        <v>14.25</v>
      </c>
      <c r="K467">
        <v>5.94</v>
      </c>
      <c r="L467">
        <v>103.31</v>
      </c>
    </row>
    <row r="468" spans="1:12" x14ac:dyDescent="0.25">
      <c r="A468">
        <v>794</v>
      </c>
      <c r="B468">
        <v>1803451952001</v>
      </c>
      <c r="C468" t="s">
        <v>65</v>
      </c>
      <c r="D468" s="1">
        <v>46036</v>
      </c>
      <c r="E468" t="s">
        <v>13</v>
      </c>
      <c r="F468">
        <v>1346</v>
      </c>
      <c r="G468">
        <v>70.36</v>
      </c>
      <c r="H468">
        <v>68.64</v>
      </c>
      <c r="I468">
        <v>0</v>
      </c>
      <c r="J468">
        <v>10.3</v>
      </c>
      <c r="K468">
        <v>8.58</v>
      </c>
      <c r="L468">
        <v>70.36</v>
      </c>
    </row>
    <row r="469" spans="1:12" x14ac:dyDescent="0.25">
      <c r="A469">
        <v>794</v>
      </c>
      <c r="B469">
        <v>1803451952001</v>
      </c>
      <c r="C469" t="s">
        <v>65</v>
      </c>
      <c r="D469" s="1">
        <v>46036</v>
      </c>
      <c r="E469" t="s">
        <v>13</v>
      </c>
      <c r="F469">
        <v>1345</v>
      </c>
      <c r="G469">
        <v>196.3</v>
      </c>
      <c r="H469">
        <v>180.5</v>
      </c>
      <c r="I469">
        <v>0</v>
      </c>
      <c r="J469">
        <v>27.08</v>
      </c>
      <c r="K469">
        <v>11.28</v>
      </c>
      <c r="L469">
        <v>196.3</v>
      </c>
    </row>
    <row r="470" spans="1:12" x14ac:dyDescent="0.25">
      <c r="A470">
        <v>794</v>
      </c>
      <c r="B470">
        <v>1803451952001</v>
      </c>
      <c r="C470" t="s">
        <v>65</v>
      </c>
      <c r="D470" s="1">
        <v>46036</v>
      </c>
      <c r="E470" t="s">
        <v>13</v>
      </c>
      <c r="F470">
        <v>1344</v>
      </c>
      <c r="G470">
        <v>123.92</v>
      </c>
      <c r="H470">
        <v>120.9</v>
      </c>
      <c r="I470">
        <v>0</v>
      </c>
      <c r="J470">
        <v>18.14</v>
      </c>
      <c r="K470">
        <v>15.12</v>
      </c>
      <c r="L470">
        <v>123.92</v>
      </c>
    </row>
    <row r="471" spans="1:12" x14ac:dyDescent="0.25">
      <c r="A471">
        <v>794</v>
      </c>
      <c r="B471">
        <v>1803451952001</v>
      </c>
      <c r="C471" t="s">
        <v>65</v>
      </c>
      <c r="D471" s="1">
        <v>46037</v>
      </c>
      <c r="E471" t="s">
        <v>13</v>
      </c>
      <c r="F471">
        <v>1348</v>
      </c>
      <c r="G471">
        <v>55.97</v>
      </c>
      <c r="H471">
        <v>54.6</v>
      </c>
      <c r="I471">
        <v>0</v>
      </c>
      <c r="J471">
        <v>8.19</v>
      </c>
      <c r="K471">
        <v>6.82</v>
      </c>
      <c r="L471">
        <v>55.97</v>
      </c>
    </row>
    <row r="472" spans="1:12" x14ac:dyDescent="0.25">
      <c r="A472">
        <v>794</v>
      </c>
      <c r="B472">
        <v>1803451952001</v>
      </c>
      <c r="C472" t="s">
        <v>65</v>
      </c>
      <c r="D472" s="1">
        <v>46037</v>
      </c>
      <c r="E472" t="s">
        <v>13</v>
      </c>
      <c r="F472">
        <v>1349</v>
      </c>
      <c r="G472">
        <v>46.49</v>
      </c>
      <c r="H472">
        <v>42.75</v>
      </c>
      <c r="I472">
        <v>0</v>
      </c>
      <c r="J472">
        <v>6.41</v>
      </c>
      <c r="K472">
        <v>2.67</v>
      </c>
      <c r="L472">
        <v>46.49</v>
      </c>
    </row>
    <row r="473" spans="1:12" x14ac:dyDescent="0.25">
      <c r="A473">
        <v>1453</v>
      </c>
      <c r="B473">
        <v>1803467222001</v>
      </c>
      <c r="C473" t="s">
        <v>66</v>
      </c>
      <c r="D473" s="1">
        <v>46042</v>
      </c>
      <c r="E473" t="s">
        <v>13</v>
      </c>
      <c r="F473">
        <v>10399</v>
      </c>
      <c r="G473">
        <v>46.12</v>
      </c>
      <c r="H473">
        <v>45</v>
      </c>
      <c r="I473">
        <v>0</v>
      </c>
      <c r="J473">
        <v>6.75</v>
      </c>
      <c r="K473">
        <v>5.63</v>
      </c>
      <c r="L473">
        <v>46.12</v>
      </c>
    </row>
    <row r="474" spans="1:12" x14ac:dyDescent="0.25">
      <c r="A474">
        <v>1453</v>
      </c>
      <c r="B474">
        <v>1803467222001</v>
      </c>
      <c r="C474" t="s">
        <v>66</v>
      </c>
      <c r="D474" s="1">
        <v>46050</v>
      </c>
      <c r="E474" t="s">
        <v>13</v>
      </c>
      <c r="F474">
        <v>10475</v>
      </c>
      <c r="G474">
        <v>46.12</v>
      </c>
      <c r="H474">
        <v>45</v>
      </c>
      <c r="I474">
        <v>0</v>
      </c>
      <c r="J474">
        <v>6.75</v>
      </c>
      <c r="K474">
        <v>5.63</v>
      </c>
      <c r="L474">
        <v>46.12</v>
      </c>
    </row>
    <row r="475" spans="1:12" x14ac:dyDescent="0.25">
      <c r="A475">
        <v>1453</v>
      </c>
      <c r="B475">
        <v>1803467222001</v>
      </c>
      <c r="C475" t="s">
        <v>66</v>
      </c>
      <c r="D475" s="1">
        <v>46050</v>
      </c>
      <c r="E475" t="s">
        <v>13</v>
      </c>
      <c r="F475">
        <v>10474</v>
      </c>
      <c r="G475">
        <v>46.12</v>
      </c>
      <c r="H475">
        <v>45</v>
      </c>
      <c r="I475">
        <v>0</v>
      </c>
      <c r="J475">
        <v>6.75</v>
      </c>
      <c r="K475">
        <v>5.63</v>
      </c>
      <c r="L475">
        <v>46.12</v>
      </c>
    </row>
    <row r="476" spans="1:12" x14ac:dyDescent="0.25">
      <c r="A476">
        <v>1608</v>
      </c>
      <c r="B476">
        <v>1803848058001</v>
      </c>
      <c r="C476" t="s">
        <v>67</v>
      </c>
      <c r="D476" s="1">
        <v>46027</v>
      </c>
      <c r="E476" t="s">
        <v>17</v>
      </c>
      <c r="F476">
        <v>1686</v>
      </c>
      <c r="G476">
        <v>18</v>
      </c>
      <c r="H476">
        <v>0</v>
      </c>
      <c r="I476">
        <v>18</v>
      </c>
      <c r="J476">
        <v>0</v>
      </c>
      <c r="K476">
        <v>0</v>
      </c>
      <c r="L476">
        <v>18</v>
      </c>
    </row>
    <row r="477" spans="1:12" x14ac:dyDescent="0.25">
      <c r="A477">
        <v>1608</v>
      </c>
      <c r="B477">
        <v>1803848058001</v>
      </c>
      <c r="C477" t="s">
        <v>67</v>
      </c>
      <c r="D477" s="1">
        <v>46027</v>
      </c>
      <c r="E477" t="s">
        <v>17</v>
      </c>
      <c r="F477">
        <v>1690</v>
      </c>
      <c r="G477">
        <v>7</v>
      </c>
      <c r="H477">
        <v>0</v>
      </c>
      <c r="I477">
        <v>7</v>
      </c>
      <c r="J477">
        <v>0</v>
      </c>
      <c r="K477">
        <v>0</v>
      </c>
      <c r="L477">
        <v>7</v>
      </c>
    </row>
    <row r="478" spans="1:12" x14ac:dyDescent="0.25">
      <c r="A478">
        <v>1608</v>
      </c>
      <c r="B478">
        <v>1803848058001</v>
      </c>
      <c r="C478" t="s">
        <v>67</v>
      </c>
      <c r="D478" s="1">
        <v>46027</v>
      </c>
      <c r="E478" t="s">
        <v>17</v>
      </c>
      <c r="F478">
        <v>1684</v>
      </c>
      <c r="G478">
        <v>18</v>
      </c>
      <c r="H478">
        <v>0</v>
      </c>
      <c r="I478">
        <v>18</v>
      </c>
      <c r="J478">
        <v>0</v>
      </c>
      <c r="K478">
        <v>0</v>
      </c>
      <c r="L478">
        <v>18</v>
      </c>
    </row>
    <row r="479" spans="1:12" x14ac:dyDescent="0.25">
      <c r="A479">
        <v>1608</v>
      </c>
      <c r="B479">
        <v>1803848058001</v>
      </c>
      <c r="C479" t="s">
        <v>67</v>
      </c>
      <c r="D479" s="1">
        <v>46027</v>
      </c>
      <c r="E479" t="s">
        <v>17</v>
      </c>
      <c r="F479">
        <v>1688</v>
      </c>
      <c r="G479">
        <v>8</v>
      </c>
      <c r="H479">
        <v>0</v>
      </c>
      <c r="I479">
        <v>8</v>
      </c>
      <c r="J479">
        <v>0</v>
      </c>
      <c r="K479">
        <v>0</v>
      </c>
      <c r="L479">
        <v>8</v>
      </c>
    </row>
    <row r="480" spans="1:12" x14ac:dyDescent="0.25">
      <c r="A480">
        <v>1608</v>
      </c>
      <c r="B480">
        <v>1803848058001</v>
      </c>
      <c r="C480" t="s">
        <v>67</v>
      </c>
      <c r="D480" s="1">
        <v>46028</v>
      </c>
      <c r="E480" t="s">
        <v>17</v>
      </c>
      <c r="F480">
        <v>1699</v>
      </c>
      <c r="G480">
        <v>8</v>
      </c>
      <c r="H480">
        <v>0</v>
      </c>
      <c r="I480">
        <v>8</v>
      </c>
      <c r="J480">
        <v>0</v>
      </c>
      <c r="K480">
        <v>0</v>
      </c>
      <c r="L480">
        <v>8</v>
      </c>
    </row>
    <row r="481" spans="1:12" x14ac:dyDescent="0.25">
      <c r="A481">
        <v>1608</v>
      </c>
      <c r="B481">
        <v>1803848058001</v>
      </c>
      <c r="C481" t="s">
        <v>67</v>
      </c>
      <c r="D481" s="1">
        <v>46028</v>
      </c>
      <c r="E481" t="s">
        <v>17</v>
      </c>
      <c r="F481">
        <v>1696</v>
      </c>
      <c r="G481">
        <v>10</v>
      </c>
      <c r="H481">
        <v>0</v>
      </c>
      <c r="I481">
        <v>10</v>
      </c>
      <c r="J481">
        <v>0</v>
      </c>
      <c r="K481">
        <v>0</v>
      </c>
      <c r="L481">
        <v>10</v>
      </c>
    </row>
    <row r="482" spans="1:12" x14ac:dyDescent="0.25">
      <c r="A482">
        <v>1608</v>
      </c>
      <c r="B482">
        <v>1803848058001</v>
      </c>
      <c r="C482" t="s">
        <v>67</v>
      </c>
      <c r="D482" s="1">
        <v>46028</v>
      </c>
      <c r="E482" t="s">
        <v>17</v>
      </c>
      <c r="F482">
        <v>1695</v>
      </c>
      <c r="G482">
        <v>18</v>
      </c>
      <c r="H482">
        <v>0</v>
      </c>
      <c r="I482">
        <v>18</v>
      </c>
      <c r="J482">
        <v>0</v>
      </c>
      <c r="K482">
        <v>0</v>
      </c>
      <c r="L482">
        <v>18</v>
      </c>
    </row>
    <row r="483" spans="1:12" x14ac:dyDescent="0.25">
      <c r="A483">
        <v>1608</v>
      </c>
      <c r="B483">
        <v>1803848058001</v>
      </c>
      <c r="C483" t="s">
        <v>67</v>
      </c>
      <c r="D483" s="1">
        <v>46028</v>
      </c>
      <c r="E483" t="s">
        <v>17</v>
      </c>
      <c r="F483">
        <v>1694</v>
      </c>
      <c r="G483">
        <v>18</v>
      </c>
      <c r="H483">
        <v>0</v>
      </c>
      <c r="I483">
        <v>18</v>
      </c>
      <c r="J483">
        <v>0</v>
      </c>
      <c r="K483">
        <v>0</v>
      </c>
      <c r="L483">
        <v>18</v>
      </c>
    </row>
    <row r="484" spans="1:12" x14ac:dyDescent="0.25">
      <c r="A484">
        <v>1608</v>
      </c>
      <c r="B484">
        <v>1803848058001</v>
      </c>
      <c r="C484" t="s">
        <v>67</v>
      </c>
      <c r="D484" s="1">
        <v>46028</v>
      </c>
      <c r="E484" t="s">
        <v>17</v>
      </c>
      <c r="F484">
        <v>1691</v>
      </c>
      <c r="G484">
        <v>8</v>
      </c>
      <c r="H484">
        <v>0</v>
      </c>
      <c r="I484">
        <v>8</v>
      </c>
      <c r="J484">
        <v>0</v>
      </c>
      <c r="K484">
        <v>0</v>
      </c>
      <c r="L484">
        <v>8</v>
      </c>
    </row>
    <row r="485" spans="1:12" x14ac:dyDescent="0.25">
      <c r="A485">
        <v>1608</v>
      </c>
      <c r="B485">
        <v>1803848058001</v>
      </c>
      <c r="C485" t="s">
        <v>67</v>
      </c>
      <c r="D485" s="1">
        <v>46028</v>
      </c>
      <c r="E485" t="s">
        <v>17</v>
      </c>
      <c r="F485">
        <v>1698</v>
      </c>
      <c r="G485">
        <v>18</v>
      </c>
      <c r="H485">
        <v>0</v>
      </c>
      <c r="I485">
        <v>18</v>
      </c>
      <c r="J485">
        <v>0</v>
      </c>
      <c r="K485">
        <v>0</v>
      </c>
      <c r="L485">
        <v>18</v>
      </c>
    </row>
    <row r="486" spans="1:12" x14ac:dyDescent="0.25">
      <c r="A486">
        <v>1608</v>
      </c>
      <c r="B486">
        <v>1803848058001</v>
      </c>
      <c r="C486" t="s">
        <v>67</v>
      </c>
      <c r="D486" s="1">
        <v>46028</v>
      </c>
      <c r="E486" t="s">
        <v>17</v>
      </c>
      <c r="F486">
        <v>1693</v>
      </c>
      <c r="G486">
        <v>7</v>
      </c>
      <c r="H486">
        <v>0</v>
      </c>
      <c r="I486">
        <v>7</v>
      </c>
      <c r="J486">
        <v>0</v>
      </c>
      <c r="K486">
        <v>0</v>
      </c>
      <c r="L486">
        <v>7</v>
      </c>
    </row>
    <row r="487" spans="1:12" x14ac:dyDescent="0.25">
      <c r="A487">
        <v>1608</v>
      </c>
      <c r="B487">
        <v>1803848058001</v>
      </c>
      <c r="C487" t="s">
        <v>67</v>
      </c>
      <c r="D487" s="1">
        <v>46028</v>
      </c>
      <c r="E487" t="s">
        <v>17</v>
      </c>
      <c r="F487">
        <v>1697</v>
      </c>
      <c r="G487">
        <v>18</v>
      </c>
      <c r="H487">
        <v>0</v>
      </c>
      <c r="I487">
        <v>18</v>
      </c>
      <c r="J487">
        <v>0</v>
      </c>
      <c r="K487">
        <v>0</v>
      </c>
      <c r="L487">
        <v>18</v>
      </c>
    </row>
    <row r="488" spans="1:12" x14ac:dyDescent="0.25">
      <c r="A488">
        <v>1608</v>
      </c>
      <c r="B488">
        <v>1803848058001</v>
      </c>
      <c r="C488" t="s">
        <v>67</v>
      </c>
      <c r="D488" s="1">
        <v>46029</v>
      </c>
      <c r="E488" t="s">
        <v>17</v>
      </c>
      <c r="F488">
        <v>1701</v>
      </c>
      <c r="G488">
        <v>7</v>
      </c>
      <c r="H488">
        <v>0</v>
      </c>
      <c r="I488">
        <v>7</v>
      </c>
      <c r="J488">
        <v>0</v>
      </c>
      <c r="K488">
        <v>0</v>
      </c>
      <c r="L488">
        <v>7</v>
      </c>
    </row>
    <row r="489" spans="1:12" x14ac:dyDescent="0.25">
      <c r="A489">
        <v>1608</v>
      </c>
      <c r="B489">
        <v>1803848058001</v>
      </c>
      <c r="C489" t="s">
        <v>67</v>
      </c>
      <c r="D489" s="1">
        <v>46029</v>
      </c>
      <c r="E489" t="s">
        <v>17</v>
      </c>
      <c r="F489">
        <v>1702</v>
      </c>
      <c r="G489">
        <v>7</v>
      </c>
      <c r="H489">
        <v>0</v>
      </c>
      <c r="I489">
        <v>7</v>
      </c>
      <c r="J489">
        <v>0</v>
      </c>
      <c r="K489">
        <v>0</v>
      </c>
      <c r="L489">
        <v>7</v>
      </c>
    </row>
    <row r="490" spans="1:12" x14ac:dyDescent="0.25">
      <c r="A490">
        <v>1608</v>
      </c>
      <c r="B490">
        <v>1803848058001</v>
      </c>
      <c r="C490" t="s">
        <v>67</v>
      </c>
      <c r="D490" s="1">
        <v>46029</v>
      </c>
      <c r="E490" t="s">
        <v>17</v>
      </c>
      <c r="F490">
        <v>1703</v>
      </c>
      <c r="G490">
        <v>7</v>
      </c>
      <c r="H490">
        <v>0</v>
      </c>
      <c r="I490">
        <v>7</v>
      </c>
      <c r="J490">
        <v>0</v>
      </c>
      <c r="K490">
        <v>0</v>
      </c>
      <c r="L490">
        <v>7</v>
      </c>
    </row>
    <row r="491" spans="1:12" x14ac:dyDescent="0.25">
      <c r="A491">
        <v>1608</v>
      </c>
      <c r="B491">
        <v>1803848058001</v>
      </c>
      <c r="C491" t="s">
        <v>67</v>
      </c>
      <c r="D491" s="1">
        <v>46029</v>
      </c>
      <c r="E491" t="s">
        <v>17</v>
      </c>
      <c r="F491">
        <v>1704</v>
      </c>
      <c r="G491">
        <v>7</v>
      </c>
      <c r="H491">
        <v>0</v>
      </c>
      <c r="I491">
        <v>7</v>
      </c>
      <c r="J491">
        <v>0</v>
      </c>
      <c r="K491">
        <v>0</v>
      </c>
      <c r="L491">
        <v>7</v>
      </c>
    </row>
    <row r="492" spans="1:12" x14ac:dyDescent="0.25">
      <c r="A492">
        <v>1608</v>
      </c>
      <c r="B492">
        <v>1803848058001</v>
      </c>
      <c r="C492" t="s">
        <v>67</v>
      </c>
      <c r="D492" s="1">
        <v>46029</v>
      </c>
      <c r="E492" t="s">
        <v>17</v>
      </c>
      <c r="F492">
        <v>1705</v>
      </c>
      <c r="G492">
        <v>18</v>
      </c>
      <c r="H492">
        <v>0</v>
      </c>
      <c r="I492">
        <v>18</v>
      </c>
      <c r="J492">
        <v>0</v>
      </c>
      <c r="K492">
        <v>0</v>
      </c>
      <c r="L492">
        <v>18</v>
      </c>
    </row>
    <row r="493" spans="1:12" x14ac:dyDescent="0.25">
      <c r="A493">
        <v>1608</v>
      </c>
      <c r="B493">
        <v>1803848058001</v>
      </c>
      <c r="C493" t="s">
        <v>67</v>
      </c>
      <c r="D493" s="1">
        <v>46030</v>
      </c>
      <c r="E493" t="s">
        <v>17</v>
      </c>
      <c r="F493">
        <v>1712</v>
      </c>
      <c r="G493">
        <v>42</v>
      </c>
      <c r="H493">
        <v>0</v>
      </c>
      <c r="I493">
        <v>42</v>
      </c>
      <c r="J493">
        <v>0</v>
      </c>
      <c r="K493">
        <v>0</v>
      </c>
      <c r="L493">
        <v>42</v>
      </c>
    </row>
    <row r="494" spans="1:12" x14ac:dyDescent="0.25">
      <c r="A494">
        <v>1608</v>
      </c>
      <c r="B494">
        <v>1803848058001</v>
      </c>
      <c r="C494" t="s">
        <v>67</v>
      </c>
      <c r="D494" s="1">
        <v>46030</v>
      </c>
      <c r="E494" t="s">
        <v>17</v>
      </c>
      <c r="F494">
        <v>1706</v>
      </c>
      <c r="G494">
        <v>18</v>
      </c>
      <c r="H494">
        <v>0</v>
      </c>
      <c r="I494">
        <v>18</v>
      </c>
      <c r="J494">
        <v>0</v>
      </c>
      <c r="K494">
        <v>0</v>
      </c>
      <c r="L494">
        <v>18</v>
      </c>
    </row>
    <row r="495" spans="1:12" x14ac:dyDescent="0.25">
      <c r="A495">
        <v>1608</v>
      </c>
      <c r="B495">
        <v>1803848058001</v>
      </c>
      <c r="C495" t="s">
        <v>67</v>
      </c>
      <c r="D495" s="1">
        <v>46030</v>
      </c>
      <c r="E495" t="s">
        <v>17</v>
      </c>
      <c r="F495">
        <v>1707</v>
      </c>
      <c r="G495">
        <v>40</v>
      </c>
      <c r="H495">
        <v>0</v>
      </c>
      <c r="I495">
        <v>40</v>
      </c>
      <c r="J495">
        <v>0</v>
      </c>
      <c r="K495">
        <v>0</v>
      </c>
      <c r="L495">
        <v>40</v>
      </c>
    </row>
    <row r="496" spans="1:12" x14ac:dyDescent="0.25">
      <c r="A496">
        <v>1608</v>
      </c>
      <c r="B496">
        <v>1803848058001</v>
      </c>
      <c r="C496" t="s">
        <v>67</v>
      </c>
      <c r="D496" s="1">
        <v>46030</v>
      </c>
      <c r="E496" t="s">
        <v>17</v>
      </c>
      <c r="F496">
        <v>1709</v>
      </c>
      <c r="G496">
        <v>18</v>
      </c>
      <c r="H496">
        <v>0</v>
      </c>
      <c r="I496">
        <v>18</v>
      </c>
      <c r="J496">
        <v>0</v>
      </c>
      <c r="K496">
        <v>0</v>
      </c>
      <c r="L496">
        <v>18</v>
      </c>
    </row>
    <row r="497" spans="1:12" x14ac:dyDescent="0.25">
      <c r="A497">
        <v>1608</v>
      </c>
      <c r="B497">
        <v>1803848058001</v>
      </c>
      <c r="C497" t="s">
        <v>67</v>
      </c>
      <c r="D497" s="1">
        <v>46030</v>
      </c>
      <c r="E497" t="s">
        <v>17</v>
      </c>
      <c r="F497">
        <v>1710</v>
      </c>
      <c r="G497">
        <v>18</v>
      </c>
      <c r="H497">
        <v>0</v>
      </c>
      <c r="I497">
        <v>18</v>
      </c>
      <c r="J497">
        <v>0</v>
      </c>
      <c r="K497">
        <v>0</v>
      </c>
      <c r="L497">
        <v>18</v>
      </c>
    </row>
    <row r="498" spans="1:12" x14ac:dyDescent="0.25">
      <c r="A498">
        <v>1608</v>
      </c>
      <c r="B498">
        <v>1803848058001</v>
      </c>
      <c r="C498" t="s">
        <v>67</v>
      </c>
      <c r="D498" s="1">
        <v>46030</v>
      </c>
      <c r="E498" t="s">
        <v>17</v>
      </c>
      <c r="F498">
        <v>1708</v>
      </c>
      <c r="G498">
        <v>8</v>
      </c>
      <c r="H498">
        <v>0</v>
      </c>
      <c r="I498">
        <v>8</v>
      </c>
      <c r="J498">
        <v>0</v>
      </c>
      <c r="K498">
        <v>0</v>
      </c>
      <c r="L498">
        <v>8</v>
      </c>
    </row>
    <row r="499" spans="1:12" x14ac:dyDescent="0.25">
      <c r="A499">
        <v>1608</v>
      </c>
      <c r="B499">
        <v>1803848058001</v>
      </c>
      <c r="C499" t="s">
        <v>67</v>
      </c>
      <c r="D499" s="1">
        <v>46031</v>
      </c>
      <c r="E499" t="s">
        <v>17</v>
      </c>
      <c r="F499">
        <v>1715</v>
      </c>
      <c r="G499">
        <v>18</v>
      </c>
      <c r="H499">
        <v>0</v>
      </c>
      <c r="I499">
        <v>18</v>
      </c>
      <c r="J499">
        <v>0</v>
      </c>
      <c r="K499">
        <v>0</v>
      </c>
      <c r="L499">
        <v>18</v>
      </c>
    </row>
    <row r="500" spans="1:12" x14ac:dyDescent="0.25">
      <c r="A500">
        <v>1608</v>
      </c>
      <c r="B500">
        <v>1803848058001</v>
      </c>
      <c r="C500" t="s">
        <v>67</v>
      </c>
      <c r="D500" s="1">
        <v>46032</v>
      </c>
      <c r="E500" t="s">
        <v>17</v>
      </c>
      <c r="F500">
        <v>1719</v>
      </c>
      <c r="G500">
        <v>7</v>
      </c>
      <c r="H500">
        <v>0</v>
      </c>
      <c r="I500">
        <v>7</v>
      </c>
      <c r="J500">
        <v>0</v>
      </c>
      <c r="K500">
        <v>0</v>
      </c>
      <c r="L500">
        <v>7</v>
      </c>
    </row>
    <row r="501" spans="1:12" x14ac:dyDescent="0.25">
      <c r="A501">
        <v>1608</v>
      </c>
      <c r="B501">
        <v>1803848058001</v>
      </c>
      <c r="C501" t="s">
        <v>67</v>
      </c>
      <c r="D501" s="1">
        <v>46032</v>
      </c>
      <c r="E501" t="s">
        <v>17</v>
      </c>
      <c r="F501">
        <v>1720</v>
      </c>
      <c r="G501">
        <v>7</v>
      </c>
      <c r="H501">
        <v>0</v>
      </c>
      <c r="I501">
        <v>7</v>
      </c>
      <c r="J501">
        <v>0</v>
      </c>
      <c r="K501">
        <v>0</v>
      </c>
      <c r="L501">
        <v>7</v>
      </c>
    </row>
    <row r="502" spans="1:12" x14ac:dyDescent="0.25">
      <c r="A502">
        <v>1608</v>
      </c>
      <c r="B502">
        <v>1803848058001</v>
      </c>
      <c r="C502" t="s">
        <v>67</v>
      </c>
      <c r="D502" s="1">
        <v>46032</v>
      </c>
      <c r="E502" t="s">
        <v>17</v>
      </c>
      <c r="F502">
        <v>1718</v>
      </c>
      <c r="G502">
        <v>7</v>
      </c>
      <c r="H502">
        <v>0</v>
      </c>
      <c r="I502">
        <v>7</v>
      </c>
      <c r="J502">
        <v>0</v>
      </c>
      <c r="K502">
        <v>0</v>
      </c>
      <c r="L502">
        <v>7</v>
      </c>
    </row>
    <row r="503" spans="1:12" x14ac:dyDescent="0.25">
      <c r="A503">
        <v>1608</v>
      </c>
      <c r="B503">
        <v>1803848058001</v>
      </c>
      <c r="C503" t="s">
        <v>67</v>
      </c>
      <c r="D503" s="1">
        <v>46034</v>
      </c>
      <c r="E503" t="s">
        <v>17</v>
      </c>
      <c r="F503">
        <v>1724</v>
      </c>
      <c r="G503">
        <v>23</v>
      </c>
      <c r="H503">
        <v>0</v>
      </c>
      <c r="I503">
        <v>23</v>
      </c>
      <c r="J503">
        <v>0</v>
      </c>
      <c r="K503">
        <v>0</v>
      </c>
      <c r="L503">
        <v>23</v>
      </c>
    </row>
    <row r="504" spans="1:12" x14ac:dyDescent="0.25">
      <c r="A504">
        <v>1608</v>
      </c>
      <c r="B504">
        <v>1803848058001</v>
      </c>
      <c r="C504" t="s">
        <v>67</v>
      </c>
      <c r="D504" s="1">
        <v>46034</v>
      </c>
      <c r="E504" t="s">
        <v>17</v>
      </c>
      <c r="F504">
        <v>1725</v>
      </c>
      <c r="G504">
        <v>40</v>
      </c>
      <c r="H504">
        <v>0</v>
      </c>
      <c r="I504">
        <v>40</v>
      </c>
      <c r="J504">
        <v>0</v>
      </c>
      <c r="K504">
        <v>0</v>
      </c>
      <c r="L504">
        <v>40</v>
      </c>
    </row>
    <row r="505" spans="1:12" x14ac:dyDescent="0.25">
      <c r="A505">
        <v>1608</v>
      </c>
      <c r="B505">
        <v>1803848058001</v>
      </c>
      <c r="C505" t="s">
        <v>67</v>
      </c>
      <c r="D505" s="1">
        <v>46034</v>
      </c>
      <c r="E505" t="s">
        <v>17</v>
      </c>
      <c r="F505">
        <v>1726</v>
      </c>
      <c r="G505">
        <v>7</v>
      </c>
      <c r="H505">
        <v>0</v>
      </c>
      <c r="I505">
        <v>7</v>
      </c>
      <c r="J505">
        <v>0</v>
      </c>
      <c r="K505">
        <v>0</v>
      </c>
      <c r="L505">
        <v>7</v>
      </c>
    </row>
    <row r="506" spans="1:12" x14ac:dyDescent="0.25">
      <c r="A506">
        <v>1608</v>
      </c>
      <c r="B506">
        <v>1803848058001</v>
      </c>
      <c r="C506" t="s">
        <v>67</v>
      </c>
      <c r="D506" s="1">
        <v>46035</v>
      </c>
      <c r="E506" t="s">
        <v>17</v>
      </c>
      <c r="F506">
        <v>1729</v>
      </c>
      <c r="G506">
        <v>8</v>
      </c>
      <c r="H506">
        <v>0</v>
      </c>
      <c r="I506">
        <v>8</v>
      </c>
      <c r="J506">
        <v>0</v>
      </c>
      <c r="K506">
        <v>0</v>
      </c>
      <c r="L506">
        <v>8</v>
      </c>
    </row>
    <row r="507" spans="1:12" x14ac:dyDescent="0.25">
      <c r="A507">
        <v>1608</v>
      </c>
      <c r="B507">
        <v>1803848058001</v>
      </c>
      <c r="C507" t="s">
        <v>67</v>
      </c>
      <c r="D507" s="1">
        <v>46035</v>
      </c>
      <c r="E507" t="s">
        <v>17</v>
      </c>
      <c r="F507">
        <v>1727</v>
      </c>
      <c r="G507">
        <v>8</v>
      </c>
      <c r="H507">
        <v>0</v>
      </c>
      <c r="I507">
        <v>8</v>
      </c>
      <c r="J507">
        <v>0</v>
      </c>
      <c r="K507">
        <v>0</v>
      </c>
      <c r="L507">
        <v>8</v>
      </c>
    </row>
    <row r="508" spans="1:12" x14ac:dyDescent="0.25">
      <c r="A508">
        <v>1608</v>
      </c>
      <c r="B508">
        <v>1803848058001</v>
      </c>
      <c r="C508" t="s">
        <v>67</v>
      </c>
      <c r="D508" s="1">
        <v>46035</v>
      </c>
      <c r="E508" t="s">
        <v>17</v>
      </c>
      <c r="F508">
        <v>1728</v>
      </c>
      <c r="G508">
        <v>18</v>
      </c>
      <c r="H508">
        <v>0</v>
      </c>
      <c r="I508">
        <v>18</v>
      </c>
      <c r="J508">
        <v>0</v>
      </c>
      <c r="K508">
        <v>0</v>
      </c>
      <c r="L508">
        <v>18</v>
      </c>
    </row>
    <row r="509" spans="1:12" x14ac:dyDescent="0.25">
      <c r="A509">
        <v>1608</v>
      </c>
      <c r="B509">
        <v>1803848058001</v>
      </c>
      <c r="C509" t="s">
        <v>67</v>
      </c>
      <c r="D509" s="1">
        <v>46036</v>
      </c>
      <c r="E509" t="s">
        <v>17</v>
      </c>
      <c r="F509">
        <v>1730</v>
      </c>
      <c r="G509">
        <v>8</v>
      </c>
      <c r="H509">
        <v>0</v>
      </c>
      <c r="I509">
        <v>8</v>
      </c>
      <c r="J509">
        <v>0</v>
      </c>
      <c r="K509">
        <v>0</v>
      </c>
      <c r="L509">
        <v>8</v>
      </c>
    </row>
    <row r="510" spans="1:12" x14ac:dyDescent="0.25">
      <c r="A510">
        <v>1608</v>
      </c>
      <c r="B510">
        <v>1803848058001</v>
      </c>
      <c r="C510" t="s">
        <v>67</v>
      </c>
      <c r="D510" s="1">
        <v>46036</v>
      </c>
      <c r="E510" t="s">
        <v>17</v>
      </c>
      <c r="F510">
        <v>1732</v>
      </c>
      <c r="G510">
        <v>33</v>
      </c>
      <c r="H510">
        <v>0</v>
      </c>
      <c r="I510">
        <v>33</v>
      </c>
      <c r="J510">
        <v>0</v>
      </c>
      <c r="K510">
        <v>0</v>
      </c>
      <c r="L510">
        <v>33</v>
      </c>
    </row>
    <row r="511" spans="1:12" x14ac:dyDescent="0.25">
      <c r="A511">
        <v>1608</v>
      </c>
      <c r="B511">
        <v>1803848058001</v>
      </c>
      <c r="C511" t="s">
        <v>67</v>
      </c>
      <c r="D511" s="1">
        <v>46036</v>
      </c>
      <c r="E511" t="s">
        <v>17</v>
      </c>
      <c r="F511">
        <v>1733</v>
      </c>
      <c r="G511">
        <v>8</v>
      </c>
      <c r="H511">
        <v>0</v>
      </c>
      <c r="I511">
        <v>8</v>
      </c>
      <c r="J511">
        <v>0</v>
      </c>
      <c r="K511">
        <v>0</v>
      </c>
      <c r="L511">
        <v>8</v>
      </c>
    </row>
    <row r="512" spans="1:12" x14ac:dyDescent="0.25">
      <c r="A512">
        <v>1608</v>
      </c>
      <c r="B512">
        <v>1803848058001</v>
      </c>
      <c r="C512" t="s">
        <v>67</v>
      </c>
      <c r="D512" s="1">
        <v>46037</v>
      </c>
      <c r="E512" t="s">
        <v>17</v>
      </c>
      <c r="F512">
        <v>1736</v>
      </c>
      <c r="G512">
        <v>18</v>
      </c>
      <c r="H512">
        <v>0</v>
      </c>
      <c r="I512">
        <v>18</v>
      </c>
      <c r="J512">
        <v>0</v>
      </c>
      <c r="K512">
        <v>0</v>
      </c>
      <c r="L512">
        <v>18</v>
      </c>
    </row>
    <row r="513" spans="1:12" x14ac:dyDescent="0.25">
      <c r="A513">
        <v>1608</v>
      </c>
      <c r="B513">
        <v>1803848058001</v>
      </c>
      <c r="C513" t="s">
        <v>67</v>
      </c>
      <c r="D513" s="1">
        <v>46038</v>
      </c>
      <c r="E513" t="s">
        <v>17</v>
      </c>
      <c r="F513">
        <v>1743</v>
      </c>
      <c r="G513">
        <v>18</v>
      </c>
      <c r="H513">
        <v>0</v>
      </c>
      <c r="I513">
        <v>18</v>
      </c>
      <c r="J513">
        <v>0</v>
      </c>
      <c r="K513">
        <v>0</v>
      </c>
      <c r="L513">
        <v>18</v>
      </c>
    </row>
    <row r="514" spans="1:12" x14ac:dyDescent="0.25">
      <c r="A514">
        <v>1608</v>
      </c>
      <c r="B514">
        <v>1803848058001</v>
      </c>
      <c r="C514" t="s">
        <v>67</v>
      </c>
      <c r="D514" s="1">
        <v>46038</v>
      </c>
      <c r="E514" t="s">
        <v>17</v>
      </c>
      <c r="F514">
        <v>1742</v>
      </c>
      <c r="G514">
        <v>18</v>
      </c>
      <c r="H514">
        <v>0</v>
      </c>
      <c r="I514">
        <v>18</v>
      </c>
      <c r="J514">
        <v>0</v>
      </c>
      <c r="K514">
        <v>0</v>
      </c>
      <c r="L514">
        <v>18</v>
      </c>
    </row>
    <row r="515" spans="1:12" x14ac:dyDescent="0.25">
      <c r="A515">
        <v>1608</v>
      </c>
      <c r="B515">
        <v>1803848058001</v>
      </c>
      <c r="C515" t="s">
        <v>67</v>
      </c>
      <c r="D515" s="1">
        <v>46038</v>
      </c>
      <c r="E515" t="s">
        <v>17</v>
      </c>
      <c r="F515">
        <v>1740</v>
      </c>
      <c r="G515">
        <v>40</v>
      </c>
      <c r="H515">
        <v>0</v>
      </c>
      <c r="I515">
        <v>40</v>
      </c>
      <c r="J515">
        <v>0</v>
      </c>
      <c r="K515">
        <v>0</v>
      </c>
      <c r="L515">
        <v>40</v>
      </c>
    </row>
    <row r="516" spans="1:12" x14ac:dyDescent="0.25">
      <c r="A516">
        <v>1608</v>
      </c>
      <c r="B516">
        <v>1803848058001</v>
      </c>
      <c r="C516" t="s">
        <v>67</v>
      </c>
      <c r="D516" s="1">
        <v>46038</v>
      </c>
      <c r="E516" t="s">
        <v>17</v>
      </c>
      <c r="F516">
        <v>1741</v>
      </c>
      <c r="G516">
        <v>28</v>
      </c>
      <c r="H516">
        <v>0</v>
      </c>
      <c r="I516">
        <v>28</v>
      </c>
      <c r="J516">
        <v>0</v>
      </c>
      <c r="K516">
        <v>0</v>
      </c>
      <c r="L516">
        <v>28</v>
      </c>
    </row>
    <row r="517" spans="1:12" x14ac:dyDescent="0.25">
      <c r="A517">
        <v>1608</v>
      </c>
      <c r="B517">
        <v>1803848058001</v>
      </c>
      <c r="C517" t="s">
        <v>67</v>
      </c>
      <c r="D517" s="1">
        <v>46042</v>
      </c>
      <c r="E517" t="s">
        <v>17</v>
      </c>
      <c r="F517">
        <v>1746</v>
      </c>
      <c r="G517">
        <v>18</v>
      </c>
      <c r="H517">
        <v>0</v>
      </c>
      <c r="I517">
        <v>18</v>
      </c>
      <c r="J517">
        <v>0</v>
      </c>
      <c r="K517">
        <v>0</v>
      </c>
      <c r="L517">
        <v>18</v>
      </c>
    </row>
    <row r="518" spans="1:12" x14ac:dyDescent="0.25">
      <c r="A518">
        <v>1608</v>
      </c>
      <c r="B518">
        <v>1803848058001</v>
      </c>
      <c r="C518" t="s">
        <v>67</v>
      </c>
      <c r="D518" s="1">
        <v>46043</v>
      </c>
      <c r="E518" t="s">
        <v>17</v>
      </c>
      <c r="F518">
        <v>1752</v>
      </c>
      <c r="G518">
        <v>18</v>
      </c>
      <c r="H518">
        <v>0</v>
      </c>
      <c r="I518">
        <v>18</v>
      </c>
      <c r="J518">
        <v>0</v>
      </c>
      <c r="K518">
        <v>0</v>
      </c>
      <c r="L518">
        <v>18</v>
      </c>
    </row>
    <row r="519" spans="1:12" x14ac:dyDescent="0.25">
      <c r="A519">
        <v>1608</v>
      </c>
      <c r="B519">
        <v>1803848058001</v>
      </c>
      <c r="C519" t="s">
        <v>67</v>
      </c>
      <c r="D519" s="1">
        <v>46043</v>
      </c>
      <c r="E519" t="s">
        <v>17</v>
      </c>
      <c r="F519">
        <v>1753</v>
      </c>
      <c r="G519">
        <v>18</v>
      </c>
      <c r="H519">
        <v>0</v>
      </c>
      <c r="I519">
        <v>18</v>
      </c>
      <c r="J519">
        <v>0</v>
      </c>
      <c r="K519">
        <v>0</v>
      </c>
      <c r="L519">
        <v>18</v>
      </c>
    </row>
    <row r="520" spans="1:12" x14ac:dyDescent="0.25">
      <c r="A520">
        <v>1608</v>
      </c>
      <c r="B520">
        <v>1803848058001</v>
      </c>
      <c r="C520" t="s">
        <v>67</v>
      </c>
      <c r="D520" s="1">
        <v>46043</v>
      </c>
      <c r="E520" t="s">
        <v>17</v>
      </c>
      <c r="F520">
        <v>1748</v>
      </c>
      <c r="G520">
        <v>28</v>
      </c>
      <c r="H520">
        <v>0</v>
      </c>
      <c r="I520">
        <v>28</v>
      </c>
      <c r="J520">
        <v>0</v>
      </c>
      <c r="K520">
        <v>0</v>
      </c>
      <c r="L520">
        <v>28</v>
      </c>
    </row>
    <row r="521" spans="1:12" x14ac:dyDescent="0.25">
      <c r="A521">
        <v>1608</v>
      </c>
      <c r="B521">
        <v>1803848058001</v>
      </c>
      <c r="C521" t="s">
        <v>67</v>
      </c>
      <c r="D521" s="1">
        <v>46043</v>
      </c>
      <c r="E521" t="s">
        <v>17</v>
      </c>
      <c r="F521">
        <v>1751</v>
      </c>
      <c r="G521">
        <v>18</v>
      </c>
      <c r="H521">
        <v>0</v>
      </c>
      <c r="I521">
        <v>18</v>
      </c>
      <c r="J521">
        <v>0</v>
      </c>
      <c r="K521">
        <v>0</v>
      </c>
      <c r="L521">
        <v>18</v>
      </c>
    </row>
    <row r="522" spans="1:12" x14ac:dyDescent="0.25">
      <c r="A522">
        <v>1608</v>
      </c>
      <c r="B522">
        <v>1803848058001</v>
      </c>
      <c r="C522" t="s">
        <v>67</v>
      </c>
      <c r="D522" s="1">
        <v>46045</v>
      </c>
      <c r="E522" t="s">
        <v>17</v>
      </c>
      <c r="F522">
        <v>1755</v>
      </c>
      <c r="G522">
        <v>7</v>
      </c>
      <c r="H522">
        <v>0</v>
      </c>
      <c r="I522">
        <v>7</v>
      </c>
      <c r="J522">
        <v>0</v>
      </c>
      <c r="K522">
        <v>0</v>
      </c>
      <c r="L522">
        <v>7</v>
      </c>
    </row>
    <row r="523" spans="1:12" x14ac:dyDescent="0.25">
      <c r="A523">
        <v>1608</v>
      </c>
      <c r="B523">
        <v>1803848058001</v>
      </c>
      <c r="C523" t="s">
        <v>67</v>
      </c>
      <c r="D523" s="1">
        <v>46045</v>
      </c>
      <c r="E523" t="s">
        <v>17</v>
      </c>
      <c r="F523">
        <v>1756</v>
      </c>
      <c r="G523">
        <v>18</v>
      </c>
      <c r="H523">
        <v>0</v>
      </c>
      <c r="I523">
        <v>18</v>
      </c>
      <c r="J523">
        <v>0</v>
      </c>
      <c r="K523">
        <v>0</v>
      </c>
      <c r="L523">
        <v>18</v>
      </c>
    </row>
    <row r="524" spans="1:12" x14ac:dyDescent="0.25">
      <c r="A524">
        <v>1608</v>
      </c>
      <c r="B524">
        <v>1803848058001</v>
      </c>
      <c r="C524" t="s">
        <v>67</v>
      </c>
      <c r="D524" s="1">
        <v>46048</v>
      </c>
      <c r="E524" t="s">
        <v>17</v>
      </c>
      <c r="F524">
        <v>1762</v>
      </c>
      <c r="G524">
        <v>18</v>
      </c>
      <c r="H524">
        <v>0</v>
      </c>
      <c r="I524">
        <v>18</v>
      </c>
      <c r="J524">
        <v>0</v>
      </c>
      <c r="K524">
        <v>0</v>
      </c>
      <c r="L524">
        <v>18</v>
      </c>
    </row>
    <row r="525" spans="1:12" x14ac:dyDescent="0.25">
      <c r="A525">
        <v>1608</v>
      </c>
      <c r="B525">
        <v>1803848058001</v>
      </c>
      <c r="C525" t="s">
        <v>67</v>
      </c>
      <c r="D525" s="1">
        <v>46048</v>
      </c>
      <c r="E525" t="s">
        <v>17</v>
      </c>
      <c r="F525">
        <v>1764</v>
      </c>
      <c r="G525">
        <v>18</v>
      </c>
      <c r="H525">
        <v>0</v>
      </c>
      <c r="I525">
        <v>18</v>
      </c>
      <c r="J525">
        <v>0</v>
      </c>
      <c r="K525">
        <v>0</v>
      </c>
      <c r="L525">
        <v>18</v>
      </c>
    </row>
    <row r="526" spans="1:12" x14ac:dyDescent="0.25">
      <c r="A526">
        <v>1608</v>
      </c>
      <c r="B526">
        <v>1803848058001</v>
      </c>
      <c r="C526" t="s">
        <v>67</v>
      </c>
      <c r="D526" s="1">
        <v>46048</v>
      </c>
      <c r="E526" t="s">
        <v>17</v>
      </c>
      <c r="F526">
        <v>1765</v>
      </c>
      <c r="G526">
        <v>150</v>
      </c>
      <c r="H526">
        <v>0</v>
      </c>
      <c r="I526">
        <v>150</v>
      </c>
      <c r="J526">
        <v>0</v>
      </c>
      <c r="K526">
        <v>0</v>
      </c>
      <c r="L526">
        <v>150</v>
      </c>
    </row>
    <row r="527" spans="1:12" x14ac:dyDescent="0.25">
      <c r="A527">
        <v>1608</v>
      </c>
      <c r="B527">
        <v>1803848058001</v>
      </c>
      <c r="C527" t="s">
        <v>67</v>
      </c>
      <c r="D527" s="1">
        <v>46048</v>
      </c>
      <c r="E527" t="s">
        <v>17</v>
      </c>
      <c r="F527">
        <v>1767</v>
      </c>
      <c r="G527">
        <v>75</v>
      </c>
      <c r="H527">
        <v>0</v>
      </c>
      <c r="I527">
        <v>75</v>
      </c>
      <c r="J527">
        <v>0</v>
      </c>
      <c r="K527">
        <v>0</v>
      </c>
      <c r="L527">
        <v>75</v>
      </c>
    </row>
    <row r="528" spans="1:12" x14ac:dyDescent="0.25">
      <c r="A528">
        <v>1608</v>
      </c>
      <c r="B528">
        <v>1803848058001</v>
      </c>
      <c r="C528" t="s">
        <v>67</v>
      </c>
      <c r="D528" s="1">
        <v>46048</v>
      </c>
      <c r="E528" t="s">
        <v>17</v>
      </c>
      <c r="F528">
        <v>1768</v>
      </c>
      <c r="G528">
        <v>8</v>
      </c>
      <c r="H528">
        <v>0</v>
      </c>
      <c r="I528">
        <v>8</v>
      </c>
      <c r="J528">
        <v>0</v>
      </c>
      <c r="K528">
        <v>0</v>
      </c>
      <c r="L528">
        <v>8</v>
      </c>
    </row>
    <row r="529" spans="1:12" x14ac:dyDescent="0.25">
      <c r="A529">
        <v>1608</v>
      </c>
      <c r="B529">
        <v>1803848058001</v>
      </c>
      <c r="C529" t="s">
        <v>67</v>
      </c>
      <c r="D529" s="1">
        <v>46048</v>
      </c>
      <c r="E529" t="s">
        <v>17</v>
      </c>
      <c r="F529">
        <v>1763</v>
      </c>
      <c r="G529">
        <v>24</v>
      </c>
      <c r="H529">
        <v>0</v>
      </c>
      <c r="I529">
        <v>24</v>
      </c>
      <c r="J529">
        <v>0</v>
      </c>
      <c r="K529">
        <v>0</v>
      </c>
      <c r="L529">
        <v>24</v>
      </c>
    </row>
    <row r="530" spans="1:12" x14ac:dyDescent="0.25">
      <c r="A530">
        <v>1608</v>
      </c>
      <c r="B530">
        <v>1803848058001</v>
      </c>
      <c r="C530" t="s">
        <v>67</v>
      </c>
      <c r="D530" s="1">
        <v>46049</v>
      </c>
      <c r="E530" t="s">
        <v>17</v>
      </c>
      <c r="F530">
        <v>1769</v>
      </c>
      <c r="G530">
        <v>18</v>
      </c>
      <c r="H530">
        <v>0</v>
      </c>
      <c r="I530">
        <v>18</v>
      </c>
      <c r="J530">
        <v>0</v>
      </c>
      <c r="K530">
        <v>0</v>
      </c>
      <c r="L530">
        <v>18</v>
      </c>
    </row>
    <row r="531" spans="1:12" x14ac:dyDescent="0.25">
      <c r="A531">
        <v>1608</v>
      </c>
      <c r="B531">
        <v>1803848058001</v>
      </c>
      <c r="C531" t="s">
        <v>67</v>
      </c>
      <c r="D531" s="1">
        <v>46050</v>
      </c>
      <c r="E531" t="s">
        <v>17</v>
      </c>
      <c r="F531">
        <v>1770</v>
      </c>
      <c r="G531">
        <v>18</v>
      </c>
      <c r="H531">
        <v>0</v>
      </c>
      <c r="I531">
        <v>18</v>
      </c>
      <c r="J531">
        <v>0</v>
      </c>
      <c r="K531">
        <v>0</v>
      </c>
      <c r="L531">
        <v>18</v>
      </c>
    </row>
    <row r="532" spans="1:12" x14ac:dyDescent="0.25">
      <c r="A532">
        <v>1608</v>
      </c>
      <c r="B532">
        <v>1803848058001</v>
      </c>
      <c r="C532" t="s">
        <v>67</v>
      </c>
      <c r="D532" s="1">
        <v>46051</v>
      </c>
      <c r="E532" t="s">
        <v>17</v>
      </c>
      <c r="F532">
        <v>1775</v>
      </c>
      <c r="G532">
        <v>8</v>
      </c>
      <c r="H532">
        <v>0</v>
      </c>
      <c r="I532">
        <v>8</v>
      </c>
      <c r="J532">
        <v>0</v>
      </c>
      <c r="K532">
        <v>0</v>
      </c>
      <c r="L532">
        <v>8</v>
      </c>
    </row>
    <row r="533" spans="1:12" x14ac:dyDescent="0.25">
      <c r="A533">
        <v>1608</v>
      </c>
      <c r="B533">
        <v>1803848058001</v>
      </c>
      <c r="C533" t="s">
        <v>67</v>
      </c>
      <c r="D533" s="1">
        <v>46051</v>
      </c>
      <c r="E533" t="s">
        <v>17</v>
      </c>
      <c r="F533">
        <v>1774</v>
      </c>
      <c r="G533">
        <v>8</v>
      </c>
      <c r="H533">
        <v>0</v>
      </c>
      <c r="I533">
        <v>8</v>
      </c>
      <c r="J533">
        <v>0</v>
      </c>
      <c r="K533">
        <v>0</v>
      </c>
      <c r="L533">
        <v>8</v>
      </c>
    </row>
    <row r="534" spans="1:12" x14ac:dyDescent="0.25">
      <c r="A534">
        <v>1608</v>
      </c>
      <c r="B534">
        <v>1803848058001</v>
      </c>
      <c r="C534" t="s">
        <v>67</v>
      </c>
      <c r="D534" s="1">
        <v>46051</v>
      </c>
      <c r="E534" t="s">
        <v>17</v>
      </c>
      <c r="F534">
        <v>1771</v>
      </c>
      <c r="G534">
        <v>18</v>
      </c>
      <c r="H534">
        <v>0</v>
      </c>
      <c r="I534">
        <v>18</v>
      </c>
      <c r="J534">
        <v>0</v>
      </c>
      <c r="K534">
        <v>0</v>
      </c>
      <c r="L534">
        <v>18</v>
      </c>
    </row>
    <row r="535" spans="1:12" x14ac:dyDescent="0.25">
      <c r="A535">
        <v>1608</v>
      </c>
      <c r="B535">
        <v>1803848058001</v>
      </c>
      <c r="C535" t="s">
        <v>67</v>
      </c>
      <c r="D535" s="1">
        <v>46051</v>
      </c>
      <c r="E535" t="s">
        <v>17</v>
      </c>
      <c r="F535">
        <v>1772</v>
      </c>
      <c r="G535">
        <v>7</v>
      </c>
      <c r="H535">
        <v>0</v>
      </c>
      <c r="I535">
        <v>7</v>
      </c>
      <c r="J535">
        <v>0</v>
      </c>
      <c r="K535">
        <v>0</v>
      </c>
      <c r="L535">
        <v>7</v>
      </c>
    </row>
    <row r="536" spans="1:12" x14ac:dyDescent="0.25">
      <c r="A536">
        <v>1608</v>
      </c>
      <c r="B536">
        <v>1803848058001</v>
      </c>
      <c r="C536" t="s">
        <v>67</v>
      </c>
      <c r="D536" s="1">
        <v>46052</v>
      </c>
      <c r="E536" t="s">
        <v>17</v>
      </c>
      <c r="F536">
        <v>1776</v>
      </c>
      <c r="G536">
        <v>7</v>
      </c>
      <c r="H536">
        <v>0</v>
      </c>
      <c r="I536">
        <v>7</v>
      </c>
      <c r="J536">
        <v>0</v>
      </c>
      <c r="K536">
        <v>0</v>
      </c>
      <c r="L536">
        <v>7</v>
      </c>
    </row>
    <row r="537" spans="1:12" x14ac:dyDescent="0.25">
      <c r="A537">
        <v>1608</v>
      </c>
      <c r="B537">
        <v>1803848058001</v>
      </c>
      <c r="C537" t="s">
        <v>67</v>
      </c>
      <c r="D537" s="1">
        <v>46052</v>
      </c>
      <c r="E537" t="s">
        <v>17</v>
      </c>
      <c r="F537">
        <v>1780</v>
      </c>
      <c r="G537">
        <v>18</v>
      </c>
      <c r="H537">
        <v>0</v>
      </c>
      <c r="I537">
        <v>18</v>
      </c>
      <c r="J537">
        <v>0</v>
      </c>
      <c r="K537">
        <v>0</v>
      </c>
      <c r="L537">
        <v>18</v>
      </c>
    </row>
    <row r="538" spans="1:12" x14ac:dyDescent="0.25">
      <c r="A538">
        <v>1608</v>
      </c>
      <c r="B538">
        <v>1803848058001</v>
      </c>
      <c r="C538" t="s">
        <v>67</v>
      </c>
      <c r="D538" s="1">
        <v>46052</v>
      </c>
      <c r="E538" t="s">
        <v>17</v>
      </c>
      <c r="F538">
        <v>1779</v>
      </c>
      <c r="G538">
        <v>7</v>
      </c>
      <c r="H538">
        <v>0</v>
      </c>
      <c r="I538">
        <v>7</v>
      </c>
      <c r="J538">
        <v>0</v>
      </c>
      <c r="K538">
        <v>0</v>
      </c>
      <c r="L538">
        <v>7</v>
      </c>
    </row>
    <row r="539" spans="1:12" x14ac:dyDescent="0.25">
      <c r="A539">
        <v>1608</v>
      </c>
      <c r="B539">
        <v>1803848058001</v>
      </c>
      <c r="C539" t="s">
        <v>67</v>
      </c>
      <c r="D539" s="1">
        <v>46052</v>
      </c>
      <c r="E539" t="s">
        <v>17</v>
      </c>
      <c r="F539">
        <v>1778</v>
      </c>
      <c r="G539">
        <v>18</v>
      </c>
      <c r="H539">
        <v>0</v>
      </c>
      <c r="I539">
        <v>18</v>
      </c>
      <c r="J539">
        <v>0</v>
      </c>
      <c r="K539">
        <v>0</v>
      </c>
      <c r="L539">
        <v>18</v>
      </c>
    </row>
    <row r="540" spans="1:12" x14ac:dyDescent="0.25">
      <c r="A540">
        <v>1608</v>
      </c>
      <c r="B540">
        <v>1803848058001</v>
      </c>
      <c r="C540" t="s">
        <v>67</v>
      </c>
      <c r="D540" s="1">
        <v>46052</v>
      </c>
      <c r="E540" t="s">
        <v>17</v>
      </c>
      <c r="F540">
        <v>1777</v>
      </c>
      <c r="G540">
        <v>7</v>
      </c>
      <c r="H540">
        <v>0</v>
      </c>
      <c r="I540">
        <v>7</v>
      </c>
      <c r="J540">
        <v>0</v>
      </c>
      <c r="K540">
        <v>0</v>
      </c>
      <c r="L540">
        <v>7</v>
      </c>
    </row>
    <row r="541" spans="1:12" x14ac:dyDescent="0.25">
      <c r="A541">
        <v>1608</v>
      </c>
      <c r="B541">
        <v>1803848058001</v>
      </c>
      <c r="C541" t="s">
        <v>67</v>
      </c>
      <c r="D541" s="1">
        <v>46053</v>
      </c>
      <c r="E541" t="s">
        <v>17</v>
      </c>
      <c r="F541">
        <v>1781</v>
      </c>
      <c r="G541">
        <v>7</v>
      </c>
      <c r="H541">
        <v>0</v>
      </c>
      <c r="I541">
        <v>7</v>
      </c>
      <c r="J541">
        <v>0</v>
      </c>
      <c r="K541">
        <v>0</v>
      </c>
      <c r="L541">
        <v>7</v>
      </c>
    </row>
    <row r="542" spans="1:12" x14ac:dyDescent="0.25">
      <c r="A542">
        <v>1601</v>
      </c>
      <c r="B542">
        <v>1803940533001</v>
      </c>
      <c r="C542" t="s">
        <v>68</v>
      </c>
      <c r="D542" s="1">
        <v>46027</v>
      </c>
      <c r="E542" t="s">
        <v>17</v>
      </c>
      <c r="F542">
        <v>1190</v>
      </c>
      <c r="G542">
        <v>37</v>
      </c>
      <c r="H542">
        <v>0</v>
      </c>
      <c r="I542">
        <v>37</v>
      </c>
      <c r="J542">
        <v>0</v>
      </c>
      <c r="K542">
        <v>0</v>
      </c>
      <c r="L542">
        <v>37</v>
      </c>
    </row>
    <row r="543" spans="1:12" x14ac:dyDescent="0.25">
      <c r="A543">
        <v>1601</v>
      </c>
      <c r="B543">
        <v>1803940533001</v>
      </c>
      <c r="C543" t="s">
        <v>68</v>
      </c>
      <c r="D543" s="1">
        <v>46028</v>
      </c>
      <c r="E543" t="s">
        <v>17</v>
      </c>
      <c r="F543">
        <v>1191</v>
      </c>
      <c r="G543">
        <v>20</v>
      </c>
      <c r="H543">
        <v>0</v>
      </c>
      <c r="I543">
        <v>20</v>
      </c>
      <c r="J543">
        <v>0</v>
      </c>
      <c r="K543">
        <v>0</v>
      </c>
      <c r="L543">
        <v>20</v>
      </c>
    </row>
    <row r="544" spans="1:12" x14ac:dyDescent="0.25">
      <c r="A544">
        <v>1601</v>
      </c>
      <c r="B544">
        <v>1803940533001</v>
      </c>
      <c r="C544" t="s">
        <v>68</v>
      </c>
      <c r="D544" s="1">
        <v>46028</v>
      </c>
      <c r="E544" t="s">
        <v>17</v>
      </c>
      <c r="F544">
        <v>1193</v>
      </c>
      <c r="G544">
        <v>30</v>
      </c>
      <c r="H544">
        <v>0</v>
      </c>
      <c r="I544">
        <v>30</v>
      </c>
      <c r="J544">
        <v>0</v>
      </c>
      <c r="K544">
        <v>0</v>
      </c>
      <c r="L544">
        <v>30</v>
      </c>
    </row>
    <row r="545" spans="1:12" x14ac:dyDescent="0.25">
      <c r="A545">
        <v>1601</v>
      </c>
      <c r="B545">
        <v>1803940533001</v>
      </c>
      <c r="C545" t="s">
        <v>68</v>
      </c>
      <c r="D545" s="1">
        <v>46028</v>
      </c>
      <c r="E545" t="s">
        <v>17</v>
      </c>
      <c r="F545">
        <v>1194</v>
      </c>
      <c r="G545">
        <v>20</v>
      </c>
      <c r="H545">
        <v>0</v>
      </c>
      <c r="I545">
        <v>20</v>
      </c>
      <c r="J545">
        <v>0</v>
      </c>
      <c r="K545">
        <v>0</v>
      </c>
      <c r="L545">
        <v>20</v>
      </c>
    </row>
    <row r="546" spans="1:12" x14ac:dyDescent="0.25">
      <c r="A546">
        <v>1601</v>
      </c>
      <c r="B546">
        <v>1803940533001</v>
      </c>
      <c r="C546" t="s">
        <v>68</v>
      </c>
      <c r="D546" s="1">
        <v>46028</v>
      </c>
      <c r="E546" t="s">
        <v>17</v>
      </c>
      <c r="F546">
        <v>1192</v>
      </c>
      <c r="G546">
        <v>11</v>
      </c>
      <c r="H546">
        <v>0</v>
      </c>
      <c r="I546">
        <v>11</v>
      </c>
      <c r="J546">
        <v>0</v>
      </c>
      <c r="K546">
        <v>0</v>
      </c>
      <c r="L546">
        <v>11</v>
      </c>
    </row>
    <row r="547" spans="1:12" x14ac:dyDescent="0.25">
      <c r="A547">
        <v>1601</v>
      </c>
      <c r="B547">
        <v>1803940533001</v>
      </c>
      <c r="C547" t="s">
        <v>68</v>
      </c>
      <c r="D547" s="1">
        <v>46028</v>
      </c>
      <c r="E547" t="s">
        <v>17</v>
      </c>
      <c r="F547">
        <v>1195</v>
      </c>
      <c r="G547">
        <v>20</v>
      </c>
      <c r="H547">
        <v>0</v>
      </c>
      <c r="I547">
        <v>20</v>
      </c>
      <c r="J547">
        <v>0</v>
      </c>
      <c r="K547">
        <v>0</v>
      </c>
      <c r="L547">
        <v>20</v>
      </c>
    </row>
    <row r="548" spans="1:12" x14ac:dyDescent="0.25">
      <c r="A548">
        <v>1601</v>
      </c>
      <c r="B548">
        <v>1803940533001</v>
      </c>
      <c r="C548" t="s">
        <v>68</v>
      </c>
      <c r="D548" s="1">
        <v>46028</v>
      </c>
      <c r="E548" t="s">
        <v>17</v>
      </c>
      <c r="F548">
        <v>1196</v>
      </c>
      <c r="G548">
        <v>20</v>
      </c>
      <c r="H548">
        <v>0</v>
      </c>
      <c r="I548">
        <v>20</v>
      </c>
      <c r="J548">
        <v>0</v>
      </c>
      <c r="K548">
        <v>0</v>
      </c>
      <c r="L548">
        <v>20</v>
      </c>
    </row>
    <row r="549" spans="1:12" x14ac:dyDescent="0.25">
      <c r="A549">
        <v>1601</v>
      </c>
      <c r="B549">
        <v>1803940533001</v>
      </c>
      <c r="C549" t="s">
        <v>68</v>
      </c>
      <c r="D549" s="1">
        <v>46029</v>
      </c>
      <c r="E549" t="s">
        <v>17</v>
      </c>
      <c r="F549">
        <v>1206</v>
      </c>
      <c r="G549">
        <v>8</v>
      </c>
      <c r="H549">
        <v>0</v>
      </c>
      <c r="I549">
        <v>8</v>
      </c>
      <c r="J549">
        <v>0</v>
      </c>
      <c r="K549">
        <v>0</v>
      </c>
      <c r="L549">
        <v>8</v>
      </c>
    </row>
    <row r="550" spans="1:12" x14ac:dyDescent="0.25">
      <c r="A550">
        <v>1601</v>
      </c>
      <c r="B550">
        <v>1803940533001</v>
      </c>
      <c r="C550" t="s">
        <v>68</v>
      </c>
      <c r="D550" s="1">
        <v>46029</v>
      </c>
      <c r="E550" t="s">
        <v>17</v>
      </c>
      <c r="F550">
        <v>1202</v>
      </c>
      <c r="G550">
        <v>6</v>
      </c>
      <c r="H550">
        <v>0</v>
      </c>
      <c r="I550">
        <v>6</v>
      </c>
      <c r="J550">
        <v>0</v>
      </c>
      <c r="K550">
        <v>0</v>
      </c>
      <c r="L550">
        <v>6</v>
      </c>
    </row>
    <row r="551" spans="1:12" x14ac:dyDescent="0.25">
      <c r="A551">
        <v>1601</v>
      </c>
      <c r="B551">
        <v>1803940533001</v>
      </c>
      <c r="C551" t="s">
        <v>68</v>
      </c>
      <c r="D551" s="1">
        <v>46029</v>
      </c>
      <c r="E551" t="s">
        <v>17</v>
      </c>
      <c r="F551">
        <v>1204</v>
      </c>
      <c r="G551">
        <v>44</v>
      </c>
      <c r="H551">
        <v>0</v>
      </c>
      <c r="I551">
        <v>44</v>
      </c>
      <c r="J551">
        <v>0</v>
      </c>
      <c r="K551">
        <v>0</v>
      </c>
      <c r="L551">
        <v>44</v>
      </c>
    </row>
    <row r="552" spans="1:12" x14ac:dyDescent="0.25">
      <c r="A552">
        <v>1601</v>
      </c>
      <c r="B552">
        <v>1803940533001</v>
      </c>
      <c r="C552" t="s">
        <v>68</v>
      </c>
      <c r="D552" s="1">
        <v>46029</v>
      </c>
      <c r="E552" t="s">
        <v>17</v>
      </c>
      <c r="F552">
        <v>1201</v>
      </c>
      <c r="G552">
        <v>20</v>
      </c>
      <c r="H552">
        <v>0</v>
      </c>
      <c r="I552">
        <v>20</v>
      </c>
      <c r="J552">
        <v>0</v>
      </c>
      <c r="K552">
        <v>0</v>
      </c>
      <c r="L552">
        <v>20</v>
      </c>
    </row>
    <row r="553" spans="1:12" x14ac:dyDescent="0.25">
      <c r="A553">
        <v>1601</v>
      </c>
      <c r="B553">
        <v>1803940533001</v>
      </c>
      <c r="C553" t="s">
        <v>68</v>
      </c>
      <c r="D553" s="1">
        <v>46030</v>
      </c>
      <c r="E553" t="s">
        <v>17</v>
      </c>
      <c r="F553">
        <v>1214</v>
      </c>
      <c r="G553">
        <v>10</v>
      </c>
      <c r="H553">
        <v>0</v>
      </c>
      <c r="I553">
        <v>10</v>
      </c>
      <c r="J553">
        <v>0</v>
      </c>
      <c r="K553">
        <v>0</v>
      </c>
      <c r="L553">
        <v>10</v>
      </c>
    </row>
    <row r="554" spans="1:12" x14ac:dyDescent="0.25">
      <c r="A554">
        <v>1601</v>
      </c>
      <c r="B554">
        <v>1803940533001</v>
      </c>
      <c r="C554" t="s">
        <v>68</v>
      </c>
      <c r="D554" s="1">
        <v>46030</v>
      </c>
      <c r="E554" t="s">
        <v>17</v>
      </c>
      <c r="F554">
        <v>1207</v>
      </c>
      <c r="G554">
        <v>20</v>
      </c>
      <c r="H554">
        <v>0</v>
      </c>
      <c r="I554">
        <v>20</v>
      </c>
      <c r="J554">
        <v>0</v>
      </c>
      <c r="K554">
        <v>0</v>
      </c>
      <c r="L554">
        <v>20</v>
      </c>
    </row>
    <row r="555" spans="1:12" x14ac:dyDescent="0.25">
      <c r="A555">
        <v>1601</v>
      </c>
      <c r="B555">
        <v>1803940533001</v>
      </c>
      <c r="C555" t="s">
        <v>68</v>
      </c>
      <c r="D555" s="1">
        <v>46030</v>
      </c>
      <c r="E555" t="s">
        <v>17</v>
      </c>
      <c r="F555">
        <v>1208</v>
      </c>
      <c r="G555">
        <v>11</v>
      </c>
      <c r="H555">
        <v>0</v>
      </c>
      <c r="I555">
        <v>11</v>
      </c>
      <c r="J555">
        <v>0</v>
      </c>
      <c r="K555">
        <v>0</v>
      </c>
      <c r="L555">
        <v>11</v>
      </c>
    </row>
    <row r="556" spans="1:12" x14ac:dyDescent="0.25">
      <c r="A556">
        <v>1601</v>
      </c>
      <c r="B556">
        <v>1803940533001</v>
      </c>
      <c r="C556" t="s">
        <v>68</v>
      </c>
      <c r="D556" s="1">
        <v>46030</v>
      </c>
      <c r="E556" t="s">
        <v>17</v>
      </c>
      <c r="F556">
        <v>1209</v>
      </c>
      <c r="G556">
        <v>11</v>
      </c>
      <c r="H556">
        <v>0</v>
      </c>
      <c r="I556">
        <v>11</v>
      </c>
      <c r="J556">
        <v>0</v>
      </c>
      <c r="K556">
        <v>0</v>
      </c>
      <c r="L556">
        <v>11</v>
      </c>
    </row>
    <row r="557" spans="1:12" x14ac:dyDescent="0.25">
      <c r="A557">
        <v>1601</v>
      </c>
      <c r="B557">
        <v>1803940533001</v>
      </c>
      <c r="C557" t="s">
        <v>68</v>
      </c>
      <c r="D557" s="1">
        <v>46030</v>
      </c>
      <c r="E557" t="s">
        <v>17</v>
      </c>
      <c r="F557">
        <v>1211</v>
      </c>
      <c r="G557">
        <v>20</v>
      </c>
      <c r="H557">
        <v>0</v>
      </c>
      <c r="I557">
        <v>20</v>
      </c>
      <c r="J557">
        <v>0</v>
      </c>
      <c r="K557">
        <v>0</v>
      </c>
      <c r="L557">
        <v>20</v>
      </c>
    </row>
    <row r="558" spans="1:12" x14ac:dyDescent="0.25">
      <c r="A558">
        <v>1601</v>
      </c>
      <c r="B558">
        <v>1803940533001</v>
      </c>
      <c r="C558" t="s">
        <v>68</v>
      </c>
      <c r="D558" s="1">
        <v>46030</v>
      </c>
      <c r="E558" t="s">
        <v>17</v>
      </c>
      <c r="F558">
        <v>1210</v>
      </c>
      <c r="G558">
        <v>11</v>
      </c>
      <c r="H558">
        <v>0</v>
      </c>
      <c r="I558">
        <v>11</v>
      </c>
      <c r="J558">
        <v>0</v>
      </c>
      <c r="K558">
        <v>0</v>
      </c>
      <c r="L558">
        <v>11</v>
      </c>
    </row>
    <row r="559" spans="1:12" x14ac:dyDescent="0.25">
      <c r="A559">
        <v>1601</v>
      </c>
      <c r="B559">
        <v>1803940533001</v>
      </c>
      <c r="C559" t="s">
        <v>68</v>
      </c>
      <c r="D559" s="1">
        <v>46030</v>
      </c>
      <c r="E559" t="s">
        <v>17</v>
      </c>
      <c r="F559">
        <v>1212</v>
      </c>
      <c r="G559">
        <v>6</v>
      </c>
      <c r="H559">
        <v>0</v>
      </c>
      <c r="I559">
        <v>6</v>
      </c>
      <c r="J559">
        <v>0</v>
      </c>
      <c r="K559">
        <v>0</v>
      </c>
      <c r="L559">
        <v>6</v>
      </c>
    </row>
    <row r="560" spans="1:12" x14ac:dyDescent="0.25">
      <c r="A560">
        <v>1601</v>
      </c>
      <c r="B560">
        <v>1803940533001</v>
      </c>
      <c r="C560" t="s">
        <v>68</v>
      </c>
      <c r="D560" s="1">
        <v>46031</v>
      </c>
      <c r="E560" t="s">
        <v>17</v>
      </c>
      <c r="F560">
        <v>1216</v>
      </c>
      <c r="G560">
        <v>11</v>
      </c>
      <c r="H560">
        <v>0</v>
      </c>
      <c r="I560">
        <v>11</v>
      </c>
      <c r="J560">
        <v>0</v>
      </c>
      <c r="K560">
        <v>0</v>
      </c>
      <c r="L560">
        <v>11</v>
      </c>
    </row>
    <row r="561" spans="1:12" x14ac:dyDescent="0.25">
      <c r="A561">
        <v>1601</v>
      </c>
      <c r="B561">
        <v>1803940533001</v>
      </c>
      <c r="C561" t="s">
        <v>68</v>
      </c>
      <c r="D561" s="1">
        <v>46031</v>
      </c>
      <c r="E561" t="s">
        <v>17</v>
      </c>
      <c r="F561">
        <v>1217</v>
      </c>
      <c r="G561">
        <v>20</v>
      </c>
      <c r="H561">
        <v>0</v>
      </c>
      <c r="I561">
        <v>20</v>
      </c>
      <c r="J561">
        <v>0</v>
      </c>
      <c r="K561">
        <v>0</v>
      </c>
      <c r="L561">
        <v>20</v>
      </c>
    </row>
    <row r="562" spans="1:12" x14ac:dyDescent="0.25">
      <c r="A562">
        <v>1601</v>
      </c>
      <c r="B562">
        <v>1803940533001</v>
      </c>
      <c r="C562" t="s">
        <v>68</v>
      </c>
      <c r="D562" s="1">
        <v>46031</v>
      </c>
      <c r="E562" t="s">
        <v>17</v>
      </c>
      <c r="F562">
        <v>1218</v>
      </c>
      <c r="G562">
        <v>20</v>
      </c>
      <c r="H562">
        <v>0</v>
      </c>
      <c r="I562">
        <v>20</v>
      </c>
      <c r="J562">
        <v>0</v>
      </c>
      <c r="K562">
        <v>0</v>
      </c>
      <c r="L562">
        <v>20</v>
      </c>
    </row>
    <row r="563" spans="1:12" x14ac:dyDescent="0.25">
      <c r="A563">
        <v>1601</v>
      </c>
      <c r="B563">
        <v>1803940533001</v>
      </c>
      <c r="C563" t="s">
        <v>68</v>
      </c>
      <c r="D563" s="1">
        <v>46031</v>
      </c>
      <c r="E563" t="s">
        <v>17</v>
      </c>
      <c r="F563">
        <v>1219</v>
      </c>
      <c r="G563">
        <v>11</v>
      </c>
      <c r="H563">
        <v>0</v>
      </c>
      <c r="I563">
        <v>11</v>
      </c>
      <c r="J563">
        <v>0</v>
      </c>
      <c r="K563">
        <v>0</v>
      </c>
      <c r="L563">
        <v>11</v>
      </c>
    </row>
    <row r="564" spans="1:12" x14ac:dyDescent="0.25">
      <c r="A564">
        <v>1601</v>
      </c>
      <c r="B564">
        <v>1803940533001</v>
      </c>
      <c r="C564" t="s">
        <v>68</v>
      </c>
      <c r="D564" s="1">
        <v>46031</v>
      </c>
      <c r="E564" t="s">
        <v>17</v>
      </c>
      <c r="F564">
        <v>1220</v>
      </c>
      <c r="G564">
        <v>30</v>
      </c>
      <c r="H564">
        <v>0</v>
      </c>
      <c r="I564">
        <v>30</v>
      </c>
      <c r="J564">
        <v>0</v>
      </c>
      <c r="K564">
        <v>0</v>
      </c>
      <c r="L564">
        <v>30</v>
      </c>
    </row>
    <row r="565" spans="1:12" x14ac:dyDescent="0.25">
      <c r="A565">
        <v>1601</v>
      </c>
      <c r="B565">
        <v>1803940533001</v>
      </c>
      <c r="C565" t="s">
        <v>68</v>
      </c>
      <c r="D565" s="1">
        <v>46031</v>
      </c>
      <c r="E565" t="s">
        <v>17</v>
      </c>
      <c r="F565">
        <v>1221</v>
      </c>
      <c r="G565">
        <v>7</v>
      </c>
      <c r="H565">
        <v>0</v>
      </c>
      <c r="I565">
        <v>7</v>
      </c>
      <c r="J565">
        <v>0</v>
      </c>
      <c r="K565">
        <v>0</v>
      </c>
      <c r="L565">
        <v>7</v>
      </c>
    </row>
    <row r="566" spans="1:12" x14ac:dyDescent="0.25">
      <c r="A566">
        <v>1601</v>
      </c>
      <c r="B566">
        <v>1803940533001</v>
      </c>
      <c r="C566" t="s">
        <v>68</v>
      </c>
      <c r="D566" s="1">
        <v>46031</v>
      </c>
      <c r="E566" t="s">
        <v>17</v>
      </c>
      <c r="F566">
        <v>1222</v>
      </c>
      <c r="G566">
        <v>7</v>
      </c>
      <c r="H566">
        <v>0</v>
      </c>
      <c r="I566">
        <v>7</v>
      </c>
      <c r="J566">
        <v>0</v>
      </c>
      <c r="K566">
        <v>0</v>
      </c>
      <c r="L566">
        <v>7</v>
      </c>
    </row>
    <row r="567" spans="1:12" x14ac:dyDescent="0.25">
      <c r="A567">
        <v>1601</v>
      </c>
      <c r="B567">
        <v>1803940533001</v>
      </c>
      <c r="C567" t="s">
        <v>68</v>
      </c>
      <c r="D567" s="1">
        <v>46035</v>
      </c>
      <c r="E567" t="s">
        <v>17</v>
      </c>
      <c r="F567">
        <v>1224</v>
      </c>
      <c r="G567">
        <v>6</v>
      </c>
      <c r="H567">
        <v>0</v>
      </c>
      <c r="I567">
        <v>6</v>
      </c>
      <c r="J567">
        <v>0</v>
      </c>
      <c r="K567">
        <v>0</v>
      </c>
      <c r="L567">
        <v>6</v>
      </c>
    </row>
    <row r="568" spans="1:12" x14ac:dyDescent="0.25">
      <c r="A568">
        <v>1601</v>
      </c>
      <c r="B568">
        <v>1803940533001</v>
      </c>
      <c r="C568" t="s">
        <v>68</v>
      </c>
      <c r="D568" s="1">
        <v>46035</v>
      </c>
      <c r="E568" t="s">
        <v>17</v>
      </c>
      <c r="F568">
        <v>1227</v>
      </c>
      <c r="G568">
        <v>56</v>
      </c>
      <c r="H568">
        <v>0</v>
      </c>
      <c r="I568">
        <v>56</v>
      </c>
      <c r="J568">
        <v>0</v>
      </c>
      <c r="K568">
        <v>0</v>
      </c>
      <c r="L568">
        <v>56</v>
      </c>
    </row>
    <row r="569" spans="1:12" x14ac:dyDescent="0.25">
      <c r="A569">
        <v>1601</v>
      </c>
      <c r="B569">
        <v>1803940533001</v>
      </c>
      <c r="C569" t="s">
        <v>68</v>
      </c>
      <c r="D569" s="1">
        <v>46035</v>
      </c>
      <c r="E569" t="s">
        <v>17</v>
      </c>
      <c r="F569">
        <v>1226</v>
      </c>
      <c r="G569">
        <v>20</v>
      </c>
      <c r="H569">
        <v>0</v>
      </c>
      <c r="I569">
        <v>20</v>
      </c>
      <c r="J569">
        <v>0</v>
      </c>
      <c r="K569">
        <v>0</v>
      </c>
      <c r="L569">
        <v>20</v>
      </c>
    </row>
    <row r="570" spans="1:12" x14ac:dyDescent="0.25">
      <c r="A570">
        <v>1601</v>
      </c>
      <c r="B570">
        <v>1803940533001</v>
      </c>
      <c r="C570" t="s">
        <v>68</v>
      </c>
      <c r="D570" s="1">
        <v>46035</v>
      </c>
      <c r="E570" t="s">
        <v>17</v>
      </c>
      <c r="F570">
        <v>1225</v>
      </c>
      <c r="G570">
        <v>20</v>
      </c>
      <c r="H570">
        <v>0</v>
      </c>
      <c r="I570">
        <v>20</v>
      </c>
      <c r="J570">
        <v>0</v>
      </c>
      <c r="K570">
        <v>0</v>
      </c>
      <c r="L570">
        <v>20</v>
      </c>
    </row>
    <row r="571" spans="1:12" x14ac:dyDescent="0.25">
      <c r="A571">
        <v>1601</v>
      </c>
      <c r="B571">
        <v>1803940533001</v>
      </c>
      <c r="C571" t="s">
        <v>68</v>
      </c>
      <c r="D571" s="1">
        <v>46036</v>
      </c>
      <c r="E571" t="s">
        <v>17</v>
      </c>
      <c r="F571">
        <v>1229</v>
      </c>
      <c r="G571">
        <v>20</v>
      </c>
      <c r="H571">
        <v>0</v>
      </c>
      <c r="I571">
        <v>20</v>
      </c>
      <c r="J571">
        <v>0</v>
      </c>
      <c r="K571">
        <v>0</v>
      </c>
      <c r="L571">
        <v>20</v>
      </c>
    </row>
    <row r="572" spans="1:12" x14ac:dyDescent="0.25">
      <c r="A572">
        <v>1601</v>
      </c>
      <c r="B572">
        <v>1803940533001</v>
      </c>
      <c r="C572" t="s">
        <v>68</v>
      </c>
      <c r="D572" s="1">
        <v>46036</v>
      </c>
      <c r="E572" t="s">
        <v>17</v>
      </c>
      <c r="F572">
        <v>1230</v>
      </c>
      <c r="G572">
        <v>6</v>
      </c>
      <c r="H572">
        <v>0</v>
      </c>
      <c r="I572">
        <v>6</v>
      </c>
      <c r="J572">
        <v>0</v>
      </c>
      <c r="K572">
        <v>0</v>
      </c>
      <c r="L572">
        <v>6</v>
      </c>
    </row>
    <row r="573" spans="1:12" x14ac:dyDescent="0.25">
      <c r="A573">
        <v>1601</v>
      </c>
      <c r="B573">
        <v>1803940533001</v>
      </c>
      <c r="C573" t="s">
        <v>68</v>
      </c>
      <c r="D573" s="1">
        <v>46036</v>
      </c>
      <c r="E573" t="s">
        <v>17</v>
      </c>
      <c r="F573">
        <v>1234</v>
      </c>
      <c r="G573">
        <v>11</v>
      </c>
      <c r="H573">
        <v>0</v>
      </c>
      <c r="I573">
        <v>11</v>
      </c>
      <c r="J573">
        <v>0</v>
      </c>
      <c r="K573">
        <v>0</v>
      </c>
      <c r="L573">
        <v>11</v>
      </c>
    </row>
    <row r="574" spans="1:12" x14ac:dyDescent="0.25">
      <c r="A574">
        <v>1601</v>
      </c>
      <c r="B574">
        <v>1803940533001</v>
      </c>
      <c r="C574" t="s">
        <v>68</v>
      </c>
      <c r="D574" s="1">
        <v>46036</v>
      </c>
      <c r="E574" t="s">
        <v>17</v>
      </c>
      <c r="F574">
        <v>1232</v>
      </c>
      <c r="G574">
        <v>20</v>
      </c>
      <c r="H574">
        <v>0</v>
      </c>
      <c r="I574">
        <v>20</v>
      </c>
      <c r="J574">
        <v>0</v>
      </c>
      <c r="K574">
        <v>0</v>
      </c>
      <c r="L574">
        <v>20</v>
      </c>
    </row>
    <row r="575" spans="1:12" x14ac:dyDescent="0.25">
      <c r="A575">
        <v>1601</v>
      </c>
      <c r="B575">
        <v>1803940533001</v>
      </c>
      <c r="C575" t="s">
        <v>68</v>
      </c>
      <c r="D575" s="1">
        <v>46036</v>
      </c>
      <c r="E575" t="s">
        <v>17</v>
      </c>
      <c r="F575">
        <v>1231</v>
      </c>
      <c r="G575">
        <v>20</v>
      </c>
      <c r="H575">
        <v>0</v>
      </c>
      <c r="I575">
        <v>20</v>
      </c>
      <c r="J575">
        <v>0</v>
      </c>
      <c r="K575">
        <v>0</v>
      </c>
      <c r="L575">
        <v>20</v>
      </c>
    </row>
    <row r="576" spans="1:12" x14ac:dyDescent="0.25">
      <c r="A576">
        <v>1601</v>
      </c>
      <c r="B576">
        <v>1803940533001</v>
      </c>
      <c r="C576" t="s">
        <v>68</v>
      </c>
      <c r="D576" s="1">
        <v>46037</v>
      </c>
      <c r="E576" t="s">
        <v>17</v>
      </c>
      <c r="F576">
        <v>1238</v>
      </c>
      <c r="G576">
        <v>22</v>
      </c>
      <c r="H576">
        <v>0</v>
      </c>
      <c r="I576">
        <v>22</v>
      </c>
      <c r="J576">
        <v>0</v>
      </c>
      <c r="K576">
        <v>0</v>
      </c>
      <c r="L576">
        <v>22</v>
      </c>
    </row>
    <row r="577" spans="1:12" x14ac:dyDescent="0.25">
      <c r="A577">
        <v>1601</v>
      </c>
      <c r="B577">
        <v>1803940533001</v>
      </c>
      <c r="C577" t="s">
        <v>68</v>
      </c>
      <c r="D577" s="1">
        <v>46037</v>
      </c>
      <c r="E577" t="s">
        <v>17</v>
      </c>
      <c r="F577">
        <v>1239</v>
      </c>
      <c r="G577">
        <v>15</v>
      </c>
      <c r="H577">
        <v>0</v>
      </c>
      <c r="I577">
        <v>15</v>
      </c>
      <c r="J577">
        <v>0</v>
      </c>
      <c r="K577">
        <v>0</v>
      </c>
      <c r="L577">
        <v>15</v>
      </c>
    </row>
    <row r="578" spans="1:12" x14ac:dyDescent="0.25">
      <c r="A578">
        <v>1601</v>
      </c>
      <c r="B578">
        <v>1803940533001</v>
      </c>
      <c r="C578" t="s">
        <v>68</v>
      </c>
      <c r="D578" s="1">
        <v>46037</v>
      </c>
      <c r="E578" t="s">
        <v>17</v>
      </c>
      <c r="F578">
        <v>1241</v>
      </c>
      <c r="G578">
        <v>20</v>
      </c>
      <c r="H578">
        <v>0</v>
      </c>
      <c r="I578">
        <v>20</v>
      </c>
      <c r="J578">
        <v>0</v>
      </c>
      <c r="K578">
        <v>0</v>
      </c>
      <c r="L578">
        <v>20</v>
      </c>
    </row>
    <row r="579" spans="1:12" x14ac:dyDescent="0.25">
      <c r="A579">
        <v>1601</v>
      </c>
      <c r="B579">
        <v>1803940533001</v>
      </c>
      <c r="C579" t="s">
        <v>68</v>
      </c>
      <c r="D579" s="1">
        <v>46037</v>
      </c>
      <c r="E579" t="s">
        <v>17</v>
      </c>
      <c r="F579">
        <v>1237</v>
      </c>
      <c r="G579">
        <v>6</v>
      </c>
      <c r="H579">
        <v>0</v>
      </c>
      <c r="I579">
        <v>6</v>
      </c>
      <c r="J579">
        <v>0</v>
      </c>
      <c r="K579">
        <v>0</v>
      </c>
      <c r="L579">
        <v>6</v>
      </c>
    </row>
    <row r="580" spans="1:12" x14ac:dyDescent="0.25">
      <c r="A580">
        <v>1601</v>
      </c>
      <c r="B580">
        <v>1803940533001</v>
      </c>
      <c r="C580" t="s">
        <v>68</v>
      </c>
      <c r="D580" s="1">
        <v>46037</v>
      </c>
      <c r="E580" t="s">
        <v>17</v>
      </c>
      <c r="F580">
        <v>1240</v>
      </c>
      <c r="G580">
        <v>11</v>
      </c>
      <c r="H580">
        <v>0</v>
      </c>
      <c r="I580">
        <v>11</v>
      </c>
      <c r="J580">
        <v>0</v>
      </c>
      <c r="K580">
        <v>0</v>
      </c>
      <c r="L580">
        <v>11</v>
      </c>
    </row>
    <row r="581" spans="1:12" x14ac:dyDescent="0.25">
      <c r="A581">
        <v>1601</v>
      </c>
      <c r="B581">
        <v>1803940533001</v>
      </c>
      <c r="C581" t="s">
        <v>68</v>
      </c>
      <c r="D581" s="1">
        <v>46037</v>
      </c>
      <c r="E581" t="s">
        <v>17</v>
      </c>
      <c r="F581">
        <v>1236</v>
      </c>
      <c r="G581">
        <v>20</v>
      </c>
      <c r="H581">
        <v>0</v>
      </c>
      <c r="I581">
        <v>20</v>
      </c>
      <c r="J581">
        <v>0</v>
      </c>
      <c r="K581">
        <v>0</v>
      </c>
      <c r="L581">
        <v>20</v>
      </c>
    </row>
    <row r="582" spans="1:12" x14ac:dyDescent="0.25">
      <c r="A582">
        <v>1601</v>
      </c>
      <c r="B582">
        <v>1803940533001</v>
      </c>
      <c r="C582" t="s">
        <v>68</v>
      </c>
      <c r="D582" s="1">
        <v>46038</v>
      </c>
      <c r="E582" t="s">
        <v>17</v>
      </c>
      <c r="F582">
        <v>1243</v>
      </c>
      <c r="G582">
        <v>20</v>
      </c>
      <c r="H582">
        <v>0</v>
      </c>
      <c r="I582">
        <v>20</v>
      </c>
      <c r="J582">
        <v>0</v>
      </c>
      <c r="K582">
        <v>0</v>
      </c>
      <c r="L582">
        <v>20</v>
      </c>
    </row>
    <row r="583" spans="1:12" x14ac:dyDescent="0.25">
      <c r="A583">
        <v>1601</v>
      </c>
      <c r="B583">
        <v>1803940533001</v>
      </c>
      <c r="C583" t="s">
        <v>68</v>
      </c>
      <c r="D583" s="1">
        <v>46038</v>
      </c>
      <c r="E583" t="s">
        <v>17</v>
      </c>
      <c r="F583">
        <v>1245</v>
      </c>
      <c r="G583">
        <v>20</v>
      </c>
      <c r="H583">
        <v>0</v>
      </c>
      <c r="I583">
        <v>20</v>
      </c>
      <c r="J583">
        <v>0</v>
      </c>
      <c r="K583">
        <v>0</v>
      </c>
      <c r="L583">
        <v>20</v>
      </c>
    </row>
    <row r="584" spans="1:12" x14ac:dyDescent="0.25">
      <c r="A584">
        <v>1601</v>
      </c>
      <c r="B584">
        <v>1803940533001</v>
      </c>
      <c r="C584" t="s">
        <v>68</v>
      </c>
      <c r="D584" s="1">
        <v>46038</v>
      </c>
      <c r="E584" t="s">
        <v>17</v>
      </c>
      <c r="F584">
        <v>1244</v>
      </c>
      <c r="G584">
        <v>6</v>
      </c>
      <c r="H584">
        <v>0</v>
      </c>
      <c r="I584">
        <v>6</v>
      </c>
      <c r="J584">
        <v>0</v>
      </c>
      <c r="K584">
        <v>0</v>
      </c>
      <c r="L584">
        <v>6</v>
      </c>
    </row>
    <row r="585" spans="1:12" x14ac:dyDescent="0.25">
      <c r="A585">
        <v>1601</v>
      </c>
      <c r="B585">
        <v>1803940533001</v>
      </c>
      <c r="C585" t="s">
        <v>68</v>
      </c>
      <c r="D585" s="1">
        <v>46039</v>
      </c>
      <c r="E585" t="s">
        <v>17</v>
      </c>
      <c r="F585">
        <v>1246</v>
      </c>
      <c r="G585">
        <v>37</v>
      </c>
      <c r="H585">
        <v>0</v>
      </c>
      <c r="I585">
        <v>37</v>
      </c>
      <c r="J585">
        <v>0</v>
      </c>
      <c r="K585">
        <v>0</v>
      </c>
      <c r="L585">
        <v>37</v>
      </c>
    </row>
    <row r="586" spans="1:12" x14ac:dyDescent="0.25">
      <c r="A586">
        <v>1601</v>
      </c>
      <c r="B586">
        <v>1803940533001</v>
      </c>
      <c r="C586" t="s">
        <v>68</v>
      </c>
      <c r="D586" s="1">
        <v>46039</v>
      </c>
      <c r="E586" t="s">
        <v>17</v>
      </c>
      <c r="F586">
        <v>1248</v>
      </c>
      <c r="G586">
        <v>30</v>
      </c>
      <c r="H586">
        <v>0</v>
      </c>
      <c r="I586">
        <v>30</v>
      </c>
      <c r="J586">
        <v>0</v>
      </c>
      <c r="K586">
        <v>0</v>
      </c>
      <c r="L586">
        <v>30</v>
      </c>
    </row>
    <row r="587" spans="1:12" x14ac:dyDescent="0.25">
      <c r="A587">
        <v>1601</v>
      </c>
      <c r="B587">
        <v>1803940533001</v>
      </c>
      <c r="C587" t="s">
        <v>68</v>
      </c>
      <c r="D587" s="1">
        <v>46039</v>
      </c>
      <c r="E587" t="s">
        <v>17</v>
      </c>
      <c r="F587">
        <v>1247</v>
      </c>
      <c r="G587">
        <v>30</v>
      </c>
      <c r="H587">
        <v>0</v>
      </c>
      <c r="I587">
        <v>30</v>
      </c>
      <c r="J587">
        <v>0</v>
      </c>
      <c r="K587">
        <v>0</v>
      </c>
      <c r="L587">
        <v>30</v>
      </c>
    </row>
    <row r="588" spans="1:12" x14ac:dyDescent="0.25">
      <c r="A588">
        <v>1601</v>
      </c>
      <c r="B588">
        <v>1803940533001</v>
      </c>
      <c r="C588" t="s">
        <v>68</v>
      </c>
      <c r="D588" s="1">
        <v>46041</v>
      </c>
      <c r="E588" t="s">
        <v>17</v>
      </c>
      <c r="F588">
        <v>1250</v>
      </c>
      <c r="G588">
        <v>30</v>
      </c>
      <c r="H588">
        <v>0</v>
      </c>
      <c r="I588">
        <v>30</v>
      </c>
      <c r="J588">
        <v>0</v>
      </c>
      <c r="K588">
        <v>0</v>
      </c>
      <c r="L588">
        <v>30</v>
      </c>
    </row>
    <row r="589" spans="1:12" x14ac:dyDescent="0.25">
      <c r="A589">
        <v>1601</v>
      </c>
      <c r="B589">
        <v>1803940533001</v>
      </c>
      <c r="C589" t="s">
        <v>68</v>
      </c>
      <c r="D589" s="1">
        <v>46041</v>
      </c>
      <c r="E589" t="s">
        <v>17</v>
      </c>
      <c r="F589">
        <v>1251</v>
      </c>
      <c r="G589">
        <v>22</v>
      </c>
      <c r="H589">
        <v>0</v>
      </c>
      <c r="I589">
        <v>22</v>
      </c>
      <c r="J589">
        <v>0</v>
      </c>
      <c r="K589">
        <v>0</v>
      </c>
      <c r="L589">
        <v>22</v>
      </c>
    </row>
    <row r="590" spans="1:12" x14ac:dyDescent="0.25">
      <c r="A590">
        <v>1601</v>
      </c>
      <c r="B590">
        <v>1803940533001</v>
      </c>
      <c r="C590" t="s">
        <v>68</v>
      </c>
      <c r="D590" s="1">
        <v>46041</v>
      </c>
      <c r="E590" t="s">
        <v>17</v>
      </c>
      <c r="F590">
        <v>1252</v>
      </c>
      <c r="G590">
        <v>20</v>
      </c>
      <c r="H590">
        <v>0</v>
      </c>
      <c r="I590">
        <v>20</v>
      </c>
      <c r="J590">
        <v>0</v>
      </c>
      <c r="K590">
        <v>0</v>
      </c>
      <c r="L590">
        <v>20</v>
      </c>
    </row>
    <row r="591" spans="1:12" x14ac:dyDescent="0.25">
      <c r="A591">
        <v>1601</v>
      </c>
      <c r="B591">
        <v>1803940533001</v>
      </c>
      <c r="C591" t="s">
        <v>68</v>
      </c>
      <c r="D591" s="1">
        <v>46041</v>
      </c>
      <c r="E591" t="s">
        <v>17</v>
      </c>
      <c r="F591">
        <v>1253</v>
      </c>
      <c r="G591">
        <v>22</v>
      </c>
      <c r="H591">
        <v>0</v>
      </c>
      <c r="I591">
        <v>22</v>
      </c>
      <c r="J591">
        <v>0</v>
      </c>
      <c r="K591">
        <v>0</v>
      </c>
      <c r="L591">
        <v>22</v>
      </c>
    </row>
    <row r="592" spans="1:12" x14ac:dyDescent="0.25">
      <c r="A592">
        <v>1601</v>
      </c>
      <c r="B592">
        <v>1803940533001</v>
      </c>
      <c r="C592" t="s">
        <v>68</v>
      </c>
      <c r="D592" s="1">
        <v>46041</v>
      </c>
      <c r="E592" t="s">
        <v>17</v>
      </c>
      <c r="F592">
        <v>1257</v>
      </c>
      <c r="G592">
        <v>6</v>
      </c>
      <c r="H592">
        <v>0</v>
      </c>
      <c r="I592">
        <v>6</v>
      </c>
      <c r="J592">
        <v>0</v>
      </c>
      <c r="K592">
        <v>0</v>
      </c>
      <c r="L592">
        <v>6</v>
      </c>
    </row>
    <row r="593" spans="1:12" x14ac:dyDescent="0.25">
      <c r="A593">
        <v>1601</v>
      </c>
      <c r="B593">
        <v>1803940533001</v>
      </c>
      <c r="C593" t="s">
        <v>68</v>
      </c>
      <c r="D593" s="1">
        <v>46041</v>
      </c>
      <c r="E593" t="s">
        <v>17</v>
      </c>
      <c r="F593">
        <v>1254</v>
      </c>
      <c r="G593">
        <v>11</v>
      </c>
      <c r="H593">
        <v>0</v>
      </c>
      <c r="I593">
        <v>11</v>
      </c>
      <c r="J593">
        <v>0</v>
      </c>
      <c r="K593">
        <v>0</v>
      </c>
      <c r="L593">
        <v>11</v>
      </c>
    </row>
    <row r="594" spans="1:12" x14ac:dyDescent="0.25">
      <c r="A594">
        <v>1601</v>
      </c>
      <c r="B594">
        <v>1803940533001</v>
      </c>
      <c r="C594" t="s">
        <v>68</v>
      </c>
      <c r="D594" s="1">
        <v>46041</v>
      </c>
      <c r="E594" t="s">
        <v>17</v>
      </c>
      <c r="F594">
        <v>1255</v>
      </c>
      <c r="G594">
        <v>20</v>
      </c>
      <c r="H594">
        <v>0</v>
      </c>
      <c r="I594">
        <v>20</v>
      </c>
      <c r="J594">
        <v>0</v>
      </c>
      <c r="K594">
        <v>0</v>
      </c>
      <c r="L594">
        <v>20</v>
      </c>
    </row>
    <row r="595" spans="1:12" x14ac:dyDescent="0.25">
      <c r="A595">
        <v>1601</v>
      </c>
      <c r="B595">
        <v>1803940533001</v>
      </c>
      <c r="C595" t="s">
        <v>68</v>
      </c>
      <c r="D595" s="1">
        <v>46041</v>
      </c>
      <c r="E595" t="s">
        <v>17</v>
      </c>
      <c r="F595">
        <v>1256</v>
      </c>
      <c r="G595">
        <v>20</v>
      </c>
      <c r="H595">
        <v>0</v>
      </c>
      <c r="I595">
        <v>20</v>
      </c>
      <c r="J595">
        <v>0</v>
      </c>
      <c r="K595">
        <v>0</v>
      </c>
      <c r="L595">
        <v>20</v>
      </c>
    </row>
    <row r="596" spans="1:12" x14ac:dyDescent="0.25">
      <c r="A596">
        <v>1601</v>
      </c>
      <c r="B596">
        <v>1803940533001</v>
      </c>
      <c r="C596" t="s">
        <v>68</v>
      </c>
      <c r="D596" s="1">
        <v>46041</v>
      </c>
      <c r="E596" t="s">
        <v>17</v>
      </c>
      <c r="F596">
        <v>1249</v>
      </c>
      <c r="G596">
        <v>20</v>
      </c>
      <c r="H596">
        <v>0</v>
      </c>
      <c r="I596">
        <v>20</v>
      </c>
      <c r="J596">
        <v>0</v>
      </c>
      <c r="K596">
        <v>0</v>
      </c>
      <c r="L596">
        <v>20</v>
      </c>
    </row>
    <row r="597" spans="1:12" x14ac:dyDescent="0.25">
      <c r="A597">
        <v>1601</v>
      </c>
      <c r="B597">
        <v>1803940533001</v>
      </c>
      <c r="C597" t="s">
        <v>68</v>
      </c>
      <c r="D597" s="1">
        <v>46042</v>
      </c>
      <c r="E597" t="s">
        <v>17</v>
      </c>
      <c r="F597">
        <v>1260</v>
      </c>
      <c r="G597">
        <v>11</v>
      </c>
      <c r="H597">
        <v>0</v>
      </c>
      <c r="I597">
        <v>11</v>
      </c>
      <c r="J597">
        <v>0</v>
      </c>
      <c r="K597">
        <v>0</v>
      </c>
      <c r="L597">
        <v>11</v>
      </c>
    </row>
    <row r="598" spans="1:12" x14ac:dyDescent="0.25">
      <c r="A598">
        <v>1601</v>
      </c>
      <c r="B598">
        <v>1803940533001</v>
      </c>
      <c r="C598" t="s">
        <v>68</v>
      </c>
      <c r="D598" s="1">
        <v>46042</v>
      </c>
      <c r="E598" t="s">
        <v>17</v>
      </c>
      <c r="F598">
        <v>1261</v>
      </c>
      <c r="G598">
        <v>20</v>
      </c>
      <c r="H598">
        <v>0</v>
      </c>
      <c r="I598">
        <v>20</v>
      </c>
      <c r="J598">
        <v>0</v>
      </c>
      <c r="K598">
        <v>0</v>
      </c>
      <c r="L598">
        <v>20</v>
      </c>
    </row>
    <row r="599" spans="1:12" x14ac:dyDescent="0.25">
      <c r="A599">
        <v>1601</v>
      </c>
      <c r="B599">
        <v>1803940533001</v>
      </c>
      <c r="C599" t="s">
        <v>68</v>
      </c>
      <c r="D599" s="1">
        <v>46042</v>
      </c>
      <c r="E599" t="s">
        <v>17</v>
      </c>
      <c r="F599">
        <v>1262</v>
      </c>
      <c r="G599">
        <v>20</v>
      </c>
      <c r="H599">
        <v>0</v>
      </c>
      <c r="I599">
        <v>20</v>
      </c>
      <c r="J599">
        <v>0</v>
      </c>
      <c r="K599">
        <v>0</v>
      </c>
      <c r="L599">
        <v>20</v>
      </c>
    </row>
    <row r="600" spans="1:12" x14ac:dyDescent="0.25">
      <c r="A600">
        <v>1601</v>
      </c>
      <c r="B600">
        <v>1803940533001</v>
      </c>
      <c r="C600" t="s">
        <v>68</v>
      </c>
      <c r="D600" s="1">
        <v>46042</v>
      </c>
      <c r="E600" t="s">
        <v>17</v>
      </c>
      <c r="F600">
        <v>1269</v>
      </c>
      <c r="G600">
        <v>20</v>
      </c>
      <c r="H600">
        <v>0</v>
      </c>
      <c r="I600">
        <v>20</v>
      </c>
      <c r="J600">
        <v>0</v>
      </c>
      <c r="K600">
        <v>0</v>
      </c>
      <c r="L600">
        <v>20</v>
      </c>
    </row>
    <row r="601" spans="1:12" x14ac:dyDescent="0.25">
      <c r="A601">
        <v>1601</v>
      </c>
      <c r="B601">
        <v>1803940533001</v>
      </c>
      <c r="C601" t="s">
        <v>68</v>
      </c>
      <c r="D601" s="1">
        <v>46042</v>
      </c>
      <c r="E601" t="s">
        <v>17</v>
      </c>
      <c r="F601">
        <v>1264</v>
      </c>
      <c r="G601">
        <v>6</v>
      </c>
      <c r="H601">
        <v>0</v>
      </c>
      <c r="I601">
        <v>6</v>
      </c>
      <c r="J601">
        <v>0</v>
      </c>
      <c r="K601">
        <v>0</v>
      </c>
      <c r="L601">
        <v>6</v>
      </c>
    </row>
    <row r="602" spans="1:12" x14ac:dyDescent="0.25">
      <c r="A602">
        <v>1601</v>
      </c>
      <c r="B602">
        <v>1803940533001</v>
      </c>
      <c r="C602" t="s">
        <v>68</v>
      </c>
      <c r="D602" s="1">
        <v>46042</v>
      </c>
      <c r="E602" t="s">
        <v>17</v>
      </c>
      <c r="F602">
        <v>1268</v>
      </c>
      <c r="G602">
        <v>6</v>
      </c>
      <c r="H602">
        <v>0</v>
      </c>
      <c r="I602">
        <v>6</v>
      </c>
      <c r="J602">
        <v>0</v>
      </c>
      <c r="K602">
        <v>0</v>
      </c>
      <c r="L602">
        <v>6</v>
      </c>
    </row>
    <row r="603" spans="1:12" x14ac:dyDescent="0.25">
      <c r="A603">
        <v>1601</v>
      </c>
      <c r="B603">
        <v>1803940533001</v>
      </c>
      <c r="C603" t="s">
        <v>68</v>
      </c>
      <c r="D603" s="1">
        <v>46042</v>
      </c>
      <c r="E603" t="s">
        <v>17</v>
      </c>
      <c r="F603">
        <v>1263</v>
      </c>
      <c r="G603">
        <v>20</v>
      </c>
      <c r="H603">
        <v>0</v>
      </c>
      <c r="I603">
        <v>20</v>
      </c>
      <c r="J603">
        <v>0</v>
      </c>
      <c r="K603">
        <v>0</v>
      </c>
      <c r="L603">
        <v>20</v>
      </c>
    </row>
    <row r="604" spans="1:12" x14ac:dyDescent="0.25">
      <c r="A604">
        <v>1601</v>
      </c>
      <c r="B604">
        <v>1803940533001</v>
      </c>
      <c r="C604" t="s">
        <v>68</v>
      </c>
      <c r="D604" s="1">
        <v>46043</v>
      </c>
      <c r="E604" t="s">
        <v>17</v>
      </c>
      <c r="F604">
        <v>1270</v>
      </c>
      <c r="G604">
        <v>11</v>
      </c>
      <c r="H604">
        <v>0</v>
      </c>
      <c r="I604">
        <v>11</v>
      </c>
      <c r="J604">
        <v>0</v>
      </c>
      <c r="K604">
        <v>0</v>
      </c>
      <c r="L604">
        <v>11</v>
      </c>
    </row>
    <row r="605" spans="1:12" x14ac:dyDescent="0.25">
      <c r="A605">
        <v>1601</v>
      </c>
      <c r="B605">
        <v>1803940533001</v>
      </c>
      <c r="C605" t="s">
        <v>68</v>
      </c>
      <c r="D605" s="1">
        <v>46043</v>
      </c>
      <c r="E605" t="s">
        <v>17</v>
      </c>
      <c r="F605">
        <v>1271</v>
      </c>
      <c r="G605">
        <v>11</v>
      </c>
      <c r="H605">
        <v>0</v>
      </c>
      <c r="I605">
        <v>11</v>
      </c>
      <c r="J605">
        <v>0</v>
      </c>
      <c r="K605">
        <v>0</v>
      </c>
      <c r="L605">
        <v>11</v>
      </c>
    </row>
    <row r="606" spans="1:12" x14ac:dyDescent="0.25">
      <c r="A606">
        <v>1601</v>
      </c>
      <c r="B606">
        <v>1803940533001</v>
      </c>
      <c r="C606" t="s">
        <v>68</v>
      </c>
      <c r="D606" s="1">
        <v>46043</v>
      </c>
      <c r="E606" t="s">
        <v>17</v>
      </c>
      <c r="F606">
        <v>1274</v>
      </c>
      <c r="G606">
        <v>6</v>
      </c>
      <c r="H606">
        <v>0</v>
      </c>
      <c r="I606">
        <v>6</v>
      </c>
      <c r="J606">
        <v>0</v>
      </c>
      <c r="K606">
        <v>0</v>
      </c>
      <c r="L606">
        <v>6</v>
      </c>
    </row>
    <row r="607" spans="1:12" x14ac:dyDescent="0.25">
      <c r="A607">
        <v>1601</v>
      </c>
      <c r="B607">
        <v>1803940533001</v>
      </c>
      <c r="C607" t="s">
        <v>68</v>
      </c>
      <c r="D607" s="1">
        <v>46043</v>
      </c>
      <c r="E607" t="s">
        <v>17</v>
      </c>
      <c r="F607">
        <v>1273</v>
      </c>
      <c r="G607">
        <v>20</v>
      </c>
      <c r="H607">
        <v>0</v>
      </c>
      <c r="I607">
        <v>20</v>
      </c>
      <c r="J607">
        <v>0</v>
      </c>
      <c r="K607">
        <v>0</v>
      </c>
      <c r="L607">
        <v>20</v>
      </c>
    </row>
    <row r="608" spans="1:12" x14ac:dyDescent="0.25">
      <c r="A608">
        <v>1601</v>
      </c>
      <c r="B608">
        <v>1803940533001</v>
      </c>
      <c r="C608" t="s">
        <v>68</v>
      </c>
      <c r="D608" s="1">
        <v>46043</v>
      </c>
      <c r="E608" t="s">
        <v>17</v>
      </c>
      <c r="F608">
        <v>1272</v>
      </c>
      <c r="G608">
        <v>6</v>
      </c>
      <c r="H608">
        <v>0</v>
      </c>
      <c r="I608">
        <v>6</v>
      </c>
      <c r="J608">
        <v>0</v>
      </c>
      <c r="K608">
        <v>0</v>
      </c>
      <c r="L608">
        <v>6</v>
      </c>
    </row>
    <row r="609" spans="1:12" x14ac:dyDescent="0.25">
      <c r="A609">
        <v>1601</v>
      </c>
      <c r="B609">
        <v>1803940533001</v>
      </c>
      <c r="C609" t="s">
        <v>68</v>
      </c>
      <c r="D609" s="1">
        <v>46044</v>
      </c>
      <c r="E609" t="s">
        <v>17</v>
      </c>
      <c r="F609">
        <v>1275</v>
      </c>
      <c r="G609">
        <v>20</v>
      </c>
      <c r="H609">
        <v>0</v>
      </c>
      <c r="I609">
        <v>20</v>
      </c>
      <c r="J609">
        <v>0</v>
      </c>
      <c r="K609">
        <v>0</v>
      </c>
      <c r="L609">
        <v>20</v>
      </c>
    </row>
    <row r="610" spans="1:12" x14ac:dyDescent="0.25">
      <c r="A610">
        <v>1601</v>
      </c>
      <c r="B610">
        <v>1803940533001</v>
      </c>
      <c r="C610" t="s">
        <v>68</v>
      </c>
      <c r="D610" s="1">
        <v>46044</v>
      </c>
      <c r="E610" t="s">
        <v>17</v>
      </c>
      <c r="F610">
        <v>1276</v>
      </c>
      <c r="G610">
        <v>28</v>
      </c>
      <c r="H610">
        <v>0</v>
      </c>
      <c r="I610">
        <v>28</v>
      </c>
      <c r="J610">
        <v>0</v>
      </c>
      <c r="K610">
        <v>0</v>
      </c>
      <c r="L610">
        <v>28</v>
      </c>
    </row>
    <row r="611" spans="1:12" x14ac:dyDescent="0.25">
      <c r="A611">
        <v>1601</v>
      </c>
      <c r="B611">
        <v>1803940533001</v>
      </c>
      <c r="C611" t="s">
        <v>68</v>
      </c>
      <c r="D611" s="1">
        <v>46045</v>
      </c>
      <c r="E611" t="s">
        <v>17</v>
      </c>
      <c r="F611">
        <v>1277</v>
      </c>
      <c r="G611">
        <v>20</v>
      </c>
      <c r="H611">
        <v>0</v>
      </c>
      <c r="I611">
        <v>20</v>
      </c>
      <c r="J611">
        <v>0</v>
      </c>
      <c r="K611">
        <v>0</v>
      </c>
      <c r="L611">
        <v>20</v>
      </c>
    </row>
    <row r="612" spans="1:12" x14ac:dyDescent="0.25">
      <c r="A612">
        <v>1601</v>
      </c>
      <c r="B612">
        <v>1803940533001</v>
      </c>
      <c r="C612" t="s">
        <v>68</v>
      </c>
      <c r="D612" s="1">
        <v>46045</v>
      </c>
      <c r="E612" t="s">
        <v>17</v>
      </c>
      <c r="F612">
        <v>1278</v>
      </c>
      <c r="G612">
        <v>6</v>
      </c>
      <c r="H612">
        <v>0</v>
      </c>
      <c r="I612">
        <v>6</v>
      </c>
      <c r="J612">
        <v>0</v>
      </c>
      <c r="K612">
        <v>0</v>
      </c>
      <c r="L612">
        <v>6</v>
      </c>
    </row>
    <row r="613" spans="1:12" x14ac:dyDescent="0.25">
      <c r="A613">
        <v>1601</v>
      </c>
      <c r="B613">
        <v>1803940533001</v>
      </c>
      <c r="C613" t="s">
        <v>68</v>
      </c>
      <c r="D613" s="1">
        <v>46045</v>
      </c>
      <c r="E613" t="s">
        <v>17</v>
      </c>
      <c r="F613">
        <v>1281</v>
      </c>
      <c r="G613">
        <v>20</v>
      </c>
      <c r="H613">
        <v>0</v>
      </c>
      <c r="I613">
        <v>20</v>
      </c>
      <c r="J613">
        <v>0</v>
      </c>
      <c r="K613">
        <v>0</v>
      </c>
      <c r="L613">
        <v>20</v>
      </c>
    </row>
    <row r="614" spans="1:12" x14ac:dyDescent="0.25">
      <c r="A614">
        <v>1601</v>
      </c>
      <c r="B614">
        <v>1803940533001</v>
      </c>
      <c r="C614" t="s">
        <v>68</v>
      </c>
      <c r="D614" s="1">
        <v>46045</v>
      </c>
      <c r="E614" t="s">
        <v>17</v>
      </c>
      <c r="F614">
        <v>1280</v>
      </c>
      <c r="G614">
        <v>20</v>
      </c>
      <c r="H614">
        <v>0</v>
      </c>
      <c r="I614">
        <v>20</v>
      </c>
      <c r="J614">
        <v>0</v>
      </c>
      <c r="K614">
        <v>0</v>
      </c>
      <c r="L614">
        <v>20</v>
      </c>
    </row>
    <row r="615" spans="1:12" x14ac:dyDescent="0.25">
      <c r="A615">
        <v>1601</v>
      </c>
      <c r="B615">
        <v>1803940533001</v>
      </c>
      <c r="C615" t="s">
        <v>68</v>
      </c>
      <c r="D615" s="1">
        <v>46045</v>
      </c>
      <c r="E615" t="s">
        <v>17</v>
      </c>
      <c r="F615">
        <v>1279</v>
      </c>
      <c r="G615">
        <v>20</v>
      </c>
      <c r="H615">
        <v>0</v>
      </c>
      <c r="I615">
        <v>20</v>
      </c>
      <c r="J615">
        <v>0</v>
      </c>
      <c r="K615">
        <v>0</v>
      </c>
      <c r="L615">
        <v>20</v>
      </c>
    </row>
    <row r="616" spans="1:12" x14ac:dyDescent="0.25">
      <c r="A616">
        <v>1601</v>
      </c>
      <c r="B616">
        <v>1803940533001</v>
      </c>
      <c r="C616" t="s">
        <v>68</v>
      </c>
      <c r="D616" s="1">
        <v>46046</v>
      </c>
      <c r="E616" t="s">
        <v>17</v>
      </c>
      <c r="F616">
        <v>1283</v>
      </c>
      <c r="G616">
        <v>11</v>
      </c>
      <c r="H616">
        <v>0</v>
      </c>
      <c r="I616">
        <v>11</v>
      </c>
      <c r="J616">
        <v>0</v>
      </c>
      <c r="K616">
        <v>0</v>
      </c>
      <c r="L616">
        <v>11</v>
      </c>
    </row>
    <row r="617" spans="1:12" x14ac:dyDescent="0.25">
      <c r="A617">
        <v>1601</v>
      </c>
      <c r="B617">
        <v>1803940533001</v>
      </c>
      <c r="C617" t="s">
        <v>68</v>
      </c>
      <c r="D617" s="1">
        <v>46046</v>
      </c>
      <c r="E617" t="s">
        <v>17</v>
      </c>
      <c r="F617">
        <v>1285</v>
      </c>
      <c r="G617">
        <v>20</v>
      </c>
      <c r="H617">
        <v>0</v>
      </c>
      <c r="I617">
        <v>20</v>
      </c>
      <c r="J617">
        <v>0</v>
      </c>
      <c r="K617">
        <v>0</v>
      </c>
      <c r="L617">
        <v>20</v>
      </c>
    </row>
    <row r="618" spans="1:12" x14ac:dyDescent="0.25">
      <c r="A618">
        <v>1601</v>
      </c>
      <c r="B618">
        <v>1803940533001</v>
      </c>
      <c r="C618" t="s">
        <v>68</v>
      </c>
      <c r="D618" s="1">
        <v>46046</v>
      </c>
      <c r="E618" t="s">
        <v>17</v>
      </c>
      <c r="F618">
        <v>1284</v>
      </c>
      <c r="G618">
        <v>20</v>
      </c>
      <c r="H618">
        <v>0</v>
      </c>
      <c r="I618">
        <v>20</v>
      </c>
      <c r="J618">
        <v>0</v>
      </c>
      <c r="K618">
        <v>0</v>
      </c>
      <c r="L618">
        <v>20</v>
      </c>
    </row>
    <row r="619" spans="1:12" x14ac:dyDescent="0.25">
      <c r="A619">
        <v>1601</v>
      </c>
      <c r="B619">
        <v>1803940533001</v>
      </c>
      <c r="C619" t="s">
        <v>68</v>
      </c>
      <c r="D619" s="1">
        <v>46048</v>
      </c>
      <c r="E619" t="s">
        <v>17</v>
      </c>
      <c r="F619">
        <v>1286</v>
      </c>
      <c r="G619">
        <v>20</v>
      </c>
      <c r="H619">
        <v>0</v>
      </c>
      <c r="I619">
        <v>20</v>
      </c>
      <c r="J619">
        <v>0</v>
      </c>
      <c r="K619">
        <v>0</v>
      </c>
      <c r="L619">
        <v>20</v>
      </c>
    </row>
    <row r="620" spans="1:12" x14ac:dyDescent="0.25">
      <c r="A620">
        <v>1601</v>
      </c>
      <c r="B620">
        <v>1803940533001</v>
      </c>
      <c r="C620" t="s">
        <v>68</v>
      </c>
      <c r="D620" s="1">
        <v>46049</v>
      </c>
      <c r="E620" t="s">
        <v>17</v>
      </c>
      <c r="F620">
        <v>1288</v>
      </c>
      <c r="G620">
        <v>20</v>
      </c>
      <c r="H620">
        <v>0</v>
      </c>
      <c r="I620">
        <v>20</v>
      </c>
      <c r="J620">
        <v>0</v>
      </c>
      <c r="K620">
        <v>0</v>
      </c>
      <c r="L620">
        <v>20</v>
      </c>
    </row>
    <row r="621" spans="1:12" x14ac:dyDescent="0.25">
      <c r="A621">
        <v>1601</v>
      </c>
      <c r="B621">
        <v>1803940533001</v>
      </c>
      <c r="C621" t="s">
        <v>68</v>
      </c>
      <c r="D621" s="1">
        <v>46049</v>
      </c>
      <c r="E621" t="s">
        <v>17</v>
      </c>
      <c r="F621">
        <v>1289</v>
      </c>
      <c r="G621">
        <v>40</v>
      </c>
      <c r="H621">
        <v>0</v>
      </c>
      <c r="I621">
        <v>40</v>
      </c>
      <c r="J621">
        <v>0</v>
      </c>
      <c r="K621">
        <v>0</v>
      </c>
      <c r="L621">
        <v>40</v>
      </c>
    </row>
    <row r="622" spans="1:12" x14ac:dyDescent="0.25">
      <c r="A622">
        <v>1601</v>
      </c>
      <c r="B622">
        <v>1803940533001</v>
      </c>
      <c r="C622" t="s">
        <v>68</v>
      </c>
      <c r="D622" s="1">
        <v>46050</v>
      </c>
      <c r="E622" t="s">
        <v>17</v>
      </c>
      <c r="F622">
        <v>1293</v>
      </c>
      <c r="G622">
        <v>37</v>
      </c>
      <c r="H622">
        <v>0</v>
      </c>
      <c r="I622">
        <v>37</v>
      </c>
      <c r="J622">
        <v>0</v>
      </c>
      <c r="K622">
        <v>0</v>
      </c>
      <c r="L622">
        <v>37</v>
      </c>
    </row>
    <row r="623" spans="1:12" x14ac:dyDescent="0.25">
      <c r="A623">
        <v>1601</v>
      </c>
      <c r="B623">
        <v>1803940533001</v>
      </c>
      <c r="C623" t="s">
        <v>68</v>
      </c>
      <c r="D623" s="1">
        <v>46050</v>
      </c>
      <c r="E623" t="s">
        <v>17</v>
      </c>
      <c r="F623">
        <v>1290</v>
      </c>
      <c r="G623">
        <v>20</v>
      </c>
      <c r="H623">
        <v>0</v>
      </c>
      <c r="I623">
        <v>20</v>
      </c>
      <c r="J623">
        <v>0</v>
      </c>
      <c r="K623">
        <v>0</v>
      </c>
      <c r="L623">
        <v>20</v>
      </c>
    </row>
    <row r="624" spans="1:12" x14ac:dyDescent="0.25">
      <c r="A624">
        <v>1601</v>
      </c>
      <c r="B624">
        <v>1803940533001</v>
      </c>
      <c r="C624" t="s">
        <v>68</v>
      </c>
      <c r="D624" s="1">
        <v>46050</v>
      </c>
      <c r="E624" t="s">
        <v>17</v>
      </c>
      <c r="F624">
        <v>1294</v>
      </c>
      <c r="G624">
        <v>20</v>
      </c>
      <c r="H624">
        <v>0</v>
      </c>
      <c r="I624">
        <v>20</v>
      </c>
      <c r="J624">
        <v>0</v>
      </c>
      <c r="K624">
        <v>0</v>
      </c>
      <c r="L624">
        <v>20</v>
      </c>
    </row>
    <row r="625" spans="1:12" x14ac:dyDescent="0.25">
      <c r="A625">
        <v>1601</v>
      </c>
      <c r="B625">
        <v>1803940533001</v>
      </c>
      <c r="C625" t="s">
        <v>68</v>
      </c>
      <c r="D625" s="1">
        <v>46050</v>
      </c>
      <c r="E625" t="s">
        <v>17</v>
      </c>
      <c r="F625">
        <v>1292</v>
      </c>
      <c r="G625">
        <v>20</v>
      </c>
      <c r="H625">
        <v>0</v>
      </c>
      <c r="I625">
        <v>20</v>
      </c>
      <c r="J625">
        <v>0</v>
      </c>
      <c r="K625">
        <v>0</v>
      </c>
      <c r="L625">
        <v>20</v>
      </c>
    </row>
    <row r="626" spans="1:12" x14ac:dyDescent="0.25">
      <c r="A626">
        <v>1601</v>
      </c>
      <c r="B626">
        <v>1803940533001</v>
      </c>
      <c r="C626" t="s">
        <v>68</v>
      </c>
      <c r="D626" s="1">
        <v>46050</v>
      </c>
      <c r="E626" t="s">
        <v>17</v>
      </c>
      <c r="F626">
        <v>1291</v>
      </c>
      <c r="G626">
        <v>6</v>
      </c>
      <c r="H626">
        <v>0</v>
      </c>
      <c r="I626">
        <v>6</v>
      </c>
      <c r="J626">
        <v>0</v>
      </c>
      <c r="K626">
        <v>0</v>
      </c>
      <c r="L626">
        <v>6</v>
      </c>
    </row>
    <row r="627" spans="1:12" x14ac:dyDescent="0.25">
      <c r="A627">
        <v>1601</v>
      </c>
      <c r="B627">
        <v>1803940533001</v>
      </c>
      <c r="C627" t="s">
        <v>68</v>
      </c>
      <c r="D627" s="1">
        <v>46051</v>
      </c>
      <c r="E627" t="s">
        <v>17</v>
      </c>
      <c r="F627">
        <v>1295</v>
      </c>
      <c r="G627">
        <v>20</v>
      </c>
      <c r="H627">
        <v>0</v>
      </c>
      <c r="I627">
        <v>20</v>
      </c>
      <c r="J627">
        <v>0</v>
      </c>
      <c r="K627">
        <v>0</v>
      </c>
      <c r="L627">
        <v>20</v>
      </c>
    </row>
    <row r="628" spans="1:12" x14ac:dyDescent="0.25">
      <c r="A628">
        <v>1601</v>
      </c>
      <c r="B628">
        <v>1803940533001</v>
      </c>
      <c r="C628" t="s">
        <v>68</v>
      </c>
      <c r="D628" s="1">
        <v>46051</v>
      </c>
      <c r="E628" t="s">
        <v>17</v>
      </c>
      <c r="F628">
        <v>1296</v>
      </c>
      <c r="G628">
        <v>20</v>
      </c>
      <c r="H628">
        <v>0</v>
      </c>
      <c r="I628">
        <v>20</v>
      </c>
      <c r="J628">
        <v>0</v>
      </c>
      <c r="K628">
        <v>0</v>
      </c>
      <c r="L628">
        <v>20</v>
      </c>
    </row>
    <row r="629" spans="1:12" x14ac:dyDescent="0.25">
      <c r="A629">
        <v>1601</v>
      </c>
      <c r="B629">
        <v>1803940533001</v>
      </c>
      <c r="C629" t="s">
        <v>68</v>
      </c>
      <c r="D629" s="1">
        <v>46052</v>
      </c>
      <c r="E629" t="s">
        <v>17</v>
      </c>
      <c r="F629">
        <v>1302</v>
      </c>
      <c r="G629">
        <v>20</v>
      </c>
      <c r="H629">
        <v>0</v>
      </c>
      <c r="I629">
        <v>20</v>
      </c>
      <c r="J629">
        <v>0</v>
      </c>
      <c r="K629">
        <v>0</v>
      </c>
      <c r="L629">
        <v>20</v>
      </c>
    </row>
    <row r="630" spans="1:12" x14ac:dyDescent="0.25">
      <c r="A630">
        <v>1601</v>
      </c>
      <c r="B630">
        <v>1803940533001</v>
      </c>
      <c r="C630" t="s">
        <v>68</v>
      </c>
      <c r="D630" s="1">
        <v>46052</v>
      </c>
      <c r="E630" t="s">
        <v>17</v>
      </c>
      <c r="F630">
        <v>1301</v>
      </c>
      <c r="G630">
        <v>20</v>
      </c>
      <c r="H630">
        <v>0</v>
      </c>
      <c r="I630">
        <v>20</v>
      </c>
      <c r="J630">
        <v>0</v>
      </c>
      <c r="K630">
        <v>0</v>
      </c>
      <c r="L630">
        <v>20</v>
      </c>
    </row>
    <row r="631" spans="1:12" x14ac:dyDescent="0.25">
      <c r="A631">
        <v>1601</v>
      </c>
      <c r="B631">
        <v>1803940533001</v>
      </c>
      <c r="C631" t="s">
        <v>68</v>
      </c>
      <c r="D631" s="1">
        <v>46053</v>
      </c>
      <c r="E631" t="s">
        <v>17</v>
      </c>
      <c r="F631">
        <v>1306</v>
      </c>
      <c r="G631">
        <v>37</v>
      </c>
      <c r="H631">
        <v>0</v>
      </c>
      <c r="I631">
        <v>37</v>
      </c>
      <c r="J631">
        <v>0</v>
      </c>
      <c r="K631">
        <v>0</v>
      </c>
      <c r="L631">
        <v>37</v>
      </c>
    </row>
    <row r="632" spans="1:12" x14ac:dyDescent="0.25">
      <c r="A632">
        <v>1601</v>
      </c>
      <c r="B632">
        <v>1803940533001</v>
      </c>
      <c r="C632" t="s">
        <v>68</v>
      </c>
      <c r="D632" s="1">
        <v>46053</v>
      </c>
      <c r="E632" t="s">
        <v>17</v>
      </c>
      <c r="F632">
        <v>1305</v>
      </c>
      <c r="G632">
        <v>11</v>
      </c>
      <c r="H632">
        <v>0</v>
      </c>
      <c r="I632">
        <v>11</v>
      </c>
      <c r="J632">
        <v>0</v>
      </c>
      <c r="K632">
        <v>0</v>
      </c>
      <c r="L632">
        <v>11</v>
      </c>
    </row>
    <row r="633" spans="1:12" x14ac:dyDescent="0.25">
      <c r="A633">
        <v>1601</v>
      </c>
      <c r="B633">
        <v>1803940533001</v>
      </c>
      <c r="C633" t="s">
        <v>68</v>
      </c>
      <c r="D633" s="1">
        <v>46053</v>
      </c>
      <c r="E633" t="s">
        <v>17</v>
      </c>
      <c r="F633">
        <v>1304</v>
      </c>
      <c r="G633">
        <v>20</v>
      </c>
      <c r="H633">
        <v>0</v>
      </c>
      <c r="I633">
        <v>20</v>
      </c>
      <c r="J633">
        <v>0</v>
      </c>
      <c r="K633">
        <v>0</v>
      </c>
      <c r="L633">
        <v>20</v>
      </c>
    </row>
    <row r="634" spans="1:12" x14ac:dyDescent="0.25">
      <c r="A634">
        <v>1601</v>
      </c>
      <c r="B634">
        <v>1803940533001</v>
      </c>
      <c r="C634" t="s">
        <v>68</v>
      </c>
      <c r="D634" s="1">
        <v>46053</v>
      </c>
      <c r="E634" t="s">
        <v>17</v>
      </c>
      <c r="F634">
        <v>1303</v>
      </c>
      <c r="G634">
        <v>6</v>
      </c>
      <c r="H634">
        <v>0</v>
      </c>
      <c r="I634">
        <v>6</v>
      </c>
      <c r="J634">
        <v>0</v>
      </c>
      <c r="K634">
        <v>0</v>
      </c>
      <c r="L634">
        <v>6</v>
      </c>
    </row>
    <row r="635" spans="1:12" x14ac:dyDescent="0.25">
      <c r="A635">
        <v>1495</v>
      </c>
      <c r="B635">
        <v>1804234472001</v>
      </c>
      <c r="C635" t="s">
        <v>69</v>
      </c>
      <c r="D635" s="1">
        <v>46030</v>
      </c>
      <c r="E635" t="s">
        <v>13</v>
      </c>
      <c r="F635">
        <v>2087</v>
      </c>
      <c r="G635">
        <v>217.5</v>
      </c>
      <c r="H635">
        <v>200</v>
      </c>
      <c r="I635">
        <v>0</v>
      </c>
      <c r="J635">
        <v>30</v>
      </c>
      <c r="K635">
        <v>12.5</v>
      </c>
      <c r="L635">
        <v>217.5</v>
      </c>
    </row>
    <row r="636" spans="1:12" x14ac:dyDescent="0.25">
      <c r="A636">
        <v>1103</v>
      </c>
      <c r="B636">
        <v>1804236659001</v>
      </c>
      <c r="C636" t="s">
        <v>70</v>
      </c>
      <c r="D636" s="1">
        <v>46028</v>
      </c>
      <c r="E636" t="s">
        <v>13</v>
      </c>
      <c r="F636">
        <v>1555</v>
      </c>
      <c r="G636">
        <v>499.99</v>
      </c>
      <c r="H636">
        <v>555.54999999999995</v>
      </c>
      <c r="I636">
        <v>0</v>
      </c>
      <c r="J636">
        <v>83.33</v>
      </c>
      <c r="K636">
        <v>138.88999999999999</v>
      </c>
      <c r="L636">
        <v>499.99</v>
      </c>
    </row>
    <row r="637" spans="1:12" x14ac:dyDescent="0.25">
      <c r="A637">
        <v>1734</v>
      </c>
      <c r="B637">
        <v>1804345385001</v>
      </c>
      <c r="C637" t="s">
        <v>71</v>
      </c>
      <c r="D637" s="1">
        <v>46030</v>
      </c>
      <c r="E637" t="s">
        <v>17</v>
      </c>
      <c r="F637">
        <v>309</v>
      </c>
      <c r="G637">
        <v>50</v>
      </c>
      <c r="H637">
        <v>0</v>
      </c>
      <c r="I637">
        <v>50</v>
      </c>
      <c r="J637">
        <v>0</v>
      </c>
      <c r="K637">
        <v>0</v>
      </c>
      <c r="L637">
        <v>50</v>
      </c>
    </row>
    <row r="638" spans="1:12" x14ac:dyDescent="0.25">
      <c r="A638">
        <v>1734</v>
      </c>
      <c r="B638">
        <v>1804345385001</v>
      </c>
      <c r="C638" t="s">
        <v>71</v>
      </c>
      <c r="D638" s="1">
        <v>46036</v>
      </c>
      <c r="E638" t="s">
        <v>17</v>
      </c>
      <c r="F638">
        <v>312</v>
      </c>
      <c r="G638">
        <v>45</v>
      </c>
      <c r="H638">
        <v>0</v>
      </c>
      <c r="I638">
        <v>45</v>
      </c>
      <c r="J638">
        <v>0</v>
      </c>
      <c r="K638">
        <v>0</v>
      </c>
      <c r="L638">
        <v>45</v>
      </c>
    </row>
    <row r="639" spans="1:12" x14ac:dyDescent="0.25">
      <c r="A639">
        <v>1093</v>
      </c>
      <c r="B639">
        <v>1804347332001</v>
      </c>
      <c r="C639" t="s">
        <v>72</v>
      </c>
      <c r="D639" s="1">
        <v>46030</v>
      </c>
      <c r="E639" t="s">
        <v>13</v>
      </c>
      <c r="F639">
        <v>271</v>
      </c>
      <c r="G639">
        <v>333.71</v>
      </c>
      <c r="H639">
        <v>306.86</v>
      </c>
      <c r="I639">
        <v>0</v>
      </c>
      <c r="J639">
        <v>46.03</v>
      </c>
      <c r="K639">
        <v>19.18</v>
      </c>
      <c r="L639">
        <v>333.71</v>
      </c>
    </row>
    <row r="640" spans="1:12" x14ac:dyDescent="0.25">
      <c r="A640">
        <v>1093</v>
      </c>
      <c r="B640">
        <v>1804347332001</v>
      </c>
      <c r="C640" t="s">
        <v>72</v>
      </c>
      <c r="D640" s="1">
        <v>46030</v>
      </c>
      <c r="E640" t="s">
        <v>13</v>
      </c>
      <c r="F640">
        <v>268</v>
      </c>
      <c r="G640">
        <v>588.89</v>
      </c>
      <c r="H640">
        <v>541.51</v>
      </c>
      <c r="I640">
        <v>0</v>
      </c>
      <c r="J640">
        <v>81.23</v>
      </c>
      <c r="K640">
        <v>33.85</v>
      </c>
      <c r="L640">
        <v>588.89</v>
      </c>
    </row>
    <row r="641" spans="1:12" x14ac:dyDescent="0.25">
      <c r="A641">
        <v>1093</v>
      </c>
      <c r="B641">
        <v>1804347332001</v>
      </c>
      <c r="C641" t="s">
        <v>72</v>
      </c>
      <c r="D641" s="1">
        <v>46030</v>
      </c>
      <c r="E641" t="s">
        <v>13</v>
      </c>
      <c r="F641">
        <v>270</v>
      </c>
      <c r="G641">
        <v>73.39</v>
      </c>
      <c r="H641">
        <v>67.489999999999995</v>
      </c>
      <c r="I641">
        <v>0</v>
      </c>
      <c r="J641">
        <v>10.119999999999999</v>
      </c>
      <c r="K641">
        <v>4.22</v>
      </c>
      <c r="L641">
        <v>73.39</v>
      </c>
    </row>
    <row r="642" spans="1:12" x14ac:dyDescent="0.25">
      <c r="A642">
        <v>1093</v>
      </c>
      <c r="B642">
        <v>1804347332001</v>
      </c>
      <c r="C642" t="s">
        <v>72</v>
      </c>
      <c r="D642" s="1">
        <v>46030</v>
      </c>
      <c r="E642" t="s">
        <v>13</v>
      </c>
      <c r="F642">
        <v>269</v>
      </c>
      <c r="G642">
        <v>131.44999999999999</v>
      </c>
      <c r="H642">
        <v>120.88</v>
      </c>
      <c r="I642">
        <v>0</v>
      </c>
      <c r="J642">
        <v>18.13</v>
      </c>
      <c r="K642">
        <v>7.56</v>
      </c>
      <c r="L642">
        <v>131.44999999999999</v>
      </c>
    </row>
    <row r="643" spans="1:12" x14ac:dyDescent="0.25">
      <c r="A643">
        <v>1093</v>
      </c>
      <c r="B643">
        <v>1804347332001</v>
      </c>
      <c r="C643" t="s">
        <v>72</v>
      </c>
      <c r="D643" s="1">
        <v>46036</v>
      </c>
      <c r="E643" t="s">
        <v>13</v>
      </c>
      <c r="F643">
        <v>267</v>
      </c>
      <c r="G643" s="2">
        <v>2051.83</v>
      </c>
      <c r="H643" s="2">
        <v>1886.74</v>
      </c>
      <c r="I643">
        <v>0</v>
      </c>
      <c r="J643">
        <v>283.01</v>
      </c>
      <c r="K643">
        <v>117.92</v>
      </c>
      <c r="L643" s="2">
        <v>2051.83</v>
      </c>
    </row>
    <row r="644" spans="1:12" x14ac:dyDescent="0.25">
      <c r="A644">
        <v>1394</v>
      </c>
      <c r="B644">
        <v>1804621686</v>
      </c>
      <c r="C644" t="s">
        <v>73</v>
      </c>
      <c r="D644" s="1">
        <v>46051</v>
      </c>
      <c r="E644" t="s">
        <v>21</v>
      </c>
      <c r="F644">
        <v>232</v>
      </c>
      <c r="G644">
        <v>36</v>
      </c>
      <c r="H644">
        <v>0</v>
      </c>
      <c r="I644">
        <v>36</v>
      </c>
      <c r="J644">
        <v>0</v>
      </c>
      <c r="K644">
        <v>0</v>
      </c>
      <c r="L644">
        <v>36</v>
      </c>
    </row>
    <row r="645" spans="1:12" x14ac:dyDescent="0.25">
      <c r="A645">
        <v>1394</v>
      </c>
      <c r="B645">
        <v>1804621686</v>
      </c>
      <c r="C645" t="s">
        <v>73</v>
      </c>
      <c r="D645" s="1">
        <v>46051</v>
      </c>
      <c r="E645" t="s">
        <v>21</v>
      </c>
      <c r="F645">
        <v>235</v>
      </c>
      <c r="G645">
        <v>29.69</v>
      </c>
      <c r="H645">
        <v>24.07</v>
      </c>
      <c r="I645">
        <v>2</v>
      </c>
      <c r="J645">
        <v>3.62</v>
      </c>
      <c r="K645">
        <v>0</v>
      </c>
      <c r="L645">
        <v>29.69</v>
      </c>
    </row>
    <row r="646" spans="1:12" x14ac:dyDescent="0.25">
      <c r="A646">
        <v>1836</v>
      </c>
      <c r="B646">
        <v>1804848115001</v>
      </c>
      <c r="C646" t="s">
        <v>74</v>
      </c>
      <c r="D646" s="1">
        <v>46041</v>
      </c>
      <c r="E646" t="s">
        <v>13</v>
      </c>
      <c r="F646">
        <v>104</v>
      </c>
      <c r="G646">
        <v>43.5</v>
      </c>
      <c r="H646">
        <v>40</v>
      </c>
      <c r="I646">
        <v>0</v>
      </c>
      <c r="J646">
        <v>6</v>
      </c>
      <c r="K646">
        <v>2.5</v>
      </c>
      <c r="L646">
        <v>43.5</v>
      </c>
    </row>
    <row r="647" spans="1:12" x14ac:dyDescent="0.25">
      <c r="A647">
        <v>1836</v>
      </c>
      <c r="B647">
        <v>1804848115001</v>
      </c>
      <c r="C647" t="s">
        <v>74</v>
      </c>
      <c r="D647" s="1">
        <v>46051</v>
      </c>
      <c r="E647" t="s">
        <v>13</v>
      </c>
      <c r="F647">
        <v>113</v>
      </c>
      <c r="G647">
        <v>174</v>
      </c>
      <c r="H647">
        <v>160</v>
      </c>
      <c r="I647">
        <v>0</v>
      </c>
      <c r="J647">
        <v>24</v>
      </c>
      <c r="K647">
        <v>10</v>
      </c>
      <c r="L647">
        <v>174</v>
      </c>
    </row>
    <row r="648" spans="1:12" x14ac:dyDescent="0.25">
      <c r="A648">
        <v>1836</v>
      </c>
      <c r="B648">
        <v>1804848115001</v>
      </c>
      <c r="C648" t="s">
        <v>74</v>
      </c>
      <c r="D648" s="1">
        <v>46051</v>
      </c>
      <c r="E648" t="s">
        <v>13</v>
      </c>
      <c r="F648">
        <v>114</v>
      </c>
      <c r="G648">
        <v>43.5</v>
      </c>
      <c r="H648">
        <v>40</v>
      </c>
      <c r="I648">
        <v>0</v>
      </c>
      <c r="J648">
        <v>6</v>
      </c>
      <c r="K648">
        <v>2.5</v>
      </c>
      <c r="L648">
        <v>43.5</v>
      </c>
    </row>
    <row r="649" spans="1:12" x14ac:dyDescent="0.25">
      <c r="A649">
        <v>1809</v>
      </c>
      <c r="B649">
        <v>1805135306001</v>
      </c>
      <c r="C649" t="s">
        <v>75</v>
      </c>
      <c r="D649" s="1">
        <v>46029</v>
      </c>
      <c r="E649" t="s">
        <v>13</v>
      </c>
      <c r="F649" t="s">
        <v>76</v>
      </c>
      <c r="G649">
        <v>180</v>
      </c>
      <c r="H649">
        <v>0</v>
      </c>
      <c r="I649">
        <v>180</v>
      </c>
      <c r="J649">
        <v>0</v>
      </c>
      <c r="K649">
        <v>0</v>
      </c>
      <c r="L649">
        <v>0</v>
      </c>
    </row>
    <row r="650" spans="1:12" x14ac:dyDescent="0.25">
      <c r="A650">
        <v>1809</v>
      </c>
      <c r="B650">
        <v>1805135306001</v>
      </c>
      <c r="C650" t="s">
        <v>75</v>
      </c>
      <c r="D650" s="1">
        <v>46042</v>
      </c>
      <c r="E650" t="s">
        <v>31</v>
      </c>
      <c r="F650">
        <v>900000029</v>
      </c>
      <c r="G650">
        <v>180</v>
      </c>
      <c r="H650">
        <v>0</v>
      </c>
      <c r="I650">
        <v>180</v>
      </c>
      <c r="J650">
        <v>0</v>
      </c>
      <c r="K650">
        <v>0</v>
      </c>
      <c r="L650">
        <v>0</v>
      </c>
    </row>
    <row r="651" spans="1:12" x14ac:dyDescent="0.25">
      <c r="A651">
        <v>1809</v>
      </c>
      <c r="B651">
        <v>1805135306001</v>
      </c>
      <c r="C651" t="s">
        <v>75</v>
      </c>
      <c r="D651" s="1">
        <v>46042</v>
      </c>
      <c r="E651" t="s">
        <v>13</v>
      </c>
      <c r="F651">
        <v>29</v>
      </c>
      <c r="G651">
        <v>180</v>
      </c>
      <c r="H651">
        <v>0</v>
      </c>
      <c r="I651">
        <v>180</v>
      </c>
      <c r="J651">
        <v>0</v>
      </c>
      <c r="K651">
        <v>0</v>
      </c>
      <c r="L651">
        <v>180</v>
      </c>
    </row>
    <row r="652" spans="1:12" x14ac:dyDescent="0.25">
      <c r="A652">
        <v>1816</v>
      </c>
      <c r="B652">
        <v>1805237821001</v>
      </c>
      <c r="C652" t="s">
        <v>77</v>
      </c>
      <c r="D652" s="1">
        <v>46050</v>
      </c>
      <c r="E652" t="s">
        <v>13</v>
      </c>
      <c r="F652">
        <v>82</v>
      </c>
      <c r="G652">
        <v>25.62</v>
      </c>
      <c r="H652">
        <v>25</v>
      </c>
      <c r="I652">
        <v>0</v>
      </c>
      <c r="J652">
        <v>3.75</v>
      </c>
      <c r="K652">
        <v>3.13</v>
      </c>
      <c r="L652">
        <v>25.62</v>
      </c>
    </row>
    <row r="653" spans="1:12" x14ac:dyDescent="0.25">
      <c r="A653">
        <v>1549</v>
      </c>
      <c r="B653">
        <v>1805448196</v>
      </c>
      <c r="C653" t="s">
        <v>78</v>
      </c>
      <c r="D653" s="1">
        <v>46051</v>
      </c>
      <c r="E653" t="s">
        <v>21</v>
      </c>
      <c r="F653">
        <v>233</v>
      </c>
      <c r="G653">
        <v>39.14</v>
      </c>
      <c r="H653">
        <v>23.6</v>
      </c>
      <c r="I653">
        <v>12</v>
      </c>
      <c r="J653">
        <v>3.54</v>
      </c>
      <c r="K653">
        <v>0</v>
      </c>
      <c r="L653">
        <v>39.14</v>
      </c>
    </row>
    <row r="654" spans="1:12" x14ac:dyDescent="0.25">
      <c r="A654">
        <v>518</v>
      </c>
      <c r="B654">
        <v>1860000210001</v>
      </c>
      <c r="C654" t="s">
        <v>79</v>
      </c>
      <c r="D654" s="1">
        <v>46036</v>
      </c>
      <c r="E654" t="s">
        <v>80</v>
      </c>
      <c r="F654">
        <v>9135700</v>
      </c>
      <c r="G654">
        <v>118.68</v>
      </c>
      <c r="H654">
        <v>0</v>
      </c>
      <c r="I654">
        <v>118.68</v>
      </c>
      <c r="J654">
        <v>0</v>
      </c>
      <c r="K654">
        <v>0</v>
      </c>
      <c r="L654">
        <v>0</v>
      </c>
    </row>
    <row r="655" spans="1:12" x14ac:dyDescent="0.25">
      <c r="A655">
        <v>518</v>
      </c>
      <c r="B655">
        <v>1860000210001</v>
      </c>
      <c r="C655" t="s">
        <v>79</v>
      </c>
      <c r="D655" s="1">
        <v>46036</v>
      </c>
      <c r="E655" t="s">
        <v>80</v>
      </c>
      <c r="F655">
        <v>9135701</v>
      </c>
      <c r="G655">
        <v>136.03</v>
      </c>
      <c r="H655">
        <v>0</v>
      </c>
      <c r="I655">
        <v>136.03</v>
      </c>
      <c r="J655">
        <v>0</v>
      </c>
      <c r="K655">
        <v>0</v>
      </c>
      <c r="L655">
        <v>0</v>
      </c>
    </row>
    <row r="656" spans="1:12" x14ac:dyDescent="0.25">
      <c r="A656">
        <v>518</v>
      </c>
      <c r="B656">
        <v>1860000210001</v>
      </c>
      <c r="C656" t="s">
        <v>79</v>
      </c>
      <c r="D656" s="1">
        <v>46036</v>
      </c>
      <c r="E656" t="s">
        <v>80</v>
      </c>
      <c r="F656">
        <v>9135702</v>
      </c>
      <c r="G656">
        <v>251.41</v>
      </c>
      <c r="H656">
        <v>0</v>
      </c>
      <c r="I656">
        <v>251.41</v>
      </c>
      <c r="J656">
        <v>0</v>
      </c>
      <c r="K656">
        <v>0</v>
      </c>
      <c r="L656">
        <v>0</v>
      </c>
    </row>
    <row r="657" spans="1:12" x14ac:dyDescent="0.25">
      <c r="A657">
        <v>518</v>
      </c>
      <c r="B657">
        <v>1860000210001</v>
      </c>
      <c r="C657" t="s">
        <v>79</v>
      </c>
      <c r="D657" s="1">
        <v>46036</v>
      </c>
      <c r="E657" t="s">
        <v>80</v>
      </c>
      <c r="F657">
        <v>9135703</v>
      </c>
      <c r="G657">
        <v>128.77000000000001</v>
      </c>
      <c r="H657">
        <v>0</v>
      </c>
      <c r="I657">
        <v>128.77000000000001</v>
      </c>
      <c r="J657">
        <v>0</v>
      </c>
      <c r="K657">
        <v>0</v>
      </c>
      <c r="L657">
        <v>0</v>
      </c>
    </row>
    <row r="658" spans="1:12" x14ac:dyDescent="0.25">
      <c r="A658">
        <v>518</v>
      </c>
      <c r="B658">
        <v>1860000210001</v>
      </c>
      <c r="C658" t="s">
        <v>79</v>
      </c>
      <c r="D658" s="1">
        <v>46036</v>
      </c>
      <c r="E658" t="s">
        <v>80</v>
      </c>
      <c r="F658">
        <v>9135704</v>
      </c>
      <c r="G658">
        <v>237.87</v>
      </c>
      <c r="H658">
        <v>0</v>
      </c>
      <c r="I658">
        <v>237.87</v>
      </c>
      <c r="J658">
        <v>0</v>
      </c>
      <c r="K658">
        <v>0</v>
      </c>
      <c r="L658">
        <v>0</v>
      </c>
    </row>
    <row r="659" spans="1:12" x14ac:dyDescent="0.25">
      <c r="A659">
        <v>518</v>
      </c>
      <c r="B659">
        <v>1860000210001</v>
      </c>
      <c r="C659" t="s">
        <v>79</v>
      </c>
      <c r="D659" s="1">
        <v>46036</v>
      </c>
      <c r="E659" t="s">
        <v>80</v>
      </c>
      <c r="F659">
        <v>9135705</v>
      </c>
      <c r="G659">
        <v>4.0199999999999996</v>
      </c>
      <c r="H659">
        <v>0</v>
      </c>
      <c r="I659">
        <v>4.0199999999999996</v>
      </c>
      <c r="J659">
        <v>0</v>
      </c>
      <c r="K659">
        <v>0</v>
      </c>
      <c r="L659">
        <v>0</v>
      </c>
    </row>
    <row r="660" spans="1:12" x14ac:dyDescent="0.25">
      <c r="A660">
        <v>518</v>
      </c>
      <c r="B660">
        <v>1860000210001</v>
      </c>
      <c r="C660" t="s">
        <v>79</v>
      </c>
      <c r="D660" s="1">
        <v>46036</v>
      </c>
      <c r="E660" t="s">
        <v>80</v>
      </c>
      <c r="F660">
        <v>9135706</v>
      </c>
      <c r="G660">
        <v>4.9000000000000004</v>
      </c>
      <c r="H660">
        <v>0</v>
      </c>
      <c r="I660">
        <v>4.9000000000000004</v>
      </c>
      <c r="J660">
        <v>0</v>
      </c>
      <c r="K660">
        <v>0</v>
      </c>
      <c r="L660">
        <v>0</v>
      </c>
    </row>
    <row r="661" spans="1:12" x14ac:dyDescent="0.25">
      <c r="A661">
        <v>485</v>
      </c>
      <c r="B661">
        <v>1865030070001</v>
      </c>
      <c r="C661" t="s">
        <v>81</v>
      </c>
      <c r="D661" s="1">
        <v>46041</v>
      </c>
      <c r="E661" t="s">
        <v>13</v>
      </c>
      <c r="F661">
        <v>4268438</v>
      </c>
      <c r="G661">
        <v>76.61</v>
      </c>
      <c r="H661">
        <v>0</v>
      </c>
      <c r="I661">
        <v>76.61</v>
      </c>
      <c r="J661">
        <v>0</v>
      </c>
      <c r="K661">
        <v>0</v>
      </c>
      <c r="L661">
        <v>0</v>
      </c>
    </row>
    <row r="662" spans="1:12" x14ac:dyDescent="0.25">
      <c r="A662">
        <v>485</v>
      </c>
      <c r="B662">
        <v>1865030070001</v>
      </c>
      <c r="C662" t="s">
        <v>81</v>
      </c>
      <c r="D662" s="1">
        <v>46048</v>
      </c>
      <c r="E662" t="s">
        <v>31</v>
      </c>
      <c r="F662">
        <v>904268438</v>
      </c>
      <c r="G662">
        <v>76.61</v>
      </c>
      <c r="H662">
        <v>0</v>
      </c>
      <c r="I662">
        <v>76.61</v>
      </c>
      <c r="J662">
        <v>0</v>
      </c>
      <c r="K662">
        <v>0</v>
      </c>
      <c r="L662">
        <v>0</v>
      </c>
    </row>
    <row r="663" spans="1:12" x14ac:dyDescent="0.25">
      <c r="A663">
        <v>1351</v>
      </c>
      <c r="B663">
        <v>1865033840001</v>
      </c>
      <c r="C663" t="s">
        <v>82</v>
      </c>
      <c r="D663" s="1">
        <v>46048</v>
      </c>
      <c r="E663" t="s">
        <v>13</v>
      </c>
      <c r="F663">
        <v>142458</v>
      </c>
      <c r="G663">
        <v>12.85</v>
      </c>
      <c r="H663">
        <v>0</v>
      </c>
      <c r="I663">
        <v>12.85</v>
      </c>
      <c r="J663">
        <v>0</v>
      </c>
      <c r="K663">
        <v>0</v>
      </c>
      <c r="L663">
        <v>0</v>
      </c>
    </row>
    <row r="664" spans="1:12" x14ac:dyDescent="0.25">
      <c r="A664">
        <v>1351</v>
      </c>
      <c r="B664">
        <v>1865033840001</v>
      </c>
      <c r="C664" t="s">
        <v>82</v>
      </c>
      <c r="D664" s="1">
        <v>46048</v>
      </c>
      <c r="E664" t="s">
        <v>31</v>
      </c>
      <c r="F664">
        <v>900142458</v>
      </c>
      <c r="G664">
        <v>12.85</v>
      </c>
      <c r="H664">
        <v>0</v>
      </c>
      <c r="I664">
        <v>12.85</v>
      </c>
      <c r="J664">
        <v>0</v>
      </c>
      <c r="K664">
        <v>0</v>
      </c>
      <c r="L664">
        <v>0</v>
      </c>
    </row>
    <row r="665" spans="1:12" x14ac:dyDescent="0.25">
      <c r="A665">
        <v>484</v>
      </c>
      <c r="B665">
        <v>1890001439001</v>
      </c>
      <c r="C665" t="s">
        <v>83</v>
      </c>
      <c r="D665" s="1">
        <v>46034</v>
      </c>
      <c r="E665" t="s">
        <v>13</v>
      </c>
      <c r="F665">
        <v>12246187</v>
      </c>
      <c r="G665">
        <v>54.65</v>
      </c>
      <c r="H665">
        <v>0</v>
      </c>
      <c r="I665">
        <v>54.65</v>
      </c>
      <c r="J665">
        <v>0</v>
      </c>
      <c r="K665">
        <v>0</v>
      </c>
      <c r="L665">
        <v>0</v>
      </c>
    </row>
    <row r="666" spans="1:12" x14ac:dyDescent="0.25">
      <c r="A666">
        <v>484</v>
      </c>
      <c r="B666">
        <v>1890001439001</v>
      </c>
      <c r="C666" t="s">
        <v>83</v>
      </c>
      <c r="D666" s="1">
        <v>46034</v>
      </c>
      <c r="E666" t="s">
        <v>13</v>
      </c>
      <c r="F666">
        <v>12252332</v>
      </c>
      <c r="G666">
        <v>892.73</v>
      </c>
      <c r="H666">
        <v>0</v>
      </c>
      <c r="I666">
        <v>892.73</v>
      </c>
      <c r="J666">
        <v>0</v>
      </c>
      <c r="K666">
        <v>0</v>
      </c>
      <c r="L666">
        <v>0</v>
      </c>
    </row>
    <row r="667" spans="1:12" x14ac:dyDescent="0.25">
      <c r="A667">
        <v>484</v>
      </c>
      <c r="B667">
        <v>1890001439001</v>
      </c>
      <c r="C667" t="s">
        <v>83</v>
      </c>
      <c r="D667" s="1">
        <v>46041</v>
      </c>
      <c r="E667" t="s">
        <v>31</v>
      </c>
      <c r="F667">
        <v>900246187</v>
      </c>
      <c r="G667">
        <v>54.65</v>
      </c>
      <c r="H667">
        <v>0</v>
      </c>
      <c r="I667">
        <v>54.65</v>
      </c>
      <c r="J667">
        <v>0</v>
      </c>
      <c r="K667">
        <v>0</v>
      </c>
      <c r="L667">
        <v>0</v>
      </c>
    </row>
    <row r="668" spans="1:12" x14ac:dyDescent="0.25">
      <c r="A668">
        <v>484</v>
      </c>
      <c r="B668">
        <v>1890001439001</v>
      </c>
      <c r="C668" t="s">
        <v>83</v>
      </c>
      <c r="D668" s="1">
        <v>46041</v>
      </c>
      <c r="E668" t="s">
        <v>31</v>
      </c>
      <c r="F668">
        <v>900225233</v>
      </c>
      <c r="G668">
        <v>892.73</v>
      </c>
      <c r="H668">
        <v>0</v>
      </c>
      <c r="I668">
        <v>892.73</v>
      </c>
      <c r="J668">
        <v>0</v>
      </c>
      <c r="K668">
        <v>0</v>
      </c>
      <c r="L668">
        <v>0</v>
      </c>
    </row>
    <row r="669" spans="1:12" x14ac:dyDescent="0.25">
      <c r="A669">
        <v>222</v>
      </c>
      <c r="B669">
        <v>1890019184001</v>
      </c>
      <c r="C669" t="s">
        <v>84</v>
      </c>
      <c r="D669" s="1">
        <v>46034</v>
      </c>
      <c r="E669" t="s">
        <v>13</v>
      </c>
      <c r="F669">
        <v>35294</v>
      </c>
      <c r="G669">
        <v>363.13</v>
      </c>
      <c r="H669">
        <v>333.91</v>
      </c>
      <c r="I669">
        <v>0</v>
      </c>
      <c r="J669">
        <v>50.09</v>
      </c>
      <c r="K669">
        <v>20.87</v>
      </c>
      <c r="L669">
        <v>363.13</v>
      </c>
    </row>
    <row r="670" spans="1:12" x14ac:dyDescent="0.25">
      <c r="A670">
        <v>1548</v>
      </c>
      <c r="B670">
        <v>1890113423001</v>
      </c>
      <c r="C670" t="s">
        <v>85</v>
      </c>
      <c r="D670" s="1">
        <v>46037</v>
      </c>
      <c r="E670" t="s">
        <v>13</v>
      </c>
      <c r="F670">
        <v>20594</v>
      </c>
      <c r="G670">
        <v>170.38</v>
      </c>
      <c r="H670">
        <v>163.04</v>
      </c>
      <c r="I670">
        <v>0</v>
      </c>
      <c r="J670">
        <v>24.46</v>
      </c>
      <c r="K670">
        <v>17.12</v>
      </c>
      <c r="L670">
        <v>0</v>
      </c>
    </row>
    <row r="671" spans="1:12" x14ac:dyDescent="0.25">
      <c r="A671">
        <v>239</v>
      </c>
      <c r="B671">
        <v>1890152917001</v>
      </c>
      <c r="C671" t="s">
        <v>86</v>
      </c>
      <c r="D671" s="1">
        <v>46027</v>
      </c>
      <c r="E671" t="s">
        <v>13</v>
      </c>
      <c r="F671">
        <v>70816</v>
      </c>
      <c r="G671">
        <v>86.4</v>
      </c>
      <c r="H671">
        <v>79.45</v>
      </c>
      <c r="I671">
        <v>0</v>
      </c>
      <c r="J671">
        <v>11.92</v>
      </c>
      <c r="K671">
        <v>4.97</v>
      </c>
      <c r="L671">
        <v>86.4</v>
      </c>
    </row>
    <row r="672" spans="1:12" x14ac:dyDescent="0.25">
      <c r="A672">
        <v>239</v>
      </c>
      <c r="B672">
        <v>1890152917001</v>
      </c>
      <c r="C672" t="s">
        <v>86</v>
      </c>
      <c r="D672" s="1">
        <v>46029</v>
      </c>
      <c r="E672" t="s">
        <v>13</v>
      </c>
      <c r="F672">
        <v>62845</v>
      </c>
      <c r="G672">
        <v>124.1</v>
      </c>
      <c r="H672">
        <v>114.12</v>
      </c>
      <c r="I672">
        <v>0</v>
      </c>
      <c r="J672">
        <v>17.12</v>
      </c>
      <c r="K672">
        <v>7.14</v>
      </c>
      <c r="L672">
        <v>124.1</v>
      </c>
    </row>
    <row r="673" spans="1:12" x14ac:dyDescent="0.25">
      <c r="A673">
        <v>239</v>
      </c>
      <c r="B673">
        <v>1890152917001</v>
      </c>
      <c r="C673" t="s">
        <v>86</v>
      </c>
      <c r="D673" s="1">
        <v>46037</v>
      </c>
      <c r="E673" t="s">
        <v>13</v>
      </c>
      <c r="F673">
        <v>62991</v>
      </c>
      <c r="G673">
        <v>93.88</v>
      </c>
      <c r="H673">
        <v>86.33</v>
      </c>
      <c r="I673">
        <v>0</v>
      </c>
      <c r="J673">
        <v>12.95</v>
      </c>
      <c r="K673">
        <v>5.4</v>
      </c>
      <c r="L673">
        <v>93.88</v>
      </c>
    </row>
    <row r="674" spans="1:12" x14ac:dyDescent="0.25">
      <c r="A674">
        <v>973</v>
      </c>
      <c r="B674">
        <v>1891706509001</v>
      </c>
      <c r="C674" t="s">
        <v>87</v>
      </c>
      <c r="D674" s="1">
        <v>46041</v>
      </c>
      <c r="E674" t="s">
        <v>13</v>
      </c>
      <c r="F674">
        <v>1429</v>
      </c>
      <c r="G674">
        <v>27.18</v>
      </c>
      <c r="H674">
        <v>25</v>
      </c>
      <c r="I674">
        <v>0</v>
      </c>
      <c r="J674">
        <v>3.75</v>
      </c>
      <c r="K674">
        <v>1.57</v>
      </c>
      <c r="L674">
        <v>27.18</v>
      </c>
    </row>
    <row r="675" spans="1:12" x14ac:dyDescent="0.25">
      <c r="A675">
        <v>760</v>
      </c>
      <c r="B675">
        <v>1891746209001</v>
      </c>
      <c r="C675" t="s">
        <v>88</v>
      </c>
      <c r="D675" s="1">
        <v>46045</v>
      </c>
      <c r="E675" t="s">
        <v>13</v>
      </c>
      <c r="F675">
        <v>164842</v>
      </c>
      <c r="G675">
        <v>128.18</v>
      </c>
      <c r="H675">
        <v>117.86</v>
      </c>
      <c r="I675">
        <v>0</v>
      </c>
      <c r="J675">
        <v>17.68</v>
      </c>
      <c r="K675">
        <v>7.36</v>
      </c>
      <c r="L675">
        <v>128.18</v>
      </c>
    </row>
    <row r="676" spans="1:12" x14ac:dyDescent="0.25">
      <c r="A676">
        <v>1465</v>
      </c>
      <c r="B676">
        <v>1891752098001</v>
      </c>
      <c r="C676" t="s">
        <v>89</v>
      </c>
      <c r="D676" s="1">
        <v>46031</v>
      </c>
      <c r="E676" t="s">
        <v>13</v>
      </c>
      <c r="F676">
        <v>8168</v>
      </c>
      <c r="G676">
        <v>97.96</v>
      </c>
      <c r="H676">
        <v>90.08</v>
      </c>
      <c r="I676">
        <v>0</v>
      </c>
      <c r="J676">
        <v>13.51</v>
      </c>
      <c r="K676">
        <v>5.63</v>
      </c>
      <c r="L676">
        <v>97.96</v>
      </c>
    </row>
    <row r="677" spans="1:12" x14ac:dyDescent="0.25">
      <c r="A677">
        <v>1465</v>
      </c>
      <c r="B677">
        <v>1891752098001</v>
      </c>
      <c r="C677" t="s">
        <v>89</v>
      </c>
      <c r="D677" s="1">
        <v>46051</v>
      </c>
      <c r="E677" t="s">
        <v>13</v>
      </c>
      <c r="F677">
        <v>8230</v>
      </c>
      <c r="G677" s="2">
        <v>1815.2</v>
      </c>
      <c r="H677" s="2">
        <v>1669.15</v>
      </c>
      <c r="I677">
        <v>0</v>
      </c>
      <c r="J677">
        <v>250.37</v>
      </c>
      <c r="K677">
        <v>104.32</v>
      </c>
      <c r="L677" s="2">
        <v>1815.2</v>
      </c>
    </row>
    <row r="678" spans="1:12" x14ac:dyDescent="0.25">
      <c r="A678">
        <v>1246</v>
      </c>
      <c r="B678">
        <v>1891786383001</v>
      </c>
      <c r="C678" t="s">
        <v>90</v>
      </c>
      <c r="D678" s="1">
        <v>46027</v>
      </c>
      <c r="E678" t="s">
        <v>13</v>
      </c>
      <c r="F678">
        <v>438</v>
      </c>
      <c r="G678" s="2">
        <v>10150</v>
      </c>
      <c r="H678" s="2">
        <v>10000</v>
      </c>
      <c r="I678">
        <v>0</v>
      </c>
      <c r="J678" s="2">
        <v>1500</v>
      </c>
      <c r="K678" s="2">
        <v>1350</v>
      </c>
      <c r="L678">
        <v>0</v>
      </c>
    </row>
    <row r="679" spans="1:12" x14ac:dyDescent="0.25">
      <c r="A679">
        <v>1246</v>
      </c>
      <c r="B679">
        <v>1891786383001</v>
      </c>
      <c r="C679" t="s">
        <v>90</v>
      </c>
      <c r="D679" s="1">
        <v>46034</v>
      </c>
      <c r="E679" t="s">
        <v>31</v>
      </c>
      <c r="F679">
        <v>800000438</v>
      </c>
      <c r="G679" s="2">
        <v>6000</v>
      </c>
      <c r="H679" s="2">
        <v>6000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>
        <v>1246</v>
      </c>
      <c r="B680">
        <v>1891786383001</v>
      </c>
      <c r="C680" t="s">
        <v>90</v>
      </c>
      <c r="D680" s="1">
        <v>46035</v>
      </c>
      <c r="E680" t="s">
        <v>45</v>
      </c>
      <c r="F680">
        <v>11569502</v>
      </c>
      <c r="G680" s="2">
        <v>4150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>
        <v>1246</v>
      </c>
      <c r="B681">
        <v>1891786383001</v>
      </c>
      <c r="C681" t="s">
        <v>90</v>
      </c>
      <c r="D681" s="1">
        <v>46039</v>
      </c>
      <c r="E681" t="s">
        <v>13</v>
      </c>
      <c r="F681">
        <v>445</v>
      </c>
      <c r="G681">
        <v>240.42</v>
      </c>
      <c r="H681">
        <v>236.87</v>
      </c>
      <c r="I681">
        <v>0</v>
      </c>
      <c r="J681">
        <v>35.53</v>
      </c>
      <c r="K681">
        <v>31.98</v>
      </c>
      <c r="L681">
        <v>0</v>
      </c>
    </row>
    <row r="682" spans="1:12" x14ac:dyDescent="0.25">
      <c r="A682">
        <v>1246</v>
      </c>
      <c r="B682">
        <v>1891786383001</v>
      </c>
      <c r="C682" t="s">
        <v>90</v>
      </c>
      <c r="D682" s="1">
        <v>46039</v>
      </c>
      <c r="E682" t="s">
        <v>13</v>
      </c>
      <c r="F682">
        <v>443</v>
      </c>
      <c r="G682">
        <v>460.47</v>
      </c>
      <c r="H682">
        <v>453.67</v>
      </c>
      <c r="I682">
        <v>0</v>
      </c>
      <c r="J682">
        <v>68.05</v>
      </c>
      <c r="K682">
        <v>61.25</v>
      </c>
      <c r="L682">
        <v>0</v>
      </c>
    </row>
    <row r="683" spans="1:12" x14ac:dyDescent="0.25">
      <c r="A683">
        <v>1246</v>
      </c>
      <c r="B683">
        <v>1891786383001</v>
      </c>
      <c r="C683" t="s">
        <v>90</v>
      </c>
      <c r="D683" s="1">
        <v>46039</v>
      </c>
      <c r="E683" t="s">
        <v>13</v>
      </c>
      <c r="F683">
        <v>441</v>
      </c>
      <c r="G683">
        <v>156.11000000000001</v>
      </c>
      <c r="H683">
        <v>153.80000000000001</v>
      </c>
      <c r="I683">
        <v>0</v>
      </c>
      <c r="J683">
        <v>23.07</v>
      </c>
      <c r="K683">
        <v>20.76</v>
      </c>
      <c r="L683">
        <v>0</v>
      </c>
    </row>
    <row r="684" spans="1:12" x14ac:dyDescent="0.25">
      <c r="A684">
        <v>1270</v>
      </c>
      <c r="B684">
        <v>1891796176001</v>
      </c>
      <c r="C684" t="s">
        <v>91</v>
      </c>
      <c r="D684" s="1">
        <v>46037</v>
      </c>
      <c r="E684" t="s">
        <v>13</v>
      </c>
      <c r="F684">
        <v>1183246</v>
      </c>
      <c r="G684">
        <v>2</v>
      </c>
      <c r="H684">
        <v>1.74</v>
      </c>
      <c r="I684">
        <v>0</v>
      </c>
      <c r="J684">
        <v>0.26</v>
      </c>
      <c r="K684">
        <v>0</v>
      </c>
      <c r="L684">
        <v>2</v>
      </c>
    </row>
    <row r="685" spans="1:12" x14ac:dyDescent="0.25">
      <c r="A685">
        <v>1270</v>
      </c>
      <c r="B685">
        <v>1891796176001</v>
      </c>
      <c r="C685" t="s">
        <v>91</v>
      </c>
      <c r="D685" s="1">
        <v>46037</v>
      </c>
      <c r="E685" t="s">
        <v>13</v>
      </c>
      <c r="F685">
        <v>1187274</v>
      </c>
      <c r="G685">
        <v>14</v>
      </c>
      <c r="H685">
        <v>12.17</v>
      </c>
      <c r="I685">
        <v>0</v>
      </c>
      <c r="J685">
        <v>1.83</v>
      </c>
      <c r="K685">
        <v>0</v>
      </c>
      <c r="L685">
        <v>14</v>
      </c>
    </row>
    <row r="686" spans="1:12" x14ac:dyDescent="0.25">
      <c r="A686">
        <v>1270</v>
      </c>
      <c r="B686">
        <v>1891796176001</v>
      </c>
      <c r="C686" t="s">
        <v>91</v>
      </c>
      <c r="D686" s="1">
        <v>46037</v>
      </c>
      <c r="E686" t="s">
        <v>13</v>
      </c>
      <c r="F686">
        <v>1187275</v>
      </c>
      <c r="G686">
        <v>14</v>
      </c>
      <c r="H686">
        <v>12.17</v>
      </c>
      <c r="I686">
        <v>0</v>
      </c>
      <c r="J686">
        <v>1.83</v>
      </c>
      <c r="K686">
        <v>0</v>
      </c>
      <c r="L686">
        <v>14</v>
      </c>
    </row>
    <row r="687" spans="1:12" x14ac:dyDescent="0.25">
      <c r="A687">
        <v>1270</v>
      </c>
      <c r="B687">
        <v>1891796176001</v>
      </c>
      <c r="C687" t="s">
        <v>91</v>
      </c>
      <c r="D687" s="1">
        <v>46037</v>
      </c>
      <c r="E687" t="s">
        <v>13</v>
      </c>
      <c r="F687">
        <v>1183096</v>
      </c>
      <c r="G687">
        <v>14</v>
      </c>
      <c r="H687">
        <v>12.17</v>
      </c>
      <c r="I687">
        <v>0</v>
      </c>
      <c r="J687">
        <v>1.83</v>
      </c>
      <c r="K687">
        <v>0</v>
      </c>
      <c r="L687">
        <v>14</v>
      </c>
    </row>
    <row r="688" spans="1:12" x14ac:dyDescent="0.25">
      <c r="A688">
        <v>1270</v>
      </c>
      <c r="B688">
        <v>1891796176001</v>
      </c>
      <c r="C688" t="s">
        <v>91</v>
      </c>
      <c r="D688" s="1">
        <v>46037</v>
      </c>
      <c r="E688" t="s">
        <v>13</v>
      </c>
      <c r="F688">
        <v>1183095</v>
      </c>
      <c r="G688">
        <v>14</v>
      </c>
      <c r="H688">
        <v>12.17</v>
      </c>
      <c r="I688">
        <v>0</v>
      </c>
      <c r="J688">
        <v>1.83</v>
      </c>
      <c r="K688">
        <v>0</v>
      </c>
      <c r="L688">
        <v>14</v>
      </c>
    </row>
    <row r="689" spans="1:12" x14ac:dyDescent="0.25">
      <c r="A689">
        <v>1270</v>
      </c>
      <c r="B689">
        <v>1891796176001</v>
      </c>
      <c r="C689" t="s">
        <v>91</v>
      </c>
      <c r="D689" s="1">
        <v>46045</v>
      </c>
      <c r="E689" t="s">
        <v>13</v>
      </c>
      <c r="F689">
        <v>1187832</v>
      </c>
      <c r="G689">
        <v>14</v>
      </c>
      <c r="H689">
        <v>12.17</v>
      </c>
      <c r="I689">
        <v>0</v>
      </c>
      <c r="J689">
        <v>1.83</v>
      </c>
      <c r="K689">
        <v>0</v>
      </c>
      <c r="L689">
        <v>14</v>
      </c>
    </row>
    <row r="690" spans="1:12" x14ac:dyDescent="0.25">
      <c r="A690">
        <v>1270</v>
      </c>
      <c r="B690">
        <v>1891796176001</v>
      </c>
      <c r="C690" t="s">
        <v>91</v>
      </c>
      <c r="D690" s="1">
        <v>46045</v>
      </c>
      <c r="E690" t="s">
        <v>13</v>
      </c>
      <c r="F690">
        <v>1187831</v>
      </c>
      <c r="G690">
        <v>14</v>
      </c>
      <c r="H690">
        <v>12.17</v>
      </c>
      <c r="I690">
        <v>0</v>
      </c>
      <c r="J690">
        <v>1.83</v>
      </c>
      <c r="K690">
        <v>0</v>
      </c>
      <c r="L690">
        <v>14</v>
      </c>
    </row>
    <row r="691" spans="1:12" x14ac:dyDescent="0.25">
      <c r="A691">
        <v>1270</v>
      </c>
      <c r="B691">
        <v>1891796176001</v>
      </c>
      <c r="C691" t="s">
        <v>91</v>
      </c>
      <c r="D691" s="1">
        <v>46045</v>
      </c>
      <c r="E691" t="s">
        <v>13</v>
      </c>
      <c r="F691">
        <v>1187857</v>
      </c>
      <c r="G691">
        <v>14</v>
      </c>
      <c r="H691">
        <v>12.17</v>
      </c>
      <c r="I691">
        <v>0</v>
      </c>
      <c r="J691">
        <v>1.83</v>
      </c>
      <c r="K691">
        <v>0</v>
      </c>
      <c r="L691">
        <v>14</v>
      </c>
    </row>
    <row r="692" spans="1:12" x14ac:dyDescent="0.25">
      <c r="A692">
        <v>1270</v>
      </c>
      <c r="B692">
        <v>1891796176001</v>
      </c>
      <c r="C692" t="s">
        <v>91</v>
      </c>
      <c r="D692" s="1">
        <v>46045</v>
      </c>
      <c r="E692" t="s">
        <v>13</v>
      </c>
      <c r="F692">
        <v>1187829</v>
      </c>
      <c r="G692">
        <v>20</v>
      </c>
      <c r="H692">
        <v>17.39</v>
      </c>
      <c r="I692">
        <v>0</v>
      </c>
      <c r="J692">
        <v>2.61</v>
      </c>
      <c r="K692">
        <v>0</v>
      </c>
      <c r="L692">
        <v>20</v>
      </c>
    </row>
    <row r="693" spans="1:12" x14ac:dyDescent="0.25">
      <c r="A693">
        <v>1270</v>
      </c>
      <c r="B693">
        <v>1891796176001</v>
      </c>
      <c r="C693" t="s">
        <v>91</v>
      </c>
      <c r="D693" s="1">
        <v>46045</v>
      </c>
      <c r="E693" t="s">
        <v>13</v>
      </c>
      <c r="F693">
        <v>1187860</v>
      </c>
      <c r="G693">
        <v>14</v>
      </c>
      <c r="H693">
        <v>12.17</v>
      </c>
      <c r="I693">
        <v>0</v>
      </c>
      <c r="J693">
        <v>1.83</v>
      </c>
      <c r="K693">
        <v>0</v>
      </c>
      <c r="L693">
        <v>14</v>
      </c>
    </row>
    <row r="694" spans="1:12" x14ac:dyDescent="0.25">
      <c r="A694">
        <v>1270</v>
      </c>
      <c r="B694">
        <v>1891796176001</v>
      </c>
      <c r="C694" t="s">
        <v>91</v>
      </c>
      <c r="D694" s="1">
        <v>46053</v>
      </c>
      <c r="E694" t="s">
        <v>13</v>
      </c>
      <c r="F694">
        <v>1193916</v>
      </c>
      <c r="G694">
        <v>3</v>
      </c>
      <c r="H694">
        <v>2.61</v>
      </c>
      <c r="I694">
        <v>0</v>
      </c>
      <c r="J694">
        <v>0.39</v>
      </c>
      <c r="K694">
        <v>0</v>
      </c>
      <c r="L694">
        <v>3</v>
      </c>
    </row>
    <row r="695" spans="1:12" x14ac:dyDescent="0.25">
      <c r="A695">
        <v>1270</v>
      </c>
      <c r="B695">
        <v>1891796176001</v>
      </c>
      <c r="C695" t="s">
        <v>91</v>
      </c>
      <c r="D695" s="1">
        <v>46053</v>
      </c>
      <c r="E695" t="s">
        <v>13</v>
      </c>
      <c r="F695">
        <v>1593475</v>
      </c>
      <c r="G695">
        <v>15</v>
      </c>
      <c r="H695">
        <v>13.04</v>
      </c>
      <c r="I695">
        <v>0</v>
      </c>
      <c r="J695">
        <v>1.96</v>
      </c>
      <c r="K695">
        <v>0</v>
      </c>
      <c r="L695">
        <v>15</v>
      </c>
    </row>
    <row r="696" spans="1:12" x14ac:dyDescent="0.25">
      <c r="A696">
        <v>1270</v>
      </c>
      <c r="B696">
        <v>1891796176001</v>
      </c>
      <c r="C696" t="s">
        <v>91</v>
      </c>
      <c r="D696" s="1">
        <v>46053</v>
      </c>
      <c r="E696" t="s">
        <v>13</v>
      </c>
      <c r="F696">
        <v>1193633</v>
      </c>
      <c r="G696">
        <v>14</v>
      </c>
      <c r="H696">
        <v>12.17</v>
      </c>
      <c r="I696">
        <v>0</v>
      </c>
      <c r="J696">
        <v>1.83</v>
      </c>
      <c r="K696">
        <v>0</v>
      </c>
      <c r="L696">
        <v>14</v>
      </c>
    </row>
    <row r="697" spans="1:12" x14ac:dyDescent="0.25">
      <c r="A697">
        <v>1270</v>
      </c>
      <c r="B697">
        <v>1891796176001</v>
      </c>
      <c r="C697" t="s">
        <v>91</v>
      </c>
      <c r="D697" s="1">
        <v>46053</v>
      </c>
      <c r="E697" t="s">
        <v>13</v>
      </c>
      <c r="F697">
        <v>1193631</v>
      </c>
      <c r="G697">
        <v>14</v>
      </c>
      <c r="H697">
        <v>12.17</v>
      </c>
      <c r="I697">
        <v>0</v>
      </c>
      <c r="J697">
        <v>1.83</v>
      </c>
      <c r="K697">
        <v>0</v>
      </c>
      <c r="L697">
        <v>14</v>
      </c>
    </row>
    <row r="698" spans="1:12" x14ac:dyDescent="0.25">
      <c r="A698">
        <v>1497</v>
      </c>
      <c r="B698">
        <v>1891804802001</v>
      </c>
      <c r="C698" t="s">
        <v>92</v>
      </c>
      <c r="D698" s="1">
        <v>46027</v>
      </c>
      <c r="E698" t="s">
        <v>13</v>
      </c>
      <c r="F698">
        <v>192</v>
      </c>
      <c r="G698" s="2">
        <v>7881.49</v>
      </c>
      <c r="H698" s="2">
        <v>8340.2000000000007</v>
      </c>
      <c r="I698">
        <v>0</v>
      </c>
      <c r="J698" s="2">
        <v>1251.03</v>
      </c>
      <c r="K698" s="2">
        <v>1709.74</v>
      </c>
      <c r="L698" s="2">
        <v>7881.49</v>
      </c>
    </row>
    <row r="699" spans="1:12" x14ac:dyDescent="0.25">
      <c r="A699">
        <v>1497</v>
      </c>
      <c r="B699">
        <v>1891804802001</v>
      </c>
      <c r="C699" t="s">
        <v>92</v>
      </c>
      <c r="D699" s="1">
        <v>46027</v>
      </c>
      <c r="E699" t="s">
        <v>13</v>
      </c>
      <c r="F699">
        <v>193</v>
      </c>
      <c r="G699" s="2">
        <v>4978.1099999999997</v>
      </c>
      <c r="H699" s="2">
        <v>5267.84</v>
      </c>
      <c r="I699">
        <v>0</v>
      </c>
      <c r="J699">
        <v>790.18</v>
      </c>
      <c r="K699" s="2">
        <v>1079.9100000000001</v>
      </c>
      <c r="L699" s="2">
        <v>4978.1099999999997</v>
      </c>
    </row>
    <row r="700" spans="1:12" x14ac:dyDescent="0.25">
      <c r="A700">
        <v>1497</v>
      </c>
      <c r="B700">
        <v>1891804802001</v>
      </c>
      <c r="C700" t="s">
        <v>92</v>
      </c>
      <c r="D700" s="1">
        <v>46043</v>
      </c>
      <c r="E700" t="s">
        <v>31</v>
      </c>
      <c r="F700">
        <v>800000180</v>
      </c>
      <c r="G700" s="2">
        <v>6000</v>
      </c>
      <c r="H700" s="2">
        <v>6000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>
        <v>1497</v>
      </c>
      <c r="B701">
        <v>1891804802001</v>
      </c>
      <c r="C701" t="s">
        <v>92</v>
      </c>
      <c r="D701" s="1">
        <v>46045</v>
      </c>
      <c r="E701" t="s">
        <v>45</v>
      </c>
      <c r="F701">
        <v>11605402</v>
      </c>
      <c r="G701" s="2">
        <v>3700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>
        <v>1493</v>
      </c>
      <c r="B702">
        <v>1891809571001</v>
      </c>
      <c r="C702" t="s">
        <v>93</v>
      </c>
      <c r="D702" s="1">
        <v>46041</v>
      </c>
      <c r="E702" t="s">
        <v>13</v>
      </c>
      <c r="F702">
        <v>2987</v>
      </c>
      <c r="G702">
        <v>31.78</v>
      </c>
      <c r="H702">
        <v>29.22</v>
      </c>
      <c r="I702">
        <v>0</v>
      </c>
      <c r="J702">
        <v>4.38</v>
      </c>
      <c r="K702">
        <v>1.82</v>
      </c>
      <c r="L702">
        <v>31.78</v>
      </c>
    </row>
    <row r="703" spans="1:12" x14ac:dyDescent="0.25">
      <c r="A703">
        <v>1747</v>
      </c>
      <c r="B703">
        <v>1891812015001</v>
      </c>
      <c r="C703" t="s">
        <v>94</v>
      </c>
      <c r="D703" s="1">
        <v>46027</v>
      </c>
      <c r="E703" t="s">
        <v>13</v>
      </c>
      <c r="F703">
        <v>47</v>
      </c>
      <c r="G703">
        <v>908.89</v>
      </c>
      <c r="H703">
        <v>895.45</v>
      </c>
      <c r="I703">
        <v>0</v>
      </c>
      <c r="J703">
        <v>134.32</v>
      </c>
      <c r="K703">
        <v>120.88</v>
      </c>
      <c r="L7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1D9F-13FA-4C76-B067-E02167E80276}">
  <dimension ref="A1:L586"/>
  <sheetViews>
    <sheetView topLeftCell="A89" workbookViewId="0">
      <selection activeCell="D99" sqref="D99"/>
    </sheetView>
  </sheetViews>
  <sheetFormatPr baseColWidth="10" defaultRowHeight="15" x14ac:dyDescent="0.25"/>
  <sheetData>
    <row r="1" spans="1:12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</row>
    <row r="2" spans="1:12" x14ac:dyDescent="0.25">
      <c r="A2">
        <v>1790283380001</v>
      </c>
      <c r="B2" t="s">
        <v>107</v>
      </c>
      <c r="C2" t="s">
        <v>108</v>
      </c>
      <c r="D2" t="s">
        <v>109</v>
      </c>
      <c r="E2">
        <v>1.0120260117902801E+47</v>
      </c>
      <c r="F2" s="3">
        <v>46023.595543981479</v>
      </c>
      <c r="G2" s="1">
        <v>46023</v>
      </c>
      <c r="H2">
        <v>1891712215001</v>
      </c>
      <c r="I2">
        <v>68.569999999999993</v>
      </c>
      <c r="J2">
        <v>10.28</v>
      </c>
      <c r="K2">
        <v>78.849999999999994</v>
      </c>
    </row>
    <row r="3" spans="1:12" x14ac:dyDescent="0.25">
      <c r="A3">
        <v>1790283380001</v>
      </c>
      <c r="B3" t="s">
        <v>107</v>
      </c>
      <c r="C3" t="s">
        <v>108</v>
      </c>
      <c r="D3" t="s">
        <v>110</v>
      </c>
      <c r="E3">
        <v>1.0120260117902801E+47</v>
      </c>
      <c r="F3" s="3">
        <v>46023.590729166666</v>
      </c>
      <c r="G3" s="1">
        <v>46023</v>
      </c>
      <c r="H3">
        <v>1891712215001</v>
      </c>
      <c r="I3">
        <v>47.18</v>
      </c>
      <c r="J3">
        <v>7.08</v>
      </c>
      <c r="K3">
        <v>54.26</v>
      </c>
    </row>
    <row r="4" spans="1:12" x14ac:dyDescent="0.25">
      <c r="A4">
        <v>1865030070001</v>
      </c>
      <c r="B4" t="s">
        <v>111</v>
      </c>
      <c r="C4" t="s">
        <v>108</v>
      </c>
      <c r="D4" t="s">
        <v>112</v>
      </c>
      <c r="E4">
        <v>1.0120260118650299E+47</v>
      </c>
      <c r="F4" s="3">
        <v>46030.941504629627</v>
      </c>
      <c r="G4" s="1">
        <v>46023</v>
      </c>
      <c r="H4">
        <v>1891712215001</v>
      </c>
      <c r="I4">
        <v>34.6</v>
      </c>
      <c r="J4">
        <v>0</v>
      </c>
      <c r="K4">
        <v>34.6</v>
      </c>
    </row>
    <row r="5" spans="1:12" x14ac:dyDescent="0.25">
      <c r="A5">
        <v>1790283380001</v>
      </c>
      <c r="B5" t="s">
        <v>107</v>
      </c>
      <c r="C5" t="s">
        <v>108</v>
      </c>
      <c r="D5" t="s">
        <v>113</v>
      </c>
      <c r="E5">
        <v>1.0120260117902801E+47</v>
      </c>
      <c r="F5" s="3">
        <v>46024.380555555559</v>
      </c>
      <c r="G5" s="1">
        <v>46023</v>
      </c>
      <c r="H5">
        <v>1891712215001</v>
      </c>
      <c r="I5">
        <v>8.3000000000000007</v>
      </c>
      <c r="J5">
        <v>1.24</v>
      </c>
      <c r="K5">
        <v>9.5399999999999991</v>
      </c>
    </row>
    <row r="6" spans="1:12" x14ac:dyDescent="0.25">
      <c r="A6">
        <v>1790283380001</v>
      </c>
      <c r="B6" t="s">
        <v>107</v>
      </c>
      <c r="C6" t="s">
        <v>108</v>
      </c>
      <c r="D6" t="s">
        <v>114</v>
      </c>
      <c r="E6">
        <v>1.0120260117902801E+47</v>
      </c>
      <c r="F6" s="3">
        <v>46024.370092592595</v>
      </c>
      <c r="G6" s="1">
        <v>46023</v>
      </c>
      <c r="H6">
        <v>1891712215001</v>
      </c>
      <c r="I6">
        <v>50.65</v>
      </c>
      <c r="J6">
        <v>7.6</v>
      </c>
      <c r="K6">
        <v>58.25</v>
      </c>
    </row>
    <row r="7" spans="1:12" x14ac:dyDescent="0.25">
      <c r="A7">
        <v>1790283380001</v>
      </c>
      <c r="B7" t="s">
        <v>107</v>
      </c>
      <c r="C7" t="s">
        <v>108</v>
      </c>
      <c r="D7" t="s">
        <v>115</v>
      </c>
      <c r="E7">
        <v>1.0120260117902801E+47</v>
      </c>
      <c r="F7" s="3">
        <v>46023.597442129627</v>
      </c>
      <c r="G7" s="1">
        <v>46023</v>
      </c>
      <c r="H7">
        <v>1891712215001</v>
      </c>
      <c r="I7">
        <v>107.18</v>
      </c>
      <c r="J7">
        <v>16.079999999999998</v>
      </c>
      <c r="K7">
        <v>123.26</v>
      </c>
    </row>
    <row r="8" spans="1:12" x14ac:dyDescent="0.25">
      <c r="A8">
        <v>1790283380001</v>
      </c>
      <c r="B8" t="s">
        <v>107</v>
      </c>
      <c r="C8" t="s">
        <v>108</v>
      </c>
      <c r="D8" t="s">
        <v>116</v>
      </c>
      <c r="E8">
        <v>1.0120260117902801E+47</v>
      </c>
      <c r="F8" s="3">
        <v>46023.881249999999</v>
      </c>
      <c r="G8" s="1">
        <v>46023</v>
      </c>
      <c r="H8">
        <v>1891712215001</v>
      </c>
      <c r="I8">
        <v>37.200000000000003</v>
      </c>
      <c r="J8">
        <v>5.58</v>
      </c>
      <c r="K8">
        <v>42.78</v>
      </c>
    </row>
    <row r="9" spans="1:12" x14ac:dyDescent="0.25">
      <c r="A9">
        <v>1790283380001</v>
      </c>
      <c r="B9" t="s">
        <v>107</v>
      </c>
      <c r="C9" t="s">
        <v>108</v>
      </c>
      <c r="D9" t="s">
        <v>117</v>
      </c>
      <c r="E9">
        <v>1.0120260117902801E+47</v>
      </c>
      <c r="F9" s="3">
        <v>46024.112696759257</v>
      </c>
      <c r="G9" s="1">
        <v>46023</v>
      </c>
      <c r="H9">
        <v>1891712215001</v>
      </c>
      <c r="I9">
        <v>30.01</v>
      </c>
      <c r="J9">
        <v>4.5</v>
      </c>
      <c r="K9">
        <v>34.51</v>
      </c>
    </row>
    <row r="10" spans="1:12" x14ac:dyDescent="0.25">
      <c r="A10">
        <v>1790283380001</v>
      </c>
      <c r="B10" t="s">
        <v>107</v>
      </c>
      <c r="C10" t="s">
        <v>108</v>
      </c>
      <c r="D10" t="s">
        <v>118</v>
      </c>
      <c r="E10">
        <v>1.0120260117902801E+47</v>
      </c>
      <c r="F10" s="3">
        <v>46024.270567129628</v>
      </c>
      <c r="G10" s="1">
        <v>46023</v>
      </c>
      <c r="H10">
        <v>1891712215001</v>
      </c>
      <c r="I10">
        <v>130.12</v>
      </c>
      <c r="J10">
        <v>19.52</v>
      </c>
      <c r="K10">
        <v>149.63999999999999</v>
      </c>
    </row>
    <row r="11" spans="1:12" x14ac:dyDescent="0.25">
      <c r="A11">
        <v>1790283380001</v>
      </c>
      <c r="B11" t="s">
        <v>107</v>
      </c>
      <c r="C11" t="s">
        <v>108</v>
      </c>
      <c r="D11" t="s">
        <v>119</v>
      </c>
      <c r="E11">
        <v>1.0120260117902801E+47</v>
      </c>
      <c r="F11" s="3">
        <v>46024.267905092594</v>
      </c>
      <c r="G11" s="1">
        <v>46023</v>
      </c>
      <c r="H11">
        <v>1891712215001</v>
      </c>
      <c r="I11">
        <v>122.72</v>
      </c>
      <c r="J11">
        <v>18.41</v>
      </c>
      <c r="K11">
        <v>141.13</v>
      </c>
    </row>
    <row r="12" spans="1:12" x14ac:dyDescent="0.25">
      <c r="A12">
        <v>1790283380001</v>
      </c>
      <c r="B12" t="s">
        <v>107</v>
      </c>
      <c r="C12" t="s">
        <v>108</v>
      </c>
      <c r="D12" t="s">
        <v>120</v>
      </c>
      <c r="E12">
        <v>1.0120260117902801E+47</v>
      </c>
      <c r="F12" s="3">
        <v>46024.304108796299</v>
      </c>
      <c r="G12" s="1">
        <v>46023</v>
      </c>
      <c r="H12">
        <v>1891712215001</v>
      </c>
      <c r="I12">
        <v>171.45</v>
      </c>
      <c r="J12">
        <v>25.72</v>
      </c>
      <c r="K12">
        <v>197.17</v>
      </c>
    </row>
    <row r="13" spans="1:12" x14ac:dyDescent="0.25">
      <c r="A13">
        <v>1790283380001</v>
      </c>
      <c r="B13" t="s">
        <v>107</v>
      </c>
      <c r="C13" t="s">
        <v>108</v>
      </c>
      <c r="D13" t="s">
        <v>121</v>
      </c>
      <c r="E13">
        <v>1.0120260117902801E+47</v>
      </c>
      <c r="F13" s="3">
        <v>46024.297754629632</v>
      </c>
      <c r="G13" s="1">
        <v>46023</v>
      </c>
      <c r="H13">
        <v>1891712215001</v>
      </c>
      <c r="I13">
        <v>10.49</v>
      </c>
      <c r="J13">
        <v>1.57</v>
      </c>
      <c r="K13">
        <v>12.06</v>
      </c>
    </row>
    <row r="14" spans="1:12" x14ac:dyDescent="0.25">
      <c r="A14">
        <v>1790283380001</v>
      </c>
      <c r="B14" t="s">
        <v>107</v>
      </c>
      <c r="C14" t="s">
        <v>108</v>
      </c>
      <c r="D14" t="s">
        <v>122</v>
      </c>
      <c r="E14">
        <v>1.0120260117902801E+47</v>
      </c>
      <c r="F14" s="3">
        <v>46023.816203703704</v>
      </c>
      <c r="G14" s="1">
        <v>46023</v>
      </c>
      <c r="H14">
        <v>1891712215001</v>
      </c>
      <c r="I14">
        <v>254.9</v>
      </c>
      <c r="J14">
        <v>38.24</v>
      </c>
      <c r="K14">
        <v>293.14</v>
      </c>
    </row>
    <row r="15" spans="1:12" x14ac:dyDescent="0.25">
      <c r="A15">
        <v>1790283380001</v>
      </c>
      <c r="B15" t="s">
        <v>107</v>
      </c>
      <c r="C15" t="s">
        <v>108</v>
      </c>
      <c r="D15" t="s">
        <v>123</v>
      </c>
      <c r="E15">
        <v>1.0120260117902801E+47</v>
      </c>
      <c r="F15" s="3">
        <v>46023.82712962963</v>
      </c>
      <c r="G15" s="1">
        <v>46023</v>
      </c>
      <c r="H15">
        <v>1891712215001</v>
      </c>
      <c r="I15">
        <v>142.99</v>
      </c>
      <c r="J15">
        <v>21.45</v>
      </c>
      <c r="K15">
        <v>164.44</v>
      </c>
    </row>
    <row r="16" spans="1:12" x14ac:dyDescent="0.25">
      <c r="A16">
        <v>1790283380001</v>
      </c>
      <c r="B16" t="s">
        <v>107</v>
      </c>
      <c r="C16" t="s">
        <v>108</v>
      </c>
      <c r="D16" t="s">
        <v>124</v>
      </c>
      <c r="E16">
        <v>1.0120260117902801E+47</v>
      </c>
      <c r="F16" s="3">
        <v>46023.830266203702</v>
      </c>
      <c r="G16" s="1">
        <v>46023</v>
      </c>
      <c r="H16">
        <v>1891712215001</v>
      </c>
      <c r="I16">
        <v>102.43</v>
      </c>
      <c r="J16">
        <v>15.37</v>
      </c>
      <c r="K16">
        <v>117.8</v>
      </c>
    </row>
    <row r="17" spans="1:11" x14ac:dyDescent="0.25">
      <c r="A17">
        <v>1890001439001</v>
      </c>
      <c r="B17" t="s">
        <v>125</v>
      </c>
      <c r="C17" t="s">
        <v>108</v>
      </c>
      <c r="D17" t="s">
        <v>126</v>
      </c>
      <c r="E17">
        <v>2.01202601189E+47</v>
      </c>
      <c r="F17" s="3">
        <v>46024.823587962965</v>
      </c>
      <c r="G17" s="1">
        <v>46024</v>
      </c>
      <c r="H17">
        <v>1891712215001</v>
      </c>
      <c r="I17">
        <v>863.81</v>
      </c>
      <c r="J17">
        <v>0</v>
      </c>
      <c r="K17">
        <v>863.81</v>
      </c>
    </row>
    <row r="18" spans="1:11" x14ac:dyDescent="0.25">
      <c r="A18">
        <v>1790010937001</v>
      </c>
      <c r="B18" t="s">
        <v>127</v>
      </c>
      <c r="C18" t="s">
        <v>108</v>
      </c>
      <c r="D18" t="s">
        <v>128</v>
      </c>
      <c r="E18">
        <v>2.0120260117900102E+47</v>
      </c>
      <c r="F18" s="3">
        <v>46026.469675925924</v>
      </c>
      <c r="G18" s="1">
        <v>46024</v>
      </c>
      <c r="H18">
        <v>1891712215001</v>
      </c>
      <c r="I18">
        <v>26.16</v>
      </c>
      <c r="J18">
        <v>3.92</v>
      </c>
      <c r="K18">
        <v>30.08</v>
      </c>
    </row>
    <row r="19" spans="1:11" x14ac:dyDescent="0.25">
      <c r="A19">
        <v>1865033840001</v>
      </c>
      <c r="B19" t="s">
        <v>129</v>
      </c>
      <c r="C19" t="s">
        <v>108</v>
      </c>
      <c r="D19" t="s">
        <v>130</v>
      </c>
      <c r="E19">
        <v>4.01202601186503E+47</v>
      </c>
      <c r="F19" s="3">
        <v>46026.13181712963</v>
      </c>
      <c r="G19" s="1">
        <v>46026</v>
      </c>
      <c r="H19">
        <v>1891712215001</v>
      </c>
      <c r="I19">
        <v>10.87</v>
      </c>
      <c r="J19">
        <v>0</v>
      </c>
      <c r="K19">
        <v>10.87</v>
      </c>
    </row>
    <row r="20" spans="1:11" x14ac:dyDescent="0.25">
      <c r="A20">
        <v>604599126001</v>
      </c>
      <c r="B20" t="s">
        <v>23</v>
      </c>
      <c r="C20" t="s">
        <v>108</v>
      </c>
      <c r="D20" t="s">
        <v>131</v>
      </c>
      <c r="E20">
        <v>5.0120260106045903E+47</v>
      </c>
      <c r="F20" s="3">
        <v>46027.498969907407</v>
      </c>
      <c r="G20" s="1">
        <v>46027</v>
      </c>
      <c r="H20">
        <v>1891712215001</v>
      </c>
      <c r="I20">
        <v>17.87</v>
      </c>
      <c r="J20">
        <v>2.68</v>
      </c>
      <c r="K20">
        <v>20.55</v>
      </c>
    </row>
    <row r="21" spans="1:11" x14ac:dyDescent="0.25">
      <c r="A21">
        <v>604599126001</v>
      </c>
      <c r="B21" t="s">
        <v>23</v>
      </c>
      <c r="C21" t="s">
        <v>108</v>
      </c>
      <c r="D21" t="s">
        <v>132</v>
      </c>
      <c r="E21">
        <v>5.0120260106045903E+47</v>
      </c>
      <c r="F21" s="3">
        <v>46027.433749999997</v>
      </c>
      <c r="G21" s="1">
        <v>46027</v>
      </c>
      <c r="H21">
        <v>1891712215001</v>
      </c>
      <c r="I21">
        <v>17.87</v>
      </c>
      <c r="J21">
        <v>2.68</v>
      </c>
      <c r="K21">
        <v>20.55</v>
      </c>
    </row>
    <row r="22" spans="1:11" x14ac:dyDescent="0.25">
      <c r="A22">
        <v>1891804802001</v>
      </c>
      <c r="B22" t="s">
        <v>92</v>
      </c>
      <c r="C22" t="s">
        <v>108</v>
      </c>
      <c r="D22" t="s">
        <v>133</v>
      </c>
      <c r="E22">
        <v>5.0120260118917996E+47</v>
      </c>
      <c r="F22" s="3">
        <v>46027.424837962964</v>
      </c>
      <c r="G22" s="1">
        <v>46027</v>
      </c>
      <c r="H22">
        <v>1891712215001</v>
      </c>
      <c r="I22">
        <v>8340.2000000000007</v>
      </c>
      <c r="J22">
        <v>1251.03</v>
      </c>
      <c r="K22">
        <v>9591.23</v>
      </c>
    </row>
    <row r="23" spans="1:11" x14ac:dyDescent="0.25">
      <c r="A23">
        <v>1801421593001</v>
      </c>
      <c r="B23" t="s">
        <v>50</v>
      </c>
      <c r="C23" t="s">
        <v>108</v>
      </c>
      <c r="D23" t="s">
        <v>134</v>
      </c>
      <c r="E23">
        <v>5.0120260118014204E+47</v>
      </c>
      <c r="F23" s="3">
        <v>46027.658437500002</v>
      </c>
      <c r="G23" s="1">
        <v>46027</v>
      </c>
      <c r="H23">
        <v>1891712215001</v>
      </c>
      <c r="I23">
        <v>32.43</v>
      </c>
      <c r="J23">
        <v>4.8600000000000003</v>
      </c>
      <c r="K23">
        <v>37.29</v>
      </c>
    </row>
    <row r="24" spans="1:11" x14ac:dyDescent="0.25">
      <c r="A24">
        <v>604599126001</v>
      </c>
      <c r="B24" t="s">
        <v>23</v>
      </c>
      <c r="C24" t="s">
        <v>108</v>
      </c>
      <c r="D24" t="s">
        <v>135</v>
      </c>
      <c r="E24">
        <v>5.0120260106045903E+47</v>
      </c>
      <c r="F24" s="3">
        <v>46027.593425925923</v>
      </c>
      <c r="G24" s="1">
        <v>46027</v>
      </c>
      <c r="H24">
        <v>1891712215001</v>
      </c>
      <c r="I24">
        <v>17.87</v>
      </c>
      <c r="J24">
        <v>2.68</v>
      </c>
      <c r="K24">
        <v>20.55</v>
      </c>
    </row>
    <row r="25" spans="1:11" x14ac:dyDescent="0.25">
      <c r="A25">
        <v>1790009459001</v>
      </c>
      <c r="B25" t="s">
        <v>136</v>
      </c>
      <c r="C25" t="s">
        <v>108</v>
      </c>
      <c r="D25" t="s">
        <v>137</v>
      </c>
      <c r="E25">
        <v>5.0120260117899998E+47</v>
      </c>
      <c r="F25" s="3">
        <v>46027.676111111112</v>
      </c>
      <c r="G25" s="1">
        <v>46027</v>
      </c>
      <c r="H25">
        <v>1891712215001</v>
      </c>
      <c r="I25">
        <v>1524.12</v>
      </c>
      <c r="J25">
        <v>228.62</v>
      </c>
      <c r="K25">
        <v>1752.74</v>
      </c>
    </row>
    <row r="26" spans="1:11" x14ac:dyDescent="0.25">
      <c r="A26">
        <v>1890152917001</v>
      </c>
      <c r="B26" t="s">
        <v>138</v>
      </c>
      <c r="C26" t="s">
        <v>108</v>
      </c>
      <c r="D26" t="s">
        <v>139</v>
      </c>
      <c r="E26">
        <v>5.0120260118901502E+47</v>
      </c>
      <c r="F26" s="3">
        <v>46027.704988425925</v>
      </c>
      <c r="G26" s="1">
        <v>46027</v>
      </c>
      <c r="H26">
        <v>1891712215001</v>
      </c>
      <c r="I26">
        <v>79.45</v>
      </c>
      <c r="J26">
        <v>11.92</v>
      </c>
      <c r="K26">
        <v>91.37</v>
      </c>
    </row>
    <row r="27" spans="1:11" x14ac:dyDescent="0.25">
      <c r="A27">
        <v>1802565182001</v>
      </c>
      <c r="B27" t="s">
        <v>56</v>
      </c>
      <c r="C27" t="s">
        <v>108</v>
      </c>
      <c r="D27" t="s">
        <v>140</v>
      </c>
      <c r="E27">
        <v>5.0120260118025603E+47</v>
      </c>
      <c r="F27" s="3">
        <v>46027.622650462959</v>
      </c>
      <c r="G27" s="1">
        <v>46027</v>
      </c>
      <c r="H27">
        <v>1891712215001</v>
      </c>
      <c r="I27">
        <v>6</v>
      </c>
      <c r="J27">
        <v>0.9</v>
      </c>
      <c r="K27">
        <v>6.9</v>
      </c>
    </row>
    <row r="28" spans="1:11" x14ac:dyDescent="0.25">
      <c r="A28">
        <v>1802565182001</v>
      </c>
      <c r="B28" t="s">
        <v>56</v>
      </c>
      <c r="C28" t="s">
        <v>108</v>
      </c>
      <c r="D28" t="s">
        <v>141</v>
      </c>
      <c r="E28">
        <v>5.0120260118025603E+47</v>
      </c>
      <c r="F28" s="3">
        <v>46027.621759259258</v>
      </c>
      <c r="G28" s="1">
        <v>46027</v>
      </c>
      <c r="H28">
        <v>1891712215001</v>
      </c>
      <c r="I28">
        <v>10</v>
      </c>
      <c r="J28">
        <v>1.5</v>
      </c>
      <c r="K28">
        <v>11.5</v>
      </c>
    </row>
    <row r="29" spans="1:11" x14ac:dyDescent="0.25">
      <c r="A29">
        <v>1793107958001</v>
      </c>
      <c r="B29" t="s">
        <v>43</v>
      </c>
      <c r="C29" t="s">
        <v>108</v>
      </c>
      <c r="D29" t="s">
        <v>142</v>
      </c>
      <c r="E29">
        <v>5.0120260117930997E+47</v>
      </c>
      <c r="F29" s="3">
        <v>46027.576377314814</v>
      </c>
      <c r="G29" s="1">
        <v>46027</v>
      </c>
      <c r="H29">
        <v>1891712215001</v>
      </c>
      <c r="I29">
        <v>177.01</v>
      </c>
      <c r="J29">
        <v>26.55</v>
      </c>
      <c r="K29">
        <v>203.56</v>
      </c>
    </row>
    <row r="30" spans="1:11" x14ac:dyDescent="0.25">
      <c r="A30">
        <v>1801880574001</v>
      </c>
      <c r="B30" t="s">
        <v>55</v>
      </c>
      <c r="C30" t="s">
        <v>108</v>
      </c>
      <c r="D30" t="s">
        <v>143</v>
      </c>
      <c r="E30">
        <v>5.0120260118018804E+47</v>
      </c>
      <c r="F30" s="3">
        <v>46027.585532407407</v>
      </c>
      <c r="G30" s="1">
        <v>46027</v>
      </c>
      <c r="H30">
        <v>1891712215001</v>
      </c>
      <c r="I30">
        <v>11.5</v>
      </c>
      <c r="J30">
        <v>1.73</v>
      </c>
      <c r="K30">
        <v>13.23</v>
      </c>
    </row>
    <row r="31" spans="1:11" x14ac:dyDescent="0.25">
      <c r="A31">
        <v>1791310063001</v>
      </c>
      <c r="B31" t="s">
        <v>144</v>
      </c>
      <c r="C31" t="s">
        <v>108</v>
      </c>
      <c r="D31" t="s">
        <v>145</v>
      </c>
      <c r="E31">
        <v>5.01202601179131E+47</v>
      </c>
      <c r="F31" s="3">
        <v>46027.571296296293</v>
      </c>
      <c r="G31" s="1">
        <v>46027</v>
      </c>
      <c r="H31">
        <v>1891712215001</v>
      </c>
      <c r="I31">
        <v>52.25</v>
      </c>
      <c r="J31">
        <v>7.84</v>
      </c>
      <c r="K31">
        <v>60.09</v>
      </c>
    </row>
    <row r="32" spans="1:11" x14ac:dyDescent="0.25">
      <c r="A32">
        <v>1793107958001</v>
      </c>
      <c r="B32" t="s">
        <v>43</v>
      </c>
      <c r="C32" t="s">
        <v>108</v>
      </c>
      <c r="D32" t="s">
        <v>146</v>
      </c>
      <c r="E32">
        <v>5.0120260117930997E+47</v>
      </c>
      <c r="F32" s="3">
        <v>46027.576145833336</v>
      </c>
      <c r="G32" s="1">
        <v>46027</v>
      </c>
      <c r="H32">
        <v>1891712215001</v>
      </c>
      <c r="I32">
        <v>117.86</v>
      </c>
      <c r="J32">
        <v>17.68</v>
      </c>
      <c r="K32">
        <v>135.54</v>
      </c>
    </row>
    <row r="33" spans="1:11" x14ac:dyDescent="0.25">
      <c r="A33">
        <v>1802565182001</v>
      </c>
      <c r="B33" t="s">
        <v>56</v>
      </c>
      <c r="C33" t="s">
        <v>108</v>
      </c>
      <c r="D33" t="s">
        <v>147</v>
      </c>
      <c r="E33">
        <v>5.0120260118025603E+47</v>
      </c>
      <c r="F33" s="3">
        <v>46027.637696759259</v>
      </c>
      <c r="G33" s="1">
        <v>46027</v>
      </c>
      <c r="H33">
        <v>1891712215001</v>
      </c>
      <c r="I33">
        <v>8</v>
      </c>
      <c r="J33">
        <v>1.2</v>
      </c>
      <c r="K33">
        <v>9.1999999999999993</v>
      </c>
    </row>
    <row r="34" spans="1:11" x14ac:dyDescent="0.25">
      <c r="A34">
        <v>1803039534001</v>
      </c>
      <c r="B34" t="s">
        <v>61</v>
      </c>
      <c r="C34" t="s">
        <v>108</v>
      </c>
      <c r="D34" t="s">
        <v>148</v>
      </c>
      <c r="E34">
        <v>5.01202601180303E+47</v>
      </c>
      <c r="F34" s="3">
        <v>46027.636145833334</v>
      </c>
      <c r="G34" s="1">
        <v>46027</v>
      </c>
      <c r="H34">
        <v>1891712215001</v>
      </c>
      <c r="I34">
        <v>39.130000000000003</v>
      </c>
      <c r="J34">
        <v>5.87</v>
      </c>
      <c r="K34">
        <v>45</v>
      </c>
    </row>
    <row r="35" spans="1:11" x14ac:dyDescent="0.25">
      <c r="A35">
        <v>990049459001</v>
      </c>
      <c r="B35" t="s">
        <v>149</v>
      </c>
      <c r="C35" t="s">
        <v>108</v>
      </c>
      <c r="D35" t="s">
        <v>150</v>
      </c>
      <c r="E35">
        <v>5.0120260109900396E+47</v>
      </c>
      <c r="F35" s="3">
        <v>46028.568020833336</v>
      </c>
      <c r="G35" s="1">
        <v>46027</v>
      </c>
      <c r="H35">
        <v>1891712215001</v>
      </c>
      <c r="I35">
        <v>11.35</v>
      </c>
      <c r="J35">
        <v>1.7</v>
      </c>
      <c r="K35">
        <v>13.05</v>
      </c>
    </row>
    <row r="36" spans="1:11" x14ac:dyDescent="0.25">
      <c r="A36">
        <v>990049459001</v>
      </c>
      <c r="B36" t="s">
        <v>149</v>
      </c>
      <c r="C36" t="s">
        <v>108</v>
      </c>
      <c r="D36" t="s">
        <v>151</v>
      </c>
      <c r="E36">
        <v>5.0120260109900396E+47</v>
      </c>
      <c r="F36" s="3">
        <v>46028.568344907406</v>
      </c>
      <c r="G36" s="1">
        <v>46027</v>
      </c>
      <c r="H36">
        <v>1891712215001</v>
      </c>
      <c r="I36">
        <v>12.98</v>
      </c>
      <c r="J36">
        <v>1.95</v>
      </c>
      <c r="K36">
        <v>14.93</v>
      </c>
    </row>
    <row r="37" spans="1:11" x14ac:dyDescent="0.25">
      <c r="A37">
        <v>1891804802001</v>
      </c>
      <c r="B37" t="s">
        <v>92</v>
      </c>
      <c r="C37" t="s">
        <v>108</v>
      </c>
      <c r="D37" t="s">
        <v>152</v>
      </c>
      <c r="E37">
        <v>5.0120260118917996E+47</v>
      </c>
      <c r="F37" s="3">
        <v>46027.432905092595</v>
      </c>
      <c r="G37" s="1">
        <v>46027</v>
      </c>
      <c r="H37">
        <v>1891712215001</v>
      </c>
      <c r="I37">
        <v>5267.84</v>
      </c>
      <c r="J37">
        <v>790.18</v>
      </c>
      <c r="K37">
        <v>6058.02</v>
      </c>
    </row>
    <row r="38" spans="1:11" x14ac:dyDescent="0.25">
      <c r="A38">
        <v>1891786383001</v>
      </c>
      <c r="B38" t="s">
        <v>90</v>
      </c>
      <c r="C38" t="s">
        <v>108</v>
      </c>
      <c r="D38" t="s">
        <v>153</v>
      </c>
      <c r="E38">
        <v>5.0120260118917801E+47</v>
      </c>
      <c r="F38" s="3">
        <v>46027.444560185184</v>
      </c>
      <c r="G38" s="1">
        <v>46027</v>
      </c>
      <c r="H38">
        <v>1891712215001</v>
      </c>
      <c r="I38">
        <v>10000</v>
      </c>
      <c r="J38">
        <v>1500</v>
      </c>
      <c r="K38">
        <v>11500</v>
      </c>
    </row>
    <row r="39" spans="1:11" x14ac:dyDescent="0.25">
      <c r="A39">
        <v>1804236659001</v>
      </c>
      <c r="B39" t="s">
        <v>70</v>
      </c>
      <c r="C39" t="s">
        <v>108</v>
      </c>
      <c r="D39" t="s">
        <v>154</v>
      </c>
      <c r="E39">
        <v>5.0120260118042299E+47</v>
      </c>
      <c r="F39" s="3">
        <v>46027.741956018515</v>
      </c>
      <c r="G39" s="1">
        <v>46027</v>
      </c>
      <c r="H39">
        <v>1891712215001</v>
      </c>
      <c r="I39">
        <v>555.54999999999995</v>
      </c>
      <c r="J39">
        <v>83.33</v>
      </c>
      <c r="K39">
        <v>638.88</v>
      </c>
    </row>
    <row r="40" spans="1:11" x14ac:dyDescent="0.25">
      <c r="A40">
        <v>1790009459001</v>
      </c>
      <c r="B40" t="s">
        <v>136</v>
      </c>
      <c r="C40" t="s">
        <v>108</v>
      </c>
      <c r="D40" t="s">
        <v>155</v>
      </c>
      <c r="E40">
        <v>5.0120260117899998E+47</v>
      </c>
      <c r="F40" s="3">
        <v>46027.750185185185</v>
      </c>
      <c r="G40" s="1">
        <v>46027</v>
      </c>
      <c r="H40">
        <v>1891712215001</v>
      </c>
      <c r="I40">
        <v>4158.95</v>
      </c>
      <c r="J40">
        <v>623.84</v>
      </c>
      <c r="K40">
        <v>4782.79</v>
      </c>
    </row>
    <row r="41" spans="1:11" x14ac:dyDescent="0.25">
      <c r="A41">
        <v>1793107958001</v>
      </c>
      <c r="B41" t="s">
        <v>43</v>
      </c>
      <c r="C41" t="s">
        <v>108</v>
      </c>
      <c r="D41" t="s">
        <v>156</v>
      </c>
      <c r="E41">
        <v>5.0120260117930997E+47</v>
      </c>
      <c r="F41" s="3">
        <v>46027.791678240741</v>
      </c>
      <c r="G41" s="1">
        <v>46027</v>
      </c>
      <c r="H41">
        <v>1891712215001</v>
      </c>
      <c r="I41">
        <v>909.83</v>
      </c>
      <c r="J41">
        <v>136.47</v>
      </c>
      <c r="K41">
        <v>1046.3</v>
      </c>
    </row>
    <row r="42" spans="1:11" x14ac:dyDescent="0.25">
      <c r="A42">
        <v>1803039534001</v>
      </c>
      <c r="B42" t="s">
        <v>61</v>
      </c>
      <c r="C42" t="s">
        <v>108</v>
      </c>
      <c r="D42" t="s">
        <v>157</v>
      </c>
      <c r="E42">
        <v>5.01202601180303E+47</v>
      </c>
      <c r="F42" s="3">
        <v>46027.636122685188</v>
      </c>
      <c r="G42" s="1">
        <v>46027</v>
      </c>
      <c r="H42">
        <v>1891712215001</v>
      </c>
      <c r="I42">
        <v>26.09</v>
      </c>
      <c r="J42">
        <v>3.91</v>
      </c>
      <c r="K42">
        <v>30</v>
      </c>
    </row>
    <row r="43" spans="1:11" x14ac:dyDescent="0.25">
      <c r="A43">
        <v>1891812015001</v>
      </c>
      <c r="B43" t="s">
        <v>94</v>
      </c>
      <c r="C43" t="s">
        <v>108</v>
      </c>
      <c r="D43" t="s">
        <v>158</v>
      </c>
      <c r="E43">
        <v>5.0120260118918102E+47</v>
      </c>
      <c r="F43" s="3">
        <v>46027.466504629629</v>
      </c>
      <c r="G43" s="1">
        <v>46027</v>
      </c>
      <c r="H43">
        <v>1891712215001</v>
      </c>
      <c r="I43">
        <v>895.45</v>
      </c>
      <c r="J43">
        <v>134.32</v>
      </c>
      <c r="K43">
        <v>1029.77</v>
      </c>
    </row>
    <row r="44" spans="1:11" x14ac:dyDescent="0.25">
      <c r="A44">
        <v>1790283380001</v>
      </c>
      <c r="B44" t="s">
        <v>107</v>
      </c>
      <c r="C44" t="s">
        <v>108</v>
      </c>
      <c r="D44" t="s">
        <v>159</v>
      </c>
      <c r="E44">
        <v>5.0120260117902797E+47</v>
      </c>
      <c r="F44" s="3">
        <v>46027.478402777779</v>
      </c>
      <c r="G44" s="1">
        <v>46027</v>
      </c>
      <c r="H44">
        <v>1891712215001</v>
      </c>
      <c r="I44">
        <v>93.65</v>
      </c>
      <c r="J44">
        <v>14.05</v>
      </c>
      <c r="K44">
        <v>107.7</v>
      </c>
    </row>
    <row r="45" spans="1:11" x14ac:dyDescent="0.25">
      <c r="A45">
        <v>1790283380001</v>
      </c>
      <c r="B45" t="s">
        <v>107</v>
      </c>
      <c r="C45" t="s">
        <v>108</v>
      </c>
      <c r="D45" t="s">
        <v>160</v>
      </c>
      <c r="E45">
        <v>5.0120260117902797E+47</v>
      </c>
      <c r="F45" s="3">
        <v>46027.475439814814</v>
      </c>
      <c r="G45" s="1">
        <v>46027</v>
      </c>
      <c r="H45">
        <v>1891712215001</v>
      </c>
      <c r="I45">
        <v>11.07</v>
      </c>
      <c r="J45">
        <v>1.66</v>
      </c>
      <c r="K45">
        <v>12.73</v>
      </c>
    </row>
    <row r="46" spans="1:11" x14ac:dyDescent="0.25">
      <c r="A46">
        <v>1802565182001</v>
      </c>
      <c r="B46" t="s">
        <v>56</v>
      </c>
      <c r="C46" t="s">
        <v>108</v>
      </c>
      <c r="D46" t="s">
        <v>161</v>
      </c>
      <c r="E46">
        <v>5.0120260118025603E+47</v>
      </c>
      <c r="F46" s="3">
        <v>46027.488703703704</v>
      </c>
      <c r="G46" s="1">
        <v>46027</v>
      </c>
      <c r="H46">
        <v>1891712215001</v>
      </c>
      <c r="I46">
        <v>15</v>
      </c>
      <c r="J46">
        <v>2.25</v>
      </c>
      <c r="K46">
        <v>17.25</v>
      </c>
    </row>
    <row r="47" spans="1:11" x14ac:dyDescent="0.25">
      <c r="A47">
        <v>1802565182001</v>
      </c>
      <c r="B47" t="s">
        <v>56</v>
      </c>
      <c r="C47" t="s">
        <v>108</v>
      </c>
      <c r="D47" t="s">
        <v>162</v>
      </c>
      <c r="E47">
        <v>5.0120260118025603E+47</v>
      </c>
      <c r="F47" s="3">
        <v>46027.477766203701</v>
      </c>
      <c r="G47" s="1">
        <v>46027</v>
      </c>
      <c r="H47">
        <v>1891712215001</v>
      </c>
      <c r="I47">
        <v>10</v>
      </c>
      <c r="J47">
        <v>1.5</v>
      </c>
      <c r="K47">
        <v>11.5</v>
      </c>
    </row>
    <row r="48" spans="1:11" x14ac:dyDescent="0.25">
      <c r="A48">
        <v>1801880574001</v>
      </c>
      <c r="B48" t="s">
        <v>55</v>
      </c>
      <c r="C48" t="s">
        <v>108</v>
      </c>
      <c r="D48" t="s">
        <v>163</v>
      </c>
      <c r="E48">
        <v>5.0120260118018804E+47</v>
      </c>
      <c r="F48" s="3">
        <v>46027.491053240738</v>
      </c>
      <c r="G48" s="1">
        <v>46027</v>
      </c>
      <c r="H48">
        <v>1891712215001</v>
      </c>
      <c r="I48">
        <v>20</v>
      </c>
      <c r="J48">
        <v>3</v>
      </c>
      <c r="K48">
        <v>23</v>
      </c>
    </row>
    <row r="49" spans="1:11" x14ac:dyDescent="0.25">
      <c r="A49">
        <v>1802588002001</v>
      </c>
      <c r="B49" t="s">
        <v>57</v>
      </c>
      <c r="C49" t="s">
        <v>108</v>
      </c>
      <c r="D49" t="s">
        <v>164</v>
      </c>
      <c r="E49">
        <v>5.0120260118025797E+47</v>
      </c>
      <c r="F49" s="3">
        <v>46027.492766203701</v>
      </c>
      <c r="G49" s="1">
        <v>46027</v>
      </c>
      <c r="H49">
        <v>1891712215001</v>
      </c>
      <c r="I49">
        <v>5</v>
      </c>
      <c r="J49">
        <v>0.75</v>
      </c>
      <c r="K49">
        <v>5.75</v>
      </c>
    </row>
    <row r="50" spans="1:11" x14ac:dyDescent="0.25">
      <c r="A50">
        <v>1801880574001</v>
      </c>
      <c r="B50" t="s">
        <v>55</v>
      </c>
      <c r="C50" t="s">
        <v>108</v>
      </c>
      <c r="D50" t="s">
        <v>165</v>
      </c>
      <c r="E50">
        <v>5.0120260118018804E+47</v>
      </c>
      <c r="F50" s="3">
        <v>46027.496539351851</v>
      </c>
      <c r="G50" s="1">
        <v>46027</v>
      </c>
      <c r="H50">
        <v>1891712215001</v>
      </c>
      <c r="I50">
        <v>20</v>
      </c>
      <c r="J50">
        <v>3</v>
      </c>
      <c r="K50">
        <v>23</v>
      </c>
    </row>
    <row r="51" spans="1:11" x14ac:dyDescent="0.25">
      <c r="A51">
        <v>1793107958001</v>
      </c>
      <c r="B51" t="s">
        <v>43</v>
      </c>
      <c r="C51" t="s">
        <v>108</v>
      </c>
      <c r="D51" t="s">
        <v>166</v>
      </c>
      <c r="E51">
        <v>5.0120260117930997E+47</v>
      </c>
      <c r="F51" s="3">
        <v>46027.531655092593</v>
      </c>
      <c r="G51" s="1">
        <v>46027</v>
      </c>
      <c r="H51">
        <v>1891712215001</v>
      </c>
      <c r="I51">
        <v>258.26</v>
      </c>
      <c r="J51">
        <v>38.74</v>
      </c>
      <c r="K51">
        <v>297</v>
      </c>
    </row>
    <row r="52" spans="1:11" x14ac:dyDescent="0.25">
      <c r="A52">
        <v>1793107958001</v>
      </c>
      <c r="B52" t="s">
        <v>43</v>
      </c>
      <c r="C52" t="s">
        <v>108</v>
      </c>
      <c r="D52" t="s">
        <v>167</v>
      </c>
      <c r="E52">
        <v>5.0120260117930997E+47</v>
      </c>
      <c r="F52" s="3">
        <v>46027.531782407408</v>
      </c>
      <c r="G52" s="1">
        <v>46027</v>
      </c>
      <c r="H52">
        <v>1891712215001</v>
      </c>
      <c r="I52">
        <v>461.52</v>
      </c>
      <c r="J52">
        <v>69.23</v>
      </c>
      <c r="K52">
        <v>530.75</v>
      </c>
    </row>
    <row r="53" spans="1:11" x14ac:dyDescent="0.25">
      <c r="A53">
        <v>501639371001</v>
      </c>
      <c r="B53" t="s">
        <v>15</v>
      </c>
      <c r="C53" t="s">
        <v>108</v>
      </c>
      <c r="D53" t="s">
        <v>168</v>
      </c>
      <c r="E53">
        <v>5.0120260105016303E+47</v>
      </c>
      <c r="F53" s="3">
        <v>46027.967442129629</v>
      </c>
      <c r="G53" s="1">
        <v>46027</v>
      </c>
      <c r="H53">
        <v>1891712215001</v>
      </c>
      <c r="I53">
        <v>200</v>
      </c>
      <c r="J53">
        <v>30</v>
      </c>
      <c r="K53">
        <v>230</v>
      </c>
    </row>
    <row r="54" spans="1:11" x14ac:dyDescent="0.25">
      <c r="A54">
        <v>1801806124001</v>
      </c>
      <c r="B54" t="s">
        <v>53</v>
      </c>
      <c r="C54" t="s">
        <v>108</v>
      </c>
      <c r="D54" t="s">
        <v>169</v>
      </c>
      <c r="E54">
        <v>5.0120260118018001E+47</v>
      </c>
      <c r="F54" s="3">
        <v>46027.363240740742</v>
      </c>
      <c r="G54" s="1">
        <v>46027</v>
      </c>
      <c r="H54">
        <v>1891712215001</v>
      </c>
      <c r="I54">
        <v>1200</v>
      </c>
      <c r="J54">
        <v>180</v>
      </c>
      <c r="K54">
        <v>1380</v>
      </c>
    </row>
    <row r="55" spans="1:11" x14ac:dyDescent="0.25">
      <c r="A55">
        <v>1801880574001</v>
      </c>
      <c r="B55" t="s">
        <v>55</v>
      </c>
      <c r="C55" t="s">
        <v>108</v>
      </c>
      <c r="D55" t="s">
        <v>170</v>
      </c>
      <c r="E55">
        <v>5.0120260118018804E+47</v>
      </c>
      <c r="F55" s="3">
        <v>46027.418194444443</v>
      </c>
      <c r="G55" s="1">
        <v>46027</v>
      </c>
      <c r="H55">
        <v>1891712215001</v>
      </c>
      <c r="I55">
        <v>10</v>
      </c>
      <c r="J55">
        <v>1.5</v>
      </c>
      <c r="K55">
        <v>11.5</v>
      </c>
    </row>
    <row r="56" spans="1:11" x14ac:dyDescent="0.25">
      <c r="A56">
        <v>1801880574001</v>
      </c>
      <c r="B56" t="s">
        <v>55</v>
      </c>
      <c r="C56" t="s">
        <v>108</v>
      </c>
      <c r="D56" t="s">
        <v>171</v>
      </c>
      <c r="E56">
        <v>5.0120260118018804E+47</v>
      </c>
      <c r="F56" s="3">
        <v>46027.41715277778</v>
      </c>
      <c r="G56" s="1">
        <v>46027</v>
      </c>
      <c r="H56">
        <v>1891712215001</v>
      </c>
      <c r="I56">
        <v>20</v>
      </c>
      <c r="J56">
        <v>3</v>
      </c>
      <c r="K56">
        <v>23</v>
      </c>
    </row>
    <row r="57" spans="1:11" x14ac:dyDescent="0.25">
      <c r="A57">
        <v>1803226388001</v>
      </c>
      <c r="B57" t="s">
        <v>172</v>
      </c>
      <c r="C57" t="s">
        <v>108</v>
      </c>
      <c r="D57" t="s">
        <v>173</v>
      </c>
      <c r="E57">
        <v>5.0120260118032198E+47</v>
      </c>
      <c r="F57" s="3">
        <v>46027.492627314816</v>
      </c>
      <c r="G57" s="1">
        <v>46027</v>
      </c>
      <c r="H57">
        <v>1891712215001</v>
      </c>
      <c r="I57">
        <v>596</v>
      </c>
      <c r="J57">
        <v>89.4</v>
      </c>
      <c r="K57">
        <v>685.4</v>
      </c>
    </row>
    <row r="58" spans="1:11" x14ac:dyDescent="0.25">
      <c r="A58">
        <v>1793107958001</v>
      </c>
      <c r="B58" t="s">
        <v>43</v>
      </c>
      <c r="C58" t="s">
        <v>108</v>
      </c>
      <c r="D58" t="s">
        <v>174</v>
      </c>
      <c r="E58">
        <v>5.0120260117930997E+47</v>
      </c>
      <c r="F58" s="3">
        <v>46027.721342592595</v>
      </c>
      <c r="G58" s="1">
        <v>46027</v>
      </c>
      <c r="H58">
        <v>1891712215001</v>
      </c>
      <c r="I58">
        <v>823.11</v>
      </c>
      <c r="J58">
        <v>123.47</v>
      </c>
      <c r="K58">
        <v>946.58</v>
      </c>
    </row>
    <row r="59" spans="1:11" x14ac:dyDescent="0.25">
      <c r="A59">
        <v>1802090512001</v>
      </c>
      <c r="B59" t="s">
        <v>175</v>
      </c>
      <c r="C59" t="s">
        <v>108</v>
      </c>
      <c r="D59" t="s">
        <v>176</v>
      </c>
      <c r="E59">
        <v>6.0120260118020897E+47</v>
      </c>
      <c r="F59" s="3">
        <v>46028.698645833334</v>
      </c>
      <c r="G59" s="1">
        <v>46028</v>
      </c>
      <c r="H59">
        <v>1891712215001</v>
      </c>
      <c r="I59">
        <v>56.25</v>
      </c>
      <c r="J59">
        <v>8.44</v>
      </c>
      <c r="K59">
        <v>64.69</v>
      </c>
    </row>
    <row r="60" spans="1:11" x14ac:dyDescent="0.25">
      <c r="A60">
        <v>1793107958001</v>
      </c>
      <c r="B60" t="s">
        <v>43</v>
      </c>
      <c r="C60" t="s">
        <v>108</v>
      </c>
      <c r="D60" t="s">
        <v>177</v>
      </c>
      <c r="E60">
        <v>6.0120260117930998E+47</v>
      </c>
      <c r="F60" s="3">
        <v>46028.708356481482</v>
      </c>
      <c r="G60" s="1">
        <v>46028</v>
      </c>
      <c r="H60">
        <v>1891712215001</v>
      </c>
      <c r="I60">
        <v>1169.54</v>
      </c>
      <c r="J60">
        <v>175.43</v>
      </c>
      <c r="K60">
        <v>1344.97</v>
      </c>
    </row>
    <row r="61" spans="1:11" x14ac:dyDescent="0.25">
      <c r="A61">
        <v>1793107958001</v>
      </c>
      <c r="B61" t="s">
        <v>43</v>
      </c>
      <c r="C61" t="s">
        <v>108</v>
      </c>
      <c r="D61" t="s">
        <v>178</v>
      </c>
      <c r="E61">
        <v>6.0120260117930998E+47</v>
      </c>
      <c r="F61" s="3">
        <v>46028.708715277775</v>
      </c>
      <c r="G61" s="1">
        <v>46028</v>
      </c>
      <c r="H61">
        <v>1891712215001</v>
      </c>
      <c r="I61">
        <v>36.18</v>
      </c>
      <c r="J61">
        <v>5.43</v>
      </c>
      <c r="K61">
        <v>41.61</v>
      </c>
    </row>
    <row r="62" spans="1:11" x14ac:dyDescent="0.25">
      <c r="A62">
        <v>1793107958001</v>
      </c>
      <c r="B62" t="s">
        <v>43</v>
      </c>
      <c r="C62" t="s">
        <v>108</v>
      </c>
      <c r="D62" t="s">
        <v>179</v>
      </c>
      <c r="E62">
        <v>6.0120260117930998E+47</v>
      </c>
      <c r="F62" s="3">
        <v>46028.708634259259</v>
      </c>
      <c r="G62" s="1">
        <v>46028</v>
      </c>
      <c r="H62">
        <v>1891712215001</v>
      </c>
      <c r="I62">
        <v>480.37</v>
      </c>
      <c r="J62">
        <v>72.06</v>
      </c>
      <c r="K62">
        <v>552.42999999999995</v>
      </c>
    </row>
    <row r="63" spans="1:11" x14ac:dyDescent="0.25">
      <c r="A63">
        <v>1793107958001</v>
      </c>
      <c r="B63" t="s">
        <v>43</v>
      </c>
      <c r="C63" t="s">
        <v>108</v>
      </c>
      <c r="D63" t="s">
        <v>180</v>
      </c>
      <c r="E63">
        <v>6.0120260117930998E+47</v>
      </c>
      <c r="F63" s="3">
        <v>46028.715254629627</v>
      </c>
      <c r="G63" s="1">
        <v>46028</v>
      </c>
      <c r="H63">
        <v>1891712215001</v>
      </c>
      <c r="I63">
        <v>260.2</v>
      </c>
      <c r="J63">
        <v>39.03</v>
      </c>
      <c r="K63">
        <v>299.23</v>
      </c>
    </row>
    <row r="64" spans="1:11" x14ac:dyDescent="0.25">
      <c r="A64">
        <v>1793107958001</v>
      </c>
      <c r="B64" t="s">
        <v>43</v>
      </c>
      <c r="C64" t="s">
        <v>108</v>
      </c>
      <c r="D64" t="s">
        <v>181</v>
      </c>
      <c r="E64">
        <v>6.0120260117930998E+47</v>
      </c>
      <c r="F64" s="3">
        <v>46028.711793981478</v>
      </c>
      <c r="G64" s="1">
        <v>46028</v>
      </c>
      <c r="H64">
        <v>1891712215001</v>
      </c>
      <c r="I64">
        <v>371.22</v>
      </c>
      <c r="J64">
        <v>55.68</v>
      </c>
      <c r="K64">
        <v>426.9</v>
      </c>
    </row>
    <row r="65" spans="1:11" x14ac:dyDescent="0.25">
      <c r="A65">
        <v>1793107958001</v>
      </c>
      <c r="B65" t="s">
        <v>43</v>
      </c>
      <c r="C65" t="s">
        <v>108</v>
      </c>
      <c r="D65" t="s">
        <v>182</v>
      </c>
      <c r="E65">
        <v>6.0120260117930998E+47</v>
      </c>
      <c r="F65" s="3">
        <v>46028.713946759257</v>
      </c>
      <c r="G65" s="1">
        <v>46028</v>
      </c>
      <c r="H65">
        <v>1891712215001</v>
      </c>
      <c r="I65">
        <v>120.63</v>
      </c>
      <c r="J65">
        <v>18.09</v>
      </c>
      <c r="K65">
        <v>138.72</v>
      </c>
    </row>
    <row r="66" spans="1:11" x14ac:dyDescent="0.25">
      <c r="A66">
        <v>602119992001</v>
      </c>
      <c r="B66" t="s">
        <v>18</v>
      </c>
      <c r="C66" t="s">
        <v>108</v>
      </c>
      <c r="D66" t="s">
        <v>183</v>
      </c>
      <c r="E66">
        <v>6.0120260106021102E+47</v>
      </c>
      <c r="F66" s="3">
        <v>46028.626597222225</v>
      </c>
      <c r="G66" s="1">
        <v>46028</v>
      </c>
      <c r="H66">
        <v>1891712215001</v>
      </c>
      <c r="I66">
        <v>269</v>
      </c>
      <c r="J66">
        <v>0</v>
      </c>
      <c r="K66">
        <v>269</v>
      </c>
    </row>
    <row r="67" spans="1:11" x14ac:dyDescent="0.25">
      <c r="A67">
        <v>602185464001</v>
      </c>
      <c r="B67" t="s">
        <v>19</v>
      </c>
      <c r="C67" t="s">
        <v>108</v>
      </c>
      <c r="D67" t="s">
        <v>184</v>
      </c>
      <c r="E67">
        <v>6.01202601060218E+47</v>
      </c>
      <c r="F67" s="3">
        <v>46029.362002314818</v>
      </c>
      <c r="G67" s="1">
        <v>46028</v>
      </c>
      <c r="H67">
        <v>1891712215001</v>
      </c>
      <c r="I67">
        <v>22.61</v>
      </c>
      <c r="J67">
        <v>3.39</v>
      </c>
      <c r="K67">
        <v>26</v>
      </c>
    </row>
    <row r="68" spans="1:11" x14ac:dyDescent="0.25">
      <c r="A68">
        <v>1802676997001</v>
      </c>
      <c r="B68" t="s">
        <v>185</v>
      </c>
      <c r="C68" t="s">
        <v>108</v>
      </c>
      <c r="D68" t="s">
        <v>186</v>
      </c>
      <c r="E68">
        <v>6.0120260118026698E+47</v>
      </c>
      <c r="F68" s="3">
        <v>46028.368425925924</v>
      </c>
      <c r="G68" s="1">
        <v>46028</v>
      </c>
      <c r="H68">
        <v>1891712215001</v>
      </c>
      <c r="I68">
        <v>768.78</v>
      </c>
      <c r="J68">
        <v>115.32</v>
      </c>
      <c r="K68">
        <v>884.1</v>
      </c>
    </row>
    <row r="69" spans="1:11" x14ac:dyDescent="0.25">
      <c r="A69">
        <v>1793162797001</v>
      </c>
      <c r="B69" t="s">
        <v>46</v>
      </c>
      <c r="C69" t="s">
        <v>108</v>
      </c>
      <c r="D69" t="s">
        <v>187</v>
      </c>
      <c r="E69">
        <v>6.0120260117931598E+47</v>
      </c>
      <c r="F69" s="3">
        <v>46028.543275462966</v>
      </c>
      <c r="G69" s="1">
        <v>46028</v>
      </c>
      <c r="H69">
        <v>1891712215001</v>
      </c>
      <c r="I69">
        <v>143.49</v>
      </c>
      <c r="J69">
        <v>21.52</v>
      </c>
      <c r="K69">
        <v>165.01</v>
      </c>
    </row>
    <row r="70" spans="1:11" x14ac:dyDescent="0.25">
      <c r="A70">
        <v>1793162797001</v>
      </c>
      <c r="B70" t="s">
        <v>46</v>
      </c>
      <c r="C70" t="s">
        <v>108</v>
      </c>
      <c r="D70" t="s">
        <v>188</v>
      </c>
      <c r="E70">
        <v>6.0120260117931598E+47</v>
      </c>
      <c r="F70" s="3">
        <v>46028.542905092596</v>
      </c>
      <c r="G70" s="1">
        <v>46028</v>
      </c>
      <c r="H70">
        <v>1891712215001</v>
      </c>
      <c r="I70">
        <v>209.26</v>
      </c>
      <c r="J70">
        <v>31.39</v>
      </c>
      <c r="K70">
        <v>240.65</v>
      </c>
    </row>
    <row r="71" spans="1:11" x14ac:dyDescent="0.25">
      <c r="A71">
        <v>1802565182001</v>
      </c>
      <c r="B71" t="s">
        <v>56</v>
      </c>
      <c r="C71" t="s">
        <v>108</v>
      </c>
      <c r="D71" t="s">
        <v>189</v>
      </c>
      <c r="E71">
        <v>6.0120260118025603E+47</v>
      </c>
      <c r="F71" s="3">
        <v>46028.628946759258</v>
      </c>
      <c r="G71" s="1">
        <v>46028</v>
      </c>
      <c r="H71">
        <v>1891712215001</v>
      </c>
      <c r="I71">
        <v>10</v>
      </c>
      <c r="J71">
        <v>1.5</v>
      </c>
      <c r="K71">
        <v>11.5</v>
      </c>
    </row>
    <row r="72" spans="1:11" x14ac:dyDescent="0.25">
      <c r="A72">
        <v>1802565182001</v>
      </c>
      <c r="B72" t="s">
        <v>56</v>
      </c>
      <c r="C72" t="s">
        <v>108</v>
      </c>
      <c r="D72" t="s">
        <v>190</v>
      </c>
      <c r="E72">
        <v>6.0120260118025603E+47</v>
      </c>
      <c r="F72" s="3">
        <v>46028.628252314818</v>
      </c>
      <c r="G72" s="1">
        <v>46028</v>
      </c>
      <c r="H72">
        <v>1891712215001</v>
      </c>
      <c r="I72">
        <v>10</v>
      </c>
      <c r="J72">
        <v>1.5</v>
      </c>
      <c r="K72">
        <v>11.5</v>
      </c>
    </row>
    <row r="73" spans="1:11" x14ac:dyDescent="0.25">
      <c r="A73">
        <v>604599126001</v>
      </c>
      <c r="B73" t="s">
        <v>23</v>
      </c>
      <c r="C73" t="s">
        <v>108</v>
      </c>
      <c r="D73" t="s">
        <v>191</v>
      </c>
      <c r="E73">
        <v>6.0120260106045903E+47</v>
      </c>
      <c r="F73" s="3">
        <v>46028.458067129628</v>
      </c>
      <c r="G73" s="1">
        <v>46028</v>
      </c>
      <c r="H73">
        <v>1891712215001</v>
      </c>
      <c r="I73">
        <v>17.87</v>
      </c>
      <c r="J73">
        <v>2.68</v>
      </c>
      <c r="K73">
        <v>20.55</v>
      </c>
    </row>
    <row r="74" spans="1:11" x14ac:dyDescent="0.25">
      <c r="A74">
        <v>1802565182001</v>
      </c>
      <c r="B74" t="s">
        <v>56</v>
      </c>
      <c r="C74" t="s">
        <v>108</v>
      </c>
      <c r="D74" t="s">
        <v>192</v>
      </c>
      <c r="E74">
        <v>6.0120260118025603E+47</v>
      </c>
      <c r="F74" s="3">
        <v>46028.470613425925</v>
      </c>
      <c r="G74" s="1">
        <v>46028</v>
      </c>
      <c r="H74">
        <v>1891712215001</v>
      </c>
      <c r="I74">
        <v>6</v>
      </c>
      <c r="J74">
        <v>0.9</v>
      </c>
      <c r="K74">
        <v>6.9</v>
      </c>
    </row>
    <row r="75" spans="1:11" x14ac:dyDescent="0.25">
      <c r="A75">
        <v>1802565182001</v>
      </c>
      <c r="B75" t="s">
        <v>56</v>
      </c>
      <c r="C75" t="s">
        <v>108</v>
      </c>
      <c r="D75" t="s">
        <v>193</v>
      </c>
      <c r="E75">
        <v>6.0120260118025603E+47</v>
      </c>
      <c r="F75" s="3">
        <v>46028.469317129631</v>
      </c>
      <c r="G75" s="1">
        <v>46028</v>
      </c>
      <c r="H75">
        <v>1891712215001</v>
      </c>
      <c r="I75">
        <v>10</v>
      </c>
      <c r="J75">
        <v>1.5</v>
      </c>
      <c r="K75">
        <v>11.5</v>
      </c>
    </row>
    <row r="76" spans="1:11" x14ac:dyDescent="0.25">
      <c r="A76">
        <v>1790009459001</v>
      </c>
      <c r="B76" t="s">
        <v>136</v>
      </c>
      <c r="C76" t="s">
        <v>108</v>
      </c>
      <c r="D76" t="s">
        <v>194</v>
      </c>
      <c r="E76">
        <v>6.0120260117899998E+47</v>
      </c>
      <c r="F76" s="3">
        <v>46028.750474537039</v>
      </c>
      <c r="G76" s="1">
        <v>46028</v>
      </c>
      <c r="H76">
        <v>1891712215001</v>
      </c>
      <c r="I76">
        <v>1154.9000000000001</v>
      </c>
      <c r="J76">
        <v>173.24</v>
      </c>
      <c r="K76">
        <v>1328.14</v>
      </c>
    </row>
    <row r="77" spans="1:11" x14ac:dyDescent="0.25">
      <c r="A77">
        <v>1801719152001</v>
      </c>
      <c r="B77" t="s">
        <v>52</v>
      </c>
      <c r="C77" t="s">
        <v>108</v>
      </c>
      <c r="D77" t="s">
        <v>195</v>
      </c>
      <c r="E77">
        <v>6.0120260118017101E+47</v>
      </c>
      <c r="F77" s="3">
        <v>46028.790138888886</v>
      </c>
      <c r="G77" s="1">
        <v>46028</v>
      </c>
      <c r="H77">
        <v>1891712215001</v>
      </c>
      <c r="I77">
        <v>960</v>
      </c>
      <c r="J77">
        <v>144</v>
      </c>
      <c r="K77">
        <v>1104</v>
      </c>
    </row>
    <row r="78" spans="1:11" x14ac:dyDescent="0.25">
      <c r="A78">
        <v>1793107958001</v>
      </c>
      <c r="B78" t="s">
        <v>43</v>
      </c>
      <c r="C78" t="s">
        <v>108</v>
      </c>
      <c r="D78" t="s">
        <v>196</v>
      </c>
      <c r="E78">
        <v>6.0120260117930998E+47</v>
      </c>
      <c r="F78" s="3">
        <v>46028.712962962964</v>
      </c>
      <c r="G78" s="1">
        <v>46028</v>
      </c>
      <c r="H78">
        <v>1891712215001</v>
      </c>
      <c r="I78">
        <v>295.64999999999998</v>
      </c>
      <c r="J78">
        <v>44.35</v>
      </c>
      <c r="K78">
        <v>340</v>
      </c>
    </row>
    <row r="79" spans="1:11" x14ac:dyDescent="0.25">
      <c r="A79">
        <v>1801880574001</v>
      </c>
      <c r="B79" t="s">
        <v>55</v>
      </c>
      <c r="C79" t="s">
        <v>108</v>
      </c>
      <c r="D79" t="s">
        <v>197</v>
      </c>
      <c r="E79">
        <v>6.0120260118018796E+47</v>
      </c>
      <c r="F79" s="3">
        <v>46028.51289351852</v>
      </c>
      <c r="G79" s="1">
        <v>46028</v>
      </c>
      <c r="H79">
        <v>1891712215001</v>
      </c>
      <c r="I79">
        <v>25</v>
      </c>
      <c r="J79">
        <v>3.75</v>
      </c>
      <c r="K79">
        <v>28.75</v>
      </c>
    </row>
    <row r="80" spans="1:11" x14ac:dyDescent="0.25">
      <c r="A80">
        <v>1793107958001</v>
      </c>
      <c r="B80" t="s">
        <v>43</v>
      </c>
      <c r="C80" t="s">
        <v>108</v>
      </c>
      <c r="D80" t="s">
        <v>198</v>
      </c>
      <c r="E80">
        <v>6.0120260117930998E+47</v>
      </c>
      <c r="F80" s="3">
        <v>46028.599722222221</v>
      </c>
      <c r="G80" s="1">
        <v>46028</v>
      </c>
      <c r="H80">
        <v>1891712215001</v>
      </c>
      <c r="I80">
        <v>111.33</v>
      </c>
      <c r="J80">
        <v>16.7</v>
      </c>
      <c r="K80">
        <v>128.03</v>
      </c>
    </row>
    <row r="81" spans="1:11" x14ac:dyDescent="0.25">
      <c r="A81">
        <v>690000512001</v>
      </c>
      <c r="B81" t="s">
        <v>199</v>
      </c>
      <c r="C81" t="s">
        <v>108</v>
      </c>
      <c r="D81" t="s">
        <v>200</v>
      </c>
      <c r="E81">
        <v>6.0120260106900004E+47</v>
      </c>
      <c r="F81" s="3">
        <v>46030.003958333335</v>
      </c>
      <c r="G81" s="1">
        <v>46028</v>
      </c>
      <c r="H81">
        <v>1891712215001</v>
      </c>
      <c r="I81">
        <v>24.28</v>
      </c>
      <c r="J81">
        <v>0</v>
      </c>
      <c r="K81">
        <v>24.28</v>
      </c>
    </row>
    <row r="82" spans="1:11" x14ac:dyDescent="0.25">
      <c r="A82">
        <v>602119992001</v>
      </c>
      <c r="B82" t="s">
        <v>18</v>
      </c>
      <c r="C82" t="s">
        <v>108</v>
      </c>
      <c r="D82" t="s">
        <v>201</v>
      </c>
      <c r="E82">
        <v>6.0120260106021102E+47</v>
      </c>
      <c r="F82" s="3">
        <v>46028.629837962966</v>
      </c>
      <c r="G82" s="1">
        <v>46028</v>
      </c>
      <c r="H82">
        <v>1891712215001</v>
      </c>
      <c r="I82">
        <v>191</v>
      </c>
      <c r="J82">
        <v>0</v>
      </c>
      <c r="K82">
        <v>191</v>
      </c>
    </row>
    <row r="83" spans="1:11" x14ac:dyDescent="0.25">
      <c r="A83">
        <v>992629991001</v>
      </c>
      <c r="B83" t="s">
        <v>29</v>
      </c>
      <c r="C83" t="s">
        <v>108</v>
      </c>
      <c r="D83" t="s">
        <v>202</v>
      </c>
      <c r="E83">
        <v>6.0120260109926204E+47</v>
      </c>
      <c r="F83" s="3">
        <v>46028.367476851854</v>
      </c>
      <c r="G83" s="1">
        <v>46028</v>
      </c>
      <c r="H83">
        <v>1891712215001</v>
      </c>
      <c r="I83">
        <v>1030</v>
      </c>
      <c r="J83">
        <v>154.5</v>
      </c>
      <c r="K83">
        <v>1184.5</v>
      </c>
    </row>
    <row r="84" spans="1:11" x14ac:dyDescent="0.25">
      <c r="A84">
        <v>1802565182001</v>
      </c>
      <c r="B84" t="s">
        <v>56</v>
      </c>
      <c r="C84" t="s">
        <v>108</v>
      </c>
      <c r="D84" t="s">
        <v>203</v>
      </c>
      <c r="E84">
        <v>6.0120260118025603E+47</v>
      </c>
      <c r="F84" s="3">
        <v>46028.388912037037</v>
      </c>
      <c r="G84" s="1">
        <v>46028</v>
      </c>
      <c r="H84">
        <v>1891712215001</v>
      </c>
      <c r="I84">
        <v>10</v>
      </c>
      <c r="J84">
        <v>1.5</v>
      </c>
      <c r="K84">
        <v>11.5</v>
      </c>
    </row>
    <row r="85" spans="1:11" x14ac:dyDescent="0.25">
      <c r="A85">
        <v>1802565182001</v>
      </c>
      <c r="B85" t="s">
        <v>56</v>
      </c>
      <c r="C85" t="s">
        <v>108</v>
      </c>
      <c r="D85" t="s">
        <v>204</v>
      </c>
      <c r="E85">
        <v>6.0120260118025603E+47</v>
      </c>
      <c r="F85" s="3">
        <v>46028.394004629627</v>
      </c>
      <c r="G85" s="1">
        <v>46028</v>
      </c>
      <c r="H85">
        <v>1891712215001</v>
      </c>
      <c r="I85">
        <v>15</v>
      </c>
      <c r="J85">
        <v>2.25</v>
      </c>
      <c r="K85">
        <v>17.25</v>
      </c>
    </row>
    <row r="86" spans="1:11" x14ac:dyDescent="0.25">
      <c r="A86">
        <v>1802565182001</v>
      </c>
      <c r="B86" t="s">
        <v>56</v>
      </c>
      <c r="C86" t="s">
        <v>108</v>
      </c>
      <c r="D86" t="s">
        <v>205</v>
      </c>
      <c r="E86">
        <v>6.0120260118025603E+47</v>
      </c>
      <c r="F86" s="3">
        <v>46028.394606481481</v>
      </c>
      <c r="G86" s="1">
        <v>46028</v>
      </c>
      <c r="H86">
        <v>1891712215001</v>
      </c>
      <c r="I86">
        <v>6</v>
      </c>
      <c r="J86">
        <v>0.9</v>
      </c>
      <c r="K86">
        <v>6.9</v>
      </c>
    </row>
    <row r="87" spans="1:11" x14ac:dyDescent="0.25">
      <c r="A87">
        <v>1801880574001</v>
      </c>
      <c r="B87" t="s">
        <v>55</v>
      </c>
      <c r="C87" t="s">
        <v>108</v>
      </c>
      <c r="D87" t="s">
        <v>206</v>
      </c>
      <c r="E87">
        <v>6.0120260118018796E+47</v>
      </c>
      <c r="F87" s="3">
        <v>46028.417349537034</v>
      </c>
      <c r="G87" s="1">
        <v>46028</v>
      </c>
      <c r="H87">
        <v>1891712215001</v>
      </c>
      <c r="I87">
        <v>10</v>
      </c>
      <c r="J87">
        <v>1.5</v>
      </c>
      <c r="K87">
        <v>11.5</v>
      </c>
    </row>
    <row r="88" spans="1:11" x14ac:dyDescent="0.25">
      <c r="A88">
        <v>1801880574001</v>
      </c>
      <c r="B88" t="s">
        <v>55</v>
      </c>
      <c r="C88" t="s">
        <v>108</v>
      </c>
      <c r="D88" t="s">
        <v>207</v>
      </c>
      <c r="E88">
        <v>6.0120260118018796E+47</v>
      </c>
      <c r="F88" s="3">
        <v>46028.416597222225</v>
      </c>
      <c r="G88" s="1">
        <v>46028</v>
      </c>
      <c r="H88">
        <v>1891712215001</v>
      </c>
      <c r="I88">
        <v>20</v>
      </c>
      <c r="J88">
        <v>3</v>
      </c>
      <c r="K88">
        <v>23</v>
      </c>
    </row>
    <row r="89" spans="1:11" x14ac:dyDescent="0.25">
      <c r="A89">
        <v>1801880574001</v>
      </c>
      <c r="B89" t="s">
        <v>55</v>
      </c>
      <c r="C89" t="s">
        <v>108</v>
      </c>
      <c r="D89" t="s">
        <v>208</v>
      </c>
      <c r="E89">
        <v>6.0120260118018796E+47</v>
      </c>
      <c r="F89" s="3">
        <v>46028.418657407405</v>
      </c>
      <c r="G89" s="1">
        <v>46028</v>
      </c>
      <c r="H89">
        <v>1891712215001</v>
      </c>
      <c r="I89">
        <v>20</v>
      </c>
      <c r="J89">
        <v>3</v>
      </c>
      <c r="K89">
        <v>23</v>
      </c>
    </row>
    <row r="90" spans="1:11" x14ac:dyDescent="0.25">
      <c r="A90">
        <v>1801880574001</v>
      </c>
      <c r="B90" t="s">
        <v>55</v>
      </c>
      <c r="C90" t="s">
        <v>108</v>
      </c>
      <c r="D90" t="s">
        <v>209</v>
      </c>
      <c r="E90">
        <v>6.0120260118018796E+47</v>
      </c>
      <c r="F90" s="3">
        <v>46028.419270833336</v>
      </c>
      <c r="G90" s="1">
        <v>46028</v>
      </c>
      <c r="H90">
        <v>1891712215001</v>
      </c>
      <c r="I90">
        <v>10</v>
      </c>
      <c r="J90">
        <v>1.5</v>
      </c>
      <c r="K90">
        <v>11.5</v>
      </c>
    </row>
    <row r="91" spans="1:11" x14ac:dyDescent="0.25">
      <c r="A91">
        <v>990049459001</v>
      </c>
      <c r="B91" t="s">
        <v>149</v>
      </c>
      <c r="C91" t="s">
        <v>108</v>
      </c>
      <c r="D91" t="s">
        <v>210</v>
      </c>
      <c r="E91">
        <v>6.0120260109900397E+47</v>
      </c>
      <c r="F91" s="3">
        <v>46029.626851851855</v>
      </c>
      <c r="G91" s="1">
        <v>46028</v>
      </c>
      <c r="H91">
        <v>1891712215001</v>
      </c>
      <c r="I91">
        <v>9.66</v>
      </c>
      <c r="J91">
        <v>1.45</v>
      </c>
      <c r="K91">
        <v>11.11</v>
      </c>
    </row>
    <row r="92" spans="1:11" x14ac:dyDescent="0.25">
      <c r="A92">
        <v>1793107958001</v>
      </c>
      <c r="B92" t="s">
        <v>43</v>
      </c>
      <c r="C92" t="s">
        <v>108</v>
      </c>
      <c r="D92" t="s">
        <v>211</v>
      </c>
      <c r="E92">
        <v>6.0120260117930998E+47</v>
      </c>
      <c r="F92" s="3">
        <v>46028.611342592594</v>
      </c>
      <c r="G92" s="1">
        <v>46028</v>
      </c>
      <c r="H92">
        <v>1891712215001</v>
      </c>
      <c r="I92">
        <v>960.96</v>
      </c>
      <c r="J92">
        <v>144.13999999999999</v>
      </c>
      <c r="K92">
        <v>1105.0999999999999</v>
      </c>
    </row>
    <row r="93" spans="1:11" x14ac:dyDescent="0.25">
      <c r="A93">
        <v>1802676997001</v>
      </c>
      <c r="B93" t="s">
        <v>185</v>
      </c>
      <c r="C93" t="s">
        <v>108</v>
      </c>
      <c r="D93" t="s">
        <v>212</v>
      </c>
      <c r="E93">
        <v>6.0120260118026698E+47</v>
      </c>
      <c r="F93" s="3">
        <v>46028.607037037036</v>
      </c>
      <c r="G93" s="1">
        <v>46028</v>
      </c>
      <c r="H93">
        <v>1891712215001</v>
      </c>
      <c r="I93">
        <v>423.36</v>
      </c>
      <c r="J93">
        <v>63.5</v>
      </c>
      <c r="K93">
        <v>486.86</v>
      </c>
    </row>
    <row r="94" spans="1:11" x14ac:dyDescent="0.25">
      <c r="A94">
        <v>1801880574001</v>
      </c>
      <c r="B94" t="s">
        <v>55</v>
      </c>
      <c r="C94" t="s">
        <v>108</v>
      </c>
      <c r="D94" t="s">
        <v>213</v>
      </c>
      <c r="E94">
        <v>6.0120260118018796E+47</v>
      </c>
      <c r="F94" s="3">
        <v>46028.463101851848</v>
      </c>
      <c r="G94" s="1">
        <v>46028</v>
      </c>
      <c r="H94">
        <v>1891712215001</v>
      </c>
      <c r="I94">
        <v>20</v>
      </c>
      <c r="J94">
        <v>3</v>
      </c>
      <c r="K94">
        <v>23</v>
      </c>
    </row>
    <row r="95" spans="1:11" x14ac:dyDescent="0.25">
      <c r="A95">
        <v>1793107958001</v>
      </c>
      <c r="B95" t="s">
        <v>43</v>
      </c>
      <c r="C95" t="s">
        <v>108</v>
      </c>
      <c r="D95" t="s">
        <v>214</v>
      </c>
      <c r="E95">
        <v>6.0120260117930998E+47</v>
      </c>
      <c r="F95" s="3">
        <v>46028.458344907405</v>
      </c>
      <c r="G95" s="1">
        <v>46028</v>
      </c>
      <c r="H95">
        <v>1891712215001</v>
      </c>
      <c r="I95">
        <v>265.5</v>
      </c>
      <c r="J95">
        <v>39.83</v>
      </c>
      <c r="K95">
        <v>305.33</v>
      </c>
    </row>
    <row r="96" spans="1:11" x14ac:dyDescent="0.25">
      <c r="A96">
        <v>1793107958001</v>
      </c>
      <c r="B96" t="s">
        <v>43</v>
      </c>
      <c r="C96" t="s">
        <v>108</v>
      </c>
      <c r="D96" t="s">
        <v>215</v>
      </c>
      <c r="E96">
        <v>7.0120260117930998E+47</v>
      </c>
      <c r="F96" s="3">
        <v>46029.791770833333</v>
      </c>
      <c r="G96" s="1">
        <v>46029</v>
      </c>
      <c r="H96">
        <v>1891712215001</v>
      </c>
      <c r="I96">
        <v>36.33</v>
      </c>
      <c r="J96">
        <v>5.45</v>
      </c>
      <c r="K96">
        <v>41.78</v>
      </c>
    </row>
    <row r="97" spans="1:11" x14ac:dyDescent="0.25">
      <c r="A97">
        <v>1793107958001</v>
      </c>
      <c r="B97" t="s">
        <v>43</v>
      </c>
      <c r="C97" t="s">
        <v>108</v>
      </c>
      <c r="D97" t="s">
        <v>216</v>
      </c>
      <c r="E97">
        <v>7.0120260117930998E+47</v>
      </c>
      <c r="F97" s="3">
        <v>46029.791678240741</v>
      </c>
      <c r="G97" s="1">
        <v>46029</v>
      </c>
      <c r="H97">
        <v>1891712215001</v>
      </c>
      <c r="I97">
        <v>162.21</v>
      </c>
      <c r="J97">
        <v>24.33</v>
      </c>
      <c r="K97">
        <v>186.54</v>
      </c>
    </row>
    <row r="98" spans="1:11" x14ac:dyDescent="0.25">
      <c r="A98">
        <v>1793162797001</v>
      </c>
      <c r="B98" t="s">
        <v>46</v>
      </c>
      <c r="C98" t="s">
        <v>108</v>
      </c>
      <c r="D98" t="s">
        <v>217</v>
      </c>
      <c r="E98">
        <v>7.0120260117931598E+47</v>
      </c>
      <c r="F98" s="3">
        <v>46029.792199074072</v>
      </c>
      <c r="G98" s="1">
        <v>46029</v>
      </c>
      <c r="H98">
        <v>1891712215001</v>
      </c>
      <c r="I98">
        <v>140.99</v>
      </c>
      <c r="J98">
        <v>21.15</v>
      </c>
      <c r="K98">
        <v>162.13999999999999</v>
      </c>
    </row>
    <row r="99" spans="1:11" x14ac:dyDescent="0.25">
      <c r="A99">
        <v>1804234472001</v>
      </c>
      <c r="B99" t="s">
        <v>69</v>
      </c>
      <c r="C99" t="s">
        <v>108</v>
      </c>
      <c r="D99" t="s">
        <v>218</v>
      </c>
      <c r="E99">
        <v>7.01202601180423E+47</v>
      </c>
      <c r="F99" s="3">
        <v>46029.762499999997</v>
      </c>
      <c r="G99" s="1">
        <v>46029</v>
      </c>
      <c r="H99">
        <v>1891712215001</v>
      </c>
      <c r="I99">
        <v>200</v>
      </c>
      <c r="J99">
        <v>30</v>
      </c>
      <c r="K99">
        <v>230</v>
      </c>
    </row>
    <row r="100" spans="1:11" x14ac:dyDescent="0.25">
      <c r="A100">
        <v>1793225433001</v>
      </c>
      <c r="B100" t="s">
        <v>219</v>
      </c>
      <c r="C100" t="s">
        <v>108</v>
      </c>
      <c r="D100" t="s">
        <v>220</v>
      </c>
      <c r="E100">
        <v>7.0120260117932199E+47</v>
      </c>
      <c r="F100" s="3">
        <v>46029.415578703702</v>
      </c>
      <c r="G100" s="1">
        <v>46029</v>
      </c>
      <c r="H100">
        <v>1891712215001</v>
      </c>
      <c r="I100">
        <v>151.62</v>
      </c>
      <c r="J100">
        <v>22.74</v>
      </c>
      <c r="K100">
        <v>174.36</v>
      </c>
    </row>
    <row r="101" spans="1:11" x14ac:dyDescent="0.25">
      <c r="A101">
        <v>1891796176001</v>
      </c>
      <c r="B101" t="s">
        <v>91</v>
      </c>
      <c r="C101" t="s">
        <v>108</v>
      </c>
      <c r="D101" t="s">
        <v>221</v>
      </c>
      <c r="E101">
        <v>7.01202601189179E+47</v>
      </c>
      <c r="F101" s="3">
        <v>46029.419872685183</v>
      </c>
      <c r="G101" s="1">
        <v>46029</v>
      </c>
      <c r="H101">
        <v>1891712215001</v>
      </c>
      <c r="I101">
        <v>12.17</v>
      </c>
      <c r="J101">
        <v>1.83</v>
      </c>
      <c r="K101">
        <v>14</v>
      </c>
    </row>
    <row r="102" spans="1:11" x14ac:dyDescent="0.25">
      <c r="A102">
        <v>1891796176001</v>
      </c>
      <c r="B102" t="s">
        <v>91</v>
      </c>
      <c r="C102" t="s">
        <v>108</v>
      </c>
      <c r="D102" t="s">
        <v>222</v>
      </c>
      <c r="E102">
        <v>7.01202601189179E+47</v>
      </c>
      <c r="F102" s="3">
        <v>46029.421805555554</v>
      </c>
      <c r="G102" s="1">
        <v>46029</v>
      </c>
      <c r="H102">
        <v>1891712215001</v>
      </c>
      <c r="I102">
        <v>12.17</v>
      </c>
      <c r="J102">
        <v>1.83</v>
      </c>
      <c r="K102">
        <v>14</v>
      </c>
    </row>
    <row r="103" spans="1:11" x14ac:dyDescent="0.25">
      <c r="A103">
        <v>604599126001</v>
      </c>
      <c r="B103" t="s">
        <v>23</v>
      </c>
      <c r="C103" t="s">
        <v>108</v>
      </c>
      <c r="D103" t="s">
        <v>223</v>
      </c>
      <c r="E103">
        <v>7.0120260106045904E+47</v>
      </c>
      <c r="F103" s="3">
        <v>46029.418425925927</v>
      </c>
      <c r="G103" s="1">
        <v>46029</v>
      </c>
      <c r="H103">
        <v>1891712215001</v>
      </c>
      <c r="I103">
        <v>17.87</v>
      </c>
      <c r="J103">
        <v>2.68</v>
      </c>
      <c r="K103">
        <v>20.55</v>
      </c>
    </row>
    <row r="104" spans="1:11" x14ac:dyDescent="0.25">
      <c r="A104">
        <v>1793107958001</v>
      </c>
      <c r="B104" t="s">
        <v>43</v>
      </c>
      <c r="C104" t="s">
        <v>108</v>
      </c>
      <c r="D104" t="s">
        <v>224</v>
      </c>
      <c r="E104">
        <v>7.0120260117930998E+47</v>
      </c>
      <c r="F104" s="3">
        <v>46029.631493055553</v>
      </c>
      <c r="G104" s="1">
        <v>46029</v>
      </c>
      <c r="H104">
        <v>1891712215001</v>
      </c>
      <c r="I104">
        <v>58.87</v>
      </c>
      <c r="J104">
        <v>8.83</v>
      </c>
      <c r="K104">
        <v>67.7</v>
      </c>
    </row>
    <row r="105" spans="1:11" x14ac:dyDescent="0.25">
      <c r="A105">
        <v>604599126001</v>
      </c>
      <c r="B105" t="s">
        <v>23</v>
      </c>
      <c r="C105" t="s">
        <v>108</v>
      </c>
      <c r="D105" t="s">
        <v>225</v>
      </c>
      <c r="E105">
        <v>7.0120260106045904E+47</v>
      </c>
      <c r="F105" s="3">
        <v>46029.437291666669</v>
      </c>
      <c r="G105" s="1">
        <v>46029</v>
      </c>
      <c r="H105">
        <v>1891712215001</v>
      </c>
      <c r="I105">
        <v>3</v>
      </c>
      <c r="J105">
        <v>0.45</v>
      </c>
      <c r="K105">
        <v>3.45</v>
      </c>
    </row>
    <row r="106" spans="1:11" x14ac:dyDescent="0.25">
      <c r="A106">
        <v>1793162797001</v>
      </c>
      <c r="B106" t="s">
        <v>46</v>
      </c>
      <c r="C106" t="s">
        <v>108</v>
      </c>
      <c r="D106" t="s">
        <v>226</v>
      </c>
      <c r="E106">
        <v>7.0120260117931598E+47</v>
      </c>
      <c r="F106" s="3">
        <v>46029.542395833334</v>
      </c>
      <c r="G106" s="1">
        <v>46029</v>
      </c>
      <c r="H106">
        <v>1891712215001</v>
      </c>
      <c r="I106">
        <v>344.92</v>
      </c>
      <c r="J106">
        <v>51.74</v>
      </c>
      <c r="K106">
        <v>396.66</v>
      </c>
    </row>
    <row r="107" spans="1:11" x14ac:dyDescent="0.25">
      <c r="A107">
        <v>1793107958001</v>
      </c>
      <c r="B107" t="s">
        <v>43</v>
      </c>
      <c r="C107" t="s">
        <v>108</v>
      </c>
      <c r="D107" t="s">
        <v>227</v>
      </c>
      <c r="E107">
        <v>7.0120260117930998E+47</v>
      </c>
      <c r="F107" s="3">
        <v>46029.54173611111</v>
      </c>
      <c r="G107" s="1">
        <v>46029</v>
      </c>
      <c r="H107">
        <v>1891712215001</v>
      </c>
      <c r="I107">
        <v>1923.51</v>
      </c>
      <c r="J107">
        <v>288.52999999999997</v>
      </c>
      <c r="K107">
        <v>2212.04</v>
      </c>
    </row>
    <row r="108" spans="1:11" x14ac:dyDescent="0.25">
      <c r="A108">
        <v>1802565182001</v>
      </c>
      <c r="B108" t="s">
        <v>56</v>
      </c>
      <c r="C108" t="s">
        <v>108</v>
      </c>
      <c r="D108" t="s">
        <v>228</v>
      </c>
      <c r="E108">
        <v>7.0120260118025603E+47</v>
      </c>
      <c r="F108" s="3">
        <v>46029.507280092592</v>
      </c>
      <c r="G108" s="1">
        <v>46029</v>
      </c>
      <c r="H108">
        <v>1891712215001</v>
      </c>
      <c r="I108">
        <v>6</v>
      </c>
      <c r="J108">
        <v>0.9</v>
      </c>
      <c r="K108">
        <v>6.9</v>
      </c>
    </row>
    <row r="109" spans="1:11" x14ac:dyDescent="0.25">
      <c r="A109">
        <v>1801880574001</v>
      </c>
      <c r="B109" t="s">
        <v>55</v>
      </c>
      <c r="C109" t="s">
        <v>108</v>
      </c>
      <c r="D109" t="s">
        <v>229</v>
      </c>
      <c r="E109">
        <v>7.0120260118018797E+47</v>
      </c>
      <c r="F109" s="3">
        <v>46029.512430555558</v>
      </c>
      <c r="G109" s="1">
        <v>46029</v>
      </c>
      <c r="H109">
        <v>1891712215001</v>
      </c>
      <c r="I109">
        <v>20</v>
      </c>
      <c r="J109">
        <v>3</v>
      </c>
      <c r="K109">
        <v>23</v>
      </c>
    </row>
    <row r="110" spans="1:11" x14ac:dyDescent="0.25">
      <c r="A110">
        <v>1801880574001</v>
      </c>
      <c r="B110" t="s">
        <v>55</v>
      </c>
      <c r="C110" t="s">
        <v>108</v>
      </c>
      <c r="D110" t="s">
        <v>230</v>
      </c>
      <c r="E110">
        <v>7.0120260118018797E+47</v>
      </c>
      <c r="F110" s="3">
        <v>46029.513958333337</v>
      </c>
      <c r="G110" s="1">
        <v>46029</v>
      </c>
      <c r="H110">
        <v>1891712215001</v>
      </c>
      <c r="I110">
        <v>10</v>
      </c>
      <c r="J110">
        <v>1.5</v>
      </c>
      <c r="K110">
        <v>11.5</v>
      </c>
    </row>
    <row r="111" spans="1:11" x14ac:dyDescent="0.25">
      <c r="A111">
        <v>1805135306001</v>
      </c>
      <c r="B111" t="s">
        <v>75</v>
      </c>
      <c r="C111" t="s">
        <v>108</v>
      </c>
      <c r="D111" t="s">
        <v>231</v>
      </c>
      <c r="E111">
        <v>7.0120260118051297E+47</v>
      </c>
      <c r="F111" s="3">
        <v>46029.493344907409</v>
      </c>
      <c r="G111" s="1">
        <v>46029</v>
      </c>
      <c r="H111">
        <v>1891712215001</v>
      </c>
      <c r="I111">
        <v>180</v>
      </c>
      <c r="J111">
        <v>0</v>
      </c>
      <c r="K111">
        <v>180</v>
      </c>
    </row>
    <row r="112" spans="1:11" x14ac:dyDescent="0.25">
      <c r="A112">
        <v>604599126001</v>
      </c>
      <c r="B112" t="s">
        <v>23</v>
      </c>
      <c r="C112" t="s">
        <v>108</v>
      </c>
      <c r="D112" t="s">
        <v>232</v>
      </c>
      <c r="E112">
        <v>7.0120260106045904E+47</v>
      </c>
      <c r="F112" s="3">
        <v>46029.496053240742</v>
      </c>
      <c r="G112" s="1">
        <v>46029</v>
      </c>
      <c r="H112">
        <v>1891712215001</v>
      </c>
      <c r="I112">
        <v>17.87</v>
      </c>
      <c r="J112">
        <v>2.68</v>
      </c>
      <c r="K112">
        <v>20.55</v>
      </c>
    </row>
    <row r="113" spans="1:11" x14ac:dyDescent="0.25">
      <c r="A113">
        <v>1793107958001</v>
      </c>
      <c r="B113" t="s">
        <v>43</v>
      </c>
      <c r="C113" t="s">
        <v>108</v>
      </c>
      <c r="D113" t="s">
        <v>233</v>
      </c>
      <c r="E113">
        <v>7.0120260117930998E+47</v>
      </c>
      <c r="F113" s="3">
        <v>46029.61314814815</v>
      </c>
      <c r="G113" s="1">
        <v>46029</v>
      </c>
      <c r="H113">
        <v>1891712215001</v>
      </c>
      <c r="I113">
        <v>27.33</v>
      </c>
      <c r="J113">
        <v>4.0999999999999996</v>
      </c>
      <c r="K113">
        <v>31.43</v>
      </c>
    </row>
    <row r="114" spans="1:11" x14ac:dyDescent="0.25">
      <c r="A114">
        <v>1800749044001</v>
      </c>
      <c r="B114" t="s">
        <v>48</v>
      </c>
      <c r="C114" t="s">
        <v>108</v>
      </c>
      <c r="D114" t="s">
        <v>234</v>
      </c>
      <c r="E114">
        <v>7.0120260118007398E+47</v>
      </c>
      <c r="F114" s="3">
        <v>46029.719895833332</v>
      </c>
      <c r="G114" s="1">
        <v>46029</v>
      </c>
      <c r="H114">
        <v>1891712215001</v>
      </c>
      <c r="I114">
        <v>1800</v>
      </c>
      <c r="J114">
        <v>270</v>
      </c>
      <c r="K114">
        <v>2070</v>
      </c>
    </row>
    <row r="115" spans="1:11" x14ac:dyDescent="0.25">
      <c r="A115">
        <v>992141913001</v>
      </c>
      <c r="B115" t="s">
        <v>28</v>
      </c>
      <c r="C115" t="s">
        <v>108</v>
      </c>
      <c r="D115" t="s">
        <v>235</v>
      </c>
      <c r="E115">
        <v>7.0120260109921402E+47</v>
      </c>
      <c r="F115" s="3">
        <v>46029.650694444441</v>
      </c>
      <c r="G115" s="1">
        <v>46029</v>
      </c>
      <c r="H115">
        <v>1891712215001</v>
      </c>
      <c r="I115">
        <v>91.58</v>
      </c>
      <c r="J115">
        <v>13.74</v>
      </c>
      <c r="K115">
        <v>105.32</v>
      </c>
    </row>
    <row r="116" spans="1:11" x14ac:dyDescent="0.25">
      <c r="A116">
        <v>1802565182001</v>
      </c>
      <c r="B116" t="s">
        <v>56</v>
      </c>
      <c r="C116" t="s">
        <v>108</v>
      </c>
      <c r="D116" t="s">
        <v>236</v>
      </c>
      <c r="E116">
        <v>7.0120260118025603E+47</v>
      </c>
      <c r="F116" s="3">
        <v>46029.663576388892</v>
      </c>
      <c r="G116" s="1">
        <v>46029</v>
      </c>
      <c r="H116">
        <v>1891712215001</v>
      </c>
      <c r="I116">
        <v>18</v>
      </c>
      <c r="J116">
        <v>2.7</v>
      </c>
      <c r="K116">
        <v>20.7</v>
      </c>
    </row>
    <row r="117" spans="1:11" x14ac:dyDescent="0.25">
      <c r="A117">
        <v>1890152917001</v>
      </c>
      <c r="B117" t="s">
        <v>138</v>
      </c>
      <c r="C117" t="s">
        <v>108</v>
      </c>
      <c r="D117" t="s">
        <v>237</v>
      </c>
      <c r="E117">
        <v>7.0120260118901503E+47</v>
      </c>
      <c r="F117" s="3">
        <v>46029.428078703706</v>
      </c>
      <c r="G117" s="1">
        <v>46029</v>
      </c>
      <c r="H117">
        <v>1891712215001</v>
      </c>
      <c r="I117">
        <v>114.12</v>
      </c>
      <c r="J117">
        <v>17.12</v>
      </c>
      <c r="K117">
        <v>131.24</v>
      </c>
    </row>
    <row r="118" spans="1:11" x14ac:dyDescent="0.25">
      <c r="A118">
        <v>1790283380001</v>
      </c>
      <c r="B118" t="s">
        <v>107</v>
      </c>
      <c r="C118" t="s">
        <v>108</v>
      </c>
      <c r="D118" t="s">
        <v>238</v>
      </c>
      <c r="E118">
        <v>7.0120260117902797E+47</v>
      </c>
      <c r="F118" s="3">
        <v>46029.443287037036</v>
      </c>
      <c r="G118" s="1">
        <v>46029</v>
      </c>
      <c r="H118">
        <v>1891712215001</v>
      </c>
      <c r="I118">
        <v>33.33</v>
      </c>
      <c r="J118">
        <v>5</v>
      </c>
      <c r="K118">
        <v>38.33</v>
      </c>
    </row>
    <row r="119" spans="1:11" x14ac:dyDescent="0.25">
      <c r="A119">
        <v>1802565182001</v>
      </c>
      <c r="B119" t="s">
        <v>56</v>
      </c>
      <c r="C119" t="s">
        <v>108</v>
      </c>
      <c r="D119" t="s">
        <v>239</v>
      </c>
      <c r="E119">
        <v>7.0120260118025603E+47</v>
      </c>
      <c r="F119" s="3">
        <v>46029.469143518516</v>
      </c>
      <c r="G119" s="1">
        <v>46029</v>
      </c>
      <c r="H119">
        <v>1891712215001</v>
      </c>
      <c r="I119">
        <v>6</v>
      </c>
      <c r="J119">
        <v>0.9</v>
      </c>
      <c r="K119">
        <v>6.9</v>
      </c>
    </row>
    <row r="120" spans="1:11" x14ac:dyDescent="0.25">
      <c r="A120">
        <v>990049459001</v>
      </c>
      <c r="B120" t="s">
        <v>149</v>
      </c>
      <c r="C120" t="s">
        <v>108</v>
      </c>
      <c r="D120" t="s">
        <v>240</v>
      </c>
      <c r="E120">
        <v>7.0120260109900397E+47</v>
      </c>
      <c r="F120" s="3">
        <v>46030.567106481481</v>
      </c>
      <c r="G120" s="1">
        <v>46029</v>
      </c>
      <c r="H120">
        <v>1891712215001</v>
      </c>
      <c r="I120">
        <v>2.63</v>
      </c>
      <c r="J120">
        <v>0.39</v>
      </c>
      <c r="K120">
        <v>3.02</v>
      </c>
    </row>
    <row r="121" spans="1:11" x14ac:dyDescent="0.25">
      <c r="A121">
        <v>604599126001</v>
      </c>
      <c r="B121" t="s">
        <v>23</v>
      </c>
      <c r="C121" t="s">
        <v>108</v>
      </c>
      <c r="D121" t="s">
        <v>241</v>
      </c>
      <c r="E121">
        <v>7.0120260106045904E+47</v>
      </c>
      <c r="F121" s="3">
        <v>46029.451481481483</v>
      </c>
      <c r="G121" s="1">
        <v>46029</v>
      </c>
      <c r="H121">
        <v>1891712215001</v>
      </c>
      <c r="I121">
        <v>17.87</v>
      </c>
      <c r="J121">
        <v>2.68</v>
      </c>
      <c r="K121">
        <v>20.55</v>
      </c>
    </row>
    <row r="122" spans="1:11" x14ac:dyDescent="0.25">
      <c r="A122">
        <v>1790009459001</v>
      </c>
      <c r="B122" t="s">
        <v>136</v>
      </c>
      <c r="C122" t="s">
        <v>108</v>
      </c>
      <c r="D122" t="s">
        <v>242</v>
      </c>
      <c r="E122">
        <v>7.0120260117899998E+47</v>
      </c>
      <c r="F122" s="3">
        <v>46029.625925925924</v>
      </c>
      <c r="G122" s="1">
        <v>46029</v>
      </c>
      <c r="H122">
        <v>1891712215001</v>
      </c>
      <c r="I122">
        <v>2518</v>
      </c>
      <c r="J122">
        <v>377.7</v>
      </c>
      <c r="K122">
        <v>2895.7</v>
      </c>
    </row>
    <row r="123" spans="1:11" x14ac:dyDescent="0.25">
      <c r="A123">
        <v>1891796176001</v>
      </c>
      <c r="B123" t="s">
        <v>91</v>
      </c>
      <c r="C123" t="s">
        <v>108</v>
      </c>
      <c r="D123" t="s">
        <v>243</v>
      </c>
      <c r="E123">
        <v>7.01202601189179E+47</v>
      </c>
      <c r="F123" s="3">
        <v>46029.643888888888</v>
      </c>
      <c r="G123" s="1">
        <v>46029</v>
      </c>
      <c r="H123">
        <v>1891712215001</v>
      </c>
      <c r="I123">
        <v>1.74</v>
      </c>
      <c r="J123">
        <v>0.26</v>
      </c>
      <c r="K123">
        <v>2</v>
      </c>
    </row>
    <row r="124" spans="1:11" x14ac:dyDescent="0.25">
      <c r="A124">
        <v>1801880574001</v>
      </c>
      <c r="B124" t="s">
        <v>55</v>
      </c>
      <c r="C124" t="s">
        <v>108</v>
      </c>
      <c r="D124" t="s">
        <v>244</v>
      </c>
      <c r="E124">
        <v>7.0120260118018797E+47</v>
      </c>
      <c r="F124" s="3">
        <v>46029.641041666669</v>
      </c>
      <c r="G124" s="1">
        <v>46029</v>
      </c>
      <c r="H124">
        <v>1891712215001</v>
      </c>
      <c r="I124">
        <v>24</v>
      </c>
      <c r="J124">
        <v>3.6</v>
      </c>
      <c r="K124">
        <v>27.6</v>
      </c>
    </row>
    <row r="125" spans="1:11" x14ac:dyDescent="0.25">
      <c r="A125">
        <v>604599126001</v>
      </c>
      <c r="B125" t="s">
        <v>23</v>
      </c>
      <c r="C125" t="s">
        <v>108</v>
      </c>
      <c r="D125" t="s">
        <v>245</v>
      </c>
      <c r="E125">
        <v>7.0120260106045904E+47</v>
      </c>
      <c r="F125" s="3">
        <v>46029.381319444445</v>
      </c>
      <c r="G125" s="1">
        <v>46029</v>
      </c>
      <c r="H125">
        <v>1891712215001</v>
      </c>
      <c r="I125">
        <v>17.87</v>
      </c>
      <c r="J125">
        <v>2.68</v>
      </c>
      <c r="K125">
        <v>20.55</v>
      </c>
    </row>
    <row r="126" spans="1:11" x14ac:dyDescent="0.25">
      <c r="A126">
        <v>1790009459001</v>
      </c>
      <c r="B126" t="s">
        <v>136</v>
      </c>
      <c r="C126" t="s">
        <v>108</v>
      </c>
      <c r="D126" t="s">
        <v>246</v>
      </c>
      <c r="E126">
        <v>8.0120260117900007E+47</v>
      </c>
      <c r="F126" s="3">
        <v>46030.750810185185</v>
      </c>
      <c r="G126" s="1">
        <v>46030</v>
      </c>
      <c r="H126">
        <v>1891712215001</v>
      </c>
      <c r="I126">
        <v>432.48</v>
      </c>
      <c r="J126">
        <v>64.87</v>
      </c>
      <c r="K126">
        <v>497.35</v>
      </c>
    </row>
    <row r="127" spans="1:11" x14ac:dyDescent="0.25">
      <c r="A127">
        <v>1804347332001</v>
      </c>
      <c r="B127" t="s">
        <v>247</v>
      </c>
      <c r="C127" t="s">
        <v>108</v>
      </c>
      <c r="D127" t="s">
        <v>173</v>
      </c>
      <c r="E127">
        <v>8.0120260118043396E+47</v>
      </c>
      <c r="F127" s="3">
        <v>46030.427905092591</v>
      </c>
      <c r="G127" s="1">
        <v>46030</v>
      </c>
      <c r="H127">
        <v>1891712215001</v>
      </c>
      <c r="I127">
        <v>1886.74</v>
      </c>
      <c r="J127">
        <v>283.01</v>
      </c>
      <c r="K127">
        <v>2169.75</v>
      </c>
    </row>
    <row r="128" spans="1:11" x14ac:dyDescent="0.25">
      <c r="A128">
        <v>1804347332001</v>
      </c>
      <c r="B128" t="s">
        <v>247</v>
      </c>
      <c r="C128" t="s">
        <v>108</v>
      </c>
      <c r="D128" t="s">
        <v>248</v>
      </c>
      <c r="E128">
        <v>8.0120260118043396E+47</v>
      </c>
      <c r="F128" s="3">
        <v>46030.433807870373</v>
      </c>
      <c r="G128" s="1">
        <v>46030</v>
      </c>
      <c r="H128">
        <v>1891712215001</v>
      </c>
      <c r="I128">
        <v>541.51</v>
      </c>
      <c r="J128">
        <v>81.23</v>
      </c>
      <c r="K128">
        <v>622.74</v>
      </c>
    </row>
    <row r="129" spans="1:11" x14ac:dyDescent="0.25">
      <c r="A129">
        <v>1801880574001</v>
      </c>
      <c r="B129" t="s">
        <v>55</v>
      </c>
      <c r="C129" t="s">
        <v>108</v>
      </c>
      <c r="D129" t="s">
        <v>249</v>
      </c>
      <c r="E129">
        <v>8.0120260118018797E+47</v>
      </c>
      <c r="F129" s="3">
        <v>46030.435023148151</v>
      </c>
      <c r="G129" s="1">
        <v>46030</v>
      </c>
      <c r="H129">
        <v>1891712215001</v>
      </c>
      <c r="I129">
        <v>20</v>
      </c>
      <c r="J129">
        <v>3</v>
      </c>
      <c r="K129">
        <v>23</v>
      </c>
    </row>
    <row r="130" spans="1:11" x14ac:dyDescent="0.25">
      <c r="A130">
        <v>1802565182001</v>
      </c>
      <c r="B130" t="s">
        <v>56</v>
      </c>
      <c r="C130" t="s">
        <v>108</v>
      </c>
      <c r="D130" t="s">
        <v>250</v>
      </c>
      <c r="E130">
        <v>8.0120260118025596E+47</v>
      </c>
      <c r="F130" s="3">
        <v>46030.423587962963</v>
      </c>
      <c r="G130" s="1">
        <v>46030</v>
      </c>
      <c r="H130">
        <v>1891712215001</v>
      </c>
      <c r="I130">
        <v>6</v>
      </c>
      <c r="J130">
        <v>0.9</v>
      </c>
      <c r="K130">
        <v>6.9</v>
      </c>
    </row>
    <row r="131" spans="1:11" x14ac:dyDescent="0.25">
      <c r="A131">
        <v>1802565182001</v>
      </c>
      <c r="B131" t="s">
        <v>56</v>
      </c>
      <c r="C131" t="s">
        <v>108</v>
      </c>
      <c r="D131" t="s">
        <v>251</v>
      </c>
      <c r="E131">
        <v>8.0120260118025596E+47</v>
      </c>
      <c r="F131" s="3">
        <v>46030.426400462966</v>
      </c>
      <c r="G131" s="1">
        <v>46030</v>
      </c>
      <c r="H131">
        <v>1891712215001</v>
      </c>
      <c r="I131">
        <v>6</v>
      </c>
      <c r="J131">
        <v>0.9</v>
      </c>
      <c r="K131">
        <v>6.9</v>
      </c>
    </row>
    <row r="132" spans="1:11" x14ac:dyDescent="0.25">
      <c r="A132">
        <v>1801880574001</v>
      </c>
      <c r="B132" t="s">
        <v>55</v>
      </c>
      <c r="C132" t="s">
        <v>108</v>
      </c>
      <c r="D132" t="s">
        <v>252</v>
      </c>
      <c r="E132">
        <v>8.0120260118018797E+47</v>
      </c>
      <c r="F132" s="3">
        <v>46030.435868055552</v>
      </c>
      <c r="G132" s="1">
        <v>46030</v>
      </c>
      <c r="H132">
        <v>1891712215001</v>
      </c>
      <c r="I132">
        <v>10</v>
      </c>
      <c r="J132">
        <v>1.5</v>
      </c>
      <c r="K132">
        <v>11.5</v>
      </c>
    </row>
    <row r="133" spans="1:11" x14ac:dyDescent="0.25">
      <c r="A133">
        <v>1790009459001</v>
      </c>
      <c r="B133" t="s">
        <v>136</v>
      </c>
      <c r="C133" t="s">
        <v>108</v>
      </c>
      <c r="D133" t="s">
        <v>253</v>
      </c>
      <c r="E133">
        <v>8.0120260117900007E+47</v>
      </c>
      <c r="F133" s="3">
        <v>46030.450682870367</v>
      </c>
      <c r="G133" s="1">
        <v>46030</v>
      </c>
      <c r="H133">
        <v>1891712215001</v>
      </c>
      <c r="I133">
        <v>3199.37</v>
      </c>
      <c r="J133">
        <v>479.91</v>
      </c>
      <c r="K133">
        <v>3679.28</v>
      </c>
    </row>
    <row r="134" spans="1:11" x14ac:dyDescent="0.25">
      <c r="A134">
        <v>1804347332001</v>
      </c>
      <c r="B134" t="s">
        <v>247</v>
      </c>
      <c r="C134" t="s">
        <v>108</v>
      </c>
      <c r="D134" t="s">
        <v>254</v>
      </c>
      <c r="E134">
        <v>8.0120260118043396E+47</v>
      </c>
      <c r="F134" s="3">
        <v>46030.438958333332</v>
      </c>
      <c r="G134" s="1">
        <v>46030</v>
      </c>
      <c r="H134">
        <v>1891712215001</v>
      </c>
      <c r="I134">
        <v>120.88</v>
      </c>
      <c r="J134">
        <v>18.13</v>
      </c>
      <c r="K134">
        <v>139.01</v>
      </c>
    </row>
    <row r="135" spans="1:11" x14ac:dyDescent="0.25">
      <c r="A135">
        <v>1804347332001</v>
      </c>
      <c r="B135" t="s">
        <v>247</v>
      </c>
      <c r="C135" t="s">
        <v>108</v>
      </c>
      <c r="D135" t="s">
        <v>255</v>
      </c>
      <c r="E135">
        <v>8.0120260118043396E+47</v>
      </c>
      <c r="F135" s="3">
        <v>46030.443680555552</v>
      </c>
      <c r="G135" s="1">
        <v>46030</v>
      </c>
      <c r="H135">
        <v>1891712215001</v>
      </c>
      <c r="I135">
        <v>67.489999999999995</v>
      </c>
      <c r="J135">
        <v>10.119999999999999</v>
      </c>
      <c r="K135">
        <v>77.61</v>
      </c>
    </row>
    <row r="136" spans="1:11" x14ac:dyDescent="0.25">
      <c r="A136">
        <v>1804347332001</v>
      </c>
      <c r="B136" t="s">
        <v>247</v>
      </c>
      <c r="C136" t="s">
        <v>108</v>
      </c>
      <c r="D136" t="s">
        <v>256</v>
      </c>
      <c r="E136">
        <v>8.0120260118043396E+47</v>
      </c>
      <c r="F136" s="3">
        <v>46030.449699074074</v>
      </c>
      <c r="G136" s="1">
        <v>46030</v>
      </c>
      <c r="H136">
        <v>1891712215001</v>
      </c>
      <c r="I136">
        <v>306.86</v>
      </c>
      <c r="J136">
        <v>46.03</v>
      </c>
      <c r="K136">
        <v>352.89</v>
      </c>
    </row>
    <row r="137" spans="1:11" x14ac:dyDescent="0.25">
      <c r="A137">
        <v>1802565182001</v>
      </c>
      <c r="B137" t="s">
        <v>56</v>
      </c>
      <c r="C137" t="s">
        <v>108</v>
      </c>
      <c r="D137" t="s">
        <v>257</v>
      </c>
      <c r="E137">
        <v>8.0120260118025596E+47</v>
      </c>
      <c r="F137" s="3">
        <v>46030.467129629629</v>
      </c>
      <c r="G137" s="1">
        <v>46030</v>
      </c>
      <c r="H137">
        <v>1891712215001</v>
      </c>
      <c r="I137">
        <v>10</v>
      </c>
      <c r="J137">
        <v>1.5</v>
      </c>
      <c r="K137">
        <v>11.5</v>
      </c>
    </row>
    <row r="138" spans="1:11" x14ac:dyDescent="0.25">
      <c r="A138">
        <v>1802565182001</v>
      </c>
      <c r="B138" t="s">
        <v>56</v>
      </c>
      <c r="C138" t="s">
        <v>108</v>
      </c>
      <c r="D138" t="s">
        <v>258</v>
      </c>
      <c r="E138">
        <v>8.0120260118025596E+47</v>
      </c>
      <c r="F138" s="3">
        <v>46030.469375000001</v>
      </c>
      <c r="G138" s="1">
        <v>46030</v>
      </c>
      <c r="H138">
        <v>1891712215001</v>
      </c>
      <c r="I138">
        <v>10</v>
      </c>
      <c r="J138">
        <v>1.5</v>
      </c>
      <c r="K138">
        <v>11.5</v>
      </c>
    </row>
    <row r="139" spans="1:11" x14ac:dyDescent="0.25">
      <c r="A139">
        <v>1793107958001</v>
      </c>
      <c r="B139" t="s">
        <v>43</v>
      </c>
      <c r="C139" t="s">
        <v>108</v>
      </c>
      <c r="D139" t="s">
        <v>259</v>
      </c>
      <c r="E139">
        <v>8.0120260117930999E+47</v>
      </c>
      <c r="F139" s="3">
        <v>46030.468518518515</v>
      </c>
      <c r="G139" s="1">
        <v>46030</v>
      </c>
      <c r="H139">
        <v>1891712215001</v>
      </c>
      <c r="I139">
        <v>120</v>
      </c>
      <c r="J139">
        <v>18</v>
      </c>
      <c r="K139">
        <v>138</v>
      </c>
    </row>
    <row r="140" spans="1:11" x14ac:dyDescent="0.25">
      <c r="A140">
        <v>1802565182001</v>
      </c>
      <c r="B140" t="s">
        <v>56</v>
      </c>
      <c r="C140" t="s">
        <v>108</v>
      </c>
      <c r="D140" t="s">
        <v>260</v>
      </c>
      <c r="E140">
        <v>8.0120260118025596E+47</v>
      </c>
      <c r="F140" s="3">
        <v>46030.487337962964</v>
      </c>
      <c r="G140" s="1">
        <v>46030</v>
      </c>
      <c r="H140">
        <v>1891712215001</v>
      </c>
      <c r="I140">
        <v>6</v>
      </c>
      <c r="J140">
        <v>0.9</v>
      </c>
      <c r="K140">
        <v>6.9</v>
      </c>
    </row>
    <row r="141" spans="1:11" x14ac:dyDescent="0.25">
      <c r="A141">
        <v>604599126001</v>
      </c>
      <c r="B141" t="s">
        <v>23</v>
      </c>
      <c r="C141" t="s">
        <v>108</v>
      </c>
      <c r="D141" t="s">
        <v>261</v>
      </c>
      <c r="E141">
        <v>8.0120260106045896E+47</v>
      </c>
      <c r="F141" s="3">
        <v>46030.602581018517</v>
      </c>
      <c r="G141" s="1">
        <v>46030</v>
      </c>
      <c r="H141">
        <v>1891712215001</v>
      </c>
      <c r="I141">
        <v>17.87</v>
      </c>
      <c r="J141">
        <v>2.68</v>
      </c>
      <c r="K141">
        <v>20.55</v>
      </c>
    </row>
    <row r="142" spans="1:11" x14ac:dyDescent="0.25">
      <c r="A142">
        <v>1802565182001</v>
      </c>
      <c r="B142" t="s">
        <v>56</v>
      </c>
      <c r="C142" t="s">
        <v>108</v>
      </c>
      <c r="D142" t="s">
        <v>262</v>
      </c>
      <c r="E142">
        <v>8.0120260118025596E+47</v>
      </c>
      <c r="F142" s="3">
        <v>46030.62228009259</v>
      </c>
      <c r="G142" s="1">
        <v>46030</v>
      </c>
      <c r="H142">
        <v>1891712215001</v>
      </c>
      <c r="I142">
        <v>10</v>
      </c>
      <c r="J142">
        <v>1.5</v>
      </c>
      <c r="K142">
        <v>11.5</v>
      </c>
    </row>
    <row r="143" spans="1:11" x14ac:dyDescent="0.25">
      <c r="A143">
        <v>1793107958001</v>
      </c>
      <c r="B143" t="s">
        <v>43</v>
      </c>
      <c r="C143" t="s">
        <v>108</v>
      </c>
      <c r="D143" t="s">
        <v>263</v>
      </c>
      <c r="E143">
        <v>8.0120260117930999E+47</v>
      </c>
      <c r="F143" s="3">
        <v>46030.625011574077</v>
      </c>
      <c r="G143" s="1">
        <v>46030</v>
      </c>
      <c r="H143">
        <v>1891712215001</v>
      </c>
      <c r="I143">
        <v>71.41</v>
      </c>
      <c r="J143">
        <v>10.71</v>
      </c>
      <c r="K143">
        <v>82.12</v>
      </c>
    </row>
    <row r="144" spans="1:11" x14ac:dyDescent="0.25">
      <c r="A144">
        <v>604599126001</v>
      </c>
      <c r="B144" t="s">
        <v>23</v>
      </c>
      <c r="C144" t="s">
        <v>108</v>
      </c>
      <c r="D144" t="s">
        <v>264</v>
      </c>
      <c r="E144">
        <v>8.0120260106045896E+47</v>
      </c>
      <c r="F144" s="3">
        <v>46030.649687500001</v>
      </c>
      <c r="G144" s="1">
        <v>46030</v>
      </c>
      <c r="H144">
        <v>1891712215001</v>
      </c>
      <c r="I144">
        <v>17.87</v>
      </c>
      <c r="J144">
        <v>2.68</v>
      </c>
      <c r="K144">
        <v>20.55</v>
      </c>
    </row>
    <row r="145" spans="1:11" x14ac:dyDescent="0.25">
      <c r="A145">
        <v>1793107958001</v>
      </c>
      <c r="B145" t="s">
        <v>43</v>
      </c>
      <c r="C145" t="s">
        <v>108</v>
      </c>
      <c r="D145" t="s">
        <v>265</v>
      </c>
      <c r="E145">
        <v>8.0120260117930999E+47</v>
      </c>
      <c r="F145" s="3">
        <v>46030.541944444441</v>
      </c>
      <c r="G145" s="1">
        <v>46030</v>
      </c>
      <c r="H145">
        <v>1891712215001</v>
      </c>
      <c r="I145">
        <v>567.29999999999995</v>
      </c>
      <c r="J145">
        <v>85.1</v>
      </c>
      <c r="K145">
        <v>652.4</v>
      </c>
    </row>
    <row r="146" spans="1:11" x14ac:dyDescent="0.25">
      <c r="A146">
        <v>1790283380001</v>
      </c>
      <c r="B146" t="s">
        <v>107</v>
      </c>
      <c r="C146" t="s">
        <v>108</v>
      </c>
      <c r="D146" t="s">
        <v>266</v>
      </c>
      <c r="E146">
        <v>8.0120260117902798E+47</v>
      </c>
      <c r="F146" s="3">
        <v>46030.417581018519</v>
      </c>
      <c r="G146" s="1">
        <v>46030</v>
      </c>
      <c r="H146">
        <v>1891712215001</v>
      </c>
      <c r="I146">
        <v>21.92</v>
      </c>
      <c r="J146">
        <v>3.29</v>
      </c>
      <c r="K146">
        <v>25.21</v>
      </c>
    </row>
    <row r="147" spans="1:11" x14ac:dyDescent="0.25">
      <c r="A147">
        <v>1801880574001</v>
      </c>
      <c r="B147" t="s">
        <v>55</v>
      </c>
      <c r="C147" t="s">
        <v>108</v>
      </c>
      <c r="D147" t="s">
        <v>267</v>
      </c>
      <c r="E147">
        <v>8.0120260118018797E+47</v>
      </c>
      <c r="F147" s="3">
        <v>46030.484270833331</v>
      </c>
      <c r="G147" s="1">
        <v>46030</v>
      </c>
      <c r="H147">
        <v>1891712215001</v>
      </c>
      <c r="I147">
        <v>20</v>
      </c>
      <c r="J147">
        <v>3</v>
      </c>
      <c r="K147">
        <v>23</v>
      </c>
    </row>
    <row r="148" spans="1:11" x14ac:dyDescent="0.25">
      <c r="A148">
        <v>990049459001</v>
      </c>
      <c r="B148" t="s">
        <v>149</v>
      </c>
      <c r="C148" t="s">
        <v>108</v>
      </c>
      <c r="D148" t="s">
        <v>268</v>
      </c>
      <c r="E148">
        <v>8.0120260109900398E+47</v>
      </c>
      <c r="F148" s="3">
        <v>46031.413969907408</v>
      </c>
      <c r="G148" s="1">
        <v>46030</v>
      </c>
      <c r="H148">
        <v>1891712215001</v>
      </c>
      <c r="I148">
        <v>4.4000000000000004</v>
      </c>
      <c r="J148">
        <v>0.66</v>
      </c>
      <c r="K148">
        <v>5.0599999999999996</v>
      </c>
    </row>
    <row r="149" spans="1:11" x14ac:dyDescent="0.25">
      <c r="A149">
        <v>604599126001</v>
      </c>
      <c r="B149" t="s">
        <v>23</v>
      </c>
      <c r="C149" t="s">
        <v>108</v>
      </c>
      <c r="D149" t="s">
        <v>269</v>
      </c>
      <c r="E149">
        <v>8.0120260106045896E+47</v>
      </c>
      <c r="F149" s="3">
        <v>46030.402256944442</v>
      </c>
      <c r="G149" s="1">
        <v>46030</v>
      </c>
      <c r="H149">
        <v>1891712215001</v>
      </c>
      <c r="I149">
        <v>17.87</v>
      </c>
      <c r="J149">
        <v>2.68</v>
      </c>
      <c r="K149">
        <v>20.55</v>
      </c>
    </row>
    <row r="150" spans="1:11" x14ac:dyDescent="0.25">
      <c r="A150">
        <v>1790009459001</v>
      </c>
      <c r="B150" t="s">
        <v>136</v>
      </c>
      <c r="C150" t="s">
        <v>108</v>
      </c>
      <c r="D150" t="s">
        <v>270</v>
      </c>
      <c r="E150">
        <v>8.0120260117900007E+47</v>
      </c>
      <c r="F150" s="3">
        <v>46030.751192129632</v>
      </c>
      <c r="G150" s="1">
        <v>46030</v>
      </c>
      <c r="H150">
        <v>1891712215001</v>
      </c>
      <c r="I150">
        <v>2704.4</v>
      </c>
      <c r="J150">
        <v>405.66</v>
      </c>
      <c r="K150">
        <v>3110.06</v>
      </c>
    </row>
    <row r="151" spans="1:11" x14ac:dyDescent="0.25">
      <c r="A151">
        <v>1793107958001</v>
      </c>
      <c r="B151" t="s">
        <v>43</v>
      </c>
      <c r="C151" t="s">
        <v>108</v>
      </c>
      <c r="D151" t="s">
        <v>271</v>
      </c>
      <c r="E151">
        <v>8.0120260117930999E+47</v>
      </c>
      <c r="F151" s="3">
        <v>46030.791678240741</v>
      </c>
      <c r="G151" s="1">
        <v>46030</v>
      </c>
      <c r="H151">
        <v>1891712215001</v>
      </c>
      <c r="I151">
        <v>188.96</v>
      </c>
      <c r="J151">
        <v>28.34</v>
      </c>
      <c r="K151">
        <v>217.3</v>
      </c>
    </row>
    <row r="152" spans="1:11" x14ac:dyDescent="0.25">
      <c r="A152">
        <v>1801880574001</v>
      </c>
      <c r="B152" t="s">
        <v>55</v>
      </c>
      <c r="C152" t="s">
        <v>108</v>
      </c>
      <c r="D152" t="s">
        <v>272</v>
      </c>
      <c r="E152">
        <v>8.0120260118018797E+47</v>
      </c>
      <c r="F152" s="3">
        <v>46030.641215277778</v>
      </c>
      <c r="G152" s="1">
        <v>46030</v>
      </c>
      <c r="H152">
        <v>1891712215001</v>
      </c>
      <c r="I152">
        <v>20</v>
      </c>
      <c r="J152">
        <v>3</v>
      </c>
      <c r="K152">
        <v>23</v>
      </c>
    </row>
    <row r="153" spans="1:11" x14ac:dyDescent="0.25">
      <c r="A153">
        <v>1801880574001</v>
      </c>
      <c r="B153" t="s">
        <v>55</v>
      </c>
      <c r="C153" t="s">
        <v>108</v>
      </c>
      <c r="D153" t="s">
        <v>273</v>
      </c>
      <c r="E153">
        <v>8.0120260118018797E+47</v>
      </c>
      <c r="F153" s="3">
        <v>46030.641932870371</v>
      </c>
      <c r="G153" s="1">
        <v>46030</v>
      </c>
      <c r="H153">
        <v>1891712215001</v>
      </c>
      <c r="I153">
        <v>10</v>
      </c>
      <c r="J153">
        <v>1.5</v>
      </c>
      <c r="K153">
        <v>11.5</v>
      </c>
    </row>
    <row r="154" spans="1:11" x14ac:dyDescent="0.25">
      <c r="A154">
        <v>1793107958001</v>
      </c>
      <c r="B154" t="s">
        <v>43</v>
      </c>
      <c r="C154" t="s">
        <v>108</v>
      </c>
      <c r="D154" t="s">
        <v>274</v>
      </c>
      <c r="E154">
        <v>8.0120260117930999E+47</v>
      </c>
      <c r="F154" s="3">
        <v>46030.642048611109</v>
      </c>
      <c r="G154" s="1">
        <v>46030</v>
      </c>
      <c r="H154">
        <v>1891712215001</v>
      </c>
      <c r="I154">
        <v>147.19999999999999</v>
      </c>
      <c r="J154">
        <v>22.08</v>
      </c>
      <c r="K154">
        <v>169.28</v>
      </c>
    </row>
    <row r="155" spans="1:11" x14ac:dyDescent="0.25">
      <c r="A155">
        <v>1802565182001</v>
      </c>
      <c r="B155" t="s">
        <v>56</v>
      </c>
      <c r="C155" t="s">
        <v>108</v>
      </c>
      <c r="D155" t="s">
        <v>275</v>
      </c>
      <c r="E155">
        <v>8.0120260118025596E+47</v>
      </c>
      <c r="F155" s="3">
        <v>46030.661030092589</v>
      </c>
      <c r="G155" s="1">
        <v>46030</v>
      </c>
      <c r="H155">
        <v>1891712215001</v>
      </c>
      <c r="I155">
        <v>6</v>
      </c>
      <c r="J155">
        <v>0.9</v>
      </c>
      <c r="K155">
        <v>6.9</v>
      </c>
    </row>
    <row r="156" spans="1:11" x14ac:dyDescent="0.25">
      <c r="A156">
        <v>1802565182001</v>
      </c>
      <c r="B156" t="s">
        <v>56</v>
      </c>
      <c r="C156" t="s">
        <v>108</v>
      </c>
      <c r="D156" t="s">
        <v>276</v>
      </c>
      <c r="E156">
        <v>8.0120260118025596E+47</v>
      </c>
      <c r="F156" s="3">
        <v>46030.662303240744</v>
      </c>
      <c r="G156" s="1">
        <v>46030</v>
      </c>
      <c r="H156">
        <v>1891712215001</v>
      </c>
      <c r="I156">
        <v>6</v>
      </c>
      <c r="J156">
        <v>0.9</v>
      </c>
      <c r="K156">
        <v>6.9</v>
      </c>
    </row>
    <row r="157" spans="1:11" x14ac:dyDescent="0.25">
      <c r="A157">
        <v>1801880574001</v>
      </c>
      <c r="B157" t="s">
        <v>55</v>
      </c>
      <c r="C157" t="s">
        <v>108</v>
      </c>
      <c r="D157" t="s">
        <v>277</v>
      </c>
      <c r="E157">
        <v>8.0120260118018797E+47</v>
      </c>
      <c r="F157" s="3">
        <v>46030.679039351853</v>
      </c>
      <c r="G157" s="1">
        <v>46030</v>
      </c>
      <c r="H157">
        <v>1891712215001</v>
      </c>
      <c r="I157">
        <v>20</v>
      </c>
      <c r="J157">
        <v>3</v>
      </c>
      <c r="K157">
        <v>23</v>
      </c>
    </row>
    <row r="158" spans="1:11" x14ac:dyDescent="0.25">
      <c r="A158">
        <v>1793162797001</v>
      </c>
      <c r="B158" t="s">
        <v>46</v>
      </c>
      <c r="C158" t="s">
        <v>108</v>
      </c>
      <c r="D158" t="s">
        <v>278</v>
      </c>
      <c r="E158">
        <v>8.0120260117931599E+47</v>
      </c>
      <c r="F158" s="3">
        <v>46030.459085648145</v>
      </c>
      <c r="G158" s="1">
        <v>46030</v>
      </c>
      <c r="H158">
        <v>1891712215001</v>
      </c>
      <c r="I158">
        <v>109.74</v>
      </c>
      <c r="J158">
        <v>16.46</v>
      </c>
      <c r="K158">
        <v>126.2</v>
      </c>
    </row>
    <row r="159" spans="1:11" x14ac:dyDescent="0.25">
      <c r="A159">
        <v>1790009459001</v>
      </c>
      <c r="B159" t="s">
        <v>136</v>
      </c>
      <c r="C159" t="s">
        <v>108</v>
      </c>
      <c r="D159" t="s">
        <v>279</v>
      </c>
      <c r="E159">
        <v>8.0120260117900007E+47</v>
      </c>
      <c r="F159" s="3">
        <v>46030.459814814814</v>
      </c>
      <c r="G159" s="1">
        <v>46030</v>
      </c>
      <c r="H159">
        <v>1891712215001</v>
      </c>
      <c r="I159">
        <v>532.08000000000004</v>
      </c>
      <c r="J159">
        <v>79.81</v>
      </c>
      <c r="K159">
        <v>611.89</v>
      </c>
    </row>
    <row r="160" spans="1:11" x14ac:dyDescent="0.25">
      <c r="A160">
        <v>604599126001</v>
      </c>
      <c r="B160" t="s">
        <v>23</v>
      </c>
      <c r="C160" t="s">
        <v>108</v>
      </c>
      <c r="D160" t="s">
        <v>280</v>
      </c>
      <c r="E160">
        <v>9.0120260106045905E+47</v>
      </c>
      <c r="F160" s="3">
        <v>46031.474560185183</v>
      </c>
      <c r="G160" s="1">
        <v>46031</v>
      </c>
      <c r="H160">
        <v>1891712215001</v>
      </c>
      <c r="I160">
        <v>17.87</v>
      </c>
      <c r="J160">
        <v>2.68</v>
      </c>
      <c r="K160">
        <v>20.55</v>
      </c>
    </row>
    <row r="161" spans="1:11" x14ac:dyDescent="0.25">
      <c r="A161">
        <v>1793107958001</v>
      </c>
      <c r="B161" t="s">
        <v>43</v>
      </c>
      <c r="C161" t="s">
        <v>108</v>
      </c>
      <c r="D161" t="s">
        <v>281</v>
      </c>
      <c r="E161">
        <v>9.0120260117931007E+47</v>
      </c>
      <c r="F161" s="3">
        <v>46031.640949074077</v>
      </c>
      <c r="G161" s="1">
        <v>46031</v>
      </c>
      <c r="H161">
        <v>1891712215001</v>
      </c>
      <c r="I161">
        <v>171.22</v>
      </c>
      <c r="J161">
        <v>25.68</v>
      </c>
      <c r="K161">
        <v>196.9</v>
      </c>
    </row>
    <row r="162" spans="1:11" x14ac:dyDescent="0.25">
      <c r="A162">
        <v>1790283380001</v>
      </c>
      <c r="B162" t="s">
        <v>107</v>
      </c>
      <c r="C162" t="s">
        <v>108</v>
      </c>
      <c r="D162" t="s">
        <v>282</v>
      </c>
      <c r="E162">
        <v>9.0120260117902806E+47</v>
      </c>
      <c r="F162" s="3">
        <v>46031.389988425923</v>
      </c>
      <c r="G162" s="1">
        <v>46031</v>
      </c>
      <c r="H162">
        <v>1891712215001</v>
      </c>
      <c r="I162">
        <v>8.1999999999999993</v>
      </c>
      <c r="J162">
        <v>1.23</v>
      </c>
      <c r="K162">
        <v>9.43</v>
      </c>
    </row>
    <row r="163" spans="1:11" x14ac:dyDescent="0.25">
      <c r="A163">
        <v>1793107958001</v>
      </c>
      <c r="B163" t="s">
        <v>43</v>
      </c>
      <c r="C163" t="s">
        <v>108</v>
      </c>
      <c r="D163" t="s">
        <v>283</v>
      </c>
      <c r="E163">
        <v>9.0120260117931007E+47</v>
      </c>
      <c r="F163" s="3">
        <v>46031.791747685187</v>
      </c>
      <c r="G163" s="1">
        <v>46031</v>
      </c>
      <c r="H163">
        <v>1891712215001</v>
      </c>
      <c r="I163">
        <v>247.2</v>
      </c>
      <c r="J163">
        <v>37.08</v>
      </c>
      <c r="K163">
        <v>284.27999999999997</v>
      </c>
    </row>
    <row r="164" spans="1:11" x14ac:dyDescent="0.25">
      <c r="A164">
        <v>1793162797001</v>
      </c>
      <c r="B164" t="s">
        <v>46</v>
      </c>
      <c r="C164" t="s">
        <v>108</v>
      </c>
      <c r="D164" t="s">
        <v>284</v>
      </c>
      <c r="E164">
        <v>9.0120260117931607E+47</v>
      </c>
      <c r="F164" s="3">
        <v>46031.792696759258</v>
      </c>
      <c r="G164" s="1">
        <v>46031</v>
      </c>
      <c r="H164">
        <v>1891712215001</v>
      </c>
      <c r="I164">
        <v>201.17</v>
      </c>
      <c r="J164">
        <v>30.18</v>
      </c>
      <c r="K164">
        <v>231.35</v>
      </c>
    </row>
    <row r="165" spans="1:11" x14ac:dyDescent="0.25">
      <c r="A165">
        <v>1790009459001</v>
      </c>
      <c r="B165" t="s">
        <v>136</v>
      </c>
      <c r="C165" t="s">
        <v>108</v>
      </c>
      <c r="D165" t="s">
        <v>285</v>
      </c>
      <c r="E165">
        <v>9.0120260117899999E+47</v>
      </c>
      <c r="F165" s="3">
        <v>46031.750763888886</v>
      </c>
      <c r="G165" s="1">
        <v>46031</v>
      </c>
      <c r="H165">
        <v>1891712215001</v>
      </c>
      <c r="I165">
        <v>960.8</v>
      </c>
      <c r="J165">
        <v>144.12</v>
      </c>
      <c r="K165">
        <v>1104.92</v>
      </c>
    </row>
    <row r="166" spans="1:11" x14ac:dyDescent="0.25">
      <c r="A166">
        <v>1793169171001</v>
      </c>
      <c r="B166" t="s">
        <v>47</v>
      </c>
      <c r="C166" t="s">
        <v>108</v>
      </c>
      <c r="D166" t="s">
        <v>286</v>
      </c>
      <c r="E166">
        <v>9.0120260117931607E+47</v>
      </c>
      <c r="F166" s="3">
        <v>46031.38422453704</v>
      </c>
      <c r="G166" s="1">
        <v>46031</v>
      </c>
      <c r="H166">
        <v>1891712215001</v>
      </c>
      <c r="I166">
        <v>1604.29</v>
      </c>
      <c r="J166">
        <v>240.64</v>
      </c>
      <c r="K166">
        <v>1844.93</v>
      </c>
    </row>
    <row r="167" spans="1:11" x14ac:dyDescent="0.25">
      <c r="A167">
        <v>604599126001</v>
      </c>
      <c r="B167" t="s">
        <v>23</v>
      </c>
      <c r="C167" t="s">
        <v>108</v>
      </c>
      <c r="D167" t="s">
        <v>287</v>
      </c>
      <c r="E167">
        <v>9.0120260106045905E+47</v>
      </c>
      <c r="F167" s="3">
        <v>46031.375011574077</v>
      </c>
      <c r="G167" s="1">
        <v>46031</v>
      </c>
      <c r="H167">
        <v>1891712215001</v>
      </c>
      <c r="I167">
        <v>17.87</v>
      </c>
      <c r="J167">
        <v>2.68</v>
      </c>
      <c r="K167">
        <v>20.55</v>
      </c>
    </row>
    <row r="168" spans="1:11" x14ac:dyDescent="0.25">
      <c r="A168">
        <v>990049459001</v>
      </c>
      <c r="B168" t="s">
        <v>149</v>
      </c>
      <c r="C168" t="s">
        <v>108</v>
      </c>
      <c r="D168" t="s">
        <v>288</v>
      </c>
      <c r="E168">
        <v>9.0120260109900406E+47</v>
      </c>
      <c r="F168" s="3">
        <v>46034.551377314812</v>
      </c>
      <c r="G168" s="1">
        <v>46031</v>
      </c>
      <c r="H168">
        <v>1891712215001</v>
      </c>
      <c r="I168">
        <v>7.33</v>
      </c>
      <c r="J168">
        <v>1.1000000000000001</v>
      </c>
      <c r="K168">
        <v>8.43</v>
      </c>
    </row>
    <row r="169" spans="1:11" x14ac:dyDescent="0.25">
      <c r="A169">
        <v>1790009459001</v>
      </c>
      <c r="B169" t="s">
        <v>136</v>
      </c>
      <c r="C169" t="s">
        <v>108</v>
      </c>
      <c r="D169" t="s">
        <v>289</v>
      </c>
      <c r="E169">
        <v>9.0120260117899999E+47</v>
      </c>
      <c r="F169" s="3">
        <v>46031.615787037037</v>
      </c>
      <c r="G169" s="1">
        <v>46031</v>
      </c>
      <c r="H169">
        <v>1891712215001</v>
      </c>
      <c r="I169">
        <v>3048.24</v>
      </c>
      <c r="J169">
        <v>457.24</v>
      </c>
      <c r="K169">
        <v>3505.48</v>
      </c>
    </row>
    <row r="170" spans="1:11" x14ac:dyDescent="0.25">
      <c r="A170">
        <v>1802740876001</v>
      </c>
      <c r="B170" t="s">
        <v>59</v>
      </c>
      <c r="C170" t="s">
        <v>108</v>
      </c>
      <c r="D170" t="s">
        <v>290</v>
      </c>
      <c r="E170">
        <v>9.0120260118027405E+47</v>
      </c>
      <c r="F170" s="3">
        <v>46031.60732638889</v>
      </c>
      <c r="G170" s="1">
        <v>46031</v>
      </c>
      <c r="H170">
        <v>1891712215001</v>
      </c>
      <c r="I170">
        <v>60</v>
      </c>
      <c r="J170">
        <v>0</v>
      </c>
      <c r="K170">
        <v>60</v>
      </c>
    </row>
    <row r="171" spans="1:11" x14ac:dyDescent="0.25">
      <c r="A171">
        <v>1801880574001</v>
      </c>
      <c r="B171" t="s">
        <v>55</v>
      </c>
      <c r="C171" t="s">
        <v>108</v>
      </c>
      <c r="D171" t="s">
        <v>291</v>
      </c>
      <c r="E171">
        <v>9.0120260118018806E+47</v>
      </c>
      <c r="F171" s="3">
        <v>46031.668865740743</v>
      </c>
      <c r="G171" s="1">
        <v>46031</v>
      </c>
      <c r="H171">
        <v>1891712215001</v>
      </c>
      <c r="I171">
        <v>5</v>
      </c>
      <c r="J171">
        <v>0.75</v>
      </c>
      <c r="K171">
        <v>5.75</v>
      </c>
    </row>
    <row r="172" spans="1:11" x14ac:dyDescent="0.25">
      <c r="A172">
        <v>1793107958001</v>
      </c>
      <c r="B172" t="s">
        <v>43</v>
      </c>
      <c r="C172" t="s">
        <v>108</v>
      </c>
      <c r="D172" t="s">
        <v>292</v>
      </c>
      <c r="E172">
        <v>9.0120260117931007E+47</v>
      </c>
      <c r="F172" s="3">
        <v>46031.625115740739</v>
      </c>
      <c r="G172" s="1">
        <v>46031</v>
      </c>
      <c r="H172">
        <v>1891712215001</v>
      </c>
      <c r="I172">
        <v>88.87</v>
      </c>
      <c r="J172">
        <v>13.33</v>
      </c>
      <c r="K172">
        <v>102.2</v>
      </c>
    </row>
    <row r="173" spans="1:11" x14ac:dyDescent="0.25">
      <c r="A173">
        <v>1802565182001</v>
      </c>
      <c r="B173" t="s">
        <v>56</v>
      </c>
      <c r="C173" t="s">
        <v>108</v>
      </c>
      <c r="D173" t="s">
        <v>293</v>
      </c>
      <c r="E173">
        <v>9.0120260118025604E+47</v>
      </c>
      <c r="F173" s="3">
        <v>46031.421631944446</v>
      </c>
      <c r="G173" s="1">
        <v>46031</v>
      </c>
      <c r="H173">
        <v>1891712215001</v>
      </c>
      <c r="I173">
        <v>6</v>
      </c>
      <c r="J173">
        <v>0.9</v>
      </c>
      <c r="K173">
        <v>6.9</v>
      </c>
    </row>
    <row r="174" spans="1:11" x14ac:dyDescent="0.25">
      <c r="A174">
        <v>1790283380001</v>
      </c>
      <c r="B174" t="s">
        <v>107</v>
      </c>
      <c r="C174" t="s">
        <v>108</v>
      </c>
      <c r="D174" t="s">
        <v>294</v>
      </c>
      <c r="E174">
        <v>9.0120260117902806E+47</v>
      </c>
      <c r="F174" s="3">
        <v>46031.409039351849</v>
      </c>
      <c r="G174" s="1">
        <v>46031</v>
      </c>
      <c r="H174">
        <v>1891712215001</v>
      </c>
      <c r="I174">
        <v>18.39</v>
      </c>
      <c r="J174">
        <v>2.76</v>
      </c>
      <c r="K174">
        <v>21.15</v>
      </c>
    </row>
    <row r="175" spans="1:11" x14ac:dyDescent="0.25">
      <c r="A175">
        <v>1793162797001</v>
      </c>
      <c r="B175" t="s">
        <v>46</v>
      </c>
      <c r="C175" t="s">
        <v>108</v>
      </c>
      <c r="D175" t="s">
        <v>295</v>
      </c>
      <c r="E175">
        <v>9.0120260117931607E+47</v>
      </c>
      <c r="F175" s="3">
        <v>46031.548819444448</v>
      </c>
      <c r="G175" s="1">
        <v>46031</v>
      </c>
      <c r="H175">
        <v>1891712215001</v>
      </c>
      <c r="I175">
        <v>207.11</v>
      </c>
      <c r="J175">
        <v>31.07</v>
      </c>
      <c r="K175">
        <v>238.18</v>
      </c>
    </row>
    <row r="176" spans="1:11" x14ac:dyDescent="0.25">
      <c r="A176">
        <v>1801880574001</v>
      </c>
      <c r="B176" t="s">
        <v>55</v>
      </c>
      <c r="C176" t="s">
        <v>108</v>
      </c>
      <c r="D176" t="s">
        <v>296</v>
      </c>
      <c r="E176">
        <v>9.0120260118018806E+47</v>
      </c>
      <c r="F176" s="3">
        <v>46031.455555555556</v>
      </c>
      <c r="G176" s="1">
        <v>46031</v>
      </c>
      <c r="H176">
        <v>1891712215001</v>
      </c>
      <c r="I176">
        <v>34</v>
      </c>
      <c r="J176">
        <v>5.0999999999999996</v>
      </c>
      <c r="K176">
        <v>39.1</v>
      </c>
    </row>
    <row r="177" spans="1:11" x14ac:dyDescent="0.25">
      <c r="A177">
        <v>1793107958001</v>
      </c>
      <c r="B177" t="s">
        <v>43</v>
      </c>
      <c r="C177" t="s">
        <v>108</v>
      </c>
      <c r="D177" t="s">
        <v>297</v>
      </c>
      <c r="E177">
        <v>9.0120260117931007E+47</v>
      </c>
      <c r="F177" s="3">
        <v>46031.458379629628</v>
      </c>
      <c r="G177" s="1">
        <v>46031</v>
      </c>
      <c r="H177">
        <v>1891712215001</v>
      </c>
      <c r="I177">
        <v>37.799999999999997</v>
      </c>
      <c r="J177">
        <v>5.67</v>
      </c>
      <c r="K177">
        <v>43.47</v>
      </c>
    </row>
    <row r="178" spans="1:11" x14ac:dyDescent="0.25">
      <c r="A178">
        <v>1802565182001</v>
      </c>
      <c r="B178" t="s">
        <v>56</v>
      </c>
      <c r="C178" t="s">
        <v>108</v>
      </c>
      <c r="D178" t="s">
        <v>298</v>
      </c>
      <c r="E178">
        <v>9.0120260118025604E+47</v>
      </c>
      <c r="F178" s="3">
        <v>46031.713738425926</v>
      </c>
      <c r="G178" s="1">
        <v>46031</v>
      </c>
      <c r="H178">
        <v>1891712215001</v>
      </c>
      <c r="I178">
        <v>10</v>
      </c>
      <c r="J178">
        <v>1.5</v>
      </c>
      <c r="K178">
        <v>11.5</v>
      </c>
    </row>
    <row r="179" spans="1:11" x14ac:dyDescent="0.25">
      <c r="A179">
        <v>1891752098001</v>
      </c>
      <c r="B179" t="s">
        <v>89</v>
      </c>
      <c r="C179" t="s">
        <v>108</v>
      </c>
      <c r="D179" t="s">
        <v>299</v>
      </c>
      <c r="E179">
        <v>9.0120260118917495E+47</v>
      </c>
      <c r="F179" s="3">
        <v>46031.397037037037</v>
      </c>
      <c r="G179" s="1">
        <v>46031</v>
      </c>
      <c r="H179">
        <v>1891712215001</v>
      </c>
      <c r="I179">
        <v>90.08</v>
      </c>
      <c r="J179">
        <v>13.51</v>
      </c>
      <c r="K179">
        <v>103.59</v>
      </c>
    </row>
    <row r="180" spans="1:11" x14ac:dyDescent="0.25">
      <c r="A180">
        <v>1790283380001</v>
      </c>
      <c r="B180" t="s">
        <v>107</v>
      </c>
      <c r="C180" t="s">
        <v>108</v>
      </c>
      <c r="D180" t="s">
        <v>300</v>
      </c>
      <c r="E180">
        <v>9.0120260117902806E+47</v>
      </c>
      <c r="F180" s="3">
        <v>46031.393437500003</v>
      </c>
      <c r="G180" s="1">
        <v>46031</v>
      </c>
      <c r="H180">
        <v>1891712215001</v>
      </c>
      <c r="I180">
        <v>14.96</v>
      </c>
      <c r="J180">
        <v>2.2400000000000002</v>
      </c>
      <c r="K180">
        <v>17.2</v>
      </c>
    </row>
    <row r="181" spans="1:11" x14ac:dyDescent="0.25">
      <c r="A181">
        <v>1801880574001</v>
      </c>
      <c r="B181" t="s">
        <v>55</v>
      </c>
      <c r="C181" t="s">
        <v>108</v>
      </c>
      <c r="D181" t="s">
        <v>301</v>
      </c>
      <c r="E181">
        <v>9.0120260118018806E+47</v>
      </c>
      <c r="F181" s="3">
        <v>46031.359293981484</v>
      </c>
      <c r="G181" s="1">
        <v>46031</v>
      </c>
      <c r="H181">
        <v>1891712215001</v>
      </c>
      <c r="I181">
        <v>20</v>
      </c>
      <c r="J181">
        <v>3</v>
      </c>
      <c r="K181">
        <v>23</v>
      </c>
    </row>
    <row r="182" spans="1:11" x14ac:dyDescent="0.25">
      <c r="A182">
        <v>1802565182001</v>
      </c>
      <c r="B182" t="s">
        <v>56</v>
      </c>
      <c r="C182" t="s">
        <v>108</v>
      </c>
      <c r="D182" t="s">
        <v>302</v>
      </c>
      <c r="E182">
        <v>9.0120260118025604E+47</v>
      </c>
      <c r="F182" s="3">
        <v>46031.420358796298</v>
      </c>
      <c r="G182" s="1">
        <v>46031</v>
      </c>
      <c r="H182">
        <v>1891712215001</v>
      </c>
      <c r="I182">
        <v>10</v>
      </c>
      <c r="J182">
        <v>1.5</v>
      </c>
      <c r="K182">
        <v>11.5</v>
      </c>
    </row>
    <row r="183" spans="1:11" x14ac:dyDescent="0.25">
      <c r="A183">
        <v>1802565182001</v>
      </c>
      <c r="B183" t="s">
        <v>56</v>
      </c>
      <c r="C183" t="s">
        <v>108</v>
      </c>
      <c r="D183" t="s">
        <v>303</v>
      </c>
      <c r="E183">
        <v>9.0120260118025604E+47</v>
      </c>
      <c r="F183" s="3">
        <v>46031.416886574072</v>
      </c>
      <c r="G183" s="1">
        <v>46031</v>
      </c>
      <c r="H183">
        <v>1891712215001</v>
      </c>
      <c r="I183">
        <v>10</v>
      </c>
      <c r="J183">
        <v>1.5</v>
      </c>
      <c r="K183">
        <v>11.5</v>
      </c>
    </row>
    <row r="184" spans="1:11" x14ac:dyDescent="0.25">
      <c r="A184">
        <v>1801880574001</v>
      </c>
      <c r="B184" t="s">
        <v>55</v>
      </c>
      <c r="C184" t="s">
        <v>108</v>
      </c>
      <c r="D184" t="s">
        <v>304</v>
      </c>
      <c r="E184">
        <v>1.00120260118018E+48</v>
      </c>
      <c r="F184" s="3">
        <v>46032.423298611109</v>
      </c>
      <c r="G184" s="1">
        <v>46032</v>
      </c>
      <c r="H184">
        <v>1891712215001</v>
      </c>
      <c r="I184">
        <v>20</v>
      </c>
      <c r="J184">
        <v>3</v>
      </c>
      <c r="K184">
        <v>23</v>
      </c>
    </row>
    <row r="185" spans="1:11" x14ac:dyDescent="0.25">
      <c r="A185">
        <v>1790283380001</v>
      </c>
      <c r="B185" t="s">
        <v>107</v>
      </c>
      <c r="C185" t="s">
        <v>108</v>
      </c>
      <c r="D185" t="s">
        <v>305</v>
      </c>
      <c r="E185">
        <v>1.00120260117902E+48</v>
      </c>
      <c r="F185" s="3">
        <v>46032.481354166666</v>
      </c>
      <c r="G185" s="1">
        <v>46032</v>
      </c>
      <c r="H185">
        <v>1891712215001</v>
      </c>
      <c r="I185">
        <v>35.5</v>
      </c>
      <c r="J185">
        <v>5.32</v>
      </c>
      <c r="K185">
        <v>40.82</v>
      </c>
    </row>
    <row r="186" spans="1:11" x14ac:dyDescent="0.25">
      <c r="A186">
        <v>1791251237001</v>
      </c>
      <c r="B186" t="s">
        <v>306</v>
      </c>
      <c r="C186" t="s">
        <v>108</v>
      </c>
      <c r="D186" t="s">
        <v>307</v>
      </c>
      <c r="E186">
        <v>1.00120260117912E+48</v>
      </c>
      <c r="F186" s="3">
        <v>46032.797349537039</v>
      </c>
      <c r="G186" s="1">
        <v>46032</v>
      </c>
      <c r="H186">
        <v>1891712215001</v>
      </c>
      <c r="I186">
        <v>40.99</v>
      </c>
      <c r="J186">
        <v>6.15</v>
      </c>
      <c r="K186">
        <v>47.14</v>
      </c>
    </row>
    <row r="187" spans="1:11" x14ac:dyDescent="0.25">
      <c r="A187">
        <v>1801880574001</v>
      </c>
      <c r="B187" t="s">
        <v>55</v>
      </c>
      <c r="C187" t="s">
        <v>108</v>
      </c>
      <c r="D187" t="s">
        <v>308</v>
      </c>
      <c r="E187">
        <v>1.00120260118018E+48</v>
      </c>
      <c r="F187" s="3">
        <v>46032.466226851851</v>
      </c>
      <c r="G187" s="1">
        <v>46032</v>
      </c>
      <c r="H187">
        <v>1891712215001</v>
      </c>
      <c r="I187">
        <v>20</v>
      </c>
      <c r="J187">
        <v>3</v>
      </c>
      <c r="K187">
        <v>23</v>
      </c>
    </row>
    <row r="188" spans="1:11" x14ac:dyDescent="0.25">
      <c r="A188">
        <v>1790283380001</v>
      </c>
      <c r="B188" t="s">
        <v>107</v>
      </c>
      <c r="C188" t="s">
        <v>108</v>
      </c>
      <c r="D188" t="s">
        <v>309</v>
      </c>
      <c r="E188">
        <v>1.00120260117902E+48</v>
      </c>
      <c r="F188" s="3">
        <v>46032.476886574077</v>
      </c>
      <c r="G188" s="1">
        <v>46032</v>
      </c>
      <c r="H188">
        <v>1891712215001</v>
      </c>
      <c r="I188">
        <v>8.7799999999999994</v>
      </c>
      <c r="J188">
        <v>1.32</v>
      </c>
      <c r="K188">
        <v>10.1</v>
      </c>
    </row>
    <row r="189" spans="1:11" x14ac:dyDescent="0.25">
      <c r="A189">
        <v>1802565182001</v>
      </c>
      <c r="B189" t="s">
        <v>56</v>
      </c>
      <c r="C189" t="s">
        <v>108</v>
      </c>
      <c r="D189" t="s">
        <v>310</v>
      </c>
      <c r="E189">
        <v>1.00120260118025E+48</v>
      </c>
      <c r="F189" s="3">
        <v>46032.409236111111</v>
      </c>
      <c r="G189" s="1">
        <v>46032</v>
      </c>
      <c r="H189">
        <v>1891712215001</v>
      </c>
      <c r="I189">
        <v>10</v>
      </c>
      <c r="J189">
        <v>1.5</v>
      </c>
      <c r="K189">
        <v>11.5</v>
      </c>
    </row>
    <row r="190" spans="1:11" x14ac:dyDescent="0.25">
      <c r="A190">
        <v>1802565182001</v>
      </c>
      <c r="B190" t="s">
        <v>56</v>
      </c>
      <c r="C190" t="s">
        <v>108</v>
      </c>
      <c r="D190" t="s">
        <v>311</v>
      </c>
      <c r="E190">
        <v>1.00120260118025E+48</v>
      </c>
      <c r="F190" s="3">
        <v>46032.412777777776</v>
      </c>
      <c r="G190" s="1">
        <v>46032</v>
      </c>
      <c r="H190">
        <v>1891712215001</v>
      </c>
      <c r="I190">
        <v>6</v>
      </c>
      <c r="J190">
        <v>0.9</v>
      </c>
      <c r="K190">
        <v>6.9</v>
      </c>
    </row>
    <row r="191" spans="1:11" x14ac:dyDescent="0.25">
      <c r="A191">
        <v>1801880574001</v>
      </c>
      <c r="B191" t="s">
        <v>55</v>
      </c>
      <c r="C191" t="s">
        <v>108</v>
      </c>
      <c r="D191" t="s">
        <v>312</v>
      </c>
      <c r="E191">
        <v>1.20120260118018E+48</v>
      </c>
      <c r="F191" s="3">
        <v>46034.612256944441</v>
      </c>
      <c r="G191" s="1">
        <v>46034</v>
      </c>
      <c r="H191">
        <v>1891712215001</v>
      </c>
      <c r="I191">
        <v>20</v>
      </c>
      <c r="J191">
        <v>3</v>
      </c>
      <c r="K191">
        <v>23</v>
      </c>
    </row>
    <row r="192" spans="1:11" x14ac:dyDescent="0.25">
      <c r="A192">
        <v>1802565182001</v>
      </c>
      <c r="B192" t="s">
        <v>56</v>
      </c>
      <c r="C192" t="s">
        <v>108</v>
      </c>
      <c r="D192" t="s">
        <v>313</v>
      </c>
      <c r="E192">
        <v>1.20120260118025E+48</v>
      </c>
      <c r="F192" s="3">
        <v>46034.618969907409</v>
      </c>
      <c r="G192" s="1">
        <v>46034</v>
      </c>
      <c r="H192">
        <v>1891712215001</v>
      </c>
      <c r="I192">
        <v>10</v>
      </c>
      <c r="J192">
        <v>1.5</v>
      </c>
      <c r="K192">
        <v>11.5</v>
      </c>
    </row>
    <row r="193" spans="1:11" x14ac:dyDescent="0.25">
      <c r="A193">
        <v>1802565182001</v>
      </c>
      <c r="B193" t="s">
        <v>56</v>
      </c>
      <c r="C193" t="s">
        <v>108</v>
      </c>
      <c r="D193" t="s">
        <v>314</v>
      </c>
      <c r="E193">
        <v>1.20120260118025E+48</v>
      </c>
      <c r="F193" s="3">
        <v>46034.618090277778</v>
      </c>
      <c r="G193" s="1">
        <v>46034</v>
      </c>
      <c r="H193">
        <v>1891712215001</v>
      </c>
      <c r="I193">
        <v>10</v>
      </c>
      <c r="J193">
        <v>1.5</v>
      </c>
      <c r="K193">
        <v>11.5</v>
      </c>
    </row>
    <row r="194" spans="1:11" x14ac:dyDescent="0.25">
      <c r="A194">
        <v>1801880574001</v>
      </c>
      <c r="B194" t="s">
        <v>55</v>
      </c>
      <c r="C194" t="s">
        <v>108</v>
      </c>
      <c r="D194" t="s">
        <v>315</v>
      </c>
      <c r="E194">
        <v>1.20120260118018E+48</v>
      </c>
      <c r="F194" s="3">
        <v>46034.611122685186</v>
      </c>
      <c r="G194" s="1">
        <v>46034</v>
      </c>
      <c r="H194">
        <v>1891712215001</v>
      </c>
      <c r="I194">
        <v>20</v>
      </c>
      <c r="J194">
        <v>3</v>
      </c>
      <c r="K194">
        <v>23</v>
      </c>
    </row>
    <row r="195" spans="1:11" x14ac:dyDescent="0.25">
      <c r="A195">
        <v>1790009459001</v>
      </c>
      <c r="B195" t="s">
        <v>136</v>
      </c>
      <c r="C195" t="s">
        <v>108</v>
      </c>
      <c r="D195" t="s">
        <v>316</v>
      </c>
      <c r="E195">
        <v>1.2012026011789999E+48</v>
      </c>
      <c r="F195" s="3">
        <v>46034.750509259262</v>
      </c>
      <c r="G195" s="1">
        <v>46034</v>
      </c>
      <c r="H195">
        <v>1891712215001</v>
      </c>
      <c r="I195">
        <v>2799.98</v>
      </c>
      <c r="J195">
        <v>420</v>
      </c>
      <c r="K195">
        <v>3219.98</v>
      </c>
    </row>
    <row r="196" spans="1:11" x14ac:dyDescent="0.25">
      <c r="A196">
        <v>1802565182001</v>
      </c>
      <c r="B196" t="s">
        <v>56</v>
      </c>
      <c r="C196" t="s">
        <v>108</v>
      </c>
      <c r="D196" t="s">
        <v>317</v>
      </c>
      <c r="E196">
        <v>1.20120260118025E+48</v>
      </c>
      <c r="F196" s="3">
        <v>46034.567187499997</v>
      </c>
      <c r="G196" s="1">
        <v>46034</v>
      </c>
      <c r="H196">
        <v>1891712215001</v>
      </c>
      <c r="I196">
        <v>6</v>
      </c>
      <c r="J196">
        <v>0.9</v>
      </c>
      <c r="K196">
        <v>6.9</v>
      </c>
    </row>
    <row r="197" spans="1:11" x14ac:dyDescent="0.25">
      <c r="A197">
        <v>1802565182001</v>
      </c>
      <c r="B197" t="s">
        <v>56</v>
      </c>
      <c r="C197" t="s">
        <v>108</v>
      </c>
      <c r="D197" t="s">
        <v>318</v>
      </c>
      <c r="E197">
        <v>1.20120260118025E+48</v>
      </c>
      <c r="F197" s="3">
        <v>46034.566736111112</v>
      </c>
      <c r="G197" s="1">
        <v>46034</v>
      </c>
      <c r="H197">
        <v>1891712215001</v>
      </c>
      <c r="I197">
        <v>6</v>
      </c>
      <c r="J197">
        <v>0.9</v>
      </c>
      <c r="K197">
        <v>6.9</v>
      </c>
    </row>
    <row r="198" spans="1:11" x14ac:dyDescent="0.25">
      <c r="A198">
        <v>990049459001</v>
      </c>
      <c r="B198" t="s">
        <v>149</v>
      </c>
      <c r="C198" t="s">
        <v>108</v>
      </c>
      <c r="D198" t="s">
        <v>319</v>
      </c>
      <c r="E198">
        <v>1.2012026010989999E+48</v>
      </c>
      <c r="F198" s="3">
        <v>46035.635150462964</v>
      </c>
      <c r="G198" s="1">
        <v>46034</v>
      </c>
      <c r="H198">
        <v>1891712215001</v>
      </c>
      <c r="I198">
        <v>2.94</v>
      </c>
      <c r="J198">
        <v>0.44</v>
      </c>
      <c r="K198">
        <v>3.38</v>
      </c>
    </row>
    <row r="199" spans="1:11" x14ac:dyDescent="0.25">
      <c r="A199">
        <v>1793107958001</v>
      </c>
      <c r="B199" t="s">
        <v>43</v>
      </c>
      <c r="C199" t="s">
        <v>108</v>
      </c>
      <c r="D199" t="s">
        <v>320</v>
      </c>
      <c r="E199">
        <v>1.20120260117931E+48</v>
      </c>
      <c r="F199" s="3">
        <v>46034.625011574077</v>
      </c>
      <c r="G199" s="1">
        <v>46034</v>
      </c>
      <c r="H199">
        <v>1891712215001</v>
      </c>
      <c r="I199">
        <v>67.98</v>
      </c>
      <c r="J199">
        <v>10.199999999999999</v>
      </c>
      <c r="K199">
        <v>78.180000000000007</v>
      </c>
    </row>
    <row r="200" spans="1:11" x14ac:dyDescent="0.25">
      <c r="A200">
        <v>1793107958001</v>
      </c>
      <c r="B200" t="s">
        <v>43</v>
      </c>
      <c r="C200" t="s">
        <v>108</v>
      </c>
      <c r="D200" t="s">
        <v>321</v>
      </c>
      <c r="E200">
        <v>1.20120260117931E+48</v>
      </c>
      <c r="F200" s="3">
        <v>46034.625196759262</v>
      </c>
      <c r="G200" s="1">
        <v>46034</v>
      </c>
      <c r="H200">
        <v>1891712215001</v>
      </c>
      <c r="I200">
        <v>405.77</v>
      </c>
      <c r="J200">
        <v>60.87</v>
      </c>
      <c r="K200">
        <v>466.64</v>
      </c>
    </row>
    <row r="201" spans="1:11" x14ac:dyDescent="0.25">
      <c r="A201">
        <v>990049459001</v>
      </c>
      <c r="B201" t="s">
        <v>149</v>
      </c>
      <c r="C201" t="s">
        <v>108</v>
      </c>
      <c r="D201" t="s">
        <v>322</v>
      </c>
      <c r="E201">
        <v>1.2012026010989999E+48</v>
      </c>
      <c r="F201" s="3">
        <v>46035.633935185186</v>
      </c>
      <c r="G201" s="1">
        <v>46034</v>
      </c>
      <c r="H201">
        <v>1891712215001</v>
      </c>
      <c r="I201">
        <v>42.3</v>
      </c>
      <c r="J201">
        <v>6.35</v>
      </c>
      <c r="K201">
        <v>48.65</v>
      </c>
    </row>
    <row r="202" spans="1:11" x14ac:dyDescent="0.25">
      <c r="A202">
        <v>1793107958001</v>
      </c>
      <c r="B202" t="s">
        <v>43</v>
      </c>
      <c r="C202" t="s">
        <v>108</v>
      </c>
      <c r="D202" t="s">
        <v>323</v>
      </c>
      <c r="E202">
        <v>1.20120260117931E+48</v>
      </c>
      <c r="F202" s="3">
        <v>46034.512743055559</v>
      </c>
      <c r="G202" s="1">
        <v>46034</v>
      </c>
      <c r="H202">
        <v>1891712215001</v>
      </c>
      <c r="I202">
        <v>960.96</v>
      </c>
      <c r="J202">
        <v>144.13999999999999</v>
      </c>
      <c r="K202">
        <v>1105.0999999999999</v>
      </c>
    </row>
    <row r="203" spans="1:11" x14ac:dyDescent="0.25">
      <c r="A203">
        <v>1793162797001</v>
      </c>
      <c r="B203" t="s">
        <v>46</v>
      </c>
      <c r="C203" t="s">
        <v>108</v>
      </c>
      <c r="D203" t="s">
        <v>324</v>
      </c>
      <c r="E203">
        <v>1.20120260117931E+48</v>
      </c>
      <c r="F203" s="3">
        <v>46034.54314814815</v>
      </c>
      <c r="G203" s="1">
        <v>46034</v>
      </c>
      <c r="H203">
        <v>1891712215001</v>
      </c>
      <c r="I203">
        <v>102.06</v>
      </c>
      <c r="J203">
        <v>15.31</v>
      </c>
      <c r="K203">
        <v>117.37</v>
      </c>
    </row>
    <row r="204" spans="1:11" x14ac:dyDescent="0.25">
      <c r="A204">
        <v>1801880574001</v>
      </c>
      <c r="B204" t="s">
        <v>55</v>
      </c>
      <c r="C204" t="s">
        <v>108</v>
      </c>
      <c r="D204" t="s">
        <v>325</v>
      </c>
      <c r="E204">
        <v>1.20120260118018E+48</v>
      </c>
      <c r="F204" s="3">
        <v>46034.431041666663</v>
      </c>
      <c r="G204" s="1">
        <v>46034</v>
      </c>
      <c r="H204">
        <v>1891712215001</v>
      </c>
      <c r="I204">
        <v>15</v>
      </c>
      <c r="J204">
        <v>2.25</v>
      </c>
      <c r="K204">
        <v>17.25</v>
      </c>
    </row>
    <row r="205" spans="1:11" x14ac:dyDescent="0.25">
      <c r="A205">
        <v>1802565182001</v>
      </c>
      <c r="B205" t="s">
        <v>56</v>
      </c>
      <c r="C205" t="s">
        <v>108</v>
      </c>
      <c r="D205" t="s">
        <v>326</v>
      </c>
      <c r="E205">
        <v>1.20120260118025E+48</v>
      </c>
      <c r="F205" s="3">
        <v>46034.437106481484</v>
      </c>
      <c r="G205" s="1">
        <v>46034</v>
      </c>
      <c r="H205">
        <v>1891712215001</v>
      </c>
      <c r="I205">
        <v>10</v>
      </c>
      <c r="J205">
        <v>1.5</v>
      </c>
      <c r="K205">
        <v>11.5</v>
      </c>
    </row>
    <row r="206" spans="1:11" x14ac:dyDescent="0.25">
      <c r="A206">
        <v>1802565182001</v>
      </c>
      <c r="B206" t="s">
        <v>56</v>
      </c>
      <c r="C206" t="s">
        <v>108</v>
      </c>
      <c r="D206" t="s">
        <v>327</v>
      </c>
      <c r="E206">
        <v>1.20120260118025E+48</v>
      </c>
      <c r="F206" s="3">
        <v>46034.437893518516</v>
      </c>
      <c r="G206" s="1">
        <v>46034</v>
      </c>
      <c r="H206">
        <v>1891712215001</v>
      </c>
      <c r="I206">
        <v>6</v>
      </c>
      <c r="J206">
        <v>0.9</v>
      </c>
      <c r="K206">
        <v>6.9</v>
      </c>
    </row>
    <row r="207" spans="1:11" x14ac:dyDescent="0.25">
      <c r="A207">
        <v>1802565182001</v>
      </c>
      <c r="B207" t="s">
        <v>56</v>
      </c>
      <c r="C207" t="s">
        <v>108</v>
      </c>
      <c r="D207" t="s">
        <v>328</v>
      </c>
      <c r="E207">
        <v>1.20120260118025E+48</v>
      </c>
      <c r="F207" s="3">
        <v>46034.437488425923</v>
      </c>
      <c r="G207" s="1">
        <v>46034</v>
      </c>
      <c r="H207">
        <v>1891712215001</v>
      </c>
      <c r="I207">
        <v>6</v>
      </c>
      <c r="J207">
        <v>0.9</v>
      </c>
      <c r="K207">
        <v>6.9</v>
      </c>
    </row>
    <row r="208" spans="1:11" x14ac:dyDescent="0.25">
      <c r="A208">
        <v>1801880574001</v>
      </c>
      <c r="B208" t="s">
        <v>55</v>
      </c>
      <c r="C208" t="s">
        <v>108</v>
      </c>
      <c r="D208" t="s">
        <v>329</v>
      </c>
      <c r="E208">
        <v>1.20120260118018E+48</v>
      </c>
      <c r="F208" s="3">
        <v>46034.451631944445</v>
      </c>
      <c r="G208" s="1">
        <v>46034</v>
      </c>
      <c r="H208">
        <v>1891712215001</v>
      </c>
      <c r="I208">
        <v>20</v>
      </c>
      <c r="J208">
        <v>3</v>
      </c>
      <c r="K208">
        <v>23</v>
      </c>
    </row>
    <row r="209" spans="1:11" x14ac:dyDescent="0.25">
      <c r="A209">
        <v>1801880574001</v>
      </c>
      <c r="B209" t="s">
        <v>55</v>
      </c>
      <c r="C209" t="s">
        <v>108</v>
      </c>
      <c r="D209" t="s">
        <v>330</v>
      </c>
      <c r="E209">
        <v>1.20120260118018E+48</v>
      </c>
      <c r="F209" s="3">
        <v>46034.519745370373</v>
      </c>
      <c r="G209" s="1">
        <v>46034</v>
      </c>
      <c r="H209">
        <v>1891712215001</v>
      </c>
      <c r="I209">
        <v>20</v>
      </c>
      <c r="J209">
        <v>3</v>
      </c>
      <c r="K209">
        <v>23</v>
      </c>
    </row>
    <row r="210" spans="1:11" x14ac:dyDescent="0.25">
      <c r="A210">
        <v>1801880574001</v>
      </c>
      <c r="B210" t="s">
        <v>55</v>
      </c>
      <c r="C210" t="s">
        <v>108</v>
      </c>
      <c r="D210" t="s">
        <v>331</v>
      </c>
      <c r="E210">
        <v>1.20120260118018E+48</v>
      </c>
      <c r="F210" s="3">
        <v>46034.520578703705</v>
      </c>
      <c r="G210" s="1">
        <v>46034</v>
      </c>
      <c r="H210">
        <v>1891712215001</v>
      </c>
      <c r="I210">
        <v>10</v>
      </c>
      <c r="J210">
        <v>1.5</v>
      </c>
      <c r="K210">
        <v>11.5</v>
      </c>
    </row>
    <row r="211" spans="1:11" x14ac:dyDescent="0.25">
      <c r="A211">
        <v>1791256115001</v>
      </c>
      <c r="B211" t="s">
        <v>35</v>
      </c>
      <c r="C211" t="s">
        <v>108</v>
      </c>
      <c r="D211" t="s">
        <v>332</v>
      </c>
      <c r="E211">
        <v>1.20120260117912E+48</v>
      </c>
      <c r="F211" s="3">
        <v>46034.308182870373</v>
      </c>
      <c r="G211" s="1">
        <v>46034</v>
      </c>
      <c r="H211">
        <v>1891712215001</v>
      </c>
      <c r="I211">
        <v>50</v>
      </c>
      <c r="J211">
        <v>7.5</v>
      </c>
      <c r="K211">
        <v>57.5</v>
      </c>
    </row>
    <row r="212" spans="1:11" x14ac:dyDescent="0.25">
      <c r="A212">
        <v>1890019184001</v>
      </c>
      <c r="B212" t="s">
        <v>333</v>
      </c>
      <c r="C212" t="s">
        <v>108</v>
      </c>
      <c r="D212" t="s">
        <v>334</v>
      </c>
      <c r="E212">
        <v>1.201202601189E+48</v>
      </c>
      <c r="F212" s="3">
        <v>46034.373032407406</v>
      </c>
      <c r="G212" s="1">
        <v>46034</v>
      </c>
      <c r="H212">
        <v>1891712215001</v>
      </c>
      <c r="I212">
        <v>333.91</v>
      </c>
      <c r="J212">
        <v>50.09</v>
      </c>
      <c r="K212">
        <v>384</v>
      </c>
    </row>
    <row r="213" spans="1:11" x14ac:dyDescent="0.25">
      <c r="A213">
        <v>1801880574001</v>
      </c>
      <c r="B213" t="s">
        <v>55</v>
      </c>
      <c r="C213" t="s">
        <v>108</v>
      </c>
      <c r="D213" t="s">
        <v>335</v>
      </c>
      <c r="E213">
        <v>1.20120260118018E+48</v>
      </c>
      <c r="F213" s="3">
        <v>46034.402465277781</v>
      </c>
      <c r="G213" s="1">
        <v>46034</v>
      </c>
      <c r="H213">
        <v>1891712215001</v>
      </c>
      <c r="I213">
        <v>20</v>
      </c>
      <c r="J213">
        <v>3</v>
      </c>
      <c r="K213">
        <v>23</v>
      </c>
    </row>
    <row r="214" spans="1:11" x14ac:dyDescent="0.25">
      <c r="A214">
        <v>1793107958001</v>
      </c>
      <c r="B214" t="s">
        <v>43</v>
      </c>
      <c r="C214" t="s">
        <v>108</v>
      </c>
      <c r="D214" t="s">
        <v>336</v>
      </c>
      <c r="E214">
        <v>1.20120260117931E+48</v>
      </c>
      <c r="F214" s="3">
        <v>46034.791817129626</v>
      </c>
      <c r="G214" s="1">
        <v>46034</v>
      </c>
      <c r="H214">
        <v>1891712215001</v>
      </c>
      <c r="I214">
        <v>595.63</v>
      </c>
      <c r="J214">
        <v>89.34</v>
      </c>
      <c r="K214">
        <v>684.97</v>
      </c>
    </row>
    <row r="215" spans="1:11" x14ac:dyDescent="0.25">
      <c r="A215">
        <v>1793107958001</v>
      </c>
      <c r="B215" t="s">
        <v>43</v>
      </c>
      <c r="C215" t="s">
        <v>108</v>
      </c>
      <c r="D215" t="s">
        <v>337</v>
      </c>
      <c r="E215">
        <v>1.20120260117931E+48</v>
      </c>
      <c r="F215" s="3">
        <v>46034.79178240741</v>
      </c>
      <c r="G215" s="1">
        <v>46034</v>
      </c>
      <c r="H215">
        <v>1891712215001</v>
      </c>
      <c r="I215">
        <v>23.24</v>
      </c>
      <c r="J215">
        <v>3.49</v>
      </c>
      <c r="K215">
        <v>26.73</v>
      </c>
    </row>
    <row r="216" spans="1:11" x14ac:dyDescent="0.25">
      <c r="A216">
        <v>990018685001</v>
      </c>
      <c r="B216" t="s">
        <v>338</v>
      </c>
      <c r="C216" t="s">
        <v>108</v>
      </c>
      <c r="D216" t="s">
        <v>339</v>
      </c>
      <c r="E216">
        <v>1.301202601099E+48</v>
      </c>
      <c r="F216" s="3">
        <v>46035.632048611114</v>
      </c>
      <c r="G216" s="1">
        <v>46035</v>
      </c>
      <c r="H216">
        <v>1891712215001</v>
      </c>
      <c r="I216">
        <v>687.17</v>
      </c>
      <c r="J216">
        <v>103.08</v>
      </c>
      <c r="K216">
        <v>790.25</v>
      </c>
    </row>
    <row r="217" spans="1:11" x14ac:dyDescent="0.25">
      <c r="A217">
        <v>1793107958001</v>
      </c>
      <c r="B217" t="s">
        <v>43</v>
      </c>
      <c r="C217" t="s">
        <v>108</v>
      </c>
      <c r="D217" t="s">
        <v>340</v>
      </c>
      <c r="E217">
        <v>1.3012026011793099E+48</v>
      </c>
      <c r="F217" s="3">
        <v>46035.713125000002</v>
      </c>
      <c r="G217" s="1">
        <v>46035</v>
      </c>
      <c r="H217">
        <v>1891712215001</v>
      </c>
      <c r="I217">
        <v>208</v>
      </c>
      <c r="J217">
        <v>31.2</v>
      </c>
      <c r="K217">
        <v>239.2</v>
      </c>
    </row>
    <row r="218" spans="1:11" x14ac:dyDescent="0.25">
      <c r="A218">
        <v>1802565182001</v>
      </c>
      <c r="B218" t="s">
        <v>56</v>
      </c>
      <c r="C218" t="s">
        <v>108</v>
      </c>
      <c r="D218" t="s">
        <v>341</v>
      </c>
      <c r="E218">
        <v>1.3012026011802501E+48</v>
      </c>
      <c r="F218" s="3">
        <v>46035.517291666663</v>
      </c>
      <c r="G218" s="1">
        <v>46035</v>
      </c>
      <c r="H218">
        <v>1891712215001</v>
      </c>
      <c r="I218">
        <v>10</v>
      </c>
      <c r="J218">
        <v>1.5</v>
      </c>
      <c r="K218">
        <v>11.5</v>
      </c>
    </row>
    <row r="219" spans="1:11" x14ac:dyDescent="0.25">
      <c r="A219">
        <v>1802565182001</v>
      </c>
      <c r="B219" t="s">
        <v>56</v>
      </c>
      <c r="C219" t="s">
        <v>108</v>
      </c>
      <c r="D219" t="s">
        <v>342</v>
      </c>
      <c r="E219">
        <v>1.3012026011802501E+48</v>
      </c>
      <c r="F219" s="3">
        <v>46035.453981481478</v>
      </c>
      <c r="G219" s="1">
        <v>46035</v>
      </c>
      <c r="H219">
        <v>1891712215001</v>
      </c>
      <c r="I219">
        <v>6</v>
      </c>
      <c r="J219">
        <v>0.9</v>
      </c>
      <c r="K219">
        <v>6.9</v>
      </c>
    </row>
    <row r="220" spans="1:11" x14ac:dyDescent="0.25">
      <c r="A220">
        <v>992141913001</v>
      </c>
      <c r="B220" t="s">
        <v>28</v>
      </c>
      <c r="C220" t="s">
        <v>108</v>
      </c>
      <c r="D220" t="s">
        <v>343</v>
      </c>
      <c r="E220">
        <v>1.30120260109921E+48</v>
      </c>
      <c r="F220" s="3">
        <v>46035.470706018517</v>
      </c>
      <c r="G220" s="1">
        <v>46035</v>
      </c>
      <c r="H220">
        <v>1891712215001</v>
      </c>
      <c r="I220">
        <v>2031.48</v>
      </c>
      <c r="J220">
        <v>304.72000000000003</v>
      </c>
      <c r="K220">
        <v>2336.1999999999998</v>
      </c>
    </row>
    <row r="221" spans="1:11" x14ac:dyDescent="0.25">
      <c r="A221">
        <v>1790283380001</v>
      </c>
      <c r="B221" t="s">
        <v>107</v>
      </c>
      <c r="C221" t="s">
        <v>108</v>
      </c>
      <c r="D221" t="s">
        <v>344</v>
      </c>
      <c r="E221">
        <v>1.30120260117902E+48</v>
      </c>
      <c r="F221" s="3">
        <v>46035.406458333331</v>
      </c>
      <c r="G221" s="1">
        <v>46035</v>
      </c>
      <c r="H221">
        <v>1891712215001</v>
      </c>
      <c r="I221">
        <v>52.85</v>
      </c>
      <c r="J221">
        <v>7.93</v>
      </c>
      <c r="K221">
        <v>60.78</v>
      </c>
    </row>
    <row r="222" spans="1:11" x14ac:dyDescent="0.25">
      <c r="A222">
        <v>1790283380001</v>
      </c>
      <c r="B222" t="s">
        <v>107</v>
      </c>
      <c r="C222" t="s">
        <v>108</v>
      </c>
      <c r="D222" t="s">
        <v>345</v>
      </c>
      <c r="E222">
        <v>1.30120260117902E+48</v>
      </c>
      <c r="F222" s="3">
        <v>46035.409074074072</v>
      </c>
      <c r="G222" s="1">
        <v>46035</v>
      </c>
      <c r="H222">
        <v>1891712215001</v>
      </c>
      <c r="I222">
        <v>38.869999999999997</v>
      </c>
      <c r="J222">
        <v>5.83</v>
      </c>
      <c r="K222">
        <v>44.7</v>
      </c>
    </row>
    <row r="223" spans="1:11" x14ac:dyDescent="0.25">
      <c r="A223">
        <v>1801806124001</v>
      </c>
      <c r="B223" t="s">
        <v>53</v>
      </c>
      <c r="C223" t="s">
        <v>108</v>
      </c>
      <c r="D223" t="s">
        <v>346</v>
      </c>
      <c r="E223">
        <v>1.30120260118018E+48</v>
      </c>
      <c r="F223" s="3">
        <v>46035.432650462964</v>
      </c>
      <c r="G223" s="1">
        <v>46035</v>
      </c>
      <c r="H223">
        <v>1891712215001</v>
      </c>
      <c r="I223">
        <v>40</v>
      </c>
      <c r="J223">
        <v>6</v>
      </c>
      <c r="K223">
        <v>46</v>
      </c>
    </row>
    <row r="224" spans="1:11" x14ac:dyDescent="0.25">
      <c r="A224">
        <v>1801880574001</v>
      </c>
      <c r="B224" t="s">
        <v>55</v>
      </c>
      <c r="C224" t="s">
        <v>108</v>
      </c>
      <c r="D224" t="s">
        <v>347</v>
      </c>
      <c r="E224">
        <v>1.30120260118018E+48</v>
      </c>
      <c r="F224" s="3">
        <v>46035.43482638889</v>
      </c>
      <c r="G224" s="1">
        <v>46035</v>
      </c>
      <c r="H224">
        <v>1891712215001</v>
      </c>
      <c r="I224">
        <v>20</v>
      </c>
      <c r="J224">
        <v>3</v>
      </c>
      <c r="K224">
        <v>23</v>
      </c>
    </row>
    <row r="225" spans="1:11" x14ac:dyDescent="0.25">
      <c r="A225">
        <v>1801880574001</v>
      </c>
      <c r="B225" t="s">
        <v>55</v>
      </c>
      <c r="C225" t="s">
        <v>108</v>
      </c>
      <c r="D225" t="s">
        <v>348</v>
      </c>
      <c r="E225">
        <v>1.30120260118018E+48</v>
      </c>
      <c r="F225" s="3">
        <v>46035.436122685183</v>
      </c>
      <c r="G225" s="1">
        <v>46035</v>
      </c>
      <c r="H225">
        <v>1891712215001</v>
      </c>
      <c r="I225">
        <v>15</v>
      </c>
      <c r="J225">
        <v>2.25</v>
      </c>
      <c r="K225">
        <v>17.25</v>
      </c>
    </row>
    <row r="226" spans="1:11" x14ac:dyDescent="0.25">
      <c r="A226">
        <v>1790009459001</v>
      </c>
      <c r="B226" t="s">
        <v>136</v>
      </c>
      <c r="C226" t="s">
        <v>108</v>
      </c>
      <c r="D226" t="s">
        <v>349</v>
      </c>
      <c r="E226">
        <v>1.301202601179E+48</v>
      </c>
      <c r="F226" s="3">
        <v>46035.75105324074</v>
      </c>
      <c r="G226" s="1">
        <v>46035</v>
      </c>
      <c r="H226">
        <v>1891712215001</v>
      </c>
      <c r="I226">
        <v>1845.47</v>
      </c>
      <c r="J226">
        <v>276.82</v>
      </c>
      <c r="K226">
        <v>2122.29</v>
      </c>
    </row>
    <row r="227" spans="1:11" x14ac:dyDescent="0.25">
      <c r="A227">
        <v>1793107958001</v>
      </c>
      <c r="B227" t="s">
        <v>43</v>
      </c>
      <c r="C227" t="s">
        <v>108</v>
      </c>
      <c r="D227" t="s">
        <v>350</v>
      </c>
      <c r="E227">
        <v>1.3012026011793099E+48</v>
      </c>
      <c r="F227" s="3">
        <v>46035.475937499999</v>
      </c>
      <c r="G227" s="1">
        <v>46035</v>
      </c>
      <c r="H227">
        <v>1891712215001</v>
      </c>
      <c r="I227">
        <v>168.43</v>
      </c>
      <c r="J227">
        <v>25.26</v>
      </c>
      <c r="K227">
        <v>193.69</v>
      </c>
    </row>
    <row r="228" spans="1:11" x14ac:dyDescent="0.25">
      <c r="A228">
        <v>1790283380001</v>
      </c>
      <c r="B228" t="s">
        <v>107</v>
      </c>
      <c r="C228" t="s">
        <v>108</v>
      </c>
      <c r="D228" t="s">
        <v>351</v>
      </c>
      <c r="E228">
        <v>1.30120260117902E+48</v>
      </c>
      <c r="F228" s="3">
        <v>46035.402743055558</v>
      </c>
      <c r="G228" s="1">
        <v>46035</v>
      </c>
      <c r="H228">
        <v>1891712215001</v>
      </c>
      <c r="I228">
        <v>34.24</v>
      </c>
      <c r="J228">
        <v>5.14</v>
      </c>
      <c r="K228">
        <v>39.380000000000003</v>
      </c>
    </row>
    <row r="229" spans="1:11" x14ac:dyDescent="0.25">
      <c r="A229">
        <v>1793107958001</v>
      </c>
      <c r="B229" t="s">
        <v>43</v>
      </c>
      <c r="C229" t="s">
        <v>108</v>
      </c>
      <c r="D229" t="s">
        <v>352</v>
      </c>
      <c r="E229">
        <v>1.3012026011793099E+48</v>
      </c>
      <c r="F229" s="3">
        <v>46035.791875000003</v>
      </c>
      <c r="G229" s="1">
        <v>46035</v>
      </c>
      <c r="H229">
        <v>1891712215001</v>
      </c>
      <c r="I229">
        <v>587.27</v>
      </c>
      <c r="J229">
        <v>88.09</v>
      </c>
      <c r="K229">
        <v>675.36</v>
      </c>
    </row>
    <row r="230" spans="1:11" x14ac:dyDescent="0.25">
      <c r="A230">
        <v>1802955151001</v>
      </c>
      <c r="B230" t="s">
        <v>60</v>
      </c>
      <c r="C230" t="s">
        <v>108</v>
      </c>
      <c r="D230" t="s">
        <v>353</v>
      </c>
      <c r="E230">
        <v>1.30120260118029E+48</v>
      </c>
      <c r="F230" s="3">
        <v>46035.642523148148</v>
      </c>
      <c r="G230" s="1">
        <v>46035</v>
      </c>
      <c r="H230">
        <v>1891712215001</v>
      </c>
      <c r="I230">
        <v>1488.48</v>
      </c>
      <c r="J230">
        <v>223.27</v>
      </c>
      <c r="K230">
        <v>1711.75</v>
      </c>
    </row>
    <row r="231" spans="1:11" x14ac:dyDescent="0.25">
      <c r="A231">
        <v>1790009459001</v>
      </c>
      <c r="B231" t="s">
        <v>136</v>
      </c>
      <c r="C231" t="s">
        <v>108</v>
      </c>
      <c r="D231" t="s">
        <v>354</v>
      </c>
      <c r="E231">
        <v>1.301202601179E+48</v>
      </c>
      <c r="F231" s="3">
        <v>46035.584108796298</v>
      </c>
      <c r="G231" s="1">
        <v>46035</v>
      </c>
      <c r="H231">
        <v>1891712215001</v>
      </c>
      <c r="I231">
        <v>1126.94</v>
      </c>
      <c r="J231">
        <v>169.04</v>
      </c>
      <c r="K231">
        <v>1295.98</v>
      </c>
    </row>
    <row r="232" spans="1:11" x14ac:dyDescent="0.25">
      <c r="A232">
        <v>1802588002001</v>
      </c>
      <c r="B232" t="s">
        <v>57</v>
      </c>
      <c r="C232" t="s">
        <v>108</v>
      </c>
      <c r="D232" t="s">
        <v>355</v>
      </c>
      <c r="E232">
        <v>1.40120260118025E+48</v>
      </c>
      <c r="F232" s="3">
        <v>46036.529016203705</v>
      </c>
      <c r="G232" s="1">
        <v>46036</v>
      </c>
      <c r="H232">
        <v>1891712215001</v>
      </c>
      <c r="I232">
        <v>90</v>
      </c>
      <c r="J232">
        <v>13.5</v>
      </c>
      <c r="K232">
        <v>103.5</v>
      </c>
    </row>
    <row r="233" spans="1:11" x14ac:dyDescent="0.25">
      <c r="A233">
        <v>1803451952001</v>
      </c>
      <c r="B233" t="s">
        <v>65</v>
      </c>
      <c r="C233" t="s">
        <v>108</v>
      </c>
      <c r="D233" t="s">
        <v>356</v>
      </c>
      <c r="E233">
        <v>1.40120260118034E+48</v>
      </c>
      <c r="F233" s="3">
        <v>46036.684016203704</v>
      </c>
      <c r="G233" s="1">
        <v>46036</v>
      </c>
      <c r="H233">
        <v>1891712215001</v>
      </c>
      <c r="I233">
        <v>54.6</v>
      </c>
      <c r="J233">
        <v>8.19</v>
      </c>
      <c r="K233">
        <v>62.79</v>
      </c>
    </row>
    <row r="234" spans="1:11" x14ac:dyDescent="0.25">
      <c r="A234">
        <v>1803451952001</v>
      </c>
      <c r="B234" t="s">
        <v>65</v>
      </c>
      <c r="C234" t="s">
        <v>108</v>
      </c>
      <c r="D234" t="s">
        <v>357</v>
      </c>
      <c r="E234">
        <v>1.40120260118034E+48</v>
      </c>
      <c r="F234" s="3">
        <v>46036.68509259259</v>
      </c>
      <c r="G234" s="1">
        <v>46036</v>
      </c>
      <c r="H234">
        <v>1891712215001</v>
      </c>
      <c r="I234">
        <v>42.75</v>
      </c>
      <c r="J234">
        <v>6.41</v>
      </c>
      <c r="K234">
        <v>49.16</v>
      </c>
    </row>
    <row r="235" spans="1:11" x14ac:dyDescent="0.25">
      <c r="A235">
        <v>1890113423001</v>
      </c>
      <c r="B235" t="s">
        <v>85</v>
      </c>
      <c r="C235" t="s">
        <v>108</v>
      </c>
      <c r="D235" t="s">
        <v>358</v>
      </c>
      <c r="E235">
        <v>1.40120260118901E+48</v>
      </c>
      <c r="F235" s="3">
        <v>46036.685289351852</v>
      </c>
      <c r="G235" s="1">
        <v>46036</v>
      </c>
      <c r="H235">
        <v>1891712215001</v>
      </c>
      <c r="I235">
        <v>163.04</v>
      </c>
      <c r="J235">
        <v>24.46</v>
      </c>
      <c r="K235">
        <v>187.5</v>
      </c>
    </row>
    <row r="236" spans="1:11" x14ac:dyDescent="0.25">
      <c r="A236">
        <v>1801880574001</v>
      </c>
      <c r="B236" t="s">
        <v>55</v>
      </c>
      <c r="C236" t="s">
        <v>108</v>
      </c>
      <c r="D236" t="s">
        <v>359</v>
      </c>
      <c r="E236">
        <v>1.40120260118018E+48</v>
      </c>
      <c r="F236" s="3">
        <v>46036.59443287037</v>
      </c>
      <c r="G236" s="1">
        <v>46036</v>
      </c>
      <c r="H236">
        <v>1891712215001</v>
      </c>
      <c r="I236">
        <v>10</v>
      </c>
      <c r="J236">
        <v>1.5</v>
      </c>
      <c r="K236">
        <v>11.5</v>
      </c>
    </row>
    <row r="237" spans="1:11" x14ac:dyDescent="0.25">
      <c r="A237">
        <v>1801880574001</v>
      </c>
      <c r="B237" t="s">
        <v>55</v>
      </c>
      <c r="C237" t="s">
        <v>108</v>
      </c>
      <c r="D237" t="s">
        <v>360</v>
      </c>
      <c r="E237">
        <v>1.40120260118018E+48</v>
      </c>
      <c r="F237" s="3">
        <v>46036.593773148146</v>
      </c>
      <c r="G237" s="1">
        <v>46036</v>
      </c>
      <c r="H237">
        <v>1891712215001</v>
      </c>
      <c r="I237">
        <v>20</v>
      </c>
      <c r="J237">
        <v>3</v>
      </c>
      <c r="K237">
        <v>23</v>
      </c>
    </row>
    <row r="238" spans="1:11" x14ac:dyDescent="0.25">
      <c r="A238">
        <v>1793162797001</v>
      </c>
      <c r="B238" t="s">
        <v>46</v>
      </c>
      <c r="C238" t="s">
        <v>108</v>
      </c>
      <c r="D238" t="s">
        <v>361</v>
      </c>
      <c r="E238">
        <v>1.40120260117931E+48</v>
      </c>
      <c r="F238" s="3">
        <v>46036.543055555558</v>
      </c>
      <c r="G238" s="1">
        <v>46036</v>
      </c>
      <c r="H238">
        <v>1891712215001</v>
      </c>
      <c r="I238">
        <v>10.76</v>
      </c>
      <c r="J238">
        <v>1.61</v>
      </c>
      <c r="K238">
        <v>12.37</v>
      </c>
    </row>
    <row r="239" spans="1:11" x14ac:dyDescent="0.25">
      <c r="A239">
        <v>1793107958001</v>
      </c>
      <c r="B239" t="s">
        <v>43</v>
      </c>
      <c r="C239" t="s">
        <v>108</v>
      </c>
      <c r="D239" t="s">
        <v>362</v>
      </c>
      <c r="E239">
        <v>1.40120260117931E+48</v>
      </c>
      <c r="F239" s="3">
        <v>46036.541678240741</v>
      </c>
      <c r="G239" s="1">
        <v>46036</v>
      </c>
      <c r="H239">
        <v>1891712215001</v>
      </c>
      <c r="I239">
        <v>1503.52</v>
      </c>
      <c r="J239">
        <v>225.53</v>
      </c>
      <c r="K239">
        <v>1729.05</v>
      </c>
    </row>
    <row r="240" spans="1:11" x14ac:dyDescent="0.25">
      <c r="A240">
        <v>1803451952001</v>
      </c>
      <c r="B240" t="s">
        <v>65</v>
      </c>
      <c r="C240" t="s">
        <v>108</v>
      </c>
      <c r="D240" t="s">
        <v>363</v>
      </c>
      <c r="E240">
        <v>1.40120260118034E+48</v>
      </c>
      <c r="F240" s="3">
        <v>46036.577314814815</v>
      </c>
      <c r="G240" s="1">
        <v>46036</v>
      </c>
      <c r="H240">
        <v>1891712215001</v>
      </c>
      <c r="I240">
        <v>120.9</v>
      </c>
      <c r="J240">
        <v>18.14</v>
      </c>
      <c r="K240">
        <v>139.03</v>
      </c>
    </row>
    <row r="241" spans="1:11" x14ac:dyDescent="0.25">
      <c r="A241">
        <v>1790009459001</v>
      </c>
      <c r="B241" t="s">
        <v>136</v>
      </c>
      <c r="C241" t="s">
        <v>108</v>
      </c>
      <c r="D241" t="s">
        <v>364</v>
      </c>
      <c r="E241">
        <v>1.4012026011789999E+48</v>
      </c>
      <c r="F241" s="3">
        <v>46036.751469907409</v>
      </c>
      <c r="G241" s="1">
        <v>46036</v>
      </c>
      <c r="H241">
        <v>1891712215001</v>
      </c>
      <c r="I241">
        <v>247.62</v>
      </c>
      <c r="J241">
        <v>37.14</v>
      </c>
      <c r="K241">
        <v>284.76</v>
      </c>
    </row>
    <row r="242" spans="1:11" x14ac:dyDescent="0.25">
      <c r="A242">
        <v>990049459001</v>
      </c>
      <c r="B242" t="s">
        <v>149</v>
      </c>
      <c r="C242" t="s">
        <v>108</v>
      </c>
      <c r="D242" t="s">
        <v>365</v>
      </c>
      <c r="E242">
        <v>1.4012026010989999E+48</v>
      </c>
      <c r="F242" s="3">
        <v>46037.560810185183</v>
      </c>
      <c r="G242" s="1">
        <v>46036</v>
      </c>
      <c r="H242">
        <v>1891712215001</v>
      </c>
      <c r="I242">
        <v>5.38</v>
      </c>
      <c r="J242">
        <v>0.81</v>
      </c>
      <c r="K242">
        <v>6.19</v>
      </c>
    </row>
    <row r="243" spans="1:11" x14ac:dyDescent="0.25">
      <c r="A243">
        <v>1790283380001</v>
      </c>
      <c r="B243" t="s">
        <v>107</v>
      </c>
      <c r="C243" t="s">
        <v>108</v>
      </c>
      <c r="D243" t="s">
        <v>366</v>
      </c>
      <c r="E243">
        <v>1.4012026011790201E+48</v>
      </c>
      <c r="F243" s="3">
        <v>46036.422685185185</v>
      </c>
      <c r="G243" s="1">
        <v>46036</v>
      </c>
      <c r="H243">
        <v>1891712215001</v>
      </c>
      <c r="I243">
        <v>54.48</v>
      </c>
      <c r="J243">
        <v>8.17</v>
      </c>
      <c r="K243">
        <v>62.65</v>
      </c>
    </row>
    <row r="244" spans="1:11" x14ac:dyDescent="0.25">
      <c r="A244">
        <v>1790283380001</v>
      </c>
      <c r="B244" t="s">
        <v>107</v>
      </c>
      <c r="C244" t="s">
        <v>108</v>
      </c>
      <c r="D244" t="s">
        <v>367</v>
      </c>
      <c r="E244">
        <v>1.4012026011790201E+48</v>
      </c>
      <c r="F244" s="3">
        <v>46036.420405092591</v>
      </c>
      <c r="G244" s="1">
        <v>46036</v>
      </c>
      <c r="H244">
        <v>1891712215001</v>
      </c>
      <c r="I244">
        <v>11.3</v>
      </c>
      <c r="J244">
        <v>1.7</v>
      </c>
      <c r="K244">
        <v>13</v>
      </c>
    </row>
    <row r="245" spans="1:11" x14ac:dyDescent="0.25">
      <c r="A245">
        <v>1802565182001</v>
      </c>
      <c r="B245" t="s">
        <v>56</v>
      </c>
      <c r="C245" t="s">
        <v>108</v>
      </c>
      <c r="D245" t="s">
        <v>368</v>
      </c>
      <c r="E245">
        <v>1.40120260118025E+48</v>
      </c>
      <c r="F245" s="3">
        <v>46036.437418981484</v>
      </c>
      <c r="G245" s="1">
        <v>46036</v>
      </c>
      <c r="H245">
        <v>1891712215001</v>
      </c>
      <c r="I245">
        <v>10</v>
      </c>
      <c r="J245">
        <v>1.5</v>
      </c>
      <c r="K245">
        <v>11.5</v>
      </c>
    </row>
    <row r="246" spans="1:11" x14ac:dyDescent="0.25">
      <c r="A246">
        <v>1803451952001</v>
      </c>
      <c r="B246" t="s">
        <v>65</v>
      </c>
      <c r="C246" t="s">
        <v>108</v>
      </c>
      <c r="D246" t="s">
        <v>369</v>
      </c>
      <c r="E246">
        <v>1.40120260118034E+48</v>
      </c>
      <c r="F246" s="3">
        <v>46036.640497685185</v>
      </c>
      <c r="G246" s="1">
        <v>46036</v>
      </c>
      <c r="H246">
        <v>1891712215001</v>
      </c>
      <c r="I246">
        <v>95</v>
      </c>
      <c r="J246">
        <v>14.25</v>
      </c>
      <c r="K246">
        <v>109.25</v>
      </c>
    </row>
    <row r="247" spans="1:11" x14ac:dyDescent="0.25">
      <c r="A247">
        <v>1802565182001</v>
      </c>
      <c r="B247" t="s">
        <v>56</v>
      </c>
      <c r="C247" t="s">
        <v>108</v>
      </c>
      <c r="D247" t="s">
        <v>370</v>
      </c>
      <c r="E247">
        <v>1.40120260118025E+48</v>
      </c>
      <c r="F247" s="3">
        <v>46036.35015046296</v>
      </c>
      <c r="G247" s="1">
        <v>46036</v>
      </c>
      <c r="H247">
        <v>1891712215001</v>
      </c>
      <c r="I247">
        <v>6</v>
      </c>
      <c r="J247">
        <v>0.9</v>
      </c>
      <c r="K247">
        <v>6.9</v>
      </c>
    </row>
    <row r="248" spans="1:11" x14ac:dyDescent="0.25">
      <c r="A248">
        <v>1802565182001</v>
      </c>
      <c r="B248" t="s">
        <v>56</v>
      </c>
      <c r="C248" t="s">
        <v>108</v>
      </c>
      <c r="D248" t="s">
        <v>371</v>
      </c>
      <c r="E248">
        <v>1.40120260118025E+48</v>
      </c>
      <c r="F248" s="3">
        <v>46036.348055555558</v>
      </c>
      <c r="G248" s="1">
        <v>46036</v>
      </c>
      <c r="H248">
        <v>1891712215001</v>
      </c>
      <c r="I248">
        <v>6</v>
      </c>
      <c r="J248">
        <v>0.9</v>
      </c>
      <c r="K248">
        <v>6.9</v>
      </c>
    </row>
    <row r="249" spans="1:11" x14ac:dyDescent="0.25">
      <c r="A249">
        <v>1802676997001</v>
      </c>
      <c r="B249" t="s">
        <v>185</v>
      </c>
      <c r="C249" t="s">
        <v>108</v>
      </c>
      <c r="D249" t="s">
        <v>372</v>
      </c>
      <c r="E249">
        <v>1.40120260118026E+48</v>
      </c>
      <c r="F249" s="3">
        <v>46036.365624999999</v>
      </c>
      <c r="G249" s="1">
        <v>46036</v>
      </c>
      <c r="H249">
        <v>1891712215001</v>
      </c>
      <c r="I249">
        <v>771.68</v>
      </c>
      <c r="J249">
        <v>115.75</v>
      </c>
      <c r="K249">
        <v>887.43</v>
      </c>
    </row>
    <row r="250" spans="1:11" x14ac:dyDescent="0.25">
      <c r="A250">
        <v>1790283380001</v>
      </c>
      <c r="B250" t="s">
        <v>107</v>
      </c>
      <c r="C250" t="s">
        <v>108</v>
      </c>
      <c r="D250" t="s">
        <v>373</v>
      </c>
      <c r="E250">
        <v>1.4012026011790201E+48</v>
      </c>
      <c r="F250" s="3">
        <v>46036.416574074072</v>
      </c>
      <c r="G250" s="1">
        <v>46036</v>
      </c>
      <c r="H250">
        <v>1891712215001</v>
      </c>
      <c r="I250">
        <v>60.36</v>
      </c>
      <c r="J250">
        <v>9.0500000000000007</v>
      </c>
      <c r="K250">
        <v>69.41</v>
      </c>
    </row>
    <row r="251" spans="1:11" x14ac:dyDescent="0.25">
      <c r="A251">
        <v>1803451952001</v>
      </c>
      <c r="B251" t="s">
        <v>65</v>
      </c>
      <c r="C251" t="s">
        <v>108</v>
      </c>
      <c r="D251" t="s">
        <v>374</v>
      </c>
      <c r="E251">
        <v>1.40120260118034E+48</v>
      </c>
      <c r="F251" s="3">
        <v>46036.578506944446</v>
      </c>
      <c r="G251" s="1">
        <v>46036</v>
      </c>
      <c r="H251">
        <v>1891712215001</v>
      </c>
      <c r="I251">
        <v>180.5</v>
      </c>
      <c r="J251">
        <v>27.08</v>
      </c>
      <c r="K251">
        <v>207.57</v>
      </c>
    </row>
    <row r="252" spans="1:11" x14ac:dyDescent="0.25">
      <c r="A252">
        <v>1801421593001</v>
      </c>
      <c r="B252" t="s">
        <v>50</v>
      </c>
      <c r="C252" t="s">
        <v>108</v>
      </c>
      <c r="D252" t="s">
        <v>375</v>
      </c>
      <c r="E252">
        <v>1.40120260118014E+48</v>
      </c>
      <c r="F252" s="3">
        <v>46036.655509259261</v>
      </c>
      <c r="G252" s="1">
        <v>46036</v>
      </c>
      <c r="H252">
        <v>1891712215001</v>
      </c>
      <c r="I252">
        <v>81.540000000000006</v>
      </c>
      <c r="J252">
        <v>12.23</v>
      </c>
      <c r="K252">
        <v>93.77</v>
      </c>
    </row>
    <row r="253" spans="1:11" x14ac:dyDescent="0.25">
      <c r="A253">
        <v>1801421593001</v>
      </c>
      <c r="B253" t="s">
        <v>50</v>
      </c>
      <c r="C253" t="s">
        <v>108</v>
      </c>
      <c r="D253" t="s">
        <v>376</v>
      </c>
      <c r="E253">
        <v>1.40120260118014E+48</v>
      </c>
      <c r="F253" s="3">
        <v>46036.654039351852</v>
      </c>
      <c r="G253" s="1">
        <v>46036</v>
      </c>
      <c r="H253">
        <v>1891712215001</v>
      </c>
      <c r="I253">
        <v>64.02</v>
      </c>
      <c r="J253">
        <v>9.6</v>
      </c>
      <c r="K253">
        <v>73.62</v>
      </c>
    </row>
    <row r="254" spans="1:11" x14ac:dyDescent="0.25">
      <c r="A254">
        <v>1801421593001</v>
      </c>
      <c r="B254" t="s">
        <v>50</v>
      </c>
      <c r="C254" t="s">
        <v>108</v>
      </c>
      <c r="D254" t="s">
        <v>377</v>
      </c>
      <c r="E254">
        <v>1.40120260118014E+48</v>
      </c>
      <c r="F254" s="3">
        <v>46036.656828703701</v>
      </c>
      <c r="G254" s="1">
        <v>46036</v>
      </c>
      <c r="H254">
        <v>1891712215001</v>
      </c>
      <c r="I254">
        <v>41.64</v>
      </c>
      <c r="J254">
        <v>6.25</v>
      </c>
      <c r="K254">
        <v>47.89</v>
      </c>
    </row>
    <row r="255" spans="1:11" x14ac:dyDescent="0.25">
      <c r="A255">
        <v>1793107958001</v>
      </c>
      <c r="B255" t="s">
        <v>43</v>
      </c>
      <c r="C255" t="s">
        <v>108</v>
      </c>
      <c r="D255" t="s">
        <v>378</v>
      </c>
      <c r="E255">
        <v>1.40120260117931E+48</v>
      </c>
      <c r="F255" s="3">
        <v>46036.61550925926</v>
      </c>
      <c r="G255" s="1">
        <v>46036</v>
      </c>
      <c r="H255">
        <v>1891712215001</v>
      </c>
      <c r="I255">
        <v>20.96</v>
      </c>
      <c r="J255">
        <v>3.14</v>
      </c>
      <c r="K255">
        <v>24.1</v>
      </c>
    </row>
    <row r="256" spans="1:11" x14ac:dyDescent="0.25">
      <c r="A256">
        <v>1803451952001</v>
      </c>
      <c r="B256" t="s">
        <v>65</v>
      </c>
      <c r="C256" t="s">
        <v>108</v>
      </c>
      <c r="D256" t="s">
        <v>379</v>
      </c>
      <c r="E256">
        <v>1.40120260118034E+48</v>
      </c>
      <c r="F256" s="3">
        <v>46036.638298611113</v>
      </c>
      <c r="G256" s="1">
        <v>46036</v>
      </c>
      <c r="H256">
        <v>1891712215001</v>
      </c>
      <c r="I256">
        <v>68.64</v>
      </c>
      <c r="J256">
        <v>10.3</v>
      </c>
      <c r="K256">
        <v>78.94</v>
      </c>
    </row>
    <row r="257" spans="1:11" x14ac:dyDescent="0.25">
      <c r="A257">
        <v>1793107958001</v>
      </c>
      <c r="B257" t="s">
        <v>43</v>
      </c>
      <c r="C257" t="s">
        <v>108</v>
      </c>
      <c r="D257" t="s">
        <v>380</v>
      </c>
      <c r="E257">
        <v>1.40120260117931E+48</v>
      </c>
      <c r="F257" s="3">
        <v>46036.641261574077</v>
      </c>
      <c r="G257" s="1">
        <v>46036</v>
      </c>
      <c r="H257">
        <v>1891712215001</v>
      </c>
      <c r="I257">
        <v>97.96</v>
      </c>
      <c r="J257">
        <v>14.69</v>
      </c>
      <c r="K257">
        <v>112.65</v>
      </c>
    </row>
    <row r="258" spans="1:11" x14ac:dyDescent="0.25">
      <c r="A258">
        <v>1802565182001</v>
      </c>
      <c r="B258" t="s">
        <v>56</v>
      </c>
      <c r="C258" t="s">
        <v>108</v>
      </c>
      <c r="D258" t="s">
        <v>381</v>
      </c>
      <c r="E258">
        <v>1.40120260118025E+48</v>
      </c>
      <c r="F258" s="3">
        <v>46036.483020833337</v>
      </c>
      <c r="G258" s="1">
        <v>46036</v>
      </c>
      <c r="H258">
        <v>1891712215001</v>
      </c>
      <c r="I258">
        <v>70</v>
      </c>
      <c r="J258">
        <v>10.5</v>
      </c>
      <c r="K258">
        <v>80.5</v>
      </c>
    </row>
    <row r="259" spans="1:11" x14ac:dyDescent="0.25">
      <c r="A259">
        <v>1793162797001</v>
      </c>
      <c r="B259" t="s">
        <v>46</v>
      </c>
      <c r="C259" t="s">
        <v>108</v>
      </c>
      <c r="D259" t="s">
        <v>382</v>
      </c>
      <c r="E259">
        <v>1.40120260117931E+48</v>
      </c>
      <c r="F259" s="3">
        <v>46036.709155092591</v>
      </c>
      <c r="G259" s="1">
        <v>46036</v>
      </c>
      <c r="H259">
        <v>1891712215001</v>
      </c>
      <c r="I259">
        <v>123.19</v>
      </c>
      <c r="J259">
        <v>18.48</v>
      </c>
      <c r="K259">
        <v>141.66999999999999</v>
      </c>
    </row>
    <row r="260" spans="1:11" x14ac:dyDescent="0.25">
      <c r="A260">
        <v>1790283380001</v>
      </c>
      <c r="B260" t="s">
        <v>107</v>
      </c>
      <c r="C260" t="s">
        <v>108</v>
      </c>
      <c r="D260" t="s">
        <v>383</v>
      </c>
      <c r="E260">
        <v>1.50120260117902E+48</v>
      </c>
      <c r="F260" s="3">
        <v>46037.396874999999</v>
      </c>
      <c r="G260" s="1">
        <v>46037</v>
      </c>
      <c r="H260">
        <v>1891712215001</v>
      </c>
      <c r="I260">
        <v>11.5</v>
      </c>
      <c r="J260">
        <v>1.73</v>
      </c>
      <c r="K260">
        <v>13.23</v>
      </c>
    </row>
    <row r="261" spans="1:11" x14ac:dyDescent="0.25">
      <c r="A261">
        <v>1790283380001</v>
      </c>
      <c r="B261" t="s">
        <v>107</v>
      </c>
      <c r="C261" t="s">
        <v>108</v>
      </c>
      <c r="D261" t="s">
        <v>384</v>
      </c>
      <c r="E261">
        <v>1.50120260117902E+48</v>
      </c>
      <c r="F261" s="3">
        <v>46037.401574074072</v>
      </c>
      <c r="G261" s="1">
        <v>46037</v>
      </c>
      <c r="H261">
        <v>1891712215001</v>
      </c>
      <c r="I261">
        <v>36.49</v>
      </c>
      <c r="J261">
        <v>5.47</v>
      </c>
      <c r="K261">
        <v>41.96</v>
      </c>
    </row>
    <row r="262" spans="1:11" x14ac:dyDescent="0.25">
      <c r="A262">
        <v>1890152917001</v>
      </c>
      <c r="B262" t="s">
        <v>138</v>
      </c>
      <c r="C262" t="s">
        <v>108</v>
      </c>
      <c r="D262" t="s">
        <v>385</v>
      </c>
      <c r="E262">
        <v>1.50120260118901E+48</v>
      </c>
      <c r="F262" s="3">
        <v>46037.616851851853</v>
      </c>
      <c r="G262" s="1">
        <v>46037</v>
      </c>
      <c r="H262">
        <v>1891712215001</v>
      </c>
      <c r="I262">
        <v>86.33</v>
      </c>
      <c r="J262">
        <v>12.95</v>
      </c>
      <c r="K262">
        <v>99.28</v>
      </c>
    </row>
    <row r="263" spans="1:11" x14ac:dyDescent="0.25">
      <c r="A263">
        <v>1802565182001</v>
      </c>
      <c r="B263" t="s">
        <v>56</v>
      </c>
      <c r="C263" t="s">
        <v>108</v>
      </c>
      <c r="D263" t="s">
        <v>386</v>
      </c>
      <c r="E263">
        <v>1.5012026011802499E+48</v>
      </c>
      <c r="F263" s="3">
        <v>46037.628425925926</v>
      </c>
      <c r="G263" s="1">
        <v>46037</v>
      </c>
      <c r="H263">
        <v>1891712215001</v>
      </c>
      <c r="I263">
        <v>6</v>
      </c>
      <c r="J263">
        <v>0.9</v>
      </c>
      <c r="K263">
        <v>6.9</v>
      </c>
    </row>
    <row r="264" spans="1:11" x14ac:dyDescent="0.25">
      <c r="A264">
        <v>1711977007001</v>
      </c>
      <c r="B264" t="s">
        <v>387</v>
      </c>
      <c r="C264" t="s">
        <v>108</v>
      </c>
      <c r="D264" t="s">
        <v>388</v>
      </c>
      <c r="E264">
        <v>1.50120260117119E+48</v>
      </c>
      <c r="F264" s="3">
        <v>46037.552893518521</v>
      </c>
      <c r="G264" s="1">
        <v>46037</v>
      </c>
      <c r="H264">
        <v>1891712215001</v>
      </c>
      <c r="I264">
        <v>24.35</v>
      </c>
      <c r="J264">
        <v>3.65</v>
      </c>
      <c r="K264">
        <v>28</v>
      </c>
    </row>
    <row r="265" spans="1:11" x14ac:dyDescent="0.25">
      <c r="A265">
        <v>1793107958001</v>
      </c>
      <c r="B265" t="s">
        <v>43</v>
      </c>
      <c r="C265" t="s">
        <v>108</v>
      </c>
      <c r="D265" t="s">
        <v>389</v>
      </c>
      <c r="E265">
        <v>1.5012026011793101E+48</v>
      </c>
      <c r="F265" s="3">
        <v>46037.656678240739</v>
      </c>
      <c r="G265" s="1">
        <v>46037</v>
      </c>
      <c r="H265">
        <v>1891712215001</v>
      </c>
      <c r="I265">
        <v>158.44</v>
      </c>
      <c r="J265">
        <v>23.77</v>
      </c>
      <c r="K265">
        <v>182.21</v>
      </c>
    </row>
    <row r="266" spans="1:11" x14ac:dyDescent="0.25">
      <c r="A266">
        <v>1891796176001</v>
      </c>
      <c r="B266" t="s">
        <v>91</v>
      </c>
      <c r="C266" t="s">
        <v>108</v>
      </c>
      <c r="D266" t="s">
        <v>390</v>
      </c>
      <c r="E266">
        <v>1.5012026011891699E+48</v>
      </c>
      <c r="F266" s="3">
        <v>46037.413252314815</v>
      </c>
      <c r="G266" s="1">
        <v>46037</v>
      </c>
      <c r="H266">
        <v>1891712215001</v>
      </c>
      <c r="I266">
        <v>12.17</v>
      </c>
      <c r="J266">
        <v>1.83</v>
      </c>
      <c r="K266">
        <v>14</v>
      </c>
    </row>
    <row r="267" spans="1:11" x14ac:dyDescent="0.25">
      <c r="A267">
        <v>1891796176001</v>
      </c>
      <c r="B267" t="s">
        <v>91</v>
      </c>
      <c r="C267" t="s">
        <v>108</v>
      </c>
      <c r="D267" t="s">
        <v>391</v>
      </c>
      <c r="E267">
        <v>1.5012026011891699E+48</v>
      </c>
      <c r="F267" s="3">
        <v>46037.412557870368</v>
      </c>
      <c r="G267" s="1">
        <v>46037</v>
      </c>
      <c r="H267">
        <v>1891712215001</v>
      </c>
      <c r="I267">
        <v>12.17</v>
      </c>
      <c r="J267">
        <v>1.83</v>
      </c>
      <c r="K267">
        <v>14</v>
      </c>
    </row>
    <row r="268" spans="1:11" x14ac:dyDescent="0.25">
      <c r="A268">
        <v>1793107958001</v>
      </c>
      <c r="B268" t="s">
        <v>43</v>
      </c>
      <c r="C268" t="s">
        <v>108</v>
      </c>
      <c r="D268" t="s">
        <v>392</v>
      </c>
      <c r="E268">
        <v>1.5012026011793101E+48</v>
      </c>
      <c r="F268" s="3">
        <v>46037.438842592594</v>
      </c>
      <c r="G268" s="1">
        <v>46037</v>
      </c>
      <c r="H268">
        <v>1891712215001</v>
      </c>
      <c r="I268">
        <v>264.14</v>
      </c>
      <c r="J268">
        <v>39.619999999999997</v>
      </c>
      <c r="K268">
        <v>303.76</v>
      </c>
    </row>
    <row r="269" spans="1:11" x14ac:dyDescent="0.25">
      <c r="A269">
        <v>990018685001</v>
      </c>
      <c r="B269" t="s">
        <v>338</v>
      </c>
      <c r="C269" t="s">
        <v>108</v>
      </c>
      <c r="D269" t="s">
        <v>393</v>
      </c>
      <c r="E269">
        <v>1.5012026010989999E+48</v>
      </c>
      <c r="F269" s="3">
        <v>46037.487581018519</v>
      </c>
      <c r="G269" s="1">
        <v>46037</v>
      </c>
      <c r="H269">
        <v>1891712215001</v>
      </c>
      <c r="I269">
        <v>586.86</v>
      </c>
      <c r="J269">
        <v>88.03</v>
      </c>
      <c r="K269">
        <v>674.89</v>
      </c>
    </row>
    <row r="270" spans="1:11" x14ac:dyDescent="0.25">
      <c r="A270">
        <v>1802565182001</v>
      </c>
      <c r="B270" t="s">
        <v>56</v>
      </c>
      <c r="C270" t="s">
        <v>108</v>
      </c>
      <c r="D270" t="s">
        <v>394</v>
      </c>
      <c r="E270">
        <v>1.5012026011802499E+48</v>
      </c>
      <c r="F270" s="3">
        <v>46037.512916666667</v>
      </c>
      <c r="G270" s="1">
        <v>46037</v>
      </c>
      <c r="H270">
        <v>1891712215001</v>
      </c>
      <c r="I270">
        <v>10</v>
      </c>
      <c r="J270">
        <v>1.5</v>
      </c>
      <c r="K270">
        <v>11.5</v>
      </c>
    </row>
    <row r="271" spans="1:11" x14ac:dyDescent="0.25">
      <c r="A271">
        <v>1802565182001</v>
      </c>
      <c r="B271" t="s">
        <v>56</v>
      </c>
      <c r="C271" t="s">
        <v>108</v>
      </c>
      <c r="D271" t="s">
        <v>395</v>
      </c>
      <c r="E271">
        <v>1.5012026011802499E+48</v>
      </c>
      <c r="F271" s="3">
        <v>46037.513344907406</v>
      </c>
      <c r="G271" s="1">
        <v>46037</v>
      </c>
      <c r="H271">
        <v>1891712215001</v>
      </c>
      <c r="I271">
        <v>10</v>
      </c>
      <c r="J271">
        <v>1.5</v>
      </c>
      <c r="K271">
        <v>11.5</v>
      </c>
    </row>
    <row r="272" spans="1:11" x14ac:dyDescent="0.25">
      <c r="A272">
        <v>604389825001</v>
      </c>
      <c r="B272" t="s">
        <v>22</v>
      </c>
      <c r="C272" t="s">
        <v>108</v>
      </c>
      <c r="D272" t="s">
        <v>396</v>
      </c>
      <c r="E272">
        <v>1.5012026010604299E+48</v>
      </c>
      <c r="F272" s="3">
        <v>46037.539629629631</v>
      </c>
      <c r="G272" s="1">
        <v>46037</v>
      </c>
      <c r="H272">
        <v>1891712215001</v>
      </c>
      <c r="I272">
        <v>121.74</v>
      </c>
      <c r="J272">
        <v>18.260000000000002</v>
      </c>
      <c r="K272">
        <v>140</v>
      </c>
    </row>
    <row r="273" spans="1:11" x14ac:dyDescent="0.25">
      <c r="A273">
        <v>1801719152001</v>
      </c>
      <c r="B273" t="s">
        <v>52</v>
      </c>
      <c r="C273" t="s">
        <v>108</v>
      </c>
      <c r="D273" t="s">
        <v>397</v>
      </c>
      <c r="E273">
        <v>1.5012026011801701E+48</v>
      </c>
      <c r="F273" s="3">
        <v>46037.541006944448</v>
      </c>
      <c r="G273" s="1">
        <v>46037</v>
      </c>
      <c r="H273">
        <v>1891712215001</v>
      </c>
      <c r="I273">
        <v>2685.04</v>
      </c>
      <c r="J273">
        <v>402.76</v>
      </c>
      <c r="K273">
        <v>3087.8</v>
      </c>
    </row>
    <row r="274" spans="1:11" x14ac:dyDescent="0.25">
      <c r="A274">
        <v>990049459001</v>
      </c>
      <c r="B274" t="s">
        <v>149</v>
      </c>
      <c r="C274" t="s">
        <v>108</v>
      </c>
      <c r="D274" t="s">
        <v>398</v>
      </c>
      <c r="E274">
        <v>1.5012026010989999E+48</v>
      </c>
      <c r="F274" s="3">
        <v>46038.59814814815</v>
      </c>
      <c r="G274" s="1">
        <v>46037</v>
      </c>
      <c r="H274">
        <v>1891712215001</v>
      </c>
      <c r="I274">
        <v>1.71</v>
      </c>
      <c r="J274">
        <v>0.26</v>
      </c>
      <c r="K274">
        <v>1.97</v>
      </c>
    </row>
    <row r="275" spans="1:11" x14ac:dyDescent="0.25">
      <c r="A275">
        <v>1790009459001</v>
      </c>
      <c r="B275" t="s">
        <v>136</v>
      </c>
      <c r="C275" t="s">
        <v>108</v>
      </c>
      <c r="D275" t="s">
        <v>399</v>
      </c>
      <c r="E275">
        <v>1.5012026011789999E+48</v>
      </c>
      <c r="F275" s="3">
        <v>46037.752743055556</v>
      </c>
      <c r="G275" s="1">
        <v>46037</v>
      </c>
      <c r="H275">
        <v>1891712215001</v>
      </c>
      <c r="I275">
        <v>514.66999999999996</v>
      </c>
      <c r="J275">
        <v>77.2</v>
      </c>
      <c r="K275">
        <v>591.87</v>
      </c>
    </row>
    <row r="276" spans="1:11" x14ac:dyDescent="0.25">
      <c r="A276">
        <v>1790283380001</v>
      </c>
      <c r="B276" t="s">
        <v>107</v>
      </c>
      <c r="C276" t="s">
        <v>108</v>
      </c>
      <c r="D276" t="s">
        <v>400</v>
      </c>
      <c r="E276">
        <v>1.50120260117902E+48</v>
      </c>
      <c r="F276" s="3">
        <v>46037.405358796299</v>
      </c>
      <c r="G276" s="1">
        <v>46037</v>
      </c>
      <c r="H276">
        <v>1891712215001</v>
      </c>
      <c r="I276">
        <v>5.56</v>
      </c>
      <c r="J276">
        <v>0.83</v>
      </c>
      <c r="K276">
        <v>6.39</v>
      </c>
    </row>
    <row r="277" spans="1:11" x14ac:dyDescent="0.25">
      <c r="A277">
        <v>604599126001</v>
      </c>
      <c r="B277" t="s">
        <v>23</v>
      </c>
      <c r="C277" t="s">
        <v>108</v>
      </c>
      <c r="D277" t="s">
        <v>401</v>
      </c>
      <c r="E277">
        <v>1.50120260106045E+48</v>
      </c>
      <c r="F277" s="3">
        <v>46037.448958333334</v>
      </c>
      <c r="G277" s="1">
        <v>46037</v>
      </c>
      <c r="H277">
        <v>1891712215001</v>
      </c>
      <c r="I277">
        <v>20.37</v>
      </c>
      <c r="J277">
        <v>3.06</v>
      </c>
      <c r="K277">
        <v>23.43</v>
      </c>
    </row>
    <row r="278" spans="1:11" x14ac:dyDescent="0.25">
      <c r="A278">
        <v>1793107958001</v>
      </c>
      <c r="B278" t="s">
        <v>43</v>
      </c>
      <c r="C278" t="s">
        <v>108</v>
      </c>
      <c r="D278" t="s">
        <v>402</v>
      </c>
      <c r="E278">
        <v>1.5012026011793101E+48</v>
      </c>
      <c r="F278" s="3">
        <v>46037.541932870372</v>
      </c>
      <c r="G278" s="1">
        <v>46037</v>
      </c>
      <c r="H278">
        <v>1891712215001</v>
      </c>
      <c r="I278">
        <v>112.61</v>
      </c>
      <c r="J278">
        <v>16.89</v>
      </c>
      <c r="K278">
        <v>129.5</v>
      </c>
    </row>
    <row r="279" spans="1:11" x14ac:dyDescent="0.25">
      <c r="A279">
        <v>1793162797001</v>
      </c>
      <c r="B279" t="s">
        <v>46</v>
      </c>
      <c r="C279" t="s">
        <v>108</v>
      </c>
      <c r="D279" t="s">
        <v>403</v>
      </c>
      <c r="E279">
        <v>1.5012026011793101E+48</v>
      </c>
      <c r="F279" s="3">
        <v>46037.542314814818</v>
      </c>
      <c r="G279" s="1">
        <v>46037</v>
      </c>
      <c r="H279">
        <v>1891712215001</v>
      </c>
      <c r="I279">
        <v>20.09</v>
      </c>
      <c r="J279">
        <v>3.01</v>
      </c>
      <c r="K279">
        <v>23.1</v>
      </c>
    </row>
    <row r="280" spans="1:11" x14ac:dyDescent="0.25">
      <c r="A280">
        <v>1793107958001</v>
      </c>
      <c r="B280" t="s">
        <v>43</v>
      </c>
      <c r="C280" t="s">
        <v>108</v>
      </c>
      <c r="D280" t="s">
        <v>404</v>
      </c>
      <c r="E280">
        <v>1.5012026011793101E+48</v>
      </c>
      <c r="F280" s="3">
        <v>46037.54173611111</v>
      </c>
      <c r="G280" s="1">
        <v>46037</v>
      </c>
      <c r="H280">
        <v>1891712215001</v>
      </c>
      <c r="I280">
        <v>38.700000000000003</v>
      </c>
      <c r="J280">
        <v>5.81</v>
      </c>
      <c r="K280">
        <v>44.51</v>
      </c>
    </row>
    <row r="281" spans="1:11" x14ac:dyDescent="0.25">
      <c r="A281">
        <v>604599126001</v>
      </c>
      <c r="B281" t="s">
        <v>23</v>
      </c>
      <c r="C281" t="s">
        <v>108</v>
      </c>
      <c r="D281" t="s">
        <v>405</v>
      </c>
      <c r="E281">
        <v>1.6012026010604501E+48</v>
      </c>
      <c r="F281" s="3">
        <v>46038.431018518517</v>
      </c>
      <c r="G281" s="1">
        <v>46038</v>
      </c>
      <c r="H281">
        <v>1891712215001</v>
      </c>
      <c r="I281">
        <v>17.87</v>
      </c>
      <c r="J281">
        <v>2.68</v>
      </c>
      <c r="K281">
        <v>20.55</v>
      </c>
    </row>
    <row r="282" spans="1:11" x14ac:dyDescent="0.25">
      <c r="A282">
        <v>1790041220001</v>
      </c>
      <c r="B282" t="s">
        <v>34</v>
      </c>
      <c r="C282" t="s">
        <v>108</v>
      </c>
      <c r="D282" t="s">
        <v>406</v>
      </c>
      <c r="E282">
        <v>1.6012026011789999E+48</v>
      </c>
      <c r="F282" s="3">
        <v>46038.68854166667</v>
      </c>
      <c r="G282" s="1">
        <v>46038</v>
      </c>
      <c r="H282">
        <v>1891712215001</v>
      </c>
      <c r="I282">
        <v>74.89</v>
      </c>
      <c r="J282">
        <v>11.23</v>
      </c>
      <c r="K282">
        <v>86.12</v>
      </c>
    </row>
    <row r="283" spans="1:11" x14ac:dyDescent="0.25">
      <c r="A283">
        <v>1790009459001</v>
      </c>
      <c r="B283" t="s">
        <v>136</v>
      </c>
      <c r="C283" t="s">
        <v>108</v>
      </c>
      <c r="D283" t="s">
        <v>407</v>
      </c>
      <c r="E283">
        <v>1.6012026011789999E+48</v>
      </c>
      <c r="F283" s="3">
        <v>46038.750671296293</v>
      </c>
      <c r="G283" s="1">
        <v>46038</v>
      </c>
      <c r="H283">
        <v>1891712215001</v>
      </c>
      <c r="I283">
        <v>285.58</v>
      </c>
      <c r="J283">
        <v>42.84</v>
      </c>
      <c r="K283">
        <v>328.42</v>
      </c>
    </row>
    <row r="284" spans="1:11" x14ac:dyDescent="0.25">
      <c r="A284">
        <v>1891786383001</v>
      </c>
      <c r="B284" t="s">
        <v>90</v>
      </c>
      <c r="C284" t="s">
        <v>108</v>
      </c>
      <c r="D284" t="s">
        <v>408</v>
      </c>
      <c r="E284">
        <v>1.60120260118917E+48</v>
      </c>
      <c r="F284" s="3">
        <v>46038.459004629629</v>
      </c>
      <c r="G284" s="1">
        <v>46038</v>
      </c>
      <c r="H284">
        <v>1891712215001</v>
      </c>
      <c r="I284">
        <v>153.80000000000001</v>
      </c>
      <c r="J284">
        <v>23.07</v>
      </c>
      <c r="K284">
        <v>176.87</v>
      </c>
    </row>
    <row r="285" spans="1:11" x14ac:dyDescent="0.25">
      <c r="A285">
        <v>1891786383001</v>
      </c>
      <c r="B285" t="s">
        <v>90</v>
      </c>
      <c r="C285" t="s">
        <v>108</v>
      </c>
      <c r="D285" t="s">
        <v>409</v>
      </c>
      <c r="E285">
        <v>1.60120260118917E+48</v>
      </c>
      <c r="F285" s="3">
        <v>46038.462789351855</v>
      </c>
      <c r="G285" s="1">
        <v>46038</v>
      </c>
      <c r="H285">
        <v>1891712215001</v>
      </c>
      <c r="I285">
        <v>453.67</v>
      </c>
      <c r="J285">
        <v>68.05</v>
      </c>
      <c r="K285">
        <v>521.72</v>
      </c>
    </row>
    <row r="286" spans="1:11" x14ac:dyDescent="0.25">
      <c r="A286">
        <v>1793107958001</v>
      </c>
      <c r="B286" t="s">
        <v>43</v>
      </c>
      <c r="C286" t="s">
        <v>108</v>
      </c>
      <c r="D286" t="s">
        <v>410</v>
      </c>
      <c r="E286">
        <v>1.6012026011793099E+48</v>
      </c>
      <c r="F286" s="3">
        <v>46038.708368055559</v>
      </c>
      <c r="G286" s="1">
        <v>46038</v>
      </c>
      <c r="H286">
        <v>1891712215001</v>
      </c>
      <c r="I286">
        <v>277.01</v>
      </c>
      <c r="J286">
        <v>41.55</v>
      </c>
      <c r="K286">
        <v>318.56</v>
      </c>
    </row>
    <row r="287" spans="1:11" x14ac:dyDescent="0.25">
      <c r="A287">
        <v>1802565182001</v>
      </c>
      <c r="B287" t="s">
        <v>56</v>
      </c>
      <c r="C287" t="s">
        <v>108</v>
      </c>
      <c r="D287" t="s">
        <v>411</v>
      </c>
      <c r="E287">
        <v>1.60120260118025E+48</v>
      </c>
      <c r="F287" s="3">
        <v>46038.376550925925</v>
      </c>
      <c r="G287" s="1">
        <v>46038</v>
      </c>
      <c r="H287">
        <v>1891712215001</v>
      </c>
      <c r="I287">
        <v>10</v>
      </c>
      <c r="J287">
        <v>1.5</v>
      </c>
      <c r="K287">
        <v>11.5</v>
      </c>
    </row>
    <row r="288" spans="1:11" x14ac:dyDescent="0.25">
      <c r="A288">
        <v>1802565182001</v>
      </c>
      <c r="B288" t="s">
        <v>56</v>
      </c>
      <c r="C288" t="s">
        <v>108</v>
      </c>
      <c r="D288" t="s">
        <v>412</v>
      </c>
      <c r="E288">
        <v>1.60120260118025E+48</v>
      </c>
      <c r="F288" s="3">
        <v>46038.377384259256</v>
      </c>
      <c r="G288" s="1">
        <v>46038</v>
      </c>
      <c r="H288">
        <v>1891712215001</v>
      </c>
      <c r="I288">
        <v>6</v>
      </c>
      <c r="J288">
        <v>0.9</v>
      </c>
      <c r="K288">
        <v>6.9</v>
      </c>
    </row>
    <row r="289" spans="1:11" x14ac:dyDescent="0.25">
      <c r="A289">
        <v>1890006791001</v>
      </c>
      <c r="B289" t="s">
        <v>413</v>
      </c>
      <c r="C289" t="s">
        <v>108</v>
      </c>
      <c r="D289" t="s">
        <v>414</v>
      </c>
      <c r="E289">
        <v>1.601202601189E+48</v>
      </c>
      <c r="F289" s="3">
        <v>46038.413993055554</v>
      </c>
      <c r="G289" s="1">
        <v>46038</v>
      </c>
      <c r="H289">
        <v>1891712215001</v>
      </c>
      <c r="I289">
        <v>5</v>
      </c>
      <c r="J289">
        <v>0</v>
      </c>
      <c r="K289">
        <v>5</v>
      </c>
    </row>
    <row r="290" spans="1:11" x14ac:dyDescent="0.25">
      <c r="A290">
        <v>1802565182001</v>
      </c>
      <c r="B290" t="s">
        <v>56</v>
      </c>
      <c r="C290" t="s">
        <v>108</v>
      </c>
      <c r="D290" t="s">
        <v>415</v>
      </c>
      <c r="E290">
        <v>1.60120260118025E+48</v>
      </c>
      <c r="F290" s="3">
        <v>46038.42659722222</v>
      </c>
      <c r="G290" s="1">
        <v>46038</v>
      </c>
      <c r="H290">
        <v>1891712215001</v>
      </c>
      <c r="I290">
        <v>10</v>
      </c>
      <c r="J290">
        <v>1.5</v>
      </c>
      <c r="K290">
        <v>11.5</v>
      </c>
    </row>
    <row r="291" spans="1:11" x14ac:dyDescent="0.25">
      <c r="A291">
        <v>1801880574001</v>
      </c>
      <c r="B291" t="s">
        <v>55</v>
      </c>
      <c r="C291" t="s">
        <v>108</v>
      </c>
      <c r="D291" t="s">
        <v>416</v>
      </c>
      <c r="E291">
        <v>1.6012026011801799E+48</v>
      </c>
      <c r="F291" s="3">
        <v>46038.403229166666</v>
      </c>
      <c r="G291" s="1">
        <v>46038</v>
      </c>
      <c r="H291">
        <v>1891712215001</v>
      </c>
      <c r="I291">
        <v>20</v>
      </c>
      <c r="J291">
        <v>3</v>
      </c>
      <c r="K291">
        <v>23</v>
      </c>
    </row>
    <row r="292" spans="1:11" x14ac:dyDescent="0.25">
      <c r="A292">
        <v>1801880574001</v>
      </c>
      <c r="B292" t="s">
        <v>55</v>
      </c>
      <c r="C292" t="s">
        <v>108</v>
      </c>
      <c r="D292" t="s">
        <v>417</v>
      </c>
      <c r="E292">
        <v>1.6012026011801799E+48</v>
      </c>
      <c r="F292" s="3">
        <v>46038.404189814813</v>
      </c>
      <c r="G292" s="1">
        <v>46038</v>
      </c>
      <c r="H292">
        <v>1891712215001</v>
      </c>
      <c r="I292">
        <v>10</v>
      </c>
      <c r="J292">
        <v>1.5</v>
      </c>
      <c r="K292">
        <v>11.5</v>
      </c>
    </row>
    <row r="293" spans="1:11" x14ac:dyDescent="0.25">
      <c r="A293">
        <v>604599126001</v>
      </c>
      <c r="B293" t="s">
        <v>23</v>
      </c>
      <c r="C293" t="s">
        <v>108</v>
      </c>
      <c r="D293" t="s">
        <v>418</v>
      </c>
      <c r="E293">
        <v>1.6012026010604501E+48</v>
      </c>
      <c r="F293" s="3">
        <v>46038.404733796298</v>
      </c>
      <c r="G293" s="1">
        <v>46038</v>
      </c>
      <c r="H293">
        <v>1891712215001</v>
      </c>
      <c r="I293">
        <v>17.87</v>
      </c>
      <c r="J293">
        <v>2.68</v>
      </c>
      <c r="K293">
        <v>20.55</v>
      </c>
    </row>
    <row r="294" spans="1:11" x14ac:dyDescent="0.25">
      <c r="A294">
        <v>1801880574001</v>
      </c>
      <c r="B294" t="s">
        <v>55</v>
      </c>
      <c r="C294" t="s">
        <v>108</v>
      </c>
      <c r="D294" t="s">
        <v>419</v>
      </c>
      <c r="E294">
        <v>1.6012026011801799E+48</v>
      </c>
      <c r="F294" s="3">
        <v>46038.40552083333</v>
      </c>
      <c r="G294" s="1">
        <v>46038</v>
      </c>
      <c r="H294">
        <v>1891712215001</v>
      </c>
      <c r="I294">
        <v>10</v>
      </c>
      <c r="J294">
        <v>1.5</v>
      </c>
      <c r="K294">
        <v>11.5</v>
      </c>
    </row>
    <row r="295" spans="1:11" x14ac:dyDescent="0.25">
      <c r="A295">
        <v>1801880574001</v>
      </c>
      <c r="B295" t="s">
        <v>55</v>
      </c>
      <c r="C295" t="s">
        <v>108</v>
      </c>
      <c r="D295" t="s">
        <v>420</v>
      </c>
      <c r="E295">
        <v>1.6012026011801799E+48</v>
      </c>
      <c r="F295" s="3">
        <v>46038.404791666668</v>
      </c>
      <c r="G295" s="1">
        <v>46038</v>
      </c>
      <c r="H295">
        <v>1891712215001</v>
      </c>
      <c r="I295">
        <v>20</v>
      </c>
      <c r="J295">
        <v>3</v>
      </c>
      <c r="K295">
        <v>23</v>
      </c>
    </row>
    <row r="296" spans="1:11" x14ac:dyDescent="0.25">
      <c r="A296">
        <v>1790283380001</v>
      </c>
      <c r="B296" t="s">
        <v>107</v>
      </c>
      <c r="C296" t="s">
        <v>108</v>
      </c>
      <c r="D296" t="s">
        <v>421</v>
      </c>
      <c r="E296">
        <v>1.6012026011790201E+48</v>
      </c>
      <c r="F296" s="3">
        <v>46038.390069444446</v>
      </c>
      <c r="G296" s="1">
        <v>46038</v>
      </c>
      <c r="H296">
        <v>1891712215001</v>
      </c>
      <c r="I296">
        <v>53.38</v>
      </c>
      <c r="J296">
        <v>8.01</v>
      </c>
      <c r="K296">
        <v>61.39</v>
      </c>
    </row>
    <row r="297" spans="1:11" x14ac:dyDescent="0.25">
      <c r="A297">
        <v>1790009459001</v>
      </c>
      <c r="B297" t="s">
        <v>136</v>
      </c>
      <c r="C297" t="s">
        <v>108</v>
      </c>
      <c r="D297" t="s">
        <v>422</v>
      </c>
      <c r="E297">
        <v>1.6012026011789999E+48</v>
      </c>
      <c r="F297" s="3">
        <v>46038.62568287037</v>
      </c>
      <c r="G297" s="1">
        <v>46038</v>
      </c>
      <c r="H297">
        <v>1891712215001</v>
      </c>
      <c r="I297">
        <v>2939.74</v>
      </c>
      <c r="J297">
        <v>440.96</v>
      </c>
      <c r="K297">
        <v>3380.7</v>
      </c>
    </row>
    <row r="298" spans="1:11" x14ac:dyDescent="0.25">
      <c r="A298">
        <v>1802565182001</v>
      </c>
      <c r="B298" t="s">
        <v>56</v>
      </c>
      <c r="C298" t="s">
        <v>108</v>
      </c>
      <c r="D298" t="s">
        <v>423</v>
      </c>
      <c r="E298">
        <v>1.60120260118025E+48</v>
      </c>
      <c r="F298" s="3">
        <v>46038.645150462966</v>
      </c>
      <c r="G298" s="1">
        <v>46038</v>
      </c>
      <c r="H298">
        <v>1891712215001</v>
      </c>
      <c r="I298">
        <v>6</v>
      </c>
      <c r="J298">
        <v>0.9</v>
      </c>
      <c r="K298">
        <v>6.9</v>
      </c>
    </row>
    <row r="299" spans="1:11" x14ac:dyDescent="0.25">
      <c r="A299">
        <v>1790283380001</v>
      </c>
      <c r="B299" t="s">
        <v>107</v>
      </c>
      <c r="C299" t="s">
        <v>108</v>
      </c>
      <c r="D299" t="s">
        <v>424</v>
      </c>
      <c r="E299">
        <v>1.6012026011790201E+48</v>
      </c>
      <c r="F299" s="3">
        <v>46038.386342592596</v>
      </c>
      <c r="G299" s="1">
        <v>46038</v>
      </c>
      <c r="H299">
        <v>1891712215001</v>
      </c>
      <c r="I299">
        <v>45.31</v>
      </c>
      <c r="J299">
        <v>6.8</v>
      </c>
      <c r="K299">
        <v>52.11</v>
      </c>
    </row>
    <row r="300" spans="1:11" x14ac:dyDescent="0.25">
      <c r="A300">
        <v>1793162797001</v>
      </c>
      <c r="B300" t="s">
        <v>46</v>
      </c>
      <c r="C300" t="s">
        <v>108</v>
      </c>
      <c r="D300" t="s">
        <v>425</v>
      </c>
      <c r="E300">
        <v>1.6012026011793099E+48</v>
      </c>
      <c r="F300" s="3">
        <v>46038.375324074077</v>
      </c>
      <c r="G300" s="1">
        <v>46038</v>
      </c>
      <c r="H300">
        <v>1891712215001</v>
      </c>
      <c r="I300">
        <v>139.94999999999999</v>
      </c>
      <c r="J300">
        <v>20.99</v>
      </c>
      <c r="K300">
        <v>160.94</v>
      </c>
    </row>
    <row r="301" spans="1:11" x14ac:dyDescent="0.25">
      <c r="A301">
        <v>1891796176001</v>
      </c>
      <c r="B301" t="s">
        <v>91</v>
      </c>
      <c r="C301" t="s">
        <v>108</v>
      </c>
      <c r="D301" t="s">
        <v>426</v>
      </c>
      <c r="E301">
        <v>1.60120260118917E+48</v>
      </c>
      <c r="F301" s="3">
        <v>46038.478564814817</v>
      </c>
      <c r="G301" s="1">
        <v>46038</v>
      </c>
      <c r="H301">
        <v>1891712215001</v>
      </c>
      <c r="I301">
        <v>12.17</v>
      </c>
      <c r="J301">
        <v>1.83</v>
      </c>
      <c r="K301">
        <v>14</v>
      </c>
    </row>
    <row r="302" spans="1:11" x14ac:dyDescent="0.25">
      <c r="A302">
        <v>1891796176001</v>
      </c>
      <c r="B302" t="s">
        <v>91</v>
      </c>
      <c r="C302" t="s">
        <v>108</v>
      </c>
      <c r="D302" t="s">
        <v>427</v>
      </c>
      <c r="E302">
        <v>1.60120260118917E+48</v>
      </c>
      <c r="F302" s="3">
        <v>46038.478622685187</v>
      </c>
      <c r="G302" s="1">
        <v>46038</v>
      </c>
      <c r="H302">
        <v>1891712215001</v>
      </c>
      <c r="I302">
        <v>12.17</v>
      </c>
      <c r="J302">
        <v>1.83</v>
      </c>
      <c r="K302">
        <v>14</v>
      </c>
    </row>
    <row r="303" spans="1:11" x14ac:dyDescent="0.25">
      <c r="A303">
        <v>1891796176001</v>
      </c>
      <c r="B303" t="s">
        <v>91</v>
      </c>
      <c r="C303" t="s">
        <v>108</v>
      </c>
      <c r="D303" t="s">
        <v>428</v>
      </c>
      <c r="E303">
        <v>1.60120260118917E+48</v>
      </c>
      <c r="F303" s="3">
        <v>46038.51121527778</v>
      </c>
      <c r="G303" s="1">
        <v>46038</v>
      </c>
      <c r="H303">
        <v>1891712215001</v>
      </c>
      <c r="I303">
        <v>12.17</v>
      </c>
      <c r="J303">
        <v>1.83</v>
      </c>
      <c r="K303">
        <v>14</v>
      </c>
    </row>
    <row r="304" spans="1:11" x14ac:dyDescent="0.25">
      <c r="A304">
        <v>1793107958001</v>
      </c>
      <c r="B304" t="s">
        <v>43</v>
      </c>
      <c r="C304" t="s">
        <v>108</v>
      </c>
      <c r="D304" t="s">
        <v>429</v>
      </c>
      <c r="E304">
        <v>1.6012026011793099E+48</v>
      </c>
      <c r="F304" s="3">
        <v>46038.729537037034</v>
      </c>
      <c r="G304" s="1">
        <v>46038</v>
      </c>
      <c r="H304">
        <v>1891712215001</v>
      </c>
      <c r="I304">
        <v>215.98</v>
      </c>
      <c r="J304">
        <v>32.4</v>
      </c>
      <c r="K304">
        <v>248.38</v>
      </c>
    </row>
    <row r="305" spans="1:11" x14ac:dyDescent="0.25">
      <c r="A305">
        <v>604599126001</v>
      </c>
      <c r="B305" t="s">
        <v>23</v>
      </c>
      <c r="C305" t="s">
        <v>108</v>
      </c>
      <c r="D305" t="s">
        <v>430</v>
      </c>
      <c r="E305">
        <v>1.6012026010604501E+48</v>
      </c>
      <c r="F305" s="3">
        <v>46038.49082175926</v>
      </c>
      <c r="G305" s="1">
        <v>46038</v>
      </c>
      <c r="H305">
        <v>1891712215001</v>
      </c>
      <c r="I305">
        <v>17.87</v>
      </c>
      <c r="J305">
        <v>2.68</v>
      </c>
      <c r="K305">
        <v>20.55</v>
      </c>
    </row>
    <row r="306" spans="1:11" x14ac:dyDescent="0.25">
      <c r="A306">
        <v>1891786383001</v>
      </c>
      <c r="B306" t="s">
        <v>90</v>
      </c>
      <c r="C306" t="s">
        <v>108</v>
      </c>
      <c r="D306" t="s">
        <v>431</v>
      </c>
      <c r="E306">
        <v>1.60120260118917E+48</v>
      </c>
      <c r="F306" s="3">
        <v>46038.464756944442</v>
      </c>
      <c r="G306" s="1">
        <v>46038</v>
      </c>
      <c r="H306">
        <v>1891712215001</v>
      </c>
      <c r="I306">
        <v>236.87</v>
      </c>
      <c r="J306">
        <v>35.53</v>
      </c>
      <c r="K306">
        <v>272.39999999999998</v>
      </c>
    </row>
    <row r="307" spans="1:11" x14ac:dyDescent="0.25">
      <c r="A307">
        <v>1802565182001</v>
      </c>
      <c r="B307" t="s">
        <v>56</v>
      </c>
      <c r="C307" t="s">
        <v>108</v>
      </c>
      <c r="D307" t="s">
        <v>432</v>
      </c>
      <c r="E307">
        <v>1.60120260118025E+48</v>
      </c>
      <c r="F307" s="3">
        <v>46038.458495370367</v>
      </c>
      <c r="G307" s="1">
        <v>46038</v>
      </c>
      <c r="H307">
        <v>1891712215001</v>
      </c>
      <c r="I307">
        <v>10</v>
      </c>
      <c r="J307">
        <v>1.5</v>
      </c>
      <c r="K307">
        <v>11.5</v>
      </c>
    </row>
    <row r="308" spans="1:11" x14ac:dyDescent="0.25">
      <c r="A308">
        <v>1891796176001</v>
      </c>
      <c r="B308" t="s">
        <v>91</v>
      </c>
      <c r="C308" t="s">
        <v>108</v>
      </c>
      <c r="D308" t="s">
        <v>433</v>
      </c>
      <c r="E308">
        <v>1.60120260118917E+48</v>
      </c>
      <c r="F308" s="3">
        <v>46038.476493055554</v>
      </c>
      <c r="G308" s="1">
        <v>46038</v>
      </c>
      <c r="H308">
        <v>1891712215001</v>
      </c>
      <c r="I308">
        <v>17.39</v>
      </c>
      <c r="J308">
        <v>2.61</v>
      </c>
      <c r="K308">
        <v>20</v>
      </c>
    </row>
    <row r="309" spans="1:11" x14ac:dyDescent="0.25">
      <c r="A309">
        <v>1801880574001</v>
      </c>
      <c r="B309" t="s">
        <v>55</v>
      </c>
      <c r="C309" t="s">
        <v>108</v>
      </c>
      <c r="D309" t="s">
        <v>434</v>
      </c>
      <c r="E309">
        <v>1.6012026011801799E+48</v>
      </c>
      <c r="F309" s="3">
        <v>46038.502465277779</v>
      </c>
      <c r="G309" s="1">
        <v>46038</v>
      </c>
      <c r="H309">
        <v>1891712215001</v>
      </c>
      <c r="I309">
        <v>20</v>
      </c>
      <c r="J309">
        <v>3</v>
      </c>
      <c r="K309">
        <v>23</v>
      </c>
    </row>
    <row r="310" spans="1:11" x14ac:dyDescent="0.25">
      <c r="A310">
        <v>1801880574001</v>
      </c>
      <c r="B310" t="s">
        <v>55</v>
      </c>
      <c r="C310" t="s">
        <v>108</v>
      </c>
      <c r="D310" t="s">
        <v>435</v>
      </c>
      <c r="E310">
        <v>1.6012026011801799E+48</v>
      </c>
      <c r="F310" s="3">
        <v>46038.50335648148</v>
      </c>
      <c r="G310" s="1">
        <v>46038</v>
      </c>
      <c r="H310">
        <v>1891712215001</v>
      </c>
      <c r="I310">
        <v>10</v>
      </c>
      <c r="J310">
        <v>1.5</v>
      </c>
      <c r="K310">
        <v>11.5</v>
      </c>
    </row>
    <row r="311" spans="1:11" x14ac:dyDescent="0.25">
      <c r="A311">
        <v>1793107958001</v>
      </c>
      <c r="B311" t="s">
        <v>43</v>
      </c>
      <c r="C311" t="s">
        <v>108</v>
      </c>
      <c r="D311" t="s">
        <v>436</v>
      </c>
      <c r="E311">
        <v>1.6012026011793099E+48</v>
      </c>
      <c r="F311" s="3">
        <v>46038.54179398148</v>
      </c>
      <c r="G311" s="1">
        <v>46038</v>
      </c>
      <c r="H311">
        <v>1891712215001</v>
      </c>
      <c r="I311">
        <v>330.49</v>
      </c>
      <c r="J311">
        <v>49.57</v>
      </c>
      <c r="K311">
        <v>380.06</v>
      </c>
    </row>
    <row r="312" spans="1:11" x14ac:dyDescent="0.25">
      <c r="A312">
        <v>1891796176001</v>
      </c>
      <c r="B312" t="s">
        <v>91</v>
      </c>
      <c r="C312" t="s">
        <v>108</v>
      </c>
      <c r="D312" t="s">
        <v>437</v>
      </c>
      <c r="E312">
        <v>1.60120260118917E+48</v>
      </c>
      <c r="F312" s="3">
        <v>46038.512604166666</v>
      </c>
      <c r="G312" s="1">
        <v>46038</v>
      </c>
      <c r="H312">
        <v>1891712215001</v>
      </c>
      <c r="I312">
        <v>12.17</v>
      </c>
      <c r="J312">
        <v>1.83</v>
      </c>
      <c r="K312">
        <v>14</v>
      </c>
    </row>
    <row r="313" spans="1:11" x14ac:dyDescent="0.25">
      <c r="A313">
        <v>1791317025001</v>
      </c>
      <c r="B313" t="s">
        <v>438</v>
      </c>
      <c r="C313" t="s">
        <v>108</v>
      </c>
      <c r="D313" t="s">
        <v>439</v>
      </c>
      <c r="E313">
        <v>1.7012026011791302E+48</v>
      </c>
      <c r="F313" s="3">
        <v>46039.292372685188</v>
      </c>
      <c r="G313" s="1">
        <v>46039</v>
      </c>
      <c r="H313">
        <v>1891712215001</v>
      </c>
      <c r="I313">
        <v>1</v>
      </c>
      <c r="J313">
        <v>0</v>
      </c>
      <c r="K313">
        <v>1</v>
      </c>
    </row>
    <row r="314" spans="1:11" x14ac:dyDescent="0.25">
      <c r="A314">
        <v>1791317025001</v>
      </c>
      <c r="B314" t="s">
        <v>438</v>
      </c>
      <c r="C314" t="s">
        <v>108</v>
      </c>
      <c r="D314" t="s">
        <v>440</v>
      </c>
      <c r="E314">
        <v>1.7012026011791302E+48</v>
      </c>
      <c r="F314" s="3">
        <v>46039.317152777781</v>
      </c>
      <c r="G314" s="1">
        <v>46039</v>
      </c>
      <c r="H314">
        <v>1891712215001</v>
      </c>
      <c r="I314">
        <v>1</v>
      </c>
      <c r="J314">
        <v>0</v>
      </c>
      <c r="K314">
        <v>1</v>
      </c>
    </row>
    <row r="315" spans="1:11" x14ac:dyDescent="0.25">
      <c r="A315">
        <v>1791317025001</v>
      </c>
      <c r="B315" t="s">
        <v>438</v>
      </c>
      <c r="C315" t="s">
        <v>108</v>
      </c>
      <c r="D315" t="s">
        <v>441</v>
      </c>
      <c r="E315">
        <v>1.7012026011791302E+48</v>
      </c>
      <c r="F315" s="3">
        <v>46039.850844907407</v>
      </c>
      <c r="G315" s="1">
        <v>46039</v>
      </c>
      <c r="H315">
        <v>1891712215001</v>
      </c>
      <c r="I315">
        <v>1</v>
      </c>
      <c r="J315">
        <v>0</v>
      </c>
      <c r="K315">
        <v>1</v>
      </c>
    </row>
    <row r="316" spans="1:11" x14ac:dyDescent="0.25">
      <c r="A316">
        <v>1791317025001</v>
      </c>
      <c r="B316" t="s">
        <v>438</v>
      </c>
      <c r="C316" t="s">
        <v>108</v>
      </c>
      <c r="D316" t="s">
        <v>442</v>
      </c>
      <c r="E316">
        <v>1.7012026011791302E+48</v>
      </c>
      <c r="F316" s="3">
        <v>46039.884166666663</v>
      </c>
      <c r="G316" s="1">
        <v>46039</v>
      </c>
      <c r="H316">
        <v>1891712215001</v>
      </c>
      <c r="I316">
        <v>1</v>
      </c>
      <c r="J316">
        <v>0</v>
      </c>
      <c r="K316">
        <v>1</v>
      </c>
    </row>
    <row r="317" spans="1:11" x14ac:dyDescent="0.25">
      <c r="A317">
        <v>1790283380001</v>
      </c>
      <c r="B317" t="s">
        <v>107</v>
      </c>
      <c r="C317" t="s">
        <v>108</v>
      </c>
      <c r="D317" t="s">
        <v>443</v>
      </c>
      <c r="E317">
        <v>1.7012026011790201E+48</v>
      </c>
      <c r="F317" s="3">
        <v>46039.517962962964</v>
      </c>
      <c r="G317" s="1">
        <v>46039</v>
      </c>
      <c r="H317">
        <v>1891712215001</v>
      </c>
      <c r="I317">
        <v>24.53</v>
      </c>
      <c r="J317">
        <v>3.68</v>
      </c>
      <c r="K317">
        <v>28.21</v>
      </c>
    </row>
    <row r="318" spans="1:11" x14ac:dyDescent="0.25">
      <c r="A318">
        <v>991285679001</v>
      </c>
      <c r="B318" t="s">
        <v>444</v>
      </c>
      <c r="C318" t="s">
        <v>108</v>
      </c>
      <c r="D318" t="s">
        <v>445</v>
      </c>
      <c r="E318">
        <v>1.7012026010991201E+48</v>
      </c>
      <c r="F318" s="3">
        <v>46039.524722222224</v>
      </c>
      <c r="G318" s="1">
        <v>46039</v>
      </c>
      <c r="H318">
        <v>1891712215001</v>
      </c>
      <c r="I318">
        <v>49.75</v>
      </c>
      <c r="J318">
        <v>7.46</v>
      </c>
      <c r="K318">
        <v>57.21</v>
      </c>
    </row>
    <row r="319" spans="1:11" x14ac:dyDescent="0.25">
      <c r="A319">
        <v>1790283380001</v>
      </c>
      <c r="B319" t="s">
        <v>107</v>
      </c>
      <c r="C319" t="s">
        <v>108</v>
      </c>
      <c r="D319" t="s">
        <v>446</v>
      </c>
      <c r="E319">
        <v>1.7012026011790201E+48</v>
      </c>
      <c r="F319" s="3">
        <v>46039.522870370369</v>
      </c>
      <c r="G319" s="1">
        <v>46039</v>
      </c>
      <c r="H319">
        <v>1891712215001</v>
      </c>
      <c r="I319">
        <v>276.2</v>
      </c>
      <c r="J319">
        <v>41.43</v>
      </c>
      <c r="K319">
        <v>317.63</v>
      </c>
    </row>
    <row r="320" spans="1:11" x14ac:dyDescent="0.25">
      <c r="A320">
        <v>1790283380001</v>
      </c>
      <c r="B320" t="s">
        <v>107</v>
      </c>
      <c r="C320" t="s">
        <v>108</v>
      </c>
      <c r="D320" t="s">
        <v>447</v>
      </c>
      <c r="E320">
        <v>1.7012026011790201E+48</v>
      </c>
      <c r="F320" s="3">
        <v>46039.524687500001</v>
      </c>
      <c r="G320" s="1">
        <v>46039</v>
      </c>
      <c r="H320">
        <v>1891712215001</v>
      </c>
      <c r="I320">
        <v>13.13</v>
      </c>
      <c r="J320">
        <v>1.97</v>
      </c>
      <c r="K320">
        <v>15.1</v>
      </c>
    </row>
    <row r="321" spans="1:11" x14ac:dyDescent="0.25">
      <c r="A321">
        <v>1791317025001</v>
      </c>
      <c r="B321" t="s">
        <v>438</v>
      </c>
      <c r="C321" t="s">
        <v>108</v>
      </c>
      <c r="D321" t="s">
        <v>448</v>
      </c>
      <c r="E321">
        <v>1.7012026011791302E+48</v>
      </c>
      <c r="F321" s="3">
        <v>46039.24726851852</v>
      </c>
      <c r="G321" s="1">
        <v>46039</v>
      </c>
      <c r="H321">
        <v>1891712215001</v>
      </c>
      <c r="I321">
        <v>1</v>
      </c>
      <c r="J321">
        <v>0</v>
      </c>
      <c r="K321">
        <v>1</v>
      </c>
    </row>
    <row r="322" spans="1:11" x14ac:dyDescent="0.25">
      <c r="A322">
        <v>1791317025001</v>
      </c>
      <c r="B322" t="s">
        <v>438</v>
      </c>
      <c r="C322" t="s">
        <v>108</v>
      </c>
      <c r="D322" t="s">
        <v>449</v>
      </c>
      <c r="E322">
        <v>1.8012026011791299E+48</v>
      </c>
      <c r="F322" s="3">
        <v>46040.785011574073</v>
      </c>
      <c r="G322" s="1">
        <v>46040</v>
      </c>
      <c r="H322">
        <v>1891712215001</v>
      </c>
      <c r="I322">
        <v>1</v>
      </c>
      <c r="J322">
        <v>0</v>
      </c>
      <c r="K322">
        <v>1</v>
      </c>
    </row>
    <row r="323" spans="1:11" x14ac:dyDescent="0.25">
      <c r="A323">
        <v>990049459001</v>
      </c>
      <c r="B323" t="s">
        <v>149</v>
      </c>
      <c r="C323" t="s">
        <v>108</v>
      </c>
      <c r="D323" t="s">
        <v>450</v>
      </c>
      <c r="E323">
        <v>1.9012026010989999E+48</v>
      </c>
      <c r="F323" s="3">
        <v>46042.901446759257</v>
      </c>
      <c r="G323" s="1">
        <v>46041</v>
      </c>
      <c r="H323">
        <v>1891712215001</v>
      </c>
      <c r="I323">
        <v>7.08</v>
      </c>
      <c r="J323">
        <v>1.06</v>
      </c>
      <c r="K323">
        <v>8.14</v>
      </c>
    </row>
    <row r="324" spans="1:11" x14ac:dyDescent="0.25">
      <c r="A324">
        <v>602119992001</v>
      </c>
      <c r="B324" t="s">
        <v>18</v>
      </c>
      <c r="C324" t="s">
        <v>108</v>
      </c>
      <c r="D324" t="s">
        <v>451</v>
      </c>
      <c r="E324">
        <v>1.9012026010602099E+48</v>
      </c>
      <c r="F324" s="3">
        <v>46041.675740740742</v>
      </c>
      <c r="G324" s="1">
        <v>46041</v>
      </c>
      <c r="H324">
        <v>1891712215001</v>
      </c>
      <c r="I324">
        <v>50</v>
      </c>
      <c r="J324">
        <v>0</v>
      </c>
      <c r="K324">
        <v>50</v>
      </c>
    </row>
    <row r="325" spans="1:11" x14ac:dyDescent="0.25">
      <c r="A325">
        <v>1793107958001</v>
      </c>
      <c r="B325" t="s">
        <v>43</v>
      </c>
      <c r="C325" t="s">
        <v>108</v>
      </c>
      <c r="D325" t="s">
        <v>452</v>
      </c>
      <c r="E325">
        <v>1.9012026011793101E+48</v>
      </c>
      <c r="F325" s="3">
        <v>46041.541678240741</v>
      </c>
      <c r="G325" s="1">
        <v>46041</v>
      </c>
      <c r="H325">
        <v>1891712215001</v>
      </c>
      <c r="I325">
        <v>116.16</v>
      </c>
      <c r="J325">
        <v>17.420000000000002</v>
      </c>
      <c r="K325">
        <v>133.58000000000001</v>
      </c>
    </row>
    <row r="326" spans="1:11" x14ac:dyDescent="0.25">
      <c r="A326">
        <v>1891809571001</v>
      </c>
      <c r="B326" t="s">
        <v>453</v>
      </c>
      <c r="C326" t="s">
        <v>108</v>
      </c>
      <c r="D326" t="s">
        <v>454</v>
      </c>
      <c r="E326">
        <v>1.90120260118918E+48</v>
      </c>
      <c r="F326" s="3">
        <v>46041.887881944444</v>
      </c>
      <c r="G326" s="1">
        <v>46041</v>
      </c>
      <c r="H326">
        <v>1891712215001</v>
      </c>
      <c r="I326">
        <v>29.22</v>
      </c>
      <c r="J326">
        <v>4.38</v>
      </c>
      <c r="K326">
        <v>33.6</v>
      </c>
    </row>
    <row r="327" spans="1:11" x14ac:dyDescent="0.25">
      <c r="A327">
        <v>604599126001</v>
      </c>
      <c r="B327" t="s">
        <v>23</v>
      </c>
      <c r="C327" t="s">
        <v>108</v>
      </c>
      <c r="D327" t="s">
        <v>455</v>
      </c>
      <c r="E327">
        <v>1.90120260106045E+48</v>
      </c>
      <c r="F327" s="3">
        <v>46041.502372685187</v>
      </c>
      <c r="G327" s="1">
        <v>46041</v>
      </c>
      <c r="H327">
        <v>1891712215001</v>
      </c>
      <c r="I327">
        <v>17.87</v>
      </c>
      <c r="J327">
        <v>2.68</v>
      </c>
      <c r="K327">
        <v>20.55</v>
      </c>
    </row>
    <row r="328" spans="1:11" x14ac:dyDescent="0.25">
      <c r="A328">
        <v>1802740876001</v>
      </c>
      <c r="B328" t="s">
        <v>59</v>
      </c>
      <c r="C328" t="s">
        <v>108</v>
      </c>
      <c r="D328" t="s">
        <v>456</v>
      </c>
      <c r="E328">
        <v>1.90120260118027E+48</v>
      </c>
      <c r="F328" s="3">
        <v>46041.512280092589</v>
      </c>
      <c r="G328" s="1">
        <v>46041</v>
      </c>
      <c r="H328">
        <v>1891712215001</v>
      </c>
      <c r="I328">
        <v>44</v>
      </c>
      <c r="J328">
        <v>0</v>
      </c>
      <c r="K328">
        <v>44</v>
      </c>
    </row>
    <row r="329" spans="1:11" x14ac:dyDescent="0.25">
      <c r="A329">
        <v>1803339124001</v>
      </c>
      <c r="B329" t="s">
        <v>62</v>
      </c>
      <c r="C329" t="s">
        <v>108</v>
      </c>
      <c r="D329" t="s">
        <v>457</v>
      </c>
      <c r="E329">
        <v>1.9012026011803301E+48</v>
      </c>
      <c r="F329" s="3">
        <v>46041.382118055553</v>
      </c>
      <c r="G329" s="1">
        <v>46041</v>
      </c>
      <c r="H329">
        <v>1891712215001</v>
      </c>
      <c r="I329">
        <v>365.22</v>
      </c>
      <c r="J329">
        <v>54.78</v>
      </c>
      <c r="K329">
        <v>420</v>
      </c>
    </row>
    <row r="330" spans="1:11" x14ac:dyDescent="0.25">
      <c r="A330">
        <v>1802565182001</v>
      </c>
      <c r="B330" t="s">
        <v>56</v>
      </c>
      <c r="C330" t="s">
        <v>108</v>
      </c>
      <c r="D330" t="s">
        <v>458</v>
      </c>
      <c r="E330">
        <v>1.9012026011802499E+48</v>
      </c>
      <c r="F330" s="3">
        <v>46041.410636574074</v>
      </c>
      <c r="G330" s="1">
        <v>46041</v>
      </c>
      <c r="H330">
        <v>1891712215001</v>
      </c>
      <c r="I330">
        <v>10</v>
      </c>
      <c r="J330">
        <v>1.5</v>
      </c>
      <c r="K330">
        <v>11.5</v>
      </c>
    </row>
    <row r="331" spans="1:11" x14ac:dyDescent="0.25">
      <c r="A331">
        <v>1793107958001</v>
      </c>
      <c r="B331" t="s">
        <v>43</v>
      </c>
      <c r="C331" t="s">
        <v>108</v>
      </c>
      <c r="D331" t="s">
        <v>459</v>
      </c>
      <c r="E331">
        <v>1.9012026011793101E+48</v>
      </c>
      <c r="F331" s="3">
        <v>46041.792627314811</v>
      </c>
      <c r="G331" s="1">
        <v>46041</v>
      </c>
      <c r="H331">
        <v>1891712215001</v>
      </c>
      <c r="I331">
        <v>735.44</v>
      </c>
      <c r="J331">
        <v>110.32</v>
      </c>
      <c r="K331">
        <v>845.76</v>
      </c>
    </row>
    <row r="332" spans="1:11" x14ac:dyDescent="0.25">
      <c r="A332">
        <v>1790009459001</v>
      </c>
      <c r="B332" t="s">
        <v>136</v>
      </c>
      <c r="C332" t="s">
        <v>108</v>
      </c>
      <c r="D332" t="s">
        <v>460</v>
      </c>
      <c r="E332">
        <v>1.9012026011789999E+48</v>
      </c>
      <c r="F332" s="3">
        <v>46041.752569444441</v>
      </c>
      <c r="G332" s="1">
        <v>46041</v>
      </c>
      <c r="H332">
        <v>1891712215001</v>
      </c>
      <c r="I332">
        <v>1543.39</v>
      </c>
      <c r="J332">
        <v>0</v>
      </c>
      <c r="K332">
        <v>1543.39</v>
      </c>
    </row>
    <row r="333" spans="1:11" x14ac:dyDescent="0.25">
      <c r="A333">
        <v>1790009459001</v>
      </c>
      <c r="B333" t="s">
        <v>136</v>
      </c>
      <c r="C333" t="s">
        <v>108</v>
      </c>
      <c r="D333" t="s">
        <v>461</v>
      </c>
      <c r="E333">
        <v>1.9012026011789999E+48</v>
      </c>
      <c r="F333" s="3">
        <v>46041.752488425926</v>
      </c>
      <c r="G333" s="1">
        <v>46041</v>
      </c>
      <c r="H333">
        <v>1891712215001</v>
      </c>
      <c r="I333">
        <v>668.65</v>
      </c>
      <c r="J333">
        <v>100.3</v>
      </c>
      <c r="K333">
        <v>768.95</v>
      </c>
    </row>
    <row r="334" spans="1:11" x14ac:dyDescent="0.25">
      <c r="A334">
        <v>1802565182001</v>
      </c>
      <c r="B334" t="s">
        <v>56</v>
      </c>
      <c r="C334" t="s">
        <v>108</v>
      </c>
      <c r="D334" t="s">
        <v>462</v>
      </c>
      <c r="E334">
        <v>1.9012026011802499E+48</v>
      </c>
      <c r="F334" s="3">
        <v>46041.670543981483</v>
      </c>
      <c r="G334" s="1">
        <v>46041</v>
      </c>
      <c r="H334">
        <v>1891712215001</v>
      </c>
      <c r="I334">
        <v>10</v>
      </c>
      <c r="J334">
        <v>1.5</v>
      </c>
      <c r="K334">
        <v>11.5</v>
      </c>
    </row>
    <row r="335" spans="1:11" x14ac:dyDescent="0.25">
      <c r="A335">
        <v>1802565182001</v>
      </c>
      <c r="B335" t="s">
        <v>56</v>
      </c>
      <c r="C335" t="s">
        <v>108</v>
      </c>
      <c r="D335" t="s">
        <v>463</v>
      </c>
      <c r="E335">
        <v>1.9012026011802499E+48</v>
      </c>
      <c r="F335" s="3">
        <v>46041.491574074076</v>
      </c>
      <c r="G335" s="1">
        <v>46041</v>
      </c>
      <c r="H335">
        <v>1891712215001</v>
      </c>
      <c r="I335">
        <v>10</v>
      </c>
      <c r="J335">
        <v>1.5</v>
      </c>
      <c r="K335">
        <v>11.5</v>
      </c>
    </row>
    <row r="336" spans="1:11" x14ac:dyDescent="0.25">
      <c r="A336">
        <v>1802740876001</v>
      </c>
      <c r="B336" t="s">
        <v>59</v>
      </c>
      <c r="C336" t="s">
        <v>108</v>
      </c>
      <c r="D336" t="s">
        <v>464</v>
      </c>
      <c r="E336">
        <v>1.90120260118027E+48</v>
      </c>
      <c r="F336" s="3">
        <v>46041.66710648148</v>
      </c>
      <c r="G336" s="1">
        <v>46041</v>
      </c>
      <c r="H336">
        <v>1891712215001</v>
      </c>
      <c r="I336">
        <v>24</v>
      </c>
      <c r="J336">
        <v>0</v>
      </c>
      <c r="K336">
        <v>24</v>
      </c>
    </row>
    <row r="337" spans="1:11" x14ac:dyDescent="0.25">
      <c r="A337">
        <v>992141913001</v>
      </c>
      <c r="B337" t="s">
        <v>28</v>
      </c>
      <c r="C337" t="s">
        <v>108</v>
      </c>
      <c r="D337" t="s">
        <v>465</v>
      </c>
      <c r="E337">
        <v>1.9012026010992098E+48</v>
      </c>
      <c r="F337" s="3">
        <v>46041.709699074076</v>
      </c>
      <c r="G337" s="1">
        <v>46041</v>
      </c>
      <c r="H337">
        <v>1891712215001</v>
      </c>
      <c r="I337">
        <v>10.78</v>
      </c>
      <c r="J337">
        <v>1.62</v>
      </c>
      <c r="K337">
        <v>12.4</v>
      </c>
    </row>
    <row r="338" spans="1:11" x14ac:dyDescent="0.25">
      <c r="A338">
        <v>1793107958001</v>
      </c>
      <c r="B338" t="s">
        <v>43</v>
      </c>
      <c r="C338" t="s">
        <v>108</v>
      </c>
      <c r="D338" t="s">
        <v>466</v>
      </c>
      <c r="E338">
        <v>1.9012026011793101E+48</v>
      </c>
      <c r="F338" s="3">
        <v>46041.708981481483</v>
      </c>
      <c r="G338" s="1">
        <v>46041</v>
      </c>
      <c r="H338">
        <v>1891712215001</v>
      </c>
      <c r="I338">
        <v>344.85</v>
      </c>
      <c r="J338">
        <v>51.73</v>
      </c>
      <c r="K338">
        <v>396.58</v>
      </c>
    </row>
    <row r="339" spans="1:11" x14ac:dyDescent="0.25">
      <c r="A339">
        <v>1803467222001</v>
      </c>
      <c r="B339" t="s">
        <v>66</v>
      </c>
      <c r="C339" t="s">
        <v>108</v>
      </c>
      <c r="D339" t="s">
        <v>467</v>
      </c>
      <c r="E339">
        <v>1.9012026011803401E+48</v>
      </c>
      <c r="F339" s="3">
        <v>46041.732199074075</v>
      </c>
      <c r="G339" s="1">
        <v>46041</v>
      </c>
      <c r="H339">
        <v>1891712215001</v>
      </c>
      <c r="I339">
        <v>45</v>
      </c>
      <c r="J339">
        <v>6.75</v>
      </c>
      <c r="K339">
        <v>51.75</v>
      </c>
    </row>
    <row r="340" spans="1:11" x14ac:dyDescent="0.25">
      <c r="A340">
        <v>1890001439001</v>
      </c>
      <c r="B340" t="s">
        <v>125</v>
      </c>
      <c r="C340" t="s">
        <v>108</v>
      </c>
      <c r="D340" t="s">
        <v>468</v>
      </c>
      <c r="E340">
        <v>1.9012026011889999E+48</v>
      </c>
      <c r="F340" s="3">
        <v>46041.982719907406</v>
      </c>
      <c r="G340" s="1">
        <v>46041</v>
      </c>
      <c r="H340">
        <v>1891712215001</v>
      </c>
      <c r="I340">
        <v>10.130000000000001</v>
      </c>
      <c r="J340">
        <v>0</v>
      </c>
      <c r="K340">
        <v>10.130000000000001</v>
      </c>
    </row>
    <row r="341" spans="1:11" x14ac:dyDescent="0.25">
      <c r="A341">
        <v>1891706509001</v>
      </c>
      <c r="B341" t="s">
        <v>469</v>
      </c>
      <c r="C341" t="s">
        <v>108</v>
      </c>
      <c r="D341" t="s">
        <v>470</v>
      </c>
      <c r="E341">
        <v>1.90120260118917E+48</v>
      </c>
      <c r="F341" s="3">
        <v>46042.794525462959</v>
      </c>
      <c r="G341" s="1">
        <v>46041</v>
      </c>
      <c r="H341">
        <v>1891712215001</v>
      </c>
      <c r="I341">
        <v>25</v>
      </c>
      <c r="J341">
        <v>3.75</v>
      </c>
      <c r="K341">
        <v>28.75</v>
      </c>
    </row>
    <row r="342" spans="1:11" x14ac:dyDescent="0.25">
      <c r="A342">
        <v>1804848115001</v>
      </c>
      <c r="B342" t="s">
        <v>74</v>
      </c>
      <c r="C342" t="s">
        <v>108</v>
      </c>
      <c r="D342" t="s">
        <v>471</v>
      </c>
      <c r="E342">
        <v>1.90120260118048E+48</v>
      </c>
      <c r="F342" s="3">
        <v>46041.615798611114</v>
      </c>
      <c r="G342" s="1">
        <v>46041</v>
      </c>
      <c r="H342">
        <v>1891712215001</v>
      </c>
      <c r="I342">
        <v>40</v>
      </c>
      <c r="J342">
        <v>6</v>
      </c>
      <c r="K342">
        <v>46</v>
      </c>
    </row>
    <row r="343" spans="1:11" x14ac:dyDescent="0.25">
      <c r="A343">
        <v>1793107958001</v>
      </c>
      <c r="B343" t="s">
        <v>43</v>
      </c>
      <c r="C343" t="s">
        <v>108</v>
      </c>
      <c r="D343" t="s">
        <v>472</v>
      </c>
      <c r="E343">
        <v>1.9012026011793101E+48</v>
      </c>
      <c r="F343" s="3">
        <v>46041.875069444446</v>
      </c>
      <c r="G343" s="1">
        <v>46041</v>
      </c>
      <c r="H343">
        <v>1891712215001</v>
      </c>
      <c r="I343">
        <v>1324.41</v>
      </c>
      <c r="J343">
        <v>198.66</v>
      </c>
      <c r="K343">
        <v>1523.07</v>
      </c>
    </row>
    <row r="344" spans="1:11" x14ac:dyDescent="0.25">
      <c r="A344">
        <v>604599126001</v>
      </c>
      <c r="B344" t="s">
        <v>23</v>
      </c>
      <c r="C344" t="s">
        <v>108</v>
      </c>
      <c r="D344" t="s">
        <v>473</v>
      </c>
      <c r="E344">
        <v>1.90120260106045E+48</v>
      </c>
      <c r="F344" s="3">
        <v>46041.447013888886</v>
      </c>
      <c r="G344" s="1">
        <v>46041</v>
      </c>
      <c r="H344">
        <v>1891712215001</v>
      </c>
      <c r="I344">
        <v>17.87</v>
      </c>
      <c r="J344">
        <v>2.68</v>
      </c>
      <c r="K344">
        <v>20.55</v>
      </c>
    </row>
    <row r="345" spans="1:11" x14ac:dyDescent="0.25">
      <c r="A345">
        <v>1793162797001</v>
      </c>
      <c r="B345" t="s">
        <v>46</v>
      </c>
      <c r="C345" t="s">
        <v>108</v>
      </c>
      <c r="D345" t="s">
        <v>474</v>
      </c>
      <c r="E345">
        <v>1.9012026011793101E+48</v>
      </c>
      <c r="F345" s="3">
        <v>46041.547592592593</v>
      </c>
      <c r="G345" s="1">
        <v>46041</v>
      </c>
      <c r="H345">
        <v>1891712215001</v>
      </c>
      <c r="I345">
        <v>462.44</v>
      </c>
      <c r="J345">
        <v>69.37</v>
      </c>
      <c r="K345">
        <v>531.80999999999995</v>
      </c>
    </row>
    <row r="346" spans="1:11" x14ac:dyDescent="0.25">
      <c r="A346">
        <v>990049459001</v>
      </c>
      <c r="B346" t="s">
        <v>149</v>
      </c>
      <c r="C346" t="s">
        <v>108</v>
      </c>
      <c r="D346" t="s">
        <v>475</v>
      </c>
      <c r="E346">
        <v>2.001202601099E+48</v>
      </c>
      <c r="F346" s="3">
        <v>46043.47488425926</v>
      </c>
      <c r="G346" s="1">
        <v>46042</v>
      </c>
      <c r="H346">
        <v>1891712215001</v>
      </c>
      <c r="I346">
        <v>0.21</v>
      </c>
      <c r="J346">
        <v>0.03</v>
      </c>
      <c r="K346">
        <v>0.24</v>
      </c>
    </row>
    <row r="347" spans="1:11" x14ac:dyDescent="0.25">
      <c r="A347">
        <v>1790283380001</v>
      </c>
      <c r="B347" t="s">
        <v>107</v>
      </c>
      <c r="C347" t="s">
        <v>108</v>
      </c>
      <c r="D347" t="s">
        <v>476</v>
      </c>
      <c r="E347">
        <v>2.0012026011790201E+48</v>
      </c>
      <c r="F347" s="3">
        <v>46042.408379629633</v>
      </c>
      <c r="G347" s="1">
        <v>46042</v>
      </c>
      <c r="H347">
        <v>1891712215001</v>
      </c>
      <c r="I347">
        <v>52.51</v>
      </c>
      <c r="J347">
        <v>7.88</v>
      </c>
      <c r="K347">
        <v>60.39</v>
      </c>
    </row>
    <row r="348" spans="1:11" x14ac:dyDescent="0.25">
      <c r="A348">
        <v>1793107958001</v>
      </c>
      <c r="B348" t="s">
        <v>43</v>
      </c>
      <c r="C348" t="s">
        <v>108</v>
      </c>
      <c r="D348" t="s">
        <v>477</v>
      </c>
      <c r="E348">
        <v>2.0012026011793099E+48</v>
      </c>
      <c r="F348" s="3">
        <v>46042.636134259257</v>
      </c>
      <c r="G348" s="1">
        <v>46042</v>
      </c>
      <c r="H348">
        <v>1891712215001</v>
      </c>
      <c r="I348">
        <v>9.24</v>
      </c>
      <c r="J348">
        <v>1.39</v>
      </c>
      <c r="K348">
        <v>10.63</v>
      </c>
    </row>
    <row r="349" spans="1:11" x14ac:dyDescent="0.25">
      <c r="A349">
        <v>1802565182001</v>
      </c>
      <c r="B349" t="s">
        <v>56</v>
      </c>
      <c r="C349" t="s">
        <v>108</v>
      </c>
      <c r="D349" t="s">
        <v>478</v>
      </c>
      <c r="E349">
        <v>2.00120260118025E+48</v>
      </c>
      <c r="F349" s="3">
        <v>46042.41306712963</v>
      </c>
      <c r="G349" s="1">
        <v>46042</v>
      </c>
      <c r="H349">
        <v>1891712215001</v>
      </c>
      <c r="I349">
        <v>6</v>
      </c>
      <c r="J349">
        <v>0.9</v>
      </c>
      <c r="K349">
        <v>6.9</v>
      </c>
    </row>
    <row r="350" spans="1:11" x14ac:dyDescent="0.25">
      <c r="A350">
        <v>1802565182001</v>
      </c>
      <c r="B350" t="s">
        <v>56</v>
      </c>
      <c r="C350" t="s">
        <v>108</v>
      </c>
      <c r="D350" t="s">
        <v>479</v>
      </c>
      <c r="E350">
        <v>2.00120260118025E+48</v>
      </c>
      <c r="F350" s="3">
        <v>46042.412002314813</v>
      </c>
      <c r="G350" s="1">
        <v>46042</v>
      </c>
      <c r="H350">
        <v>1891712215001</v>
      </c>
      <c r="I350">
        <v>10</v>
      </c>
      <c r="J350">
        <v>1.5</v>
      </c>
      <c r="K350">
        <v>11.5</v>
      </c>
    </row>
    <row r="351" spans="1:11" x14ac:dyDescent="0.25">
      <c r="A351">
        <v>1790283380001</v>
      </c>
      <c r="B351" t="s">
        <v>107</v>
      </c>
      <c r="C351" t="s">
        <v>108</v>
      </c>
      <c r="D351" t="s">
        <v>480</v>
      </c>
      <c r="E351">
        <v>2.0012026011790201E+48</v>
      </c>
      <c r="F351" s="3">
        <v>46042.404675925929</v>
      </c>
      <c r="G351" s="1">
        <v>46042</v>
      </c>
      <c r="H351">
        <v>1891712215001</v>
      </c>
      <c r="I351">
        <v>32.29</v>
      </c>
      <c r="J351">
        <v>4.84</v>
      </c>
      <c r="K351">
        <v>37.130000000000003</v>
      </c>
    </row>
    <row r="352" spans="1:11" x14ac:dyDescent="0.25">
      <c r="A352">
        <v>992629991001</v>
      </c>
      <c r="B352" t="s">
        <v>29</v>
      </c>
      <c r="C352" t="s">
        <v>108</v>
      </c>
      <c r="D352" t="s">
        <v>481</v>
      </c>
      <c r="E352">
        <v>2.0012026010992599E+48</v>
      </c>
      <c r="F352" s="3">
        <v>46042.897164351853</v>
      </c>
      <c r="G352" s="1">
        <v>46042</v>
      </c>
      <c r="H352">
        <v>1891712215001</v>
      </c>
      <c r="I352">
        <v>285</v>
      </c>
      <c r="J352">
        <v>42.75</v>
      </c>
      <c r="K352">
        <v>327.75</v>
      </c>
    </row>
    <row r="353" spans="1:11" x14ac:dyDescent="0.25">
      <c r="A353">
        <v>604599126001</v>
      </c>
      <c r="B353" t="s">
        <v>23</v>
      </c>
      <c r="C353" t="s">
        <v>108</v>
      </c>
      <c r="D353" t="s">
        <v>482</v>
      </c>
      <c r="E353">
        <v>2.0012026010604501E+48</v>
      </c>
      <c r="F353" s="3">
        <v>46042.384236111109</v>
      </c>
      <c r="G353" s="1">
        <v>46042</v>
      </c>
      <c r="H353">
        <v>1891712215001</v>
      </c>
      <c r="I353">
        <v>17.87</v>
      </c>
      <c r="J353">
        <v>2.68</v>
      </c>
      <c r="K353">
        <v>20.55</v>
      </c>
    </row>
    <row r="354" spans="1:11" x14ac:dyDescent="0.25">
      <c r="A354">
        <v>1790009459001</v>
      </c>
      <c r="B354" t="s">
        <v>136</v>
      </c>
      <c r="C354" t="s">
        <v>108</v>
      </c>
      <c r="D354" t="s">
        <v>483</v>
      </c>
      <c r="E354">
        <v>2.001202601179E+48</v>
      </c>
      <c r="F354" s="3">
        <v>46042.87909722222</v>
      </c>
      <c r="G354" s="1">
        <v>46042</v>
      </c>
      <c r="H354">
        <v>1891712215001</v>
      </c>
      <c r="I354">
        <v>1760.25</v>
      </c>
      <c r="J354">
        <v>264.04000000000002</v>
      </c>
      <c r="K354">
        <v>2024.29</v>
      </c>
    </row>
    <row r="355" spans="1:11" x14ac:dyDescent="0.25">
      <c r="A355">
        <v>1790009459001</v>
      </c>
      <c r="B355" t="s">
        <v>136</v>
      </c>
      <c r="C355" t="s">
        <v>108</v>
      </c>
      <c r="D355" t="s">
        <v>484</v>
      </c>
      <c r="E355">
        <v>2.001202601179E+48</v>
      </c>
      <c r="F355" s="3">
        <v>46042.878530092596</v>
      </c>
      <c r="G355" s="1">
        <v>46042</v>
      </c>
      <c r="H355">
        <v>1891712215001</v>
      </c>
      <c r="I355">
        <v>2811.71</v>
      </c>
      <c r="J355">
        <v>421.76</v>
      </c>
      <c r="K355">
        <v>3233.47</v>
      </c>
    </row>
    <row r="356" spans="1:11" x14ac:dyDescent="0.25">
      <c r="A356">
        <v>1793162797001</v>
      </c>
      <c r="B356" t="s">
        <v>46</v>
      </c>
      <c r="C356" t="s">
        <v>108</v>
      </c>
      <c r="D356" t="s">
        <v>485</v>
      </c>
      <c r="E356">
        <v>2.0012026011793099E+48</v>
      </c>
      <c r="F356" s="3">
        <v>46042.880787037036</v>
      </c>
      <c r="G356" s="1">
        <v>46042</v>
      </c>
      <c r="H356">
        <v>1891712215001</v>
      </c>
      <c r="I356">
        <v>503.71</v>
      </c>
      <c r="J356">
        <v>75.56</v>
      </c>
      <c r="K356">
        <v>579.27</v>
      </c>
    </row>
    <row r="357" spans="1:11" x14ac:dyDescent="0.25">
      <c r="A357">
        <v>1790009459001</v>
      </c>
      <c r="B357" t="s">
        <v>136</v>
      </c>
      <c r="C357" t="s">
        <v>108</v>
      </c>
      <c r="D357" t="s">
        <v>486</v>
      </c>
      <c r="E357">
        <v>2.001202601179E+48</v>
      </c>
      <c r="F357" s="3">
        <v>46042.878599537034</v>
      </c>
      <c r="G357" s="1">
        <v>46042</v>
      </c>
      <c r="H357">
        <v>1891712215001</v>
      </c>
      <c r="I357">
        <v>1740.75</v>
      </c>
      <c r="J357">
        <v>261.11</v>
      </c>
      <c r="K357">
        <v>2001.86</v>
      </c>
    </row>
    <row r="358" spans="1:11" x14ac:dyDescent="0.25">
      <c r="A358">
        <v>190123626001</v>
      </c>
      <c r="B358" t="s">
        <v>487</v>
      </c>
      <c r="C358" t="s">
        <v>108</v>
      </c>
      <c r="D358" t="s">
        <v>488</v>
      </c>
      <c r="E358">
        <v>2.00120260101901E+48</v>
      </c>
      <c r="F358" s="3">
        <v>46042.525879629633</v>
      </c>
      <c r="G358" s="1">
        <v>46042</v>
      </c>
      <c r="H358">
        <v>1891712215001</v>
      </c>
      <c r="I358">
        <v>5304.68</v>
      </c>
      <c r="J358">
        <v>795.7</v>
      </c>
      <c r="K358">
        <v>6100.38</v>
      </c>
    </row>
    <row r="359" spans="1:11" x14ac:dyDescent="0.25">
      <c r="A359">
        <v>604599126001</v>
      </c>
      <c r="B359" t="s">
        <v>23</v>
      </c>
      <c r="C359" t="s">
        <v>108</v>
      </c>
      <c r="D359" t="s">
        <v>489</v>
      </c>
      <c r="E359">
        <v>2.0012026010604501E+48</v>
      </c>
      <c r="F359" s="3">
        <v>46042.472870370373</v>
      </c>
      <c r="G359" s="1">
        <v>46042</v>
      </c>
      <c r="H359">
        <v>1891712215001</v>
      </c>
      <c r="I359">
        <v>17.87</v>
      </c>
      <c r="J359">
        <v>2.68</v>
      </c>
      <c r="K359">
        <v>20.55</v>
      </c>
    </row>
    <row r="360" spans="1:11" x14ac:dyDescent="0.25">
      <c r="A360">
        <v>1801880574001</v>
      </c>
      <c r="B360" t="s">
        <v>55</v>
      </c>
      <c r="C360" t="s">
        <v>108</v>
      </c>
      <c r="D360" t="s">
        <v>490</v>
      </c>
      <c r="E360">
        <v>2.0012026011801799E+48</v>
      </c>
      <c r="F360" s="3">
        <v>46042.443715277775</v>
      </c>
      <c r="G360" s="1">
        <v>46042</v>
      </c>
      <c r="H360">
        <v>1891712215001</v>
      </c>
      <c r="I360">
        <v>10</v>
      </c>
      <c r="J360">
        <v>1.5</v>
      </c>
      <c r="K360">
        <v>11.5</v>
      </c>
    </row>
    <row r="361" spans="1:11" x14ac:dyDescent="0.25">
      <c r="A361">
        <v>1801880574001</v>
      </c>
      <c r="B361" t="s">
        <v>55</v>
      </c>
      <c r="C361" t="s">
        <v>108</v>
      </c>
      <c r="D361" t="s">
        <v>491</v>
      </c>
      <c r="E361">
        <v>2.0012026011801799E+48</v>
      </c>
      <c r="F361" s="3">
        <v>46042.442986111113</v>
      </c>
      <c r="G361" s="1">
        <v>46042</v>
      </c>
      <c r="H361">
        <v>1891712215001</v>
      </c>
      <c r="I361">
        <v>20</v>
      </c>
      <c r="J361">
        <v>3</v>
      </c>
      <c r="K361">
        <v>23</v>
      </c>
    </row>
    <row r="362" spans="1:11" x14ac:dyDescent="0.25">
      <c r="A362">
        <v>1801880574001</v>
      </c>
      <c r="B362" t="s">
        <v>55</v>
      </c>
      <c r="C362" t="s">
        <v>108</v>
      </c>
      <c r="D362" t="s">
        <v>492</v>
      </c>
      <c r="E362">
        <v>2.0012026011801799E+48</v>
      </c>
      <c r="F362" s="3">
        <v>46042.442395833335</v>
      </c>
      <c r="G362" s="1">
        <v>46042</v>
      </c>
      <c r="H362">
        <v>1891712215001</v>
      </c>
      <c r="I362">
        <v>10</v>
      </c>
      <c r="J362">
        <v>1.5</v>
      </c>
      <c r="K362">
        <v>11.5</v>
      </c>
    </row>
    <row r="363" spans="1:11" x14ac:dyDescent="0.25">
      <c r="A363">
        <v>1801880574001</v>
      </c>
      <c r="B363" t="s">
        <v>55</v>
      </c>
      <c r="C363" t="s">
        <v>108</v>
      </c>
      <c r="D363" t="s">
        <v>493</v>
      </c>
      <c r="E363">
        <v>2.0012026011801799E+48</v>
      </c>
      <c r="F363" s="3">
        <v>46042.441435185188</v>
      </c>
      <c r="G363" s="1">
        <v>46042</v>
      </c>
      <c r="H363">
        <v>1891712215001</v>
      </c>
      <c r="I363">
        <v>20</v>
      </c>
      <c r="J363">
        <v>3</v>
      </c>
      <c r="K363">
        <v>23</v>
      </c>
    </row>
    <row r="364" spans="1:11" x14ac:dyDescent="0.25">
      <c r="A364">
        <v>1793162797001</v>
      </c>
      <c r="B364" t="s">
        <v>46</v>
      </c>
      <c r="C364" t="s">
        <v>108</v>
      </c>
      <c r="D364" t="s">
        <v>494</v>
      </c>
      <c r="E364">
        <v>2.0012026011793099E+48</v>
      </c>
      <c r="F364" s="3">
        <v>46042.568483796298</v>
      </c>
      <c r="G364" s="1">
        <v>46042</v>
      </c>
      <c r="H364">
        <v>1891712215001</v>
      </c>
      <c r="I364">
        <v>123.72</v>
      </c>
      <c r="J364">
        <v>18.559999999999999</v>
      </c>
      <c r="K364">
        <v>142.28</v>
      </c>
    </row>
    <row r="365" spans="1:11" x14ac:dyDescent="0.25">
      <c r="A365">
        <v>1802565182001</v>
      </c>
      <c r="B365" t="s">
        <v>56</v>
      </c>
      <c r="C365" t="s">
        <v>108</v>
      </c>
      <c r="D365" t="s">
        <v>495</v>
      </c>
      <c r="E365">
        <v>2.00120260118025E+48</v>
      </c>
      <c r="F365" s="3">
        <v>46042.561874999999</v>
      </c>
      <c r="G365" s="1">
        <v>46042</v>
      </c>
      <c r="H365">
        <v>1891712215001</v>
      </c>
      <c r="I365">
        <v>10</v>
      </c>
      <c r="J365">
        <v>1.5</v>
      </c>
      <c r="K365">
        <v>11.5</v>
      </c>
    </row>
    <row r="366" spans="1:11" x14ac:dyDescent="0.25">
      <c r="A366">
        <v>1801719152001</v>
      </c>
      <c r="B366" t="s">
        <v>52</v>
      </c>
      <c r="C366" t="s">
        <v>108</v>
      </c>
      <c r="D366" t="s">
        <v>496</v>
      </c>
      <c r="E366">
        <v>2.0012026011801699E+48</v>
      </c>
      <c r="F366" s="3">
        <v>46042.668796296297</v>
      </c>
      <c r="G366" s="1">
        <v>46042</v>
      </c>
      <c r="H366">
        <v>1891712215001</v>
      </c>
      <c r="I366">
        <v>200</v>
      </c>
      <c r="J366">
        <v>30</v>
      </c>
      <c r="K366">
        <v>230</v>
      </c>
    </row>
    <row r="367" spans="1:11" x14ac:dyDescent="0.25">
      <c r="A367">
        <v>1793107958001</v>
      </c>
      <c r="B367" t="s">
        <v>43</v>
      </c>
      <c r="C367" t="s">
        <v>108</v>
      </c>
      <c r="D367" t="s">
        <v>497</v>
      </c>
      <c r="E367">
        <v>2.0012026011793099E+48</v>
      </c>
      <c r="F367" s="3">
        <v>46042.679224537038</v>
      </c>
      <c r="G367" s="1">
        <v>46042</v>
      </c>
      <c r="H367">
        <v>1891712215001</v>
      </c>
      <c r="I367">
        <v>233.99</v>
      </c>
      <c r="J367">
        <v>35.1</v>
      </c>
      <c r="K367">
        <v>269.08999999999997</v>
      </c>
    </row>
    <row r="368" spans="1:11" x14ac:dyDescent="0.25">
      <c r="A368">
        <v>1802565182001</v>
      </c>
      <c r="B368" t="s">
        <v>56</v>
      </c>
      <c r="C368" t="s">
        <v>108</v>
      </c>
      <c r="D368" t="s">
        <v>498</v>
      </c>
      <c r="E368">
        <v>2.00120260118025E+48</v>
      </c>
      <c r="F368" s="3">
        <v>46042.677442129629</v>
      </c>
      <c r="G368" s="1">
        <v>46042</v>
      </c>
      <c r="H368">
        <v>1891712215001</v>
      </c>
      <c r="I368">
        <v>6</v>
      </c>
      <c r="J368">
        <v>0.9</v>
      </c>
      <c r="K368">
        <v>6.9</v>
      </c>
    </row>
    <row r="369" spans="1:11" x14ac:dyDescent="0.25">
      <c r="A369">
        <v>1793107958001</v>
      </c>
      <c r="B369" t="s">
        <v>43</v>
      </c>
      <c r="C369" t="s">
        <v>108</v>
      </c>
      <c r="D369" t="s">
        <v>499</v>
      </c>
      <c r="E369">
        <v>2.0012026011793099E+48</v>
      </c>
      <c r="F369" s="3">
        <v>46042.87804398148</v>
      </c>
      <c r="G369" s="1">
        <v>46042</v>
      </c>
      <c r="H369">
        <v>1891712215001</v>
      </c>
      <c r="I369">
        <v>1233.6199999999999</v>
      </c>
      <c r="J369">
        <v>185.04</v>
      </c>
      <c r="K369">
        <v>1418.66</v>
      </c>
    </row>
    <row r="370" spans="1:11" x14ac:dyDescent="0.25">
      <c r="A370">
        <v>1793107958001</v>
      </c>
      <c r="B370" t="s">
        <v>43</v>
      </c>
      <c r="C370" t="s">
        <v>108</v>
      </c>
      <c r="D370" t="s">
        <v>500</v>
      </c>
      <c r="E370">
        <v>2.0012026011793099E+48</v>
      </c>
      <c r="F370" s="3">
        <v>46042.877905092595</v>
      </c>
      <c r="G370" s="1">
        <v>46042</v>
      </c>
      <c r="H370">
        <v>1891712215001</v>
      </c>
      <c r="I370">
        <v>460.51</v>
      </c>
      <c r="J370">
        <v>69.08</v>
      </c>
      <c r="K370">
        <v>529.59</v>
      </c>
    </row>
    <row r="371" spans="1:11" x14ac:dyDescent="0.25">
      <c r="A371">
        <v>1801880574001</v>
      </c>
      <c r="B371" t="s">
        <v>55</v>
      </c>
      <c r="C371" t="s">
        <v>108</v>
      </c>
      <c r="D371" t="s">
        <v>501</v>
      </c>
      <c r="E371">
        <v>2.0012026011801799E+48</v>
      </c>
      <c r="F371" s="3">
        <v>46042.660949074074</v>
      </c>
      <c r="G371" s="1">
        <v>46042</v>
      </c>
      <c r="H371">
        <v>1891712215001</v>
      </c>
      <c r="I371">
        <v>20</v>
      </c>
      <c r="J371">
        <v>3</v>
      </c>
      <c r="K371">
        <v>23</v>
      </c>
    </row>
    <row r="372" spans="1:11" x14ac:dyDescent="0.25">
      <c r="A372">
        <v>1793107958001</v>
      </c>
      <c r="B372" t="s">
        <v>43</v>
      </c>
      <c r="C372" t="s">
        <v>108</v>
      </c>
      <c r="D372" t="s">
        <v>502</v>
      </c>
      <c r="E372">
        <v>2.10120260117931E+48</v>
      </c>
      <c r="F372" s="3">
        <v>46043.585659722223</v>
      </c>
      <c r="G372" s="1">
        <v>46043</v>
      </c>
      <c r="H372">
        <v>1891712215001</v>
      </c>
      <c r="I372">
        <v>158.44</v>
      </c>
      <c r="J372">
        <v>23.77</v>
      </c>
      <c r="K372">
        <v>182.21</v>
      </c>
    </row>
    <row r="373" spans="1:11" x14ac:dyDescent="0.25">
      <c r="A373">
        <v>1801880574001</v>
      </c>
      <c r="B373" t="s">
        <v>55</v>
      </c>
      <c r="C373" t="s">
        <v>108</v>
      </c>
      <c r="D373" t="s">
        <v>503</v>
      </c>
      <c r="E373">
        <v>2.10120260118018E+48</v>
      </c>
      <c r="F373" s="3">
        <v>46043.602083333331</v>
      </c>
      <c r="G373" s="1">
        <v>46043</v>
      </c>
      <c r="H373">
        <v>1891712215001</v>
      </c>
      <c r="I373">
        <v>8</v>
      </c>
      <c r="J373">
        <v>1.2</v>
      </c>
      <c r="K373">
        <v>9.1999999999999993</v>
      </c>
    </row>
    <row r="374" spans="1:11" x14ac:dyDescent="0.25">
      <c r="A374">
        <v>1801880574001</v>
      </c>
      <c r="B374" t="s">
        <v>55</v>
      </c>
      <c r="C374" t="s">
        <v>108</v>
      </c>
      <c r="D374" t="s">
        <v>504</v>
      </c>
      <c r="E374">
        <v>2.10120260118018E+48</v>
      </c>
      <c r="F374" s="3">
        <v>46043.603182870371</v>
      </c>
      <c r="G374" s="1">
        <v>46043</v>
      </c>
      <c r="H374">
        <v>1891712215001</v>
      </c>
      <c r="I374">
        <v>20</v>
      </c>
      <c r="J374">
        <v>3</v>
      </c>
      <c r="K374">
        <v>23</v>
      </c>
    </row>
    <row r="375" spans="1:11" x14ac:dyDescent="0.25">
      <c r="A375">
        <v>1801880574001</v>
      </c>
      <c r="B375" t="s">
        <v>55</v>
      </c>
      <c r="C375" t="s">
        <v>108</v>
      </c>
      <c r="D375" t="s">
        <v>505</v>
      </c>
      <c r="E375">
        <v>2.10120260118018E+48</v>
      </c>
      <c r="F375" s="3">
        <v>46043.600416666668</v>
      </c>
      <c r="G375" s="1">
        <v>46043</v>
      </c>
      <c r="H375">
        <v>1891712215001</v>
      </c>
      <c r="I375">
        <v>20</v>
      </c>
      <c r="J375">
        <v>3</v>
      </c>
      <c r="K375">
        <v>23</v>
      </c>
    </row>
    <row r="376" spans="1:11" x14ac:dyDescent="0.25">
      <c r="A376">
        <v>1801880574001</v>
      </c>
      <c r="B376" t="s">
        <v>55</v>
      </c>
      <c r="C376" t="s">
        <v>108</v>
      </c>
      <c r="D376" t="s">
        <v>506</v>
      </c>
      <c r="E376">
        <v>2.10120260118018E+48</v>
      </c>
      <c r="F376" s="3">
        <v>46043.6012962963</v>
      </c>
      <c r="G376" s="1">
        <v>46043</v>
      </c>
      <c r="H376">
        <v>1891712215001</v>
      </c>
      <c r="I376">
        <v>10</v>
      </c>
      <c r="J376">
        <v>1.5</v>
      </c>
      <c r="K376">
        <v>11.5</v>
      </c>
    </row>
    <row r="377" spans="1:11" x14ac:dyDescent="0.25">
      <c r="A377">
        <v>1793162797001</v>
      </c>
      <c r="B377" t="s">
        <v>46</v>
      </c>
      <c r="C377" t="s">
        <v>108</v>
      </c>
      <c r="D377" t="s">
        <v>507</v>
      </c>
      <c r="E377">
        <v>2.10120260117931E+48</v>
      </c>
      <c r="F377" s="3">
        <v>46043.543437499997</v>
      </c>
      <c r="G377" s="1">
        <v>46043</v>
      </c>
      <c r="H377">
        <v>1891712215001</v>
      </c>
      <c r="I377">
        <v>11.4</v>
      </c>
      <c r="J377">
        <v>1.71</v>
      </c>
      <c r="K377">
        <v>13.11</v>
      </c>
    </row>
    <row r="378" spans="1:11" x14ac:dyDescent="0.25">
      <c r="A378">
        <v>1802565182001</v>
      </c>
      <c r="B378" t="s">
        <v>56</v>
      </c>
      <c r="C378" t="s">
        <v>108</v>
      </c>
      <c r="D378" t="s">
        <v>508</v>
      </c>
      <c r="E378">
        <v>2.1012026011802501E+48</v>
      </c>
      <c r="F378" s="3">
        <v>46043.545034722221</v>
      </c>
      <c r="G378" s="1">
        <v>46043</v>
      </c>
      <c r="H378">
        <v>1891712215001</v>
      </c>
      <c r="I378">
        <v>10</v>
      </c>
      <c r="J378">
        <v>1.5</v>
      </c>
      <c r="K378">
        <v>11.5</v>
      </c>
    </row>
    <row r="379" spans="1:11" x14ac:dyDescent="0.25">
      <c r="A379">
        <v>1802565182001</v>
      </c>
      <c r="B379" t="s">
        <v>56</v>
      </c>
      <c r="C379" t="s">
        <v>108</v>
      </c>
      <c r="D379" t="s">
        <v>509</v>
      </c>
      <c r="E379">
        <v>2.1012026011802501E+48</v>
      </c>
      <c r="F379" s="3">
        <v>46043.545439814814</v>
      </c>
      <c r="G379" s="1">
        <v>46043</v>
      </c>
      <c r="H379">
        <v>1891712215001</v>
      </c>
      <c r="I379">
        <v>10</v>
      </c>
      <c r="J379">
        <v>1.5</v>
      </c>
      <c r="K379">
        <v>11.5</v>
      </c>
    </row>
    <row r="380" spans="1:11" x14ac:dyDescent="0.25">
      <c r="A380">
        <v>1790283380001</v>
      </c>
      <c r="B380" t="s">
        <v>107</v>
      </c>
      <c r="C380" t="s">
        <v>108</v>
      </c>
      <c r="D380" t="s">
        <v>510</v>
      </c>
      <c r="E380">
        <v>2.1012026011790198E+48</v>
      </c>
      <c r="F380" s="3">
        <v>46043.41034722222</v>
      </c>
      <c r="G380" s="1">
        <v>46043</v>
      </c>
      <c r="H380">
        <v>1891712215001</v>
      </c>
      <c r="I380">
        <v>30.31</v>
      </c>
      <c r="J380">
        <v>4.55</v>
      </c>
      <c r="K380">
        <v>34.86</v>
      </c>
    </row>
    <row r="381" spans="1:11" x14ac:dyDescent="0.25">
      <c r="A381">
        <v>1790041220001</v>
      </c>
      <c r="B381" t="s">
        <v>34</v>
      </c>
      <c r="C381" t="s">
        <v>108</v>
      </c>
      <c r="D381" t="s">
        <v>511</v>
      </c>
      <c r="E381">
        <v>2.101202601179E+48</v>
      </c>
      <c r="F381" s="3">
        <v>46043.695393518516</v>
      </c>
      <c r="G381" s="1">
        <v>46043</v>
      </c>
      <c r="H381">
        <v>1891712215001</v>
      </c>
      <c r="I381">
        <v>219.06</v>
      </c>
      <c r="J381">
        <v>32.86</v>
      </c>
      <c r="K381">
        <v>251.92</v>
      </c>
    </row>
    <row r="382" spans="1:11" x14ac:dyDescent="0.25">
      <c r="A382">
        <v>1790283380001</v>
      </c>
      <c r="B382" t="s">
        <v>107</v>
      </c>
      <c r="C382" t="s">
        <v>108</v>
      </c>
      <c r="D382" t="s">
        <v>512</v>
      </c>
      <c r="E382">
        <v>2.1012026011790198E+48</v>
      </c>
      <c r="F382" s="3">
        <v>46043.410300925927</v>
      </c>
      <c r="G382" s="1">
        <v>46043</v>
      </c>
      <c r="H382">
        <v>1891712215001</v>
      </c>
      <c r="I382">
        <v>68.709999999999994</v>
      </c>
      <c r="J382">
        <v>10.31</v>
      </c>
      <c r="K382">
        <v>79.02</v>
      </c>
    </row>
    <row r="383" spans="1:11" x14ac:dyDescent="0.25">
      <c r="A383">
        <v>1790283380001</v>
      </c>
      <c r="B383" t="s">
        <v>107</v>
      </c>
      <c r="C383" t="s">
        <v>108</v>
      </c>
      <c r="D383" t="s">
        <v>513</v>
      </c>
      <c r="E383">
        <v>2.1012026011790198E+48</v>
      </c>
      <c r="F383" s="3">
        <v>46043.415439814817</v>
      </c>
      <c r="G383" s="1">
        <v>46043</v>
      </c>
      <c r="H383">
        <v>1891712215001</v>
      </c>
      <c r="I383">
        <v>26.75</v>
      </c>
      <c r="J383">
        <v>4.01</v>
      </c>
      <c r="K383">
        <v>30.76</v>
      </c>
    </row>
    <row r="384" spans="1:11" x14ac:dyDescent="0.25">
      <c r="A384">
        <v>604599126001</v>
      </c>
      <c r="B384" t="s">
        <v>23</v>
      </c>
      <c r="C384" t="s">
        <v>108</v>
      </c>
      <c r="D384" t="s">
        <v>514</v>
      </c>
      <c r="E384">
        <v>2.1012026010604498E+48</v>
      </c>
      <c r="F384" s="3">
        <v>46043.435590277775</v>
      </c>
      <c r="G384" s="1">
        <v>46043</v>
      </c>
      <c r="H384">
        <v>1891712215001</v>
      </c>
      <c r="I384">
        <v>17.87</v>
      </c>
      <c r="J384">
        <v>2.68</v>
      </c>
      <c r="K384">
        <v>20.55</v>
      </c>
    </row>
    <row r="385" spans="1:11" x14ac:dyDescent="0.25">
      <c r="A385">
        <v>1801880574001</v>
      </c>
      <c r="B385" t="s">
        <v>55</v>
      </c>
      <c r="C385" t="s">
        <v>108</v>
      </c>
      <c r="D385" t="s">
        <v>515</v>
      </c>
      <c r="E385">
        <v>2.10120260118018E+48</v>
      </c>
      <c r="F385" s="3">
        <v>46043.454583333332</v>
      </c>
      <c r="G385" s="1">
        <v>46043</v>
      </c>
      <c r="H385">
        <v>1891712215001</v>
      </c>
      <c r="I385">
        <v>8</v>
      </c>
      <c r="J385">
        <v>1.2</v>
      </c>
      <c r="K385">
        <v>9.1999999999999993</v>
      </c>
    </row>
    <row r="386" spans="1:11" x14ac:dyDescent="0.25">
      <c r="A386">
        <v>604599126001</v>
      </c>
      <c r="B386" t="s">
        <v>23</v>
      </c>
      <c r="C386" t="s">
        <v>108</v>
      </c>
      <c r="D386" t="s">
        <v>516</v>
      </c>
      <c r="E386">
        <v>2.1012026010604498E+48</v>
      </c>
      <c r="F386" s="3">
        <v>46043.377974537034</v>
      </c>
      <c r="G386" s="1">
        <v>46043</v>
      </c>
      <c r="H386">
        <v>1891712215001</v>
      </c>
      <c r="I386">
        <v>17.87</v>
      </c>
      <c r="J386">
        <v>2.68</v>
      </c>
      <c r="K386">
        <v>20.55</v>
      </c>
    </row>
    <row r="387" spans="1:11" x14ac:dyDescent="0.25">
      <c r="A387">
        <v>1793107958001</v>
      </c>
      <c r="B387" t="s">
        <v>43</v>
      </c>
      <c r="C387" t="s">
        <v>108</v>
      </c>
      <c r="D387" t="s">
        <v>517</v>
      </c>
      <c r="E387">
        <v>2.10120260117931E+48</v>
      </c>
      <c r="F387" s="3">
        <v>46043.724479166667</v>
      </c>
      <c r="G387" s="1">
        <v>46043</v>
      </c>
      <c r="H387">
        <v>1891712215001</v>
      </c>
      <c r="I387">
        <v>602.55999999999995</v>
      </c>
      <c r="J387">
        <v>90.38</v>
      </c>
      <c r="K387">
        <v>692.94</v>
      </c>
    </row>
    <row r="388" spans="1:11" x14ac:dyDescent="0.25">
      <c r="A388">
        <v>1790009459001</v>
      </c>
      <c r="B388" t="s">
        <v>136</v>
      </c>
      <c r="C388" t="s">
        <v>108</v>
      </c>
      <c r="D388" t="s">
        <v>518</v>
      </c>
      <c r="E388">
        <v>2.101202601179E+48</v>
      </c>
      <c r="F388" s="3">
        <v>46043.750763888886</v>
      </c>
      <c r="G388" s="1">
        <v>46043</v>
      </c>
      <c r="H388">
        <v>1891712215001</v>
      </c>
      <c r="I388">
        <v>2098.79</v>
      </c>
      <c r="J388">
        <v>314.82</v>
      </c>
      <c r="K388">
        <v>2413.61</v>
      </c>
    </row>
    <row r="389" spans="1:11" x14ac:dyDescent="0.25">
      <c r="A389">
        <v>201879962001</v>
      </c>
      <c r="B389" t="s">
        <v>14</v>
      </c>
      <c r="C389" t="s">
        <v>108</v>
      </c>
      <c r="D389" t="s">
        <v>519</v>
      </c>
      <c r="E389">
        <v>2.10120260102018E+48</v>
      </c>
      <c r="F389" s="3">
        <v>46043.668206018519</v>
      </c>
      <c r="G389" s="1">
        <v>46043</v>
      </c>
      <c r="H389">
        <v>1891712215001</v>
      </c>
      <c r="I389">
        <v>100</v>
      </c>
      <c r="J389">
        <v>0</v>
      </c>
      <c r="K389">
        <v>100</v>
      </c>
    </row>
    <row r="390" spans="1:11" x14ac:dyDescent="0.25">
      <c r="A390">
        <v>1801880574001</v>
      </c>
      <c r="B390" t="s">
        <v>55</v>
      </c>
      <c r="C390" t="s">
        <v>108</v>
      </c>
      <c r="D390" t="s">
        <v>520</v>
      </c>
      <c r="E390">
        <v>2.10120260118018E+48</v>
      </c>
      <c r="F390" s="3">
        <v>46043.419803240744</v>
      </c>
      <c r="G390" s="1">
        <v>46043</v>
      </c>
      <c r="H390">
        <v>1891712215001</v>
      </c>
      <c r="I390">
        <v>8</v>
      </c>
      <c r="J390">
        <v>1.2</v>
      </c>
      <c r="K390">
        <v>9.1999999999999993</v>
      </c>
    </row>
    <row r="391" spans="1:11" x14ac:dyDescent="0.25">
      <c r="A391">
        <v>1790283380001</v>
      </c>
      <c r="B391" t="s">
        <v>107</v>
      </c>
      <c r="C391" t="s">
        <v>108</v>
      </c>
      <c r="D391" t="s">
        <v>521</v>
      </c>
      <c r="E391">
        <v>2.1012026011790198E+48</v>
      </c>
      <c r="F391" s="3">
        <v>46043.417592592596</v>
      </c>
      <c r="G391" s="1">
        <v>46043</v>
      </c>
      <c r="H391">
        <v>1891712215001</v>
      </c>
      <c r="I391">
        <v>9.2100000000000009</v>
      </c>
      <c r="J391">
        <v>1.38</v>
      </c>
      <c r="K391">
        <v>10.59</v>
      </c>
    </row>
    <row r="392" spans="1:11" x14ac:dyDescent="0.25">
      <c r="A392">
        <v>1801880574001</v>
      </c>
      <c r="B392" t="s">
        <v>55</v>
      </c>
      <c r="C392" t="s">
        <v>108</v>
      </c>
      <c r="D392" t="s">
        <v>522</v>
      </c>
      <c r="E392">
        <v>2.10120260118018E+48</v>
      </c>
      <c r="F392" s="3">
        <v>46043.420439814814</v>
      </c>
      <c r="G392" s="1">
        <v>46043</v>
      </c>
      <c r="H392">
        <v>1891712215001</v>
      </c>
      <c r="I392">
        <v>20</v>
      </c>
      <c r="J392">
        <v>3</v>
      </c>
      <c r="K392">
        <v>23</v>
      </c>
    </row>
    <row r="393" spans="1:11" x14ac:dyDescent="0.25">
      <c r="A393">
        <v>1801880574001</v>
      </c>
      <c r="B393" t="s">
        <v>55</v>
      </c>
      <c r="C393" t="s">
        <v>108</v>
      </c>
      <c r="D393" t="s">
        <v>523</v>
      </c>
      <c r="E393">
        <v>2.10120260118018E+48</v>
      </c>
      <c r="F393" s="3">
        <v>46043.419039351851</v>
      </c>
      <c r="G393" s="1">
        <v>46043</v>
      </c>
      <c r="H393">
        <v>1891712215001</v>
      </c>
      <c r="I393">
        <v>20</v>
      </c>
      <c r="J393">
        <v>3</v>
      </c>
      <c r="K393">
        <v>23</v>
      </c>
    </row>
    <row r="394" spans="1:11" x14ac:dyDescent="0.25">
      <c r="A394">
        <v>990049459001</v>
      </c>
      <c r="B394" t="s">
        <v>149</v>
      </c>
      <c r="C394" t="s">
        <v>108</v>
      </c>
      <c r="D394" t="s">
        <v>524</v>
      </c>
      <c r="E394">
        <v>2.1012026010990001E+48</v>
      </c>
      <c r="F394" s="3">
        <v>46044.521944444445</v>
      </c>
      <c r="G394" s="1">
        <v>46043</v>
      </c>
      <c r="H394">
        <v>1891712215001</v>
      </c>
      <c r="I394">
        <v>37.369999999999997</v>
      </c>
      <c r="J394">
        <v>5.61</v>
      </c>
      <c r="K394">
        <v>42.98</v>
      </c>
    </row>
    <row r="395" spans="1:11" x14ac:dyDescent="0.25">
      <c r="A395">
        <v>1793107958001</v>
      </c>
      <c r="B395" t="s">
        <v>43</v>
      </c>
      <c r="C395" t="s">
        <v>108</v>
      </c>
      <c r="D395" t="s">
        <v>525</v>
      </c>
      <c r="E395">
        <v>2.10120260117931E+48</v>
      </c>
      <c r="F395" s="3">
        <v>46043.541932870372</v>
      </c>
      <c r="G395" s="1">
        <v>46043</v>
      </c>
      <c r="H395">
        <v>1891712215001</v>
      </c>
      <c r="I395">
        <v>473.12</v>
      </c>
      <c r="J395">
        <v>70.97</v>
      </c>
      <c r="K395">
        <v>544.09</v>
      </c>
    </row>
    <row r="396" spans="1:11" x14ac:dyDescent="0.25">
      <c r="A396">
        <v>1801880574001</v>
      </c>
      <c r="B396" t="s">
        <v>55</v>
      </c>
      <c r="C396" t="s">
        <v>108</v>
      </c>
      <c r="D396" t="s">
        <v>526</v>
      </c>
      <c r="E396">
        <v>2.10120260118018E+48</v>
      </c>
      <c r="F396" s="3">
        <v>46043.63</v>
      </c>
      <c r="G396" s="1">
        <v>46043</v>
      </c>
      <c r="H396">
        <v>1891712215001</v>
      </c>
      <c r="I396">
        <v>10</v>
      </c>
      <c r="J396">
        <v>1.5</v>
      </c>
      <c r="K396">
        <v>11.5</v>
      </c>
    </row>
    <row r="397" spans="1:11" x14ac:dyDescent="0.25">
      <c r="A397">
        <v>604599126001</v>
      </c>
      <c r="B397" t="s">
        <v>23</v>
      </c>
      <c r="C397" t="s">
        <v>108</v>
      </c>
      <c r="D397" t="s">
        <v>527</v>
      </c>
      <c r="E397">
        <v>2.1012026010604498E+48</v>
      </c>
      <c r="F397" s="3">
        <v>46043.480636574073</v>
      </c>
      <c r="G397" s="1">
        <v>46043</v>
      </c>
      <c r="H397">
        <v>1891712215001</v>
      </c>
      <c r="I397">
        <v>17.87</v>
      </c>
      <c r="J397">
        <v>2.68</v>
      </c>
      <c r="K397">
        <v>20.55</v>
      </c>
    </row>
    <row r="398" spans="1:11" x14ac:dyDescent="0.25">
      <c r="A398">
        <v>604599126001</v>
      </c>
      <c r="B398" t="s">
        <v>23</v>
      </c>
      <c r="C398" t="s">
        <v>108</v>
      </c>
      <c r="D398" t="s">
        <v>528</v>
      </c>
      <c r="E398">
        <v>2.1012026010604498E+48</v>
      </c>
      <c r="F398" s="3">
        <v>46043.500289351854</v>
      </c>
      <c r="G398" s="1">
        <v>46043</v>
      </c>
      <c r="H398">
        <v>1891712215001</v>
      </c>
      <c r="I398">
        <v>17.87</v>
      </c>
      <c r="J398">
        <v>2.68</v>
      </c>
      <c r="K398">
        <v>20.55</v>
      </c>
    </row>
    <row r="399" spans="1:11" x14ac:dyDescent="0.25">
      <c r="A399">
        <v>1793107958001</v>
      </c>
      <c r="B399" t="s">
        <v>43</v>
      </c>
      <c r="C399" t="s">
        <v>108</v>
      </c>
      <c r="D399" t="s">
        <v>529</v>
      </c>
      <c r="E399">
        <v>2.10120260117931E+48</v>
      </c>
      <c r="F399" s="3">
        <v>46043.791805555556</v>
      </c>
      <c r="G399" s="1">
        <v>46043</v>
      </c>
      <c r="H399">
        <v>1891712215001</v>
      </c>
      <c r="I399">
        <v>77.239999999999995</v>
      </c>
      <c r="J399">
        <v>11.59</v>
      </c>
      <c r="K399">
        <v>88.83</v>
      </c>
    </row>
    <row r="400" spans="1:11" x14ac:dyDescent="0.25">
      <c r="A400">
        <v>1793107958001</v>
      </c>
      <c r="B400" t="s">
        <v>43</v>
      </c>
      <c r="C400" t="s">
        <v>108</v>
      </c>
      <c r="D400" t="s">
        <v>530</v>
      </c>
      <c r="E400">
        <v>2.10120260117931E+48</v>
      </c>
      <c r="F400" s="3">
        <v>46043.791759259257</v>
      </c>
      <c r="G400" s="1">
        <v>46043</v>
      </c>
      <c r="H400">
        <v>1891712215001</v>
      </c>
      <c r="I400">
        <v>838.73</v>
      </c>
      <c r="J400">
        <v>125.81</v>
      </c>
      <c r="K400">
        <v>964.54</v>
      </c>
    </row>
    <row r="401" spans="1:11" x14ac:dyDescent="0.25">
      <c r="A401">
        <v>992629991001</v>
      </c>
      <c r="B401" t="s">
        <v>29</v>
      </c>
      <c r="C401" t="s">
        <v>108</v>
      </c>
      <c r="D401" t="s">
        <v>531</v>
      </c>
      <c r="E401">
        <v>2.2012026010992601E+48</v>
      </c>
      <c r="F401" s="3">
        <v>46044.544525462959</v>
      </c>
      <c r="G401" s="1">
        <v>46044</v>
      </c>
      <c r="H401">
        <v>1891712215001</v>
      </c>
      <c r="I401">
        <v>2060</v>
      </c>
      <c r="J401">
        <v>309</v>
      </c>
      <c r="K401">
        <v>2369</v>
      </c>
    </row>
    <row r="402" spans="1:11" x14ac:dyDescent="0.25">
      <c r="A402">
        <v>1803347317001</v>
      </c>
      <c r="B402" t="s">
        <v>63</v>
      </c>
      <c r="C402" t="s">
        <v>108</v>
      </c>
      <c r="D402" t="s">
        <v>532</v>
      </c>
      <c r="E402">
        <v>2.20120260118033E+48</v>
      </c>
      <c r="F402" s="3">
        <v>46044.577881944446</v>
      </c>
      <c r="G402" s="1">
        <v>46044</v>
      </c>
      <c r="H402">
        <v>1891712215001</v>
      </c>
      <c r="I402">
        <v>201.05</v>
      </c>
      <c r="J402">
        <v>0</v>
      </c>
      <c r="K402">
        <v>201.05</v>
      </c>
    </row>
    <row r="403" spans="1:11" x14ac:dyDescent="0.25">
      <c r="A403">
        <v>1790283380001</v>
      </c>
      <c r="B403" t="s">
        <v>107</v>
      </c>
      <c r="C403" t="s">
        <v>108</v>
      </c>
      <c r="D403" t="s">
        <v>533</v>
      </c>
      <c r="E403">
        <v>2.2012026011790199E+48</v>
      </c>
      <c r="F403" s="3">
        <v>46044.386724537035</v>
      </c>
      <c r="G403" s="1">
        <v>46044</v>
      </c>
      <c r="H403">
        <v>1891712215001</v>
      </c>
      <c r="I403">
        <v>70.88</v>
      </c>
      <c r="J403">
        <v>10.63</v>
      </c>
      <c r="K403">
        <v>81.510000000000005</v>
      </c>
    </row>
    <row r="404" spans="1:11" x14ac:dyDescent="0.25">
      <c r="A404">
        <v>1790283380001</v>
      </c>
      <c r="B404" t="s">
        <v>107</v>
      </c>
      <c r="C404" t="s">
        <v>108</v>
      </c>
      <c r="D404" t="s">
        <v>534</v>
      </c>
      <c r="E404">
        <v>2.2012026011790199E+48</v>
      </c>
      <c r="F404" s="3">
        <v>46044.389803240738</v>
      </c>
      <c r="G404" s="1">
        <v>46044</v>
      </c>
      <c r="H404">
        <v>1891712215001</v>
      </c>
      <c r="I404">
        <v>47.03</v>
      </c>
      <c r="J404">
        <v>7.05</v>
      </c>
      <c r="K404">
        <v>54.08</v>
      </c>
    </row>
    <row r="405" spans="1:11" x14ac:dyDescent="0.25">
      <c r="A405">
        <v>1801719152001</v>
      </c>
      <c r="B405" t="s">
        <v>52</v>
      </c>
      <c r="C405" t="s">
        <v>108</v>
      </c>
      <c r="D405" t="s">
        <v>535</v>
      </c>
      <c r="E405">
        <v>2.20120260118017E+48</v>
      </c>
      <c r="F405" s="3">
        <v>46044.425925925927</v>
      </c>
      <c r="G405" s="1">
        <v>46044</v>
      </c>
      <c r="H405">
        <v>1891712215001</v>
      </c>
      <c r="I405">
        <v>200</v>
      </c>
      <c r="J405">
        <v>30</v>
      </c>
      <c r="K405">
        <v>230</v>
      </c>
    </row>
    <row r="406" spans="1:11" x14ac:dyDescent="0.25">
      <c r="A406">
        <v>1801866276001</v>
      </c>
      <c r="B406" t="s">
        <v>54</v>
      </c>
      <c r="C406" t="s">
        <v>108</v>
      </c>
      <c r="D406" t="s">
        <v>536</v>
      </c>
      <c r="E406">
        <v>2.2012026011801801E+48</v>
      </c>
      <c r="F406" s="3">
        <v>46044.440370370372</v>
      </c>
      <c r="G406" s="1">
        <v>46044</v>
      </c>
      <c r="H406">
        <v>1891712215001</v>
      </c>
      <c r="I406">
        <v>100</v>
      </c>
      <c r="J406">
        <v>0</v>
      </c>
      <c r="K406">
        <v>100</v>
      </c>
    </row>
    <row r="407" spans="1:11" x14ac:dyDescent="0.25">
      <c r="A407">
        <v>1793107958001</v>
      </c>
      <c r="B407" t="s">
        <v>43</v>
      </c>
      <c r="C407" t="s">
        <v>108</v>
      </c>
      <c r="D407" t="s">
        <v>537</v>
      </c>
      <c r="E407">
        <v>2.20120260117931E+48</v>
      </c>
      <c r="F407" s="3">
        <v>46044.427766203706</v>
      </c>
      <c r="G407" s="1">
        <v>46044</v>
      </c>
      <c r="H407">
        <v>1891712215001</v>
      </c>
      <c r="I407">
        <v>280.31</v>
      </c>
      <c r="J407">
        <v>42.05</v>
      </c>
      <c r="K407">
        <v>322.36</v>
      </c>
    </row>
    <row r="408" spans="1:11" x14ac:dyDescent="0.25">
      <c r="A408">
        <v>1802565182001</v>
      </c>
      <c r="B408" t="s">
        <v>56</v>
      </c>
      <c r="C408" t="s">
        <v>108</v>
      </c>
      <c r="D408" t="s">
        <v>538</v>
      </c>
      <c r="E408">
        <v>2.2012026011802499E+48</v>
      </c>
      <c r="F408" s="3">
        <v>46044.349340277775</v>
      </c>
      <c r="G408" s="1">
        <v>46044</v>
      </c>
      <c r="H408">
        <v>1891712215001</v>
      </c>
      <c r="I408">
        <v>6</v>
      </c>
      <c r="J408">
        <v>0.9</v>
      </c>
      <c r="K408">
        <v>6.9</v>
      </c>
    </row>
    <row r="409" spans="1:11" x14ac:dyDescent="0.25">
      <c r="A409">
        <v>1802565182001</v>
      </c>
      <c r="B409" t="s">
        <v>56</v>
      </c>
      <c r="C409" t="s">
        <v>108</v>
      </c>
      <c r="D409" t="s">
        <v>539</v>
      </c>
      <c r="E409">
        <v>2.2012026011802499E+48</v>
      </c>
      <c r="F409" s="3">
        <v>46044.347905092596</v>
      </c>
      <c r="G409" s="1">
        <v>46044</v>
      </c>
      <c r="H409">
        <v>1891712215001</v>
      </c>
      <c r="I409">
        <v>10</v>
      </c>
      <c r="J409">
        <v>1.5</v>
      </c>
      <c r="K409">
        <v>11.5</v>
      </c>
    </row>
    <row r="410" spans="1:11" x14ac:dyDescent="0.25">
      <c r="A410">
        <v>1802565182001</v>
      </c>
      <c r="B410" t="s">
        <v>56</v>
      </c>
      <c r="C410" t="s">
        <v>108</v>
      </c>
      <c r="D410" t="s">
        <v>540</v>
      </c>
      <c r="E410">
        <v>2.2012026011802499E+48</v>
      </c>
      <c r="F410" s="3">
        <v>46044.350810185184</v>
      </c>
      <c r="G410" s="1">
        <v>46044</v>
      </c>
      <c r="H410">
        <v>1891712215001</v>
      </c>
      <c r="I410">
        <v>6</v>
      </c>
      <c r="J410">
        <v>0.9</v>
      </c>
      <c r="K410">
        <v>6.9</v>
      </c>
    </row>
    <row r="411" spans="1:11" x14ac:dyDescent="0.25">
      <c r="A411">
        <v>1793107958001</v>
      </c>
      <c r="B411" t="s">
        <v>43</v>
      </c>
      <c r="C411" t="s">
        <v>108</v>
      </c>
      <c r="D411" t="s">
        <v>541</v>
      </c>
      <c r="E411">
        <v>2.20120260117931E+48</v>
      </c>
      <c r="F411" s="3">
        <v>46044.542256944442</v>
      </c>
      <c r="G411" s="1">
        <v>46044</v>
      </c>
      <c r="H411">
        <v>1891712215001</v>
      </c>
      <c r="I411">
        <v>65.599999999999994</v>
      </c>
      <c r="J411">
        <v>9.84</v>
      </c>
      <c r="K411">
        <v>75.44</v>
      </c>
    </row>
    <row r="412" spans="1:11" x14ac:dyDescent="0.25">
      <c r="A412">
        <v>1802565182001</v>
      </c>
      <c r="B412" t="s">
        <v>56</v>
      </c>
      <c r="C412" t="s">
        <v>108</v>
      </c>
      <c r="D412" t="s">
        <v>542</v>
      </c>
      <c r="E412">
        <v>2.2012026011802499E+48</v>
      </c>
      <c r="F412" s="3">
        <v>46044.643148148149</v>
      </c>
      <c r="G412" s="1">
        <v>46044</v>
      </c>
      <c r="H412">
        <v>1891712215001</v>
      </c>
      <c r="I412">
        <v>10</v>
      </c>
      <c r="J412">
        <v>1.5</v>
      </c>
      <c r="K412">
        <v>11.5</v>
      </c>
    </row>
    <row r="413" spans="1:11" x14ac:dyDescent="0.25">
      <c r="A413">
        <v>1793107958001</v>
      </c>
      <c r="B413" t="s">
        <v>43</v>
      </c>
      <c r="C413" t="s">
        <v>108</v>
      </c>
      <c r="D413" t="s">
        <v>543</v>
      </c>
      <c r="E413">
        <v>2.20120260117931E+48</v>
      </c>
      <c r="F413" s="3">
        <v>46044.483067129629</v>
      </c>
      <c r="G413" s="1">
        <v>46044</v>
      </c>
      <c r="H413">
        <v>1891712215001</v>
      </c>
      <c r="I413">
        <v>960.96</v>
      </c>
      <c r="J413">
        <v>144.13999999999999</v>
      </c>
      <c r="K413">
        <v>1105.0999999999999</v>
      </c>
    </row>
    <row r="414" spans="1:11" x14ac:dyDescent="0.25">
      <c r="A414">
        <v>1793107958001</v>
      </c>
      <c r="B414" t="s">
        <v>43</v>
      </c>
      <c r="C414" t="s">
        <v>108</v>
      </c>
      <c r="D414" t="s">
        <v>544</v>
      </c>
      <c r="E414">
        <v>2.20120260117931E+48</v>
      </c>
      <c r="F414" s="3">
        <v>46044.485798611109</v>
      </c>
      <c r="G414" s="1">
        <v>46044</v>
      </c>
      <c r="H414">
        <v>1891712215001</v>
      </c>
      <c r="I414">
        <v>291.83999999999997</v>
      </c>
      <c r="J414">
        <v>43.78</v>
      </c>
      <c r="K414">
        <v>335.62</v>
      </c>
    </row>
    <row r="415" spans="1:11" x14ac:dyDescent="0.25">
      <c r="A415">
        <v>1790009459001</v>
      </c>
      <c r="B415" t="s">
        <v>136</v>
      </c>
      <c r="C415" t="s">
        <v>108</v>
      </c>
      <c r="D415" t="s">
        <v>545</v>
      </c>
      <c r="E415">
        <v>2.2012026011790001E+48</v>
      </c>
      <c r="F415" s="3">
        <v>46044.750763888886</v>
      </c>
      <c r="G415" s="1">
        <v>46044</v>
      </c>
      <c r="H415">
        <v>1891712215001</v>
      </c>
      <c r="I415">
        <v>491.24</v>
      </c>
      <c r="J415">
        <v>73.69</v>
      </c>
      <c r="K415">
        <v>564.92999999999995</v>
      </c>
    </row>
    <row r="416" spans="1:11" x14ac:dyDescent="0.25">
      <c r="A416">
        <v>1802565182001</v>
      </c>
      <c r="B416" t="s">
        <v>56</v>
      </c>
      <c r="C416" t="s">
        <v>108</v>
      </c>
      <c r="D416" t="s">
        <v>546</v>
      </c>
      <c r="E416">
        <v>2.2012026011802499E+48</v>
      </c>
      <c r="F416" s="3">
        <v>46044.473379629628</v>
      </c>
      <c r="G416" s="1">
        <v>46044</v>
      </c>
      <c r="H416">
        <v>1891712215001</v>
      </c>
      <c r="I416">
        <v>10</v>
      </c>
      <c r="J416">
        <v>1.5</v>
      </c>
      <c r="K416">
        <v>11.5</v>
      </c>
    </row>
    <row r="417" spans="1:11" x14ac:dyDescent="0.25">
      <c r="A417">
        <v>1802565182001</v>
      </c>
      <c r="B417" t="s">
        <v>56</v>
      </c>
      <c r="C417" t="s">
        <v>108</v>
      </c>
      <c r="D417" t="s">
        <v>547</v>
      </c>
      <c r="E417">
        <v>2.2012026011802499E+48</v>
      </c>
      <c r="F417" s="3">
        <v>46044.472928240742</v>
      </c>
      <c r="G417" s="1">
        <v>46044</v>
      </c>
      <c r="H417">
        <v>1891712215001</v>
      </c>
      <c r="I417">
        <v>12</v>
      </c>
      <c r="J417">
        <v>1.8</v>
      </c>
      <c r="K417">
        <v>13.8</v>
      </c>
    </row>
    <row r="418" spans="1:11" x14ac:dyDescent="0.25">
      <c r="A418">
        <v>201879962001</v>
      </c>
      <c r="B418" t="s">
        <v>14</v>
      </c>
      <c r="C418" t="s">
        <v>108</v>
      </c>
      <c r="D418" t="s">
        <v>548</v>
      </c>
      <c r="E418">
        <v>2.2012026010201801E+48</v>
      </c>
      <c r="F418" s="3">
        <v>46044.734166666669</v>
      </c>
      <c r="G418" s="1">
        <v>46044</v>
      </c>
      <c r="H418">
        <v>1891712215001</v>
      </c>
      <c r="I418">
        <v>100</v>
      </c>
      <c r="J418">
        <v>0</v>
      </c>
      <c r="K418">
        <v>100</v>
      </c>
    </row>
    <row r="419" spans="1:11" x14ac:dyDescent="0.25">
      <c r="A419">
        <v>1793162797001</v>
      </c>
      <c r="B419" t="s">
        <v>46</v>
      </c>
      <c r="C419" t="s">
        <v>108</v>
      </c>
      <c r="D419" t="s">
        <v>549</v>
      </c>
      <c r="E419">
        <v>2.20120260117931E+48</v>
      </c>
      <c r="F419" s="3">
        <v>46044.792314814818</v>
      </c>
      <c r="G419" s="1">
        <v>46044</v>
      </c>
      <c r="H419">
        <v>1891712215001</v>
      </c>
      <c r="I419">
        <v>3.59</v>
      </c>
      <c r="J419">
        <v>0.54</v>
      </c>
      <c r="K419">
        <v>4.13</v>
      </c>
    </row>
    <row r="420" spans="1:11" x14ac:dyDescent="0.25">
      <c r="A420">
        <v>990049459001</v>
      </c>
      <c r="B420" t="s">
        <v>149</v>
      </c>
      <c r="C420" t="s">
        <v>108</v>
      </c>
      <c r="D420" t="s">
        <v>550</v>
      </c>
      <c r="E420">
        <v>2.2012026010990001E+48</v>
      </c>
      <c r="F420" s="3">
        <v>46045.714675925927</v>
      </c>
      <c r="G420" s="1">
        <v>46044</v>
      </c>
      <c r="H420">
        <v>1891712215001</v>
      </c>
      <c r="I420">
        <v>16.3</v>
      </c>
      <c r="J420">
        <v>2.4500000000000002</v>
      </c>
      <c r="K420">
        <v>18.75</v>
      </c>
    </row>
    <row r="421" spans="1:11" x14ac:dyDescent="0.25">
      <c r="A421">
        <v>1801880574001</v>
      </c>
      <c r="B421" t="s">
        <v>55</v>
      </c>
      <c r="C421" t="s">
        <v>108</v>
      </c>
      <c r="D421" t="s">
        <v>551</v>
      </c>
      <c r="E421">
        <v>2.2012026011801801E+48</v>
      </c>
      <c r="F421" s="3">
        <v>46044.403495370374</v>
      </c>
      <c r="G421" s="1">
        <v>46044</v>
      </c>
      <c r="H421">
        <v>1891712215001</v>
      </c>
      <c r="I421">
        <v>20</v>
      </c>
      <c r="J421">
        <v>3</v>
      </c>
      <c r="K421">
        <v>23</v>
      </c>
    </row>
    <row r="422" spans="1:11" x14ac:dyDescent="0.25">
      <c r="A422">
        <v>1801880574001</v>
      </c>
      <c r="B422" t="s">
        <v>55</v>
      </c>
      <c r="C422" t="s">
        <v>108</v>
      </c>
      <c r="D422" t="s">
        <v>552</v>
      </c>
      <c r="E422">
        <v>2.2012026011801801E+48</v>
      </c>
      <c r="F422" s="3">
        <v>46044.404340277775</v>
      </c>
      <c r="G422" s="1">
        <v>46044</v>
      </c>
      <c r="H422">
        <v>1891712215001</v>
      </c>
      <c r="I422">
        <v>10</v>
      </c>
      <c r="J422">
        <v>1.5</v>
      </c>
      <c r="K422">
        <v>11.5</v>
      </c>
    </row>
    <row r="423" spans="1:11" x14ac:dyDescent="0.25">
      <c r="A423">
        <v>1801880574001</v>
      </c>
      <c r="B423" t="s">
        <v>55</v>
      </c>
      <c r="C423" t="s">
        <v>108</v>
      </c>
      <c r="D423" t="s">
        <v>553</v>
      </c>
      <c r="E423">
        <v>2.2012026011801801E+48</v>
      </c>
      <c r="F423" s="3">
        <v>46044.405613425923</v>
      </c>
      <c r="G423" s="1">
        <v>46044</v>
      </c>
      <c r="H423">
        <v>1891712215001</v>
      </c>
      <c r="I423">
        <v>8</v>
      </c>
      <c r="J423">
        <v>1.2</v>
      </c>
      <c r="K423">
        <v>9.1999999999999993</v>
      </c>
    </row>
    <row r="424" spans="1:11" x14ac:dyDescent="0.25">
      <c r="A424">
        <v>1801880574001</v>
      </c>
      <c r="B424" t="s">
        <v>55</v>
      </c>
      <c r="C424" t="s">
        <v>108</v>
      </c>
      <c r="D424" t="s">
        <v>554</v>
      </c>
      <c r="E424">
        <v>2.2012026011801801E+48</v>
      </c>
      <c r="F424" s="3">
        <v>46044.402337962965</v>
      </c>
      <c r="G424" s="1">
        <v>46044</v>
      </c>
      <c r="H424">
        <v>1891712215001</v>
      </c>
      <c r="I424">
        <v>10</v>
      </c>
      <c r="J424">
        <v>1.5</v>
      </c>
      <c r="K424">
        <v>11.5</v>
      </c>
    </row>
    <row r="425" spans="1:11" x14ac:dyDescent="0.25">
      <c r="A425">
        <v>1801880574001</v>
      </c>
      <c r="B425" t="s">
        <v>55</v>
      </c>
      <c r="C425" t="s">
        <v>108</v>
      </c>
      <c r="D425" t="s">
        <v>555</v>
      </c>
      <c r="E425">
        <v>2.2012026011801801E+48</v>
      </c>
      <c r="F425" s="3">
        <v>46044.400868055556</v>
      </c>
      <c r="G425" s="1">
        <v>46044</v>
      </c>
      <c r="H425">
        <v>1891712215001</v>
      </c>
      <c r="I425">
        <v>20</v>
      </c>
      <c r="J425">
        <v>3</v>
      </c>
      <c r="K425">
        <v>23</v>
      </c>
    </row>
    <row r="426" spans="1:11" x14ac:dyDescent="0.25">
      <c r="A426">
        <v>1891746209001</v>
      </c>
      <c r="B426" t="s">
        <v>88</v>
      </c>
      <c r="C426" t="s">
        <v>108</v>
      </c>
      <c r="D426" t="s">
        <v>556</v>
      </c>
      <c r="E426">
        <v>2.2012026011891699E+48</v>
      </c>
      <c r="F426" s="3">
        <v>46044.459826388891</v>
      </c>
      <c r="G426" s="1">
        <v>46044</v>
      </c>
      <c r="H426">
        <v>1891712215001</v>
      </c>
      <c r="I426">
        <v>117.86</v>
      </c>
      <c r="J426">
        <v>17.68</v>
      </c>
      <c r="K426">
        <v>135.54</v>
      </c>
    </row>
    <row r="427" spans="1:11" x14ac:dyDescent="0.25">
      <c r="A427">
        <v>1793107958001</v>
      </c>
      <c r="B427" t="s">
        <v>43</v>
      </c>
      <c r="C427" t="s">
        <v>108</v>
      </c>
      <c r="D427" t="s">
        <v>557</v>
      </c>
      <c r="E427">
        <v>2.20120260117931E+48</v>
      </c>
      <c r="F427" s="3">
        <v>46044.504270833335</v>
      </c>
      <c r="G427" s="1">
        <v>46044</v>
      </c>
      <c r="H427">
        <v>1891712215001</v>
      </c>
      <c r="I427">
        <v>128</v>
      </c>
      <c r="J427">
        <v>19.2</v>
      </c>
      <c r="K427">
        <v>147.19999999999999</v>
      </c>
    </row>
    <row r="428" spans="1:11" x14ac:dyDescent="0.25">
      <c r="A428">
        <v>1801880574001</v>
      </c>
      <c r="B428" t="s">
        <v>55</v>
      </c>
      <c r="C428" t="s">
        <v>108</v>
      </c>
      <c r="D428" t="s">
        <v>558</v>
      </c>
      <c r="E428">
        <v>2.2012026011801801E+48</v>
      </c>
      <c r="F428" s="3">
        <v>46044.387800925928</v>
      </c>
      <c r="G428" s="1">
        <v>46044</v>
      </c>
      <c r="H428">
        <v>1891712215001</v>
      </c>
      <c r="I428">
        <v>20</v>
      </c>
      <c r="J428">
        <v>3</v>
      </c>
      <c r="K428">
        <v>23</v>
      </c>
    </row>
    <row r="429" spans="1:11" x14ac:dyDescent="0.25">
      <c r="A429">
        <v>1801880574001</v>
      </c>
      <c r="B429" t="s">
        <v>55</v>
      </c>
      <c r="C429" t="s">
        <v>108</v>
      </c>
      <c r="D429" t="s">
        <v>559</v>
      </c>
      <c r="E429">
        <v>2.2012026011801801E+48</v>
      </c>
      <c r="F429" s="3">
        <v>46044.389409722222</v>
      </c>
      <c r="G429" s="1">
        <v>46044</v>
      </c>
      <c r="H429">
        <v>1891712215001</v>
      </c>
      <c r="I429">
        <v>10</v>
      </c>
      <c r="J429">
        <v>1.5</v>
      </c>
      <c r="K429">
        <v>11.5</v>
      </c>
    </row>
    <row r="430" spans="1:11" x14ac:dyDescent="0.25">
      <c r="A430">
        <v>604599126001</v>
      </c>
      <c r="B430" t="s">
        <v>23</v>
      </c>
      <c r="C430" t="s">
        <v>108</v>
      </c>
      <c r="D430" t="s">
        <v>560</v>
      </c>
      <c r="E430">
        <v>2.2012026010604499E+48</v>
      </c>
      <c r="F430" s="3">
        <v>46044.683854166666</v>
      </c>
      <c r="G430" s="1">
        <v>46044</v>
      </c>
      <c r="H430">
        <v>1891712215001</v>
      </c>
      <c r="I430">
        <v>17.87</v>
      </c>
      <c r="J430">
        <v>2.68</v>
      </c>
      <c r="K430">
        <v>20.55</v>
      </c>
    </row>
    <row r="431" spans="1:11" x14ac:dyDescent="0.25">
      <c r="A431">
        <v>1790283380001</v>
      </c>
      <c r="B431" t="s">
        <v>107</v>
      </c>
      <c r="C431" t="s">
        <v>108</v>
      </c>
      <c r="D431" t="s">
        <v>561</v>
      </c>
      <c r="E431">
        <v>2.30120260117902E+48</v>
      </c>
      <c r="F431" s="3">
        <v>46045.413032407407</v>
      </c>
      <c r="G431" s="1">
        <v>46045</v>
      </c>
      <c r="H431">
        <v>1891712215001</v>
      </c>
      <c r="I431">
        <v>37.159999999999997</v>
      </c>
      <c r="J431">
        <v>5.57</v>
      </c>
      <c r="K431">
        <v>42.73</v>
      </c>
    </row>
    <row r="432" spans="1:11" x14ac:dyDescent="0.25">
      <c r="A432">
        <v>1793107958001</v>
      </c>
      <c r="B432" t="s">
        <v>43</v>
      </c>
      <c r="C432" t="s">
        <v>108</v>
      </c>
      <c r="D432" t="s">
        <v>562</v>
      </c>
      <c r="E432">
        <v>2.3012026011793101E+48</v>
      </c>
      <c r="F432" s="3">
        <v>46045.3750462963</v>
      </c>
      <c r="G432" s="1">
        <v>46045</v>
      </c>
      <c r="H432">
        <v>1891712215001</v>
      </c>
      <c r="I432">
        <v>14.2</v>
      </c>
      <c r="J432">
        <v>2.13</v>
      </c>
      <c r="K432">
        <v>16.329999999999998</v>
      </c>
    </row>
    <row r="433" spans="1:11" x14ac:dyDescent="0.25">
      <c r="A433">
        <v>1790283380001</v>
      </c>
      <c r="B433" t="s">
        <v>107</v>
      </c>
      <c r="C433" t="s">
        <v>108</v>
      </c>
      <c r="D433" t="s">
        <v>563</v>
      </c>
      <c r="E433">
        <v>2.30120260117902E+48</v>
      </c>
      <c r="F433" s="3">
        <v>46045.414837962962</v>
      </c>
      <c r="G433" s="1">
        <v>46045</v>
      </c>
      <c r="H433">
        <v>1891712215001</v>
      </c>
      <c r="I433">
        <v>4.93</v>
      </c>
      <c r="J433">
        <v>0.74</v>
      </c>
      <c r="K433">
        <v>5.67</v>
      </c>
    </row>
    <row r="434" spans="1:11" x14ac:dyDescent="0.25">
      <c r="A434">
        <v>1801880574001</v>
      </c>
      <c r="B434" t="s">
        <v>55</v>
      </c>
      <c r="C434" t="s">
        <v>108</v>
      </c>
      <c r="D434" t="s">
        <v>564</v>
      </c>
      <c r="E434">
        <v>2.3012026011801798E+48</v>
      </c>
      <c r="F434" s="3">
        <v>46045.429074074076</v>
      </c>
      <c r="G434" s="1">
        <v>46045</v>
      </c>
      <c r="H434">
        <v>1891712215001</v>
      </c>
      <c r="I434">
        <v>15</v>
      </c>
      <c r="J434">
        <v>2.25</v>
      </c>
      <c r="K434">
        <v>17.25</v>
      </c>
    </row>
    <row r="435" spans="1:11" x14ac:dyDescent="0.25">
      <c r="A435">
        <v>1801880574001</v>
      </c>
      <c r="B435" t="s">
        <v>55</v>
      </c>
      <c r="C435" t="s">
        <v>108</v>
      </c>
      <c r="D435" t="s">
        <v>565</v>
      </c>
      <c r="E435">
        <v>2.3012026011801798E+48</v>
      </c>
      <c r="F435" s="3">
        <v>46045.428171296298</v>
      </c>
      <c r="G435" s="1">
        <v>46045</v>
      </c>
      <c r="H435">
        <v>1891712215001</v>
      </c>
      <c r="I435">
        <v>20</v>
      </c>
      <c r="J435">
        <v>3</v>
      </c>
      <c r="K435">
        <v>23</v>
      </c>
    </row>
    <row r="436" spans="1:11" x14ac:dyDescent="0.25">
      <c r="A436">
        <v>1802588002001</v>
      </c>
      <c r="B436" t="s">
        <v>57</v>
      </c>
      <c r="C436" t="s">
        <v>108</v>
      </c>
      <c r="D436" t="s">
        <v>566</v>
      </c>
      <c r="E436">
        <v>2.3012026011802499E+48</v>
      </c>
      <c r="F436" s="3">
        <v>46045.473437499997</v>
      </c>
      <c r="G436" s="1">
        <v>46045</v>
      </c>
      <c r="H436">
        <v>1891712215001</v>
      </c>
      <c r="I436">
        <v>60</v>
      </c>
      <c r="J436">
        <v>9</v>
      </c>
      <c r="K436">
        <v>69</v>
      </c>
    </row>
    <row r="437" spans="1:11" x14ac:dyDescent="0.25">
      <c r="A437">
        <v>1802588002001</v>
      </c>
      <c r="B437" t="s">
        <v>57</v>
      </c>
      <c r="C437" t="s">
        <v>108</v>
      </c>
      <c r="D437" t="s">
        <v>567</v>
      </c>
      <c r="E437">
        <v>2.3012026011802499E+48</v>
      </c>
      <c r="F437" s="3">
        <v>46045.474479166667</v>
      </c>
      <c r="G437" s="1">
        <v>46045</v>
      </c>
      <c r="H437">
        <v>1891712215001</v>
      </c>
      <c r="I437">
        <v>60</v>
      </c>
      <c r="J437">
        <v>9</v>
      </c>
      <c r="K437">
        <v>69</v>
      </c>
    </row>
    <row r="438" spans="1:11" x14ac:dyDescent="0.25">
      <c r="A438">
        <v>1790009459001</v>
      </c>
      <c r="B438" t="s">
        <v>136</v>
      </c>
      <c r="C438" t="s">
        <v>108</v>
      </c>
      <c r="D438" t="s">
        <v>568</v>
      </c>
      <c r="E438">
        <v>2.3012026011789999E+48</v>
      </c>
      <c r="F438" s="3">
        <v>46045.750532407408</v>
      </c>
      <c r="G438" s="1">
        <v>46045</v>
      </c>
      <c r="H438">
        <v>1891712215001</v>
      </c>
      <c r="I438">
        <v>1904.71</v>
      </c>
      <c r="J438">
        <v>285.70999999999998</v>
      </c>
      <c r="K438">
        <v>2190.42</v>
      </c>
    </row>
    <row r="439" spans="1:11" x14ac:dyDescent="0.25">
      <c r="A439">
        <v>1793107958001</v>
      </c>
      <c r="B439" t="s">
        <v>43</v>
      </c>
      <c r="C439" t="s">
        <v>108</v>
      </c>
      <c r="D439" t="s">
        <v>569</v>
      </c>
      <c r="E439">
        <v>2.3012026011793101E+48</v>
      </c>
      <c r="F439" s="3">
        <v>46045.791701388887</v>
      </c>
      <c r="G439" s="1">
        <v>46045</v>
      </c>
      <c r="H439">
        <v>1891712215001</v>
      </c>
      <c r="I439">
        <v>4855.55</v>
      </c>
      <c r="J439">
        <v>728.33</v>
      </c>
      <c r="K439">
        <v>5583.88</v>
      </c>
    </row>
    <row r="440" spans="1:11" x14ac:dyDescent="0.25">
      <c r="A440">
        <v>1802565182001</v>
      </c>
      <c r="B440" t="s">
        <v>56</v>
      </c>
      <c r="C440" t="s">
        <v>108</v>
      </c>
      <c r="D440" t="s">
        <v>570</v>
      </c>
      <c r="E440">
        <v>2.3012026011802499E+48</v>
      </c>
      <c r="F440" s="3">
        <v>46045.609340277777</v>
      </c>
      <c r="G440" s="1">
        <v>46045</v>
      </c>
      <c r="H440">
        <v>1891712215001</v>
      </c>
      <c r="I440">
        <v>10</v>
      </c>
      <c r="J440">
        <v>1.5</v>
      </c>
      <c r="K440">
        <v>11.5</v>
      </c>
    </row>
    <row r="441" spans="1:11" x14ac:dyDescent="0.25">
      <c r="A441">
        <v>1793107958001</v>
      </c>
      <c r="B441" t="s">
        <v>43</v>
      </c>
      <c r="C441" t="s">
        <v>108</v>
      </c>
      <c r="D441" t="s">
        <v>571</v>
      </c>
      <c r="E441">
        <v>2.3012026011793101E+48</v>
      </c>
      <c r="F441" s="3">
        <v>46045.625208333331</v>
      </c>
      <c r="G441" s="1">
        <v>46045</v>
      </c>
      <c r="H441">
        <v>1891712215001</v>
      </c>
      <c r="I441">
        <v>17.39</v>
      </c>
      <c r="J441">
        <v>2.61</v>
      </c>
      <c r="K441">
        <v>20</v>
      </c>
    </row>
    <row r="442" spans="1:11" x14ac:dyDescent="0.25">
      <c r="A442">
        <v>1802565182001</v>
      </c>
      <c r="B442" t="s">
        <v>56</v>
      </c>
      <c r="C442" t="s">
        <v>108</v>
      </c>
      <c r="D442" t="s">
        <v>572</v>
      </c>
      <c r="E442">
        <v>2.3012026011802499E+48</v>
      </c>
      <c r="F442" s="3">
        <v>46045.436956018515</v>
      </c>
      <c r="G442" s="1">
        <v>46045</v>
      </c>
      <c r="H442">
        <v>1891712215001</v>
      </c>
      <c r="I442">
        <v>10</v>
      </c>
      <c r="J442">
        <v>1.5</v>
      </c>
      <c r="K442">
        <v>11.5</v>
      </c>
    </row>
    <row r="443" spans="1:11" x14ac:dyDescent="0.25">
      <c r="A443">
        <v>1802565182001</v>
      </c>
      <c r="B443" t="s">
        <v>56</v>
      </c>
      <c r="C443" t="s">
        <v>108</v>
      </c>
      <c r="D443" t="s">
        <v>573</v>
      </c>
      <c r="E443">
        <v>2.3012026011802499E+48</v>
      </c>
      <c r="F443" s="3">
        <v>46045.435416666667</v>
      </c>
      <c r="G443" s="1">
        <v>46045</v>
      </c>
      <c r="H443">
        <v>1891712215001</v>
      </c>
      <c r="I443">
        <v>10</v>
      </c>
      <c r="J443">
        <v>1.5</v>
      </c>
      <c r="K443">
        <v>11.5</v>
      </c>
    </row>
    <row r="444" spans="1:11" x14ac:dyDescent="0.25">
      <c r="A444">
        <v>1802565182001</v>
      </c>
      <c r="B444" t="s">
        <v>56</v>
      </c>
      <c r="C444" t="s">
        <v>108</v>
      </c>
      <c r="D444" t="s">
        <v>574</v>
      </c>
      <c r="E444">
        <v>2.3012026011802499E+48</v>
      </c>
      <c r="F444" s="3">
        <v>46045.433981481481</v>
      </c>
      <c r="G444" s="1">
        <v>46045</v>
      </c>
      <c r="H444">
        <v>1891712215001</v>
      </c>
      <c r="I444">
        <v>10</v>
      </c>
      <c r="J444">
        <v>1.5</v>
      </c>
      <c r="K444">
        <v>11.5</v>
      </c>
    </row>
    <row r="445" spans="1:11" x14ac:dyDescent="0.25">
      <c r="A445">
        <v>1793107958001</v>
      </c>
      <c r="B445" t="s">
        <v>43</v>
      </c>
      <c r="C445" t="s">
        <v>108</v>
      </c>
      <c r="D445" t="s">
        <v>575</v>
      </c>
      <c r="E445">
        <v>2.3012026011793101E+48</v>
      </c>
      <c r="F445" s="3">
        <v>46045.560289351852</v>
      </c>
      <c r="G445" s="1">
        <v>46045</v>
      </c>
      <c r="H445">
        <v>1891712215001</v>
      </c>
      <c r="I445">
        <v>231.74</v>
      </c>
      <c r="J445">
        <v>34.76</v>
      </c>
      <c r="K445">
        <v>266.5</v>
      </c>
    </row>
    <row r="446" spans="1:11" x14ac:dyDescent="0.25">
      <c r="A446">
        <v>992141913001</v>
      </c>
      <c r="B446" t="s">
        <v>28</v>
      </c>
      <c r="C446" t="s">
        <v>108</v>
      </c>
      <c r="D446" t="s">
        <v>576</v>
      </c>
      <c r="E446">
        <v>2.3012026010992099E+48</v>
      </c>
      <c r="F446" s="3">
        <v>46045.467546296299</v>
      </c>
      <c r="G446" s="1">
        <v>46045</v>
      </c>
      <c r="H446">
        <v>1891712215001</v>
      </c>
      <c r="I446">
        <v>109.57</v>
      </c>
      <c r="J446">
        <v>16.440000000000001</v>
      </c>
      <c r="K446">
        <v>126.01</v>
      </c>
    </row>
    <row r="447" spans="1:11" x14ac:dyDescent="0.25">
      <c r="A447">
        <v>992141913001</v>
      </c>
      <c r="B447" t="s">
        <v>28</v>
      </c>
      <c r="C447" t="s">
        <v>108</v>
      </c>
      <c r="D447" t="s">
        <v>577</v>
      </c>
      <c r="E447">
        <v>2.3012026010992099E+48</v>
      </c>
      <c r="F447" s="3">
        <v>46045.467997685184</v>
      </c>
      <c r="G447" s="1">
        <v>46045</v>
      </c>
      <c r="H447">
        <v>1891712215001</v>
      </c>
      <c r="I447">
        <v>2079.19</v>
      </c>
      <c r="J447">
        <v>311.88</v>
      </c>
      <c r="K447">
        <v>2391.0700000000002</v>
      </c>
    </row>
    <row r="448" spans="1:11" x14ac:dyDescent="0.25">
      <c r="A448">
        <v>992141913001</v>
      </c>
      <c r="B448" t="s">
        <v>28</v>
      </c>
      <c r="C448" t="s">
        <v>108</v>
      </c>
      <c r="D448" t="s">
        <v>578</v>
      </c>
      <c r="E448">
        <v>2.3012026010992099E+48</v>
      </c>
      <c r="F448" s="3">
        <v>46045.48541666667</v>
      </c>
      <c r="G448" s="1">
        <v>46045</v>
      </c>
      <c r="H448">
        <v>1891712215001</v>
      </c>
      <c r="I448">
        <v>120.8</v>
      </c>
      <c r="J448">
        <v>18.12</v>
      </c>
      <c r="K448">
        <v>138.91999999999999</v>
      </c>
    </row>
    <row r="449" spans="1:11" x14ac:dyDescent="0.25">
      <c r="A449">
        <v>1790009459001</v>
      </c>
      <c r="B449" t="s">
        <v>136</v>
      </c>
      <c r="C449" t="s">
        <v>108</v>
      </c>
      <c r="D449" t="s">
        <v>579</v>
      </c>
      <c r="E449">
        <v>2.3012026011789999E+48</v>
      </c>
      <c r="F449" s="3">
        <v>46045.475254629629</v>
      </c>
      <c r="G449" s="1">
        <v>46045</v>
      </c>
      <c r="H449">
        <v>1891712215001</v>
      </c>
      <c r="I449">
        <v>787.91</v>
      </c>
      <c r="J449">
        <v>118.19</v>
      </c>
      <c r="K449">
        <v>906.1</v>
      </c>
    </row>
    <row r="450" spans="1:11" x14ac:dyDescent="0.25">
      <c r="A450">
        <v>992141913001</v>
      </c>
      <c r="B450" t="s">
        <v>28</v>
      </c>
      <c r="C450" t="s">
        <v>108</v>
      </c>
      <c r="D450" t="s">
        <v>580</v>
      </c>
      <c r="E450">
        <v>2.3012026010992099E+48</v>
      </c>
      <c r="F450" s="3">
        <v>46045.488981481481</v>
      </c>
      <c r="G450" s="1">
        <v>46045</v>
      </c>
      <c r="H450">
        <v>1891712215001</v>
      </c>
      <c r="I450">
        <v>25.07</v>
      </c>
      <c r="J450">
        <v>3.76</v>
      </c>
      <c r="K450">
        <v>28.83</v>
      </c>
    </row>
    <row r="451" spans="1:11" x14ac:dyDescent="0.25">
      <c r="A451">
        <v>1801421593001</v>
      </c>
      <c r="B451" t="s">
        <v>50</v>
      </c>
      <c r="C451" t="s">
        <v>108</v>
      </c>
      <c r="D451" t="s">
        <v>581</v>
      </c>
      <c r="E451">
        <v>2.3012026011801399E+48</v>
      </c>
      <c r="F451" s="3">
        <v>46045.389050925929</v>
      </c>
      <c r="G451" s="1">
        <v>46045</v>
      </c>
      <c r="H451">
        <v>1891712215001</v>
      </c>
      <c r="I451">
        <v>176.09</v>
      </c>
      <c r="J451">
        <v>26.41</v>
      </c>
      <c r="K451">
        <v>202.5</v>
      </c>
    </row>
    <row r="452" spans="1:11" x14ac:dyDescent="0.25">
      <c r="A452">
        <v>1792566606001</v>
      </c>
      <c r="B452" t="s">
        <v>38</v>
      </c>
      <c r="C452" t="s">
        <v>108</v>
      </c>
      <c r="D452" t="s">
        <v>582</v>
      </c>
      <c r="E452">
        <v>2.3012026011792501E+48</v>
      </c>
      <c r="F452" s="3">
        <v>46045.399016203701</v>
      </c>
      <c r="G452" s="1">
        <v>46045</v>
      </c>
      <c r="H452">
        <v>1891712215001</v>
      </c>
      <c r="I452">
        <v>105</v>
      </c>
      <c r="J452">
        <v>15.75</v>
      </c>
      <c r="K452">
        <v>120.75</v>
      </c>
    </row>
    <row r="453" spans="1:11" x14ac:dyDescent="0.25">
      <c r="A453">
        <v>1801880574001</v>
      </c>
      <c r="B453" t="s">
        <v>55</v>
      </c>
      <c r="C453" t="s">
        <v>108</v>
      </c>
      <c r="D453" t="s">
        <v>583</v>
      </c>
      <c r="E453">
        <v>2.3012026011801798E+48</v>
      </c>
      <c r="F453" s="3">
        <v>46045.398449074077</v>
      </c>
      <c r="G453" s="1">
        <v>46045</v>
      </c>
      <c r="H453">
        <v>1891712215001</v>
      </c>
      <c r="I453">
        <v>25</v>
      </c>
      <c r="J453">
        <v>3.75</v>
      </c>
      <c r="K453">
        <v>28.75</v>
      </c>
    </row>
    <row r="454" spans="1:11" x14ac:dyDescent="0.25">
      <c r="A454">
        <v>1802588002001</v>
      </c>
      <c r="B454" t="s">
        <v>57</v>
      </c>
      <c r="C454" t="s">
        <v>108</v>
      </c>
      <c r="D454" t="s">
        <v>584</v>
      </c>
      <c r="E454">
        <v>2.3012026011802499E+48</v>
      </c>
      <c r="F454" s="3">
        <v>46045.556759259256</v>
      </c>
      <c r="G454" s="1">
        <v>46045</v>
      </c>
      <c r="H454">
        <v>1891712215001</v>
      </c>
      <c r="I454">
        <v>15</v>
      </c>
      <c r="J454">
        <v>2.25</v>
      </c>
      <c r="K454">
        <v>17.25</v>
      </c>
    </row>
    <row r="455" spans="1:11" x14ac:dyDescent="0.25">
      <c r="A455">
        <v>1792848776001</v>
      </c>
      <c r="B455" t="s">
        <v>39</v>
      </c>
      <c r="C455" t="s">
        <v>108</v>
      </c>
      <c r="D455" t="s">
        <v>585</v>
      </c>
      <c r="E455">
        <v>2.30120260117928E+48</v>
      </c>
      <c r="F455" s="3">
        <v>46045.734918981485</v>
      </c>
      <c r="G455" s="1">
        <v>46045</v>
      </c>
      <c r="H455">
        <v>1891712215001</v>
      </c>
      <c r="I455">
        <v>235.32</v>
      </c>
      <c r="J455">
        <v>35.299999999999997</v>
      </c>
      <c r="K455">
        <v>270.62</v>
      </c>
    </row>
    <row r="456" spans="1:11" x14ac:dyDescent="0.25">
      <c r="A456">
        <v>1802676997001</v>
      </c>
      <c r="B456" t="s">
        <v>185</v>
      </c>
      <c r="C456" t="s">
        <v>108</v>
      </c>
      <c r="D456" t="s">
        <v>586</v>
      </c>
      <c r="E456">
        <v>2.30120260118026E+48</v>
      </c>
      <c r="F456" s="3">
        <v>46045.327673611115</v>
      </c>
      <c r="G456" s="1">
        <v>46045</v>
      </c>
      <c r="H456">
        <v>1891712215001</v>
      </c>
      <c r="I456">
        <v>490.86</v>
      </c>
      <c r="J456">
        <v>73.63</v>
      </c>
      <c r="K456">
        <v>564.49</v>
      </c>
    </row>
    <row r="457" spans="1:11" x14ac:dyDescent="0.25">
      <c r="A457">
        <v>1790283380001</v>
      </c>
      <c r="B457" t="s">
        <v>107</v>
      </c>
      <c r="C457" t="s">
        <v>108</v>
      </c>
      <c r="D457" t="s">
        <v>587</v>
      </c>
      <c r="E457">
        <v>2.4012026011790201E+48</v>
      </c>
      <c r="F457" s="3">
        <v>46046.425115740742</v>
      </c>
      <c r="G457" s="1">
        <v>46046</v>
      </c>
      <c r="H457">
        <v>1891712215001</v>
      </c>
      <c r="I457">
        <v>12.17</v>
      </c>
      <c r="J457">
        <v>1.83</v>
      </c>
      <c r="K457">
        <v>14</v>
      </c>
    </row>
    <row r="458" spans="1:11" x14ac:dyDescent="0.25">
      <c r="A458">
        <v>1793107958001</v>
      </c>
      <c r="B458" t="s">
        <v>43</v>
      </c>
      <c r="C458" t="s">
        <v>108</v>
      </c>
      <c r="D458" t="s">
        <v>588</v>
      </c>
      <c r="E458">
        <v>2.4012026011793099E+48</v>
      </c>
      <c r="F458" s="3">
        <v>46046.352905092594</v>
      </c>
      <c r="G458" s="1">
        <v>46046</v>
      </c>
      <c r="H458">
        <v>1891712215001</v>
      </c>
      <c r="I458">
        <v>294.39999999999998</v>
      </c>
      <c r="J458">
        <v>44.16</v>
      </c>
      <c r="K458">
        <v>338.56</v>
      </c>
    </row>
    <row r="459" spans="1:11" x14ac:dyDescent="0.25">
      <c r="A459">
        <v>1802565182001</v>
      </c>
      <c r="B459" t="s">
        <v>56</v>
      </c>
      <c r="C459" t="s">
        <v>108</v>
      </c>
      <c r="D459" t="s">
        <v>589</v>
      </c>
      <c r="E459">
        <v>2.40120260118025E+48</v>
      </c>
      <c r="F459" s="3">
        <v>46046.416331018518</v>
      </c>
      <c r="G459" s="1">
        <v>46046</v>
      </c>
      <c r="H459">
        <v>1891712215001</v>
      </c>
      <c r="I459">
        <v>6</v>
      </c>
      <c r="J459">
        <v>0.9</v>
      </c>
      <c r="K459">
        <v>6.9</v>
      </c>
    </row>
    <row r="460" spans="1:11" x14ac:dyDescent="0.25">
      <c r="A460">
        <v>1802565182001</v>
      </c>
      <c r="B460" t="s">
        <v>56</v>
      </c>
      <c r="C460" t="s">
        <v>108</v>
      </c>
      <c r="D460" t="s">
        <v>590</v>
      </c>
      <c r="E460">
        <v>2.40120260118025E+48</v>
      </c>
      <c r="F460" s="3">
        <v>46046.415613425925</v>
      </c>
      <c r="G460" s="1">
        <v>46046</v>
      </c>
      <c r="H460">
        <v>1891712215001</v>
      </c>
      <c r="I460">
        <v>6</v>
      </c>
      <c r="J460">
        <v>0.9</v>
      </c>
      <c r="K460">
        <v>6.9</v>
      </c>
    </row>
    <row r="461" spans="1:11" x14ac:dyDescent="0.25">
      <c r="A461">
        <v>1790283380001</v>
      </c>
      <c r="B461" t="s">
        <v>107</v>
      </c>
      <c r="C461" t="s">
        <v>108</v>
      </c>
      <c r="D461" t="s">
        <v>591</v>
      </c>
      <c r="E461">
        <v>2.4012026011790201E+48</v>
      </c>
      <c r="F461" s="3">
        <v>46046.432557870372</v>
      </c>
      <c r="G461" s="1">
        <v>46046</v>
      </c>
      <c r="H461">
        <v>1891712215001</v>
      </c>
      <c r="I461">
        <v>57.3</v>
      </c>
      <c r="J461">
        <v>8.59</v>
      </c>
      <c r="K461">
        <v>65.89</v>
      </c>
    </row>
    <row r="462" spans="1:11" x14ac:dyDescent="0.25">
      <c r="A462">
        <v>1802565182001</v>
      </c>
      <c r="B462" t="s">
        <v>56</v>
      </c>
      <c r="C462" t="s">
        <v>108</v>
      </c>
      <c r="D462" t="s">
        <v>592</v>
      </c>
      <c r="E462">
        <v>2.40120260118025E+48</v>
      </c>
      <c r="F462" s="3">
        <v>46046.498854166668</v>
      </c>
      <c r="G462" s="1">
        <v>46046</v>
      </c>
      <c r="H462">
        <v>1891712215001</v>
      </c>
      <c r="I462">
        <v>10</v>
      </c>
      <c r="J462">
        <v>1.5</v>
      </c>
      <c r="K462">
        <v>11.5</v>
      </c>
    </row>
    <row r="463" spans="1:11" x14ac:dyDescent="0.25">
      <c r="A463">
        <v>1790283380001</v>
      </c>
      <c r="B463" t="s">
        <v>107</v>
      </c>
      <c r="C463" t="s">
        <v>108</v>
      </c>
      <c r="D463" t="s">
        <v>593</v>
      </c>
      <c r="E463">
        <v>2.4012026011790201E+48</v>
      </c>
      <c r="F463" s="3">
        <v>46046.429513888892</v>
      </c>
      <c r="G463" s="1">
        <v>46046</v>
      </c>
      <c r="H463">
        <v>1891712215001</v>
      </c>
      <c r="I463">
        <v>19.440000000000001</v>
      </c>
      <c r="J463">
        <v>2.92</v>
      </c>
      <c r="K463">
        <v>22.36</v>
      </c>
    </row>
    <row r="464" spans="1:11" x14ac:dyDescent="0.25">
      <c r="A464">
        <v>1790009459001</v>
      </c>
      <c r="B464" t="s">
        <v>136</v>
      </c>
      <c r="C464" t="s">
        <v>108</v>
      </c>
      <c r="D464" t="s">
        <v>594</v>
      </c>
      <c r="E464">
        <v>2.6012026011790001E+48</v>
      </c>
      <c r="F464" s="3">
        <v>46048.709467592591</v>
      </c>
      <c r="G464" s="1">
        <v>46048</v>
      </c>
      <c r="H464">
        <v>1891712215001</v>
      </c>
      <c r="I464">
        <v>992.88</v>
      </c>
      <c r="J464">
        <v>148.93</v>
      </c>
      <c r="K464">
        <v>1141.81</v>
      </c>
    </row>
    <row r="465" spans="1:11" x14ac:dyDescent="0.25">
      <c r="A465">
        <v>1801880574001</v>
      </c>
      <c r="B465" t="s">
        <v>55</v>
      </c>
      <c r="C465" t="s">
        <v>108</v>
      </c>
      <c r="D465" t="s">
        <v>595</v>
      </c>
      <c r="E465">
        <v>2.6012026011801801E+48</v>
      </c>
      <c r="F465" s="3">
        <v>46048.433854166666</v>
      </c>
      <c r="G465" s="1">
        <v>46048</v>
      </c>
      <c r="H465">
        <v>1891712215001</v>
      </c>
      <c r="I465">
        <v>12</v>
      </c>
      <c r="J465">
        <v>1.8</v>
      </c>
      <c r="K465">
        <v>13.8</v>
      </c>
    </row>
    <row r="466" spans="1:11" x14ac:dyDescent="0.25">
      <c r="A466">
        <v>1801880574001</v>
      </c>
      <c r="B466" t="s">
        <v>55</v>
      </c>
      <c r="C466" t="s">
        <v>108</v>
      </c>
      <c r="D466" t="s">
        <v>596</v>
      </c>
      <c r="E466">
        <v>2.6012026011801801E+48</v>
      </c>
      <c r="F466" s="3">
        <v>46048.436215277776</v>
      </c>
      <c r="G466" s="1">
        <v>46048</v>
      </c>
      <c r="H466">
        <v>1891712215001</v>
      </c>
      <c r="I466">
        <v>10</v>
      </c>
      <c r="J466">
        <v>1.5</v>
      </c>
      <c r="K466">
        <v>11.5</v>
      </c>
    </row>
    <row r="467" spans="1:11" x14ac:dyDescent="0.25">
      <c r="A467">
        <v>1793107958001</v>
      </c>
      <c r="B467" t="s">
        <v>43</v>
      </c>
      <c r="C467" t="s">
        <v>108</v>
      </c>
      <c r="D467" t="s">
        <v>597</v>
      </c>
      <c r="E467">
        <v>2.6012026011793101E+48</v>
      </c>
      <c r="F467" s="3">
        <v>46048.375115740739</v>
      </c>
      <c r="G467" s="1">
        <v>46048</v>
      </c>
      <c r="H467">
        <v>1891712215001</v>
      </c>
      <c r="I467">
        <v>218.04</v>
      </c>
      <c r="J467">
        <v>32.71</v>
      </c>
      <c r="K467">
        <v>250.75</v>
      </c>
    </row>
    <row r="468" spans="1:11" x14ac:dyDescent="0.25">
      <c r="A468">
        <v>604599126001</v>
      </c>
      <c r="B468" t="s">
        <v>23</v>
      </c>
      <c r="C468" t="s">
        <v>108</v>
      </c>
      <c r="D468" t="s">
        <v>598</v>
      </c>
      <c r="E468">
        <v>2.60120260106045E+48</v>
      </c>
      <c r="F468" s="3">
        <v>46048.398634259262</v>
      </c>
      <c r="G468" s="1">
        <v>46048</v>
      </c>
      <c r="H468">
        <v>1891712215001</v>
      </c>
      <c r="I468">
        <v>17.87</v>
      </c>
      <c r="J468">
        <v>2.68</v>
      </c>
      <c r="K468">
        <v>20.55</v>
      </c>
    </row>
    <row r="469" spans="1:11" x14ac:dyDescent="0.25">
      <c r="A469">
        <v>604599126001</v>
      </c>
      <c r="B469" t="s">
        <v>23</v>
      </c>
      <c r="C469" t="s">
        <v>108</v>
      </c>
      <c r="D469" t="s">
        <v>599</v>
      </c>
      <c r="E469">
        <v>2.60120260106045E+48</v>
      </c>
      <c r="F469" s="3">
        <v>46048.447951388887</v>
      </c>
      <c r="G469" s="1">
        <v>46048</v>
      </c>
      <c r="H469">
        <v>1891712215001</v>
      </c>
      <c r="I469">
        <v>17.87</v>
      </c>
      <c r="J469">
        <v>2.68</v>
      </c>
      <c r="K469">
        <v>20.55</v>
      </c>
    </row>
    <row r="470" spans="1:11" x14ac:dyDescent="0.25">
      <c r="A470">
        <v>1790009459001</v>
      </c>
      <c r="B470" t="s">
        <v>136</v>
      </c>
      <c r="C470" t="s">
        <v>108</v>
      </c>
      <c r="D470" t="s">
        <v>600</v>
      </c>
      <c r="E470">
        <v>2.6012026011790001E+48</v>
      </c>
      <c r="F470" s="3">
        <v>46048.750393518516</v>
      </c>
      <c r="G470" s="1">
        <v>46048</v>
      </c>
      <c r="H470">
        <v>1891712215001</v>
      </c>
      <c r="I470">
        <v>5244.45</v>
      </c>
      <c r="J470">
        <v>786.67</v>
      </c>
      <c r="K470">
        <v>6031.12</v>
      </c>
    </row>
    <row r="471" spans="1:11" x14ac:dyDescent="0.25">
      <c r="A471">
        <v>1802565182001</v>
      </c>
      <c r="B471" t="s">
        <v>56</v>
      </c>
      <c r="C471" t="s">
        <v>108</v>
      </c>
      <c r="D471" t="s">
        <v>601</v>
      </c>
      <c r="E471">
        <v>2.6012026011802499E+48</v>
      </c>
      <c r="F471" s="3">
        <v>46048.505370370367</v>
      </c>
      <c r="G471" s="1">
        <v>46048</v>
      </c>
      <c r="H471">
        <v>1891712215001</v>
      </c>
      <c r="I471">
        <v>10</v>
      </c>
      <c r="J471">
        <v>1.5</v>
      </c>
      <c r="K471">
        <v>11.5</v>
      </c>
    </row>
    <row r="472" spans="1:11" x14ac:dyDescent="0.25">
      <c r="A472">
        <v>1802565182001</v>
      </c>
      <c r="B472" t="s">
        <v>56</v>
      </c>
      <c r="C472" t="s">
        <v>108</v>
      </c>
      <c r="D472" t="s">
        <v>602</v>
      </c>
      <c r="E472">
        <v>2.6012026011802499E+48</v>
      </c>
      <c r="F472" s="3">
        <v>46048.642106481479</v>
      </c>
      <c r="G472" s="1">
        <v>46048</v>
      </c>
      <c r="H472">
        <v>1891712215001</v>
      </c>
      <c r="I472">
        <v>10</v>
      </c>
      <c r="J472">
        <v>1.5</v>
      </c>
      <c r="K472">
        <v>11.5</v>
      </c>
    </row>
    <row r="473" spans="1:11" x14ac:dyDescent="0.25">
      <c r="A473">
        <v>1790009459001</v>
      </c>
      <c r="B473" t="s">
        <v>136</v>
      </c>
      <c r="C473" t="s">
        <v>108</v>
      </c>
      <c r="D473" t="s">
        <v>603</v>
      </c>
      <c r="E473">
        <v>2.6012026011790001E+48</v>
      </c>
      <c r="F473" s="3">
        <v>46048.75068287037</v>
      </c>
      <c r="G473" s="1">
        <v>46048</v>
      </c>
      <c r="H473">
        <v>1891712215001</v>
      </c>
      <c r="I473">
        <v>2229.4299999999998</v>
      </c>
      <c r="J473">
        <v>334.41</v>
      </c>
      <c r="K473">
        <v>2563.84</v>
      </c>
    </row>
    <row r="474" spans="1:11" x14ac:dyDescent="0.25">
      <c r="A474">
        <v>1790009459001</v>
      </c>
      <c r="B474" t="s">
        <v>136</v>
      </c>
      <c r="C474" t="s">
        <v>108</v>
      </c>
      <c r="D474" t="s">
        <v>604</v>
      </c>
      <c r="E474">
        <v>2.6012026011790001E+48</v>
      </c>
      <c r="F474" s="3">
        <v>46048.461898148147</v>
      </c>
      <c r="G474" s="1">
        <v>46048</v>
      </c>
      <c r="H474">
        <v>1891712215001</v>
      </c>
      <c r="I474">
        <v>3048.24</v>
      </c>
      <c r="J474">
        <v>457.24</v>
      </c>
      <c r="K474">
        <v>3505.48</v>
      </c>
    </row>
    <row r="475" spans="1:11" x14ac:dyDescent="0.25">
      <c r="A475">
        <v>1793107958001</v>
      </c>
      <c r="B475" t="s">
        <v>43</v>
      </c>
      <c r="C475" t="s">
        <v>108</v>
      </c>
      <c r="D475" t="s">
        <v>605</v>
      </c>
      <c r="E475">
        <v>2.6012026011793101E+48</v>
      </c>
      <c r="F475" s="3">
        <v>46048.458506944444</v>
      </c>
      <c r="G475" s="1">
        <v>46048</v>
      </c>
      <c r="H475">
        <v>1891712215001</v>
      </c>
      <c r="I475">
        <v>1.48</v>
      </c>
      <c r="J475">
        <v>0.22</v>
      </c>
      <c r="K475">
        <v>1.7</v>
      </c>
    </row>
    <row r="476" spans="1:11" x14ac:dyDescent="0.25">
      <c r="A476">
        <v>1802740876001</v>
      </c>
      <c r="B476" t="s">
        <v>59</v>
      </c>
      <c r="C476" t="s">
        <v>108</v>
      </c>
      <c r="D476" t="s">
        <v>606</v>
      </c>
      <c r="E476">
        <v>2.60120260118027E+48</v>
      </c>
      <c r="F476" s="3">
        <v>46048.473587962966</v>
      </c>
      <c r="G476" s="1">
        <v>46048</v>
      </c>
      <c r="H476">
        <v>1891712215001</v>
      </c>
      <c r="I476">
        <v>24</v>
      </c>
      <c r="J476">
        <v>0</v>
      </c>
      <c r="K476">
        <v>24</v>
      </c>
    </row>
    <row r="477" spans="1:11" x14ac:dyDescent="0.25">
      <c r="A477">
        <v>1793107958001</v>
      </c>
      <c r="B477" t="s">
        <v>43</v>
      </c>
      <c r="C477" t="s">
        <v>108</v>
      </c>
      <c r="D477" t="s">
        <v>607</v>
      </c>
      <c r="E477">
        <v>2.6012026011793101E+48</v>
      </c>
      <c r="F477" s="3">
        <v>46048.7</v>
      </c>
      <c r="G477" s="1">
        <v>46048</v>
      </c>
      <c r="H477">
        <v>1891712215001</v>
      </c>
      <c r="I477">
        <v>143.22</v>
      </c>
      <c r="J477">
        <v>21.48</v>
      </c>
      <c r="K477">
        <v>164.7</v>
      </c>
    </row>
    <row r="478" spans="1:11" x14ac:dyDescent="0.25">
      <c r="A478">
        <v>1793107958001</v>
      </c>
      <c r="B478" t="s">
        <v>43</v>
      </c>
      <c r="C478" t="s">
        <v>108</v>
      </c>
      <c r="D478" t="s">
        <v>608</v>
      </c>
      <c r="E478">
        <v>2.6012026011793101E+48</v>
      </c>
      <c r="F478" s="3">
        <v>46048.700138888889</v>
      </c>
      <c r="G478" s="1">
        <v>46048</v>
      </c>
      <c r="H478">
        <v>1891712215001</v>
      </c>
      <c r="I478">
        <v>530.29999999999995</v>
      </c>
      <c r="J478">
        <v>79.55</v>
      </c>
      <c r="K478">
        <v>609.85</v>
      </c>
    </row>
    <row r="479" spans="1:11" x14ac:dyDescent="0.25">
      <c r="A479">
        <v>990049459001</v>
      </c>
      <c r="B479" t="s">
        <v>149</v>
      </c>
      <c r="C479" t="s">
        <v>108</v>
      </c>
      <c r="D479" t="s">
        <v>609</v>
      </c>
      <c r="E479">
        <v>2.6012026010990002E+48</v>
      </c>
      <c r="F479" s="3">
        <v>46049.541562500002</v>
      </c>
      <c r="G479" s="1">
        <v>46048</v>
      </c>
      <c r="H479">
        <v>1891712215001</v>
      </c>
      <c r="I479">
        <v>2.62</v>
      </c>
      <c r="J479">
        <v>0.39</v>
      </c>
      <c r="K479">
        <v>3.01</v>
      </c>
    </row>
    <row r="480" spans="1:11" x14ac:dyDescent="0.25">
      <c r="A480">
        <v>1793107958001</v>
      </c>
      <c r="B480" t="s">
        <v>43</v>
      </c>
      <c r="C480" t="s">
        <v>108</v>
      </c>
      <c r="D480" t="s">
        <v>610</v>
      </c>
      <c r="E480">
        <v>2.6012026011793101E+48</v>
      </c>
      <c r="F480" s="3">
        <v>46048.541967592595</v>
      </c>
      <c r="G480" s="1">
        <v>46048</v>
      </c>
      <c r="H480">
        <v>1891712215001</v>
      </c>
      <c r="I480">
        <v>133.81</v>
      </c>
      <c r="J480">
        <v>20.07</v>
      </c>
      <c r="K480">
        <v>153.88</v>
      </c>
    </row>
    <row r="481" spans="1:11" x14ac:dyDescent="0.25">
      <c r="A481">
        <v>1793107958001</v>
      </c>
      <c r="B481" t="s">
        <v>43</v>
      </c>
      <c r="C481" t="s">
        <v>108</v>
      </c>
      <c r="D481" t="s">
        <v>611</v>
      </c>
      <c r="E481">
        <v>2.6012026011793101E+48</v>
      </c>
      <c r="F481" s="3">
        <v>46048.541678240741</v>
      </c>
      <c r="G481" s="1">
        <v>46048</v>
      </c>
      <c r="H481">
        <v>1891712215001</v>
      </c>
      <c r="I481">
        <v>682.08</v>
      </c>
      <c r="J481">
        <v>102.31</v>
      </c>
      <c r="K481">
        <v>784.39</v>
      </c>
    </row>
    <row r="482" spans="1:11" x14ac:dyDescent="0.25">
      <c r="A482">
        <v>604599126001</v>
      </c>
      <c r="B482" t="s">
        <v>23</v>
      </c>
      <c r="C482" t="s">
        <v>108</v>
      </c>
      <c r="D482" t="s">
        <v>612</v>
      </c>
      <c r="E482">
        <v>2.60120260106045E+48</v>
      </c>
      <c r="F482" s="3">
        <v>46048.502523148149</v>
      </c>
      <c r="G482" s="1">
        <v>46048</v>
      </c>
      <c r="H482">
        <v>1891712215001</v>
      </c>
      <c r="I482">
        <v>17.87</v>
      </c>
      <c r="J482">
        <v>2.68</v>
      </c>
      <c r="K482">
        <v>20.55</v>
      </c>
    </row>
    <row r="483" spans="1:11" x14ac:dyDescent="0.25">
      <c r="A483">
        <v>1793107958001</v>
      </c>
      <c r="B483" t="s">
        <v>43</v>
      </c>
      <c r="C483" t="s">
        <v>108</v>
      </c>
      <c r="D483" t="s">
        <v>613</v>
      </c>
      <c r="E483">
        <v>2.6012026011793101E+48</v>
      </c>
      <c r="F483" s="3">
        <v>46048.375138888892</v>
      </c>
      <c r="G483" s="1">
        <v>46048</v>
      </c>
      <c r="H483">
        <v>1891712215001</v>
      </c>
      <c r="I483">
        <v>1.48</v>
      </c>
      <c r="J483">
        <v>0.22</v>
      </c>
      <c r="K483">
        <v>1.7</v>
      </c>
    </row>
    <row r="484" spans="1:11" x14ac:dyDescent="0.25">
      <c r="A484">
        <v>1802565182001</v>
      </c>
      <c r="B484" t="s">
        <v>56</v>
      </c>
      <c r="C484" t="s">
        <v>108</v>
      </c>
      <c r="D484" t="s">
        <v>614</v>
      </c>
      <c r="E484">
        <v>2.70120260118025E+48</v>
      </c>
      <c r="F484" s="3">
        <v>46049.384560185186</v>
      </c>
      <c r="G484" s="1">
        <v>46049</v>
      </c>
      <c r="H484">
        <v>1891712215001</v>
      </c>
      <c r="I484">
        <v>10</v>
      </c>
      <c r="J484">
        <v>1.5</v>
      </c>
      <c r="K484">
        <v>11.5</v>
      </c>
    </row>
    <row r="485" spans="1:11" x14ac:dyDescent="0.25">
      <c r="A485">
        <v>992141913001</v>
      </c>
      <c r="B485" t="s">
        <v>28</v>
      </c>
      <c r="C485" t="s">
        <v>108</v>
      </c>
      <c r="D485" t="s">
        <v>615</v>
      </c>
      <c r="E485">
        <v>2.7012026010992099E+48</v>
      </c>
      <c r="F485" s="3">
        <v>46049.402141203704</v>
      </c>
      <c r="G485" s="1">
        <v>46049</v>
      </c>
      <c r="H485">
        <v>1891712215001</v>
      </c>
      <c r="I485">
        <v>87.03</v>
      </c>
      <c r="J485">
        <v>13.05</v>
      </c>
      <c r="K485">
        <v>100.08</v>
      </c>
    </row>
    <row r="486" spans="1:11" x14ac:dyDescent="0.25">
      <c r="A486">
        <v>1790283380001</v>
      </c>
      <c r="B486" t="s">
        <v>107</v>
      </c>
      <c r="C486" t="s">
        <v>108</v>
      </c>
      <c r="D486" t="s">
        <v>616</v>
      </c>
      <c r="E486">
        <v>2.70120260117902E+48</v>
      </c>
      <c r="F486" s="3">
        <v>46049.418344907404</v>
      </c>
      <c r="G486" s="1">
        <v>46049</v>
      </c>
      <c r="H486">
        <v>1891712215001</v>
      </c>
      <c r="I486">
        <v>32.909999999999997</v>
      </c>
      <c r="J486">
        <v>4.9400000000000004</v>
      </c>
      <c r="K486">
        <v>37.85</v>
      </c>
    </row>
    <row r="487" spans="1:11" x14ac:dyDescent="0.25">
      <c r="A487">
        <v>1790283380001</v>
      </c>
      <c r="B487" t="s">
        <v>107</v>
      </c>
      <c r="C487" t="s">
        <v>108</v>
      </c>
      <c r="D487" t="s">
        <v>617</v>
      </c>
      <c r="E487">
        <v>2.70120260117902E+48</v>
      </c>
      <c r="F487" s="3">
        <v>46049.421840277777</v>
      </c>
      <c r="G487" s="1">
        <v>46049</v>
      </c>
      <c r="H487">
        <v>1891712215001</v>
      </c>
      <c r="I487">
        <v>21.63</v>
      </c>
      <c r="J487">
        <v>3.25</v>
      </c>
      <c r="K487">
        <v>24.88</v>
      </c>
    </row>
    <row r="488" spans="1:11" x14ac:dyDescent="0.25">
      <c r="A488">
        <v>1793162797001</v>
      </c>
      <c r="B488" t="s">
        <v>46</v>
      </c>
      <c r="C488" t="s">
        <v>108</v>
      </c>
      <c r="D488" t="s">
        <v>618</v>
      </c>
      <c r="E488">
        <v>2.7012026011793102E+48</v>
      </c>
      <c r="F488" s="3">
        <v>46049.542233796295</v>
      </c>
      <c r="G488" s="1">
        <v>46049</v>
      </c>
      <c r="H488">
        <v>1891712215001</v>
      </c>
      <c r="I488">
        <v>854.88</v>
      </c>
      <c r="J488">
        <v>128.22999999999999</v>
      </c>
      <c r="K488">
        <v>983.11</v>
      </c>
    </row>
    <row r="489" spans="1:11" x14ac:dyDescent="0.25">
      <c r="A489">
        <v>1802565182001</v>
      </c>
      <c r="B489" t="s">
        <v>56</v>
      </c>
      <c r="C489" t="s">
        <v>108</v>
      </c>
      <c r="D489" t="s">
        <v>619</v>
      </c>
      <c r="E489">
        <v>2.70120260118025E+48</v>
      </c>
      <c r="F489" s="3">
        <v>46049.686956018515</v>
      </c>
      <c r="G489" s="1">
        <v>46049</v>
      </c>
      <c r="H489">
        <v>1891712215001</v>
      </c>
      <c r="I489">
        <v>6</v>
      </c>
      <c r="J489">
        <v>0.9</v>
      </c>
      <c r="K489">
        <v>6.9</v>
      </c>
    </row>
    <row r="490" spans="1:11" x14ac:dyDescent="0.25">
      <c r="A490">
        <v>1891796176001</v>
      </c>
      <c r="B490" t="s">
        <v>91</v>
      </c>
      <c r="C490" t="s">
        <v>108</v>
      </c>
      <c r="D490" t="s">
        <v>620</v>
      </c>
      <c r="E490">
        <v>2.70120260118917E+48</v>
      </c>
      <c r="F490" s="3">
        <v>46049.680763888886</v>
      </c>
      <c r="G490" s="1">
        <v>46049</v>
      </c>
      <c r="H490">
        <v>1891712215001</v>
      </c>
      <c r="I490">
        <v>12.17</v>
      </c>
      <c r="J490">
        <v>1.83</v>
      </c>
      <c r="K490">
        <v>14</v>
      </c>
    </row>
    <row r="491" spans="1:11" x14ac:dyDescent="0.25">
      <c r="A491">
        <v>1802565182001</v>
      </c>
      <c r="B491" t="s">
        <v>56</v>
      </c>
      <c r="C491" t="s">
        <v>108</v>
      </c>
      <c r="D491" t="s">
        <v>621</v>
      </c>
      <c r="E491">
        <v>2.70120260118025E+48</v>
      </c>
      <c r="F491" s="3">
        <v>46049.622835648152</v>
      </c>
      <c r="G491" s="1">
        <v>46049</v>
      </c>
      <c r="H491">
        <v>1891712215001</v>
      </c>
      <c r="I491">
        <v>10</v>
      </c>
      <c r="J491">
        <v>1.5</v>
      </c>
      <c r="K491">
        <v>11.5</v>
      </c>
    </row>
    <row r="492" spans="1:11" x14ac:dyDescent="0.25">
      <c r="A492">
        <v>1802565182001</v>
      </c>
      <c r="B492" t="s">
        <v>56</v>
      </c>
      <c r="C492" t="s">
        <v>108</v>
      </c>
      <c r="D492" t="s">
        <v>622</v>
      </c>
      <c r="E492">
        <v>2.70120260118025E+48</v>
      </c>
      <c r="F492" s="3">
        <v>46049.623402777775</v>
      </c>
      <c r="G492" s="1">
        <v>46049</v>
      </c>
      <c r="H492">
        <v>1891712215001</v>
      </c>
      <c r="I492">
        <v>10</v>
      </c>
      <c r="J492">
        <v>1.5</v>
      </c>
      <c r="K492">
        <v>11.5</v>
      </c>
    </row>
    <row r="493" spans="1:11" x14ac:dyDescent="0.25">
      <c r="A493">
        <v>1790009459001</v>
      </c>
      <c r="B493" t="s">
        <v>136</v>
      </c>
      <c r="C493" t="s">
        <v>108</v>
      </c>
      <c r="D493" t="s">
        <v>623</v>
      </c>
      <c r="E493">
        <v>2.7012026011789999E+48</v>
      </c>
      <c r="F493" s="3">
        <v>46049.626076388886</v>
      </c>
      <c r="G493" s="1">
        <v>46049</v>
      </c>
      <c r="H493">
        <v>1891712215001</v>
      </c>
      <c r="I493">
        <v>1009.86</v>
      </c>
      <c r="J493">
        <v>151.47999999999999</v>
      </c>
      <c r="K493">
        <v>1161.3399999999999</v>
      </c>
    </row>
    <row r="494" spans="1:11" x14ac:dyDescent="0.25">
      <c r="A494">
        <v>1803450749001</v>
      </c>
      <c r="B494" t="s">
        <v>64</v>
      </c>
      <c r="C494" t="s">
        <v>108</v>
      </c>
      <c r="D494" t="s">
        <v>624</v>
      </c>
      <c r="E494">
        <v>2.7012026011803398E+48</v>
      </c>
      <c r="F494" s="3">
        <v>46049.646956018521</v>
      </c>
      <c r="G494" s="1">
        <v>46049</v>
      </c>
      <c r="H494">
        <v>1891712215001</v>
      </c>
      <c r="I494">
        <v>5</v>
      </c>
      <c r="J494">
        <v>0</v>
      </c>
      <c r="K494">
        <v>5</v>
      </c>
    </row>
    <row r="495" spans="1:11" x14ac:dyDescent="0.25">
      <c r="A495">
        <v>1793025692001</v>
      </c>
      <c r="B495" t="s">
        <v>42</v>
      </c>
      <c r="C495" t="s">
        <v>108</v>
      </c>
      <c r="D495" t="s">
        <v>625</v>
      </c>
      <c r="E495">
        <v>2.7012026011793001E+48</v>
      </c>
      <c r="F495" s="3">
        <v>46049.65215277778</v>
      </c>
      <c r="G495" s="1">
        <v>46049</v>
      </c>
      <c r="H495">
        <v>1891712215001</v>
      </c>
      <c r="I495">
        <v>225.6</v>
      </c>
      <c r="J495">
        <v>33.840000000000003</v>
      </c>
      <c r="K495">
        <v>259.44</v>
      </c>
    </row>
    <row r="496" spans="1:11" x14ac:dyDescent="0.25">
      <c r="A496">
        <v>1793107958001</v>
      </c>
      <c r="B496" t="s">
        <v>43</v>
      </c>
      <c r="C496" t="s">
        <v>108</v>
      </c>
      <c r="D496" t="s">
        <v>626</v>
      </c>
      <c r="E496">
        <v>2.7012026011793102E+48</v>
      </c>
      <c r="F496" s="3">
        <v>46049.708854166667</v>
      </c>
      <c r="G496" s="1">
        <v>46049</v>
      </c>
      <c r="H496">
        <v>1891712215001</v>
      </c>
      <c r="I496">
        <v>62.5</v>
      </c>
      <c r="J496">
        <v>9.3800000000000008</v>
      </c>
      <c r="K496">
        <v>71.88</v>
      </c>
    </row>
    <row r="497" spans="1:11" x14ac:dyDescent="0.25">
      <c r="A497">
        <v>1805237821001</v>
      </c>
      <c r="B497" t="s">
        <v>77</v>
      </c>
      <c r="C497" t="s">
        <v>108</v>
      </c>
      <c r="D497" t="s">
        <v>627</v>
      </c>
      <c r="E497">
        <v>2.70120260118052E+48</v>
      </c>
      <c r="F497" s="3">
        <v>46049.692083333335</v>
      </c>
      <c r="G497" s="1">
        <v>46049</v>
      </c>
      <c r="H497">
        <v>1891712215001</v>
      </c>
      <c r="I497">
        <v>25</v>
      </c>
      <c r="J497">
        <v>3.75</v>
      </c>
      <c r="K497">
        <v>28.75</v>
      </c>
    </row>
    <row r="498" spans="1:11" x14ac:dyDescent="0.25">
      <c r="A498">
        <v>1891796176001</v>
      </c>
      <c r="B498" t="s">
        <v>91</v>
      </c>
      <c r="C498" t="s">
        <v>108</v>
      </c>
      <c r="D498" t="s">
        <v>628</v>
      </c>
      <c r="E498">
        <v>2.70120260118917E+48</v>
      </c>
      <c r="F498" s="3">
        <v>46049.679976851854</v>
      </c>
      <c r="G498" s="1">
        <v>46049</v>
      </c>
      <c r="H498">
        <v>1891712215001</v>
      </c>
      <c r="I498">
        <v>12.17</v>
      </c>
      <c r="J498">
        <v>1.83</v>
      </c>
      <c r="K498">
        <v>14</v>
      </c>
    </row>
    <row r="499" spans="1:11" x14ac:dyDescent="0.25">
      <c r="A499">
        <v>604599126001</v>
      </c>
      <c r="B499" t="s">
        <v>23</v>
      </c>
      <c r="C499" t="s">
        <v>108</v>
      </c>
      <c r="D499" t="s">
        <v>629</v>
      </c>
      <c r="E499">
        <v>2.70120260106045E+48</v>
      </c>
      <c r="F499" s="3">
        <v>46049.662824074076</v>
      </c>
      <c r="G499" s="1">
        <v>46049</v>
      </c>
      <c r="H499">
        <v>1891712215001</v>
      </c>
      <c r="I499">
        <v>17.87</v>
      </c>
      <c r="J499">
        <v>2.68</v>
      </c>
      <c r="K499">
        <v>20.55</v>
      </c>
    </row>
    <row r="500" spans="1:11" x14ac:dyDescent="0.25">
      <c r="A500">
        <v>1802565182001</v>
      </c>
      <c r="B500" t="s">
        <v>56</v>
      </c>
      <c r="C500" t="s">
        <v>108</v>
      </c>
      <c r="D500" t="s">
        <v>630</v>
      </c>
      <c r="E500">
        <v>2.70120260118025E+48</v>
      </c>
      <c r="F500" s="3">
        <v>46049.481956018521</v>
      </c>
      <c r="G500" s="1">
        <v>46049</v>
      </c>
      <c r="H500">
        <v>1891712215001</v>
      </c>
      <c r="I500">
        <v>10</v>
      </c>
      <c r="J500">
        <v>1.5</v>
      </c>
      <c r="K500">
        <v>11.5</v>
      </c>
    </row>
    <row r="501" spans="1:11" x14ac:dyDescent="0.25">
      <c r="A501">
        <v>1801880574001</v>
      </c>
      <c r="B501" t="s">
        <v>55</v>
      </c>
      <c r="C501" t="s">
        <v>108</v>
      </c>
      <c r="D501" t="s">
        <v>631</v>
      </c>
      <c r="E501">
        <v>2.7012026011801799E+48</v>
      </c>
      <c r="F501" s="3">
        <v>46049.50576388889</v>
      </c>
      <c r="G501" s="1">
        <v>46049</v>
      </c>
      <c r="H501">
        <v>1891712215001</v>
      </c>
      <c r="I501">
        <v>20</v>
      </c>
      <c r="J501">
        <v>3</v>
      </c>
      <c r="K501">
        <v>23</v>
      </c>
    </row>
    <row r="502" spans="1:11" x14ac:dyDescent="0.25">
      <c r="A502">
        <v>1801880574001</v>
      </c>
      <c r="B502" t="s">
        <v>55</v>
      </c>
      <c r="C502" t="s">
        <v>108</v>
      </c>
      <c r="D502" t="s">
        <v>632</v>
      </c>
      <c r="E502">
        <v>2.7012026011801799E+48</v>
      </c>
      <c r="F502" s="3">
        <v>46049.507395833331</v>
      </c>
      <c r="G502" s="1">
        <v>46049</v>
      </c>
      <c r="H502">
        <v>1891712215001</v>
      </c>
      <c r="I502">
        <v>15</v>
      </c>
      <c r="J502">
        <v>2.25</v>
      </c>
      <c r="K502">
        <v>17.25</v>
      </c>
    </row>
    <row r="503" spans="1:11" x14ac:dyDescent="0.25">
      <c r="A503">
        <v>1803467222001</v>
      </c>
      <c r="B503" t="s">
        <v>66</v>
      </c>
      <c r="C503" t="s">
        <v>108</v>
      </c>
      <c r="D503" t="s">
        <v>633</v>
      </c>
      <c r="E503">
        <v>2.7012026011803398E+48</v>
      </c>
      <c r="F503" s="3">
        <v>46049.754803240743</v>
      </c>
      <c r="G503" s="1">
        <v>46049</v>
      </c>
      <c r="H503">
        <v>1891712215001</v>
      </c>
      <c r="I503">
        <v>45</v>
      </c>
      <c r="J503">
        <v>6.75</v>
      </c>
      <c r="K503">
        <v>51.75</v>
      </c>
    </row>
    <row r="504" spans="1:11" x14ac:dyDescent="0.25">
      <c r="A504">
        <v>1790009459001</v>
      </c>
      <c r="B504" t="s">
        <v>136</v>
      </c>
      <c r="C504" t="s">
        <v>108</v>
      </c>
      <c r="D504" t="s">
        <v>634</v>
      </c>
      <c r="E504">
        <v>2.7012026011789999E+48</v>
      </c>
      <c r="F504" s="3">
        <v>46049.750185185185</v>
      </c>
      <c r="G504" s="1">
        <v>46049</v>
      </c>
      <c r="H504">
        <v>1891712215001</v>
      </c>
      <c r="I504">
        <v>1045.6500000000001</v>
      </c>
      <c r="J504">
        <v>156.85</v>
      </c>
      <c r="K504">
        <v>1202.5</v>
      </c>
    </row>
    <row r="505" spans="1:11" x14ac:dyDescent="0.25">
      <c r="A505">
        <v>1802565182001</v>
      </c>
      <c r="B505" t="s">
        <v>56</v>
      </c>
      <c r="C505" t="s">
        <v>108</v>
      </c>
      <c r="D505" t="s">
        <v>635</v>
      </c>
      <c r="E505">
        <v>2.80120260118025E+48</v>
      </c>
      <c r="F505" s="3">
        <v>46050.656458333331</v>
      </c>
      <c r="G505" s="1">
        <v>46050</v>
      </c>
      <c r="H505">
        <v>1891712215001</v>
      </c>
      <c r="I505">
        <v>6</v>
      </c>
      <c r="J505">
        <v>0.9</v>
      </c>
      <c r="K505">
        <v>6.9</v>
      </c>
    </row>
    <row r="506" spans="1:11" x14ac:dyDescent="0.25">
      <c r="A506">
        <v>1793107958001</v>
      </c>
      <c r="B506" t="s">
        <v>43</v>
      </c>
      <c r="C506" t="s">
        <v>108</v>
      </c>
      <c r="D506" t="s">
        <v>636</v>
      </c>
      <c r="E506">
        <v>2.8012026011793099E+48</v>
      </c>
      <c r="F506" s="3">
        <v>46050.541747685187</v>
      </c>
      <c r="G506" s="1">
        <v>46050</v>
      </c>
      <c r="H506">
        <v>1891712215001</v>
      </c>
      <c r="I506">
        <v>407.02</v>
      </c>
      <c r="J506">
        <v>61.05</v>
      </c>
      <c r="K506">
        <v>468.07</v>
      </c>
    </row>
    <row r="507" spans="1:11" x14ac:dyDescent="0.25">
      <c r="A507">
        <v>1802676997001</v>
      </c>
      <c r="B507" t="s">
        <v>185</v>
      </c>
      <c r="C507" t="s">
        <v>108</v>
      </c>
      <c r="D507" t="s">
        <v>637</v>
      </c>
      <c r="E507">
        <v>2.8012026011802601E+48</v>
      </c>
      <c r="F507" s="3">
        <v>46050.595821759256</v>
      </c>
      <c r="G507" s="1">
        <v>46050</v>
      </c>
      <c r="H507">
        <v>1891712215001</v>
      </c>
      <c r="I507">
        <v>814.34</v>
      </c>
      <c r="J507">
        <v>122.15</v>
      </c>
      <c r="K507">
        <v>936.49</v>
      </c>
    </row>
    <row r="508" spans="1:11" x14ac:dyDescent="0.25">
      <c r="A508">
        <v>1891796176001</v>
      </c>
      <c r="B508" t="s">
        <v>91</v>
      </c>
      <c r="C508" t="s">
        <v>108</v>
      </c>
      <c r="D508" t="s">
        <v>638</v>
      </c>
      <c r="E508">
        <v>2.8012026011891701E+48</v>
      </c>
      <c r="F508" s="3">
        <v>46050.471701388888</v>
      </c>
      <c r="G508" s="1">
        <v>46050</v>
      </c>
      <c r="H508">
        <v>1891712215001</v>
      </c>
      <c r="I508">
        <v>13.04</v>
      </c>
      <c r="J508">
        <v>1.96</v>
      </c>
      <c r="K508">
        <v>15</v>
      </c>
    </row>
    <row r="509" spans="1:11" x14ac:dyDescent="0.25">
      <c r="A509">
        <v>1790009459001</v>
      </c>
      <c r="B509" t="s">
        <v>136</v>
      </c>
      <c r="C509" t="s">
        <v>108</v>
      </c>
      <c r="D509" t="s">
        <v>639</v>
      </c>
      <c r="E509">
        <v>2.801202601179E+48</v>
      </c>
      <c r="F509" s="3">
        <v>46050.626145833332</v>
      </c>
      <c r="G509" s="1">
        <v>46050</v>
      </c>
      <c r="H509">
        <v>1891712215001</v>
      </c>
      <c r="I509">
        <v>2459.7800000000002</v>
      </c>
      <c r="J509">
        <v>368.97</v>
      </c>
      <c r="K509">
        <v>2828.75</v>
      </c>
    </row>
    <row r="510" spans="1:11" x14ac:dyDescent="0.25">
      <c r="A510">
        <v>1793107958001</v>
      </c>
      <c r="B510" t="s">
        <v>43</v>
      </c>
      <c r="C510" t="s">
        <v>108</v>
      </c>
      <c r="D510" t="s">
        <v>640</v>
      </c>
      <c r="E510">
        <v>2.8012026011793099E+48</v>
      </c>
      <c r="F510" s="3">
        <v>46050.685902777775</v>
      </c>
      <c r="G510" s="1">
        <v>46050</v>
      </c>
      <c r="H510">
        <v>1891712215001</v>
      </c>
      <c r="I510">
        <v>667.41</v>
      </c>
      <c r="J510">
        <v>100.11</v>
      </c>
      <c r="K510">
        <v>767.52</v>
      </c>
    </row>
    <row r="511" spans="1:11" x14ac:dyDescent="0.25">
      <c r="A511">
        <v>1790283380001</v>
      </c>
      <c r="B511" t="s">
        <v>107</v>
      </c>
      <c r="C511" t="s">
        <v>108</v>
      </c>
      <c r="D511" t="s">
        <v>641</v>
      </c>
      <c r="E511">
        <v>2.8012026011790201E+48</v>
      </c>
      <c r="F511" s="3">
        <v>46050.403611111113</v>
      </c>
      <c r="G511" s="1">
        <v>46050</v>
      </c>
      <c r="H511">
        <v>1891712215001</v>
      </c>
      <c r="I511">
        <v>41.17</v>
      </c>
      <c r="J511">
        <v>6.18</v>
      </c>
      <c r="K511">
        <v>47.35</v>
      </c>
    </row>
    <row r="512" spans="1:11" x14ac:dyDescent="0.25">
      <c r="A512">
        <v>1802565182001</v>
      </c>
      <c r="B512" t="s">
        <v>56</v>
      </c>
      <c r="C512" t="s">
        <v>108</v>
      </c>
      <c r="D512" t="s">
        <v>642</v>
      </c>
      <c r="E512">
        <v>2.80120260118025E+48</v>
      </c>
      <c r="F512" s="3">
        <v>46050.397685185184</v>
      </c>
      <c r="G512" s="1">
        <v>46050</v>
      </c>
      <c r="H512">
        <v>1891712215001</v>
      </c>
      <c r="I512">
        <v>10</v>
      </c>
      <c r="J512">
        <v>1.5</v>
      </c>
      <c r="K512">
        <v>11.5</v>
      </c>
    </row>
    <row r="513" spans="1:11" x14ac:dyDescent="0.25">
      <c r="A513">
        <v>1790283380001</v>
      </c>
      <c r="B513" t="s">
        <v>107</v>
      </c>
      <c r="C513" t="s">
        <v>108</v>
      </c>
      <c r="D513" t="s">
        <v>643</v>
      </c>
      <c r="E513">
        <v>2.8012026011790201E+48</v>
      </c>
      <c r="F513" s="3">
        <v>46050.399375000001</v>
      </c>
      <c r="G513" s="1">
        <v>46050</v>
      </c>
      <c r="H513">
        <v>1891712215001</v>
      </c>
      <c r="I513">
        <v>67.52</v>
      </c>
      <c r="J513">
        <v>10.130000000000001</v>
      </c>
      <c r="K513">
        <v>77.650000000000006</v>
      </c>
    </row>
    <row r="514" spans="1:11" x14ac:dyDescent="0.25">
      <c r="A514">
        <v>1790283380001</v>
      </c>
      <c r="B514" t="s">
        <v>107</v>
      </c>
      <c r="C514" t="s">
        <v>108</v>
      </c>
      <c r="D514" t="s">
        <v>644</v>
      </c>
      <c r="E514">
        <v>2.8012026011790201E+48</v>
      </c>
      <c r="F514" s="3">
        <v>46050.4062962963</v>
      </c>
      <c r="G514" s="1">
        <v>46050</v>
      </c>
      <c r="H514">
        <v>1891712215001</v>
      </c>
      <c r="I514">
        <v>3.13</v>
      </c>
      <c r="J514">
        <v>0.47</v>
      </c>
      <c r="K514">
        <v>3.6</v>
      </c>
    </row>
    <row r="515" spans="1:11" x14ac:dyDescent="0.25">
      <c r="A515">
        <v>1802565182001</v>
      </c>
      <c r="B515" t="s">
        <v>56</v>
      </c>
      <c r="C515" t="s">
        <v>108</v>
      </c>
      <c r="D515" t="s">
        <v>645</v>
      </c>
      <c r="E515">
        <v>2.80120260118025E+48</v>
      </c>
      <c r="F515" s="3">
        <v>46050.407384259262</v>
      </c>
      <c r="G515" s="1">
        <v>46050</v>
      </c>
      <c r="H515">
        <v>1891712215001</v>
      </c>
      <c r="I515">
        <v>6</v>
      </c>
      <c r="J515">
        <v>0.9</v>
      </c>
      <c r="K515">
        <v>6.9</v>
      </c>
    </row>
    <row r="516" spans="1:11" x14ac:dyDescent="0.25">
      <c r="A516">
        <v>604599126001</v>
      </c>
      <c r="B516" t="s">
        <v>23</v>
      </c>
      <c r="C516" t="s">
        <v>108</v>
      </c>
      <c r="D516" t="s">
        <v>646</v>
      </c>
      <c r="E516">
        <v>2.8012026010604501E+48</v>
      </c>
      <c r="F516" s="3">
        <v>46050.453900462962</v>
      </c>
      <c r="G516" s="1">
        <v>46050</v>
      </c>
      <c r="H516">
        <v>1891712215001</v>
      </c>
      <c r="I516">
        <v>17</v>
      </c>
      <c r="J516">
        <v>2.5499999999999998</v>
      </c>
      <c r="K516">
        <v>19.55</v>
      </c>
    </row>
    <row r="517" spans="1:11" x14ac:dyDescent="0.25">
      <c r="A517">
        <v>1793107958001</v>
      </c>
      <c r="B517" t="s">
        <v>43</v>
      </c>
      <c r="C517" t="s">
        <v>108</v>
      </c>
      <c r="D517" t="s">
        <v>647</v>
      </c>
      <c r="E517">
        <v>2.8012026011793099E+48</v>
      </c>
      <c r="F517" s="3">
        <v>46050.375254629631</v>
      </c>
      <c r="G517" s="1">
        <v>46050</v>
      </c>
      <c r="H517">
        <v>1891712215001</v>
      </c>
      <c r="I517">
        <v>20.96</v>
      </c>
      <c r="J517">
        <v>3.14</v>
      </c>
      <c r="K517">
        <v>24.1</v>
      </c>
    </row>
    <row r="518" spans="1:11" x14ac:dyDescent="0.25">
      <c r="A518">
        <v>1802565182001</v>
      </c>
      <c r="B518" t="s">
        <v>56</v>
      </c>
      <c r="C518" t="s">
        <v>108</v>
      </c>
      <c r="D518" t="s">
        <v>648</v>
      </c>
      <c r="E518">
        <v>2.80120260118025E+48</v>
      </c>
      <c r="F518" s="3">
        <v>46050.437407407408</v>
      </c>
      <c r="G518" s="1">
        <v>46050</v>
      </c>
      <c r="H518">
        <v>1891712215001</v>
      </c>
      <c r="I518">
        <v>6</v>
      </c>
      <c r="J518">
        <v>0.9</v>
      </c>
      <c r="K518">
        <v>6.9</v>
      </c>
    </row>
    <row r="519" spans="1:11" x14ac:dyDescent="0.25">
      <c r="A519">
        <v>1802565182001</v>
      </c>
      <c r="B519" t="s">
        <v>56</v>
      </c>
      <c r="C519" t="s">
        <v>108</v>
      </c>
      <c r="D519" t="s">
        <v>649</v>
      </c>
      <c r="E519">
        <v>2.80120260118025E+48</v>
      </c>
      <c r="F519" s="3">
        <v>46050.436990740738</v>
      </c>
      <c r="G519" s="1">
        <v>46050</v>
      </c>
      <c r="H519">
        <v>1891712215001</v>
      </c>
      <c r="I519">
        <v>10</v>
      </c>
      <c r="J519">
        <v>1.5</v>
      </c>
      <c r="K519">
        <v>11.5</v>
      </c>
    </row>
    <row r="520" spans="1:11" x14ac:dyDescent="0.25">
      <c r="A520">
        <v>990049459001</v>
      </c>
      <c r="B520" t="s">
        <v>149</v>
      </c>
      <c r="C520" t="s">
        <v>108</v>
      </c>
      <c r="D520" t="s">
        <v>650</v>
      </c>
      <c r="E520">
        <v>2.801202601099E+48</v>
      </c>
      <c r="F520" s="3">
        <v>46051.564212962963</v>
      </c>
      <c r="G520" s="1">
        <v>46050</v>
      </c>
      <c r="H520">
        <v>1891712215001</v>
      </c>
      <c r="I520">
        <v>30.63</v>
      </c>
      <c r="J520">
        <v>4.59</v>
      </c>
      <c r="K520">
        <v>35.22</v>
      </c>
    </row>
    <row r="521" spans="1:11" x14ac:dyDescent="0.25">
      <c r="A521">
        <v>1790009459001</v>
      </c>
      <c r="B521" t="s">
        <v>136</v>
      </c>
      <c r="C521" t="s">
        <v>108</v>
      </c>
      <c r="D521" t="s">
        <v>651</v>
      </c>
      <c r="E521">
        <v>2.801202601179E+48</v>
      </c>
      <c r="F521" s="3">
        <v>46050.707106481481</v>
      </c>
      <c r="G521" s="1">
        <v>46050</v>
      </c>
      <c r="H521">
        <v>1891712215001</v>
      </c>
      <c r="I521">
        <v>1250</v>
      </c>
      <c r="J521">
        <v>187.5</v>
      </c>
      <c r="K521">
        <v>1437.5</v>
      </c>
    </row>
    <row r="522" spans="1:11" x14ac:dyDescent="0.25">
      <c r="A522">
        <v>1790009459001</v>
      </c>
      <c r="B522" t="s">
        <v>136</v>
      </c>
      <c r="C522" t="s">
        <v>108</v>
      </c>
      <c r="D522" t="s">
        <v>652</v>
      </c>
      <c r="E522">
        <v>2.801202601179E+48</v>
      </c>
      <c r="F522" s="3">
        <v>46050.701770833337</v>
      </c>
      <c r="G522" s="1">
        <v>46050</v>
      </c>
      <c r="H522">
        <v>1891712215001</v>
      </c>
      <c r="I522">
        <v>1874.06</v>
      </c>
      <c r="J522">
        <v>0</v>
      </c>
      <c r="K522">
        <v>1874.06</v>
      </c>
    </row>
    <row r="523" spans="1:11" x14ac:dyDescent="0.25">
      <c r="A523">
        <v>1803467222001</v>
      </c>
      <c r="B523" t="s">
        <v>66</v>
      </c>
      <c r="C523" t="s">
        <v>108</v>
      </c>
      <c r="D523" t="s">
        <v>653</v>
      </c>
      <c r="E523">
        <v>2.8012026011803399E+48</v>
      </c>
      <c r="F523" s="3">
        <v>46050.52375</v>
      </c>
      <c r="G523" s="1">
        <v>46050</v>
      </c>
      <c r="H523">
        <v>1891712215001</v>
      </c>
      <c r="I523">
        <v>45</v>
      </c>
      <c r="J523">
        <v>6.75</v>
      </c>
      <c r="K523">
        <v>51.75</v>
      </c>
    </row>
    <row r="524" spans="1:11" x14ac:dyDescent="0.25">
      <c r="A524">
        <v>1793162797001</v>
      </c>
      <c r="B524" t="s">
        <v>46</v>
      </c>
      <c r="C524" t="s">
        <v>108</v>
      </c>
      <c r="D524" t="s">
        <v>654</v>
      </c>
      <c r="E524">
        <v>2.8012026011793099E+48</v>
      </c>
      <c r="F524" s="3">
        <v>46050.521921296298</v>
      </c>
      <c r="G524" s="1">
        <v>46050</v>
      </c>
      <c r="H524">
        <v>1891712215001</v>
      </c>
      <c r="I524">
        <v>1326.44</v>
      </c>
      <c r="J524">
        <v>198.97</v>
      </c>
      <c r="K524">
        <v>1525.41</v>
      </c>
    </row>
    <row r="525" spans="1:11" x14ac:dyDescent="0.25">
      <c r="A525">
        <v>604599126001</v>
      </c>
      <c r="B525" t="s">
        <v>23</v>
      </c>
      <c r="C525" t="s">
        <v>108</v>
      </c>
      <c r="D525" t="s">
        <v>655</v>
      </c>
      <c r="E525">
        <v>2.8012026010604501E+48</v>
      </c>
      <c r="F525" s="3">
        <v>46050.424988425926</v>
      </c>
      <c r="G525" s="1">
        <v>46050</v>
      </c>
      <c r="H525">
        <v>1891712215001</v>
      </c>
      <c r="I525">
        <v>17.87</v>
      </c>
      <c r="J525">
        <v>2.68</v>
      </c>
      <c r="K525">
        <v>20.55</v>
      </c>
    </row>
    <row r="526" spans="1:11" x14ac:dyDescent="0.25">
      <c r="A526">
        <v>602119992001</v>
      </c>
      <c r="B526" t="s">
        <v>18</v>
      </c>
      <c r="C526" t="s">
        <v>108</v>
      </c>
      <c r="D526" t="s">
        <v>656</v>
      </c>
      <c r="E526">
        <v>2.80120260106021E+48</v>
      </c>
      <c r="F526" s="3">
        <v>46050.702361111114</v>
      </c>
      <c r="G526" s="1">
        <v>46050</v>
      </c>
      <c r="H526">
        <v>1891712215001</v>
      </c>
      <c r="I526">
        <v>450</v>
      </c>
      <c r="J526">
        <v>0</v>
      </c>
      <c r="K526">
        <v>450</v>
      </c>
    </row>
    <row r="527" spans="1:11" x14ac:dyDescent="0.25">
      <c r="A527">
        <v>1793107958001</v>
      </c>
      <c r="B527" t="s">
        <v>43</v>
      </c>
      <c r="C527" t="s">
        <v>108</v>
      </c>
      <c r="D527" t="s">
        <v>657</v>
      </c>
      <c r="E527">
        <v>2.8012026011793099E+48</v>
      </c>
      <c r="F527" s="3">
        <v>46050.79173611111</v>
      </c>
      <c r="G527" s="1">
        <v>46050</v>
      </c>
      <c r="H527">
        <v>1891712215001</v>
      </c>
      <c r="I527">
        <v>79.180000000000007</v>
      </c>
      <c r="J527">
        <v>11.88</v>
      </c>
      <c r="K527">
        <v>91.06</v>
      </c>
    </row>
    <row r="528" spans="1:11" x14ac:dyDescent="0.25">
      <c r="A528">
        <v>1802565182001</v>
      </c>
      <c r="B528" t="s">
        <v>56</v>
      </c>
      <c r="C528" t="s">
        <v>108</v>
      </c>
      <c r="D528" t="s">
        <v>658</v>
      </c>
      <c r="E528">
        <v>2.80120260118025E+48</v>
      </c>
      <c r="F528" s="3">
        <v>46050.52652777778</v>
      </c>
      <c r="G528" s="1">
        <v>46050</v>
      </c>
      <c r="H528">
        <v>1891712215001</v>
      </c>
      <c r="I528">
        <v>10</v>
      </c>
      <c r="J528">
        <v>1.5</v>
      </c>
      <c r="K528">
        <v>11.5</v>
      </c>
    </row>
    <row r="529" spans="1:11" x14ac:dyDescent="0.25">
      <c r="A529">
        <v>1803467222001</v>
      </c>
      <c r="B529" t="s">
        <v>66</v>
      </c>
      <c r="C529" t="s">
        <v>108</v>
      </c>
      <c r="D529" t="s">
        <v>659</v>
      </c>
      <c r="E529">
        <v>2.8012026011803399E+48</v>
      </c>
      <c r="F529" s="3">
        <v>46050.525173611109</v>
      </c>
      <c r="G529" s="1">
        <v>46050</v>
      </c>
      <c r="H529">
        <v>1891712215001</v>
      </c>
      <c r="I529">
        <v>45</v>
      </c>
      <c r="J529">
        <v>6.75</v>
      </c>
      <c r="K529">
        <v>51.75</v>
      </c>
    </row>
    <row r="530" spans="1:11" x14ac:dyDescent="0.25">
      <c r="A530">
        <v>1793107958001</v>
      </c>
      <c r="B530" t="s">
        <v>43</v>
      </c>
      <c r="C530" t="s">
        <v>108</v>
      </c>
      <c r="D530" t="s">
        <v>660</v>
      </c>
      <c r="E530">
        <v>2.8012026011793099E+48</v>
      </c>
      <c r="F530" s="3">
        <v>46050.527349537035</v>
      </c>
      <c r="G530" s="1">
        <v>46050</v>
      </c>
      <c r="H530">
        <v>1891712215001</v>
      </c>
      <c r="I530">
        <v>2161.89</v>
      </c>
      <c r="J530">
        <v>324.27999999999997</v>
      </c>
      <c r="K530">
        <v>2486.17</v>
      </c>
    </row>
    <row r="531" spans="1:11" x14ac:dyDescent="0.25">
      <c r="A531">
        <v>1793107958001</v>
      </c>
      <c r="B531" t="s">
        <v>43</v>
      </c>
      <c r="C531" t="s">
        <v>108</v>
      </c>
      <c r="D531" t="s">
        <v>661</v>
      </c>
      <c r="E531">
        <v>2.8012026011793099E+48</v>
      </c>
      <c r="F531" s="3">
        <v>46050.54173611111</v>
      </c>
      <c r="G531" s="1">
        <v>46050</v>
      </c>
      <c r="H531">
        <v>1891712215001</v>
      </c>
      <c r="I531">
        <v>281.38</v>
      </c>
      <c r="J531">
        <v>42.21</v>
      </c>
      <c r="K531">
        <v>323.58999999999997</v>
      </c>
    </row>
    <row r="532" spans="1:11" x14ac:dyDescent="0.25">
      <c r="A532">
        <v>1891796176001</v>
      </c>
      <c r="B532" t="s">
        <v>91</v>
      </c>
      <c r="C532" t="s">
        <v>108</v>
      </c>
      <c r="D532" t="s">
        <v>662</v>
      </c>
      <c r="E532">
        <v>2.8012026011891701E+48</v>
      </c>
      <c r="F532" s="3">
        <v>46050.354224537034</v>
      </c>
      <c r="G532" s="1">
        <v>46050</v>
      </c>
      <c r="H532">
        <v>1891712215001</v>
      </c>
      <c r="I532">
        <v>2.61</v>
      </c>
      <c r="J532">
        <v>0.39</v>
      </c>
      <c r="K532">
        <v>3</v>
      </c>
    </row>
    <row r="533" spans="1:11" x14ac:dyDescent="0.25">
      <c r="A533">
        <v>1801880574001</v>
      </c>
      <c r="B533" t="s">
        <v>55</v>
      </c>
      <c r="C533" t="s">
        <v>108</v>
      </c>
      <c r="D533" t="s">
        <v>663</v>
      </c>
      <c r="E533">
        <v>2.90120260118018E+48</v>
      </c>
      <c r="F533" s="3">
        <v>46051.399351851855</v>
      </c>
      <c r="G533" s="1">
        <v>46051</v>
      </c>
      <c r="H533">
        <v>1891712215001</v>
      </c>
      <c r="I533">
        <v>4</v>
      </c>
      <c r="J533">
        <v>0.6</v>
      </c>
      <c r="K533">
        <v>4.5999999999999996</v>
      </c>
    </row>
    <row r="534" spans="1:11" x14ac:dyDescent="0.25">
      <c r="A534">
        <v>1802565182001</v>
      </c>
      <c r="B534" t="s">
        <v>56</v>
      </c>
      <c r="C534" t="s">
        <v>108</v>
      </c>
      <c r="D534" t="s">
        <v>664</v>
      </c>
      <c r="E534">
        <v>2.9012026011802501E+48</v>
      </c>
      <c r="F534" s="3">
        <v>46051.512916666667</v>
      </c>
      <c r="G534" s="1">
        <v>46051</v>
      </c>
      <c r="H534">
        <v>1891712215001</v>
      </c>
      <c r="I534">
        <v>10</v>
      </c>
      <c r="J534">
        <v>1.5</v>
      </c>
      <c r="K534">
        <v>11.5</v>
      </c>
    </row>
    <row r="535" spans="1:11" x14ac:dyDescent="0.25">
      <c r="A535">
        <v>1793107958001</v>
      </c>
      <c r="B535" t="s">
        <v>43</v>
      </c>
      <c r="C535" t="s">
        <v>108</v>
      </c>
      <c r="D535" t="s">
        <v>665</v>
      </c>
      <c r="E535">
        <v>2.90120260117931E+48</v>
      </c>
      <c r="F535" s="3">
        <v>46051.517650462964</v>
      </c>
      <c r="G535" s="1">
        <v>46051</v>
      </c>
      <c r="H535">
        <v>1891712215001</v>
      </c>
      <c r="I535">
        <v>781.12</v>
      </c>
      <c r="J535">
        <v>117.17</v>
      </c>
      <c r="K535">
        <v>898.29</v>
      </c>
    </row>
    <row r="536" spans="1:11" x14ac:dyDescent="0.25">
      <c r="A536">
        <v>1802565182001</v>
      </c>
      <c r="B536" t="s">
        <v>56</v>
      </c>
      <c r="C536" t="s">
        <v>108</v>
      </c>
      <c r="D536" t="s">
        <v>666</v>
      </c>
      <c r="E536">
        <v>2.9012026011802501E+48</v>
      </c>
      <c r="F536" s="3">
        <v>46051.431006944447</v>
      </c>
      <c r="G536" s="1">
        <v>46051</v>
      </c>
      <c r="H536">
        <v>1891712215001</v>
      </c>
      <c r="I536">
        <v>15</v>
      </c>
      <c r="J536">
        <v>2.25</v>
      </c>
      <c r="K536">
        <v>17.25</v>
      </c>
    </row>
    <row r="537" spans="1:11" x14ac:dyDescent="0.25">
      <c r="A537">
        <v>1801719152001</v>
      </c>
      <c r="B537" t="s">
        <v>52</v>
      </c>
      <c r="C537" t="s">
        <v>108</v>
      </c>
      <c r="D537" t="s">
        <v>667</v>
      </c>
      <c r="E537">
        <v>2.90120260118017E+48</v>
      </c>
      <c r="F537" s="3">
        <v>46051.422731481478</v>
      </c>
      <c r="G537" s="1">
        <v>46051</v>
      </c>
      <c r="H537">
        <v>1891712215001</v>
      </c>
      <c r="I537">
        <v>420</v>
      </c>
      <c r="J537">
        <v>63</v>
      </c>
      <c r="K537">
        <v>483</v>
      </c>
    </row>
    <row r="538" spans="1:11" x14ac:dyDescent="0.25">
      <c r="A538">
        <v>1802565182001</v>
      </c>
      <c r="B538" t="s">
        <v>56</v>
      </c>
      <c r="C538" t="s">
        <v>108</v>
      </c>
      <c r="D538" t="s">
        <v>668</v>
      </c>
      <c r="E538">
        <v>2.9012026011802501E+48</v>
      </c>
      <c r="F538" s="3">
        <v>46051.430451388886</v>
      </c>
      <c r="G538" s="1">
        <v>46051</v>
      </c>
      <c r="H538">
        <v>1891712215001</v>
      </c>
      <c r="I538">
        <v>6</v>
      </c>
      <c r="J538">
        <v>0.9</v>
      </c>
      <c r="K538">
        <v>6.9</v>
      </c>
    </row>
    <row r="539" spans="1:11" x14ac:dyDescent="0.25">
      <c r="A539">
        <v>1804848115001</v>
      </c>
      <c r="B539" t="s">
        <v>74</v>
      </c>
      <c r="C539" t="s">
        <v>108</v>
      </c>
      <c r="D539" t="s">
        <v>669</v>
      </c>
      <c r="E539">
        <v>2.9012026011804799E+48</v>
      </c>
      <c r="F539" s="3">
        <v>46051.385752314818</v>
      </c>
      <c r="G539" s="1">
        <v>46051</v>
      </c>
      <c r="H539">
        <v>1891712215001</v>
      </c>
      <c r="I539">
        <v>160</v>
      </c>
      <c r="J539">
        <v>24</v>
      </c>
      <c r="K539">
        <v>184</v>
      </c>
    </row>
    <row r="540" spans="1:11" x14ac:dyDescent="0.25">
      <c r="A540">
        <v>1804848115001</v>
      </c>
      <c r="B540" t="s">
        <v>74</v>
      </c>
      <c r="C540" t="s">
        <v>108</v>
      </c>
      <c r="D540" t="s">
        <v>670</v>
      </c>
      <c r="E540">
        <v>2.9012026011804799E+48</v>
      </c>
      <c r="F540" s="3">
        <v>46051.409594907411</v>
      </c>
      <c r="G540" s="1">
        <v>46051</v>
      </c>
      <c r="H540">
        <v>1891712215001</v>
      </c>
      <c r="I540">
        <v>40</v>
      </c>
      <c r="J540">
        <v>6</v>
      </c>
      <c r="K540">
        <v>46</v>
      </c>
    </row>
    <row r="541" spans="1:11" x14ac:dyDescent="0.25">
      <c r="A541">
        <v>1802955151001</v>
      </c>
      <c r="B541" t="s">
        <v>60</v>
      </c>
      <c r="C541" t="s">
        <v>108</v>
      </c>
      <c r="D541" t="s">
        <v>671</v>
      </c>
      <c r="E541">
        <v>2.90120260118029E+48</v>
      </c>
      <c r="F541" s="3">
        <v>46051.444039351853</v>
      </c>
      <c r="G541" s="1">
        <v>46051</v>
      </c>
      <c r="H541">
        <v>1891712215001</v>
      </c>
      <c r="I541">
        <v>271.74</v>
      </c>
      <c r="J541">
        <v>40.76</v>
      </c>
      <c r="K541">
        <v>312.5</v>
      </c>
    </row>
    <row r="542" spans="1:11" x14ac:dyDescent="0.25">
      <c r="A542">
        <v>1790009459001</v>
      </c>
      <c r="B542" t="s">
        <v>136</v>
      </c>
      <c r="C542" t="s">
        <v>108</v>
      </c>
      <c r="D542" t="s">
        <v>672</v>
      </c>
      <c r="E542">
        <v>2.9012026011790001E+48</v>
      </c>
      <c r="F542" s="3">
        <v>46051.463171296295</v>
      </c>
      <c r="G542" s="1">
        <v>46051</v>
      </c>
      <c r="H542">
        <v>1891712215001</v>
      </c>
      <c r="I542">
        <v>2665.11</v>
      </c>
      <c r="J542">
        <v>399.77</v>
      </c>
      <c r="K542">
        <v>3064.88</v>
      </c>
    </row>
    <row r="543" spans="1:11" x14ac:dyDescent="0.25">
      <c r="A543">
        <v>1802565182001</v>
      </c>
      <c r="B543" t="s">
        <v>56</v>
      </c>
      <c r="C543" t="s">
        <v>108</v>
      </c>
      <c r="D543" t="s">
        <v>673</v>
      </c>
      <c r="E543">
        <v>2.9012026011802501E+48</v>
      </c>
      <c r="F543" s="3">
        <v>46051.497627314813</v>
      </c>
      <c r="G543" s="1">
        <v>46051</v>
      </c>
      <c r="H543">
        <v>1891712215001</v>
      </c>
      <c r="I543">
        <v>15</v>
      </c>
      <c r="J543">
        <v>2.25</v>
      </c>
      <c r="K543">
        <v>17.25</v>
      </c>
    </row>
    <row r="544" spans="1:11" x14ac:dyDescent="0.25">
      <c r="A544">
        <v>1891752098001</v>
      </c>
      <c r="B544" t="s">
        <v>89</v>
      </c>
      <c r="C544" t="s">
        <v>108</v>
      </c>
      <c r="D544" t="s">
        <v>674</v>
      </c>
      <c r="E544">
        <v>2.9012026011891698E+48</v>
      </c>
      <c r="F544" s="3">
        <v>46051.462337962963</v>
      </c>
      <c r="G544" s="1">
        <v>46051</v>
      </c>
      <c r="H544">
        <v>1891712215001</v>
      </c>
      <c r="I544">
        <v>1669.15</v>
      </c>
      <c r="J544">
        <v>250.37</v>
      </c>
      <c r="K544">
        <v>1919.52</v>
      </c>
    </row>
    <row r="545" spans="1:11" x14ac:dyDescent="0.25">
      <c r="A545">
        <v>992141913001</v>
      </c>
      <c r="B545" t="s">
        <v>28</v>
      </c>
      <c r="C545" t="s">
        <v>108</v>
      </c>
      <c r="D545" t="s">
        <v>675</v>
      </c>
      <c r="E545">
        <v>2.9012026010992101E+48</v>
      </c>
      <c r="F545" s="3">
        <v>46051.502847222226</v>
      </c>
      <c r="G545" s="1">
        <v>46051</v>
      </c>
      <c r="H545">
        <v>1891712215001</v>
      </c>
      <c r="I545">
        <v>89.12</v>
      </c>
      <c r="J545">
        <v>13.37</v>
      </c>
      <c r="K545">
        <v>102.49</v>
      </c>
    </row>
    <row r="546" spans="1:11" x14ac:dyDescent="0.25">
      <c r="A546">
        <v>1790283380001</v>
      </c>
      <c r="B546" t="s">
        <v>107</v>
      </c>
      <c r="C546" t="s">
        <v>108</v>
      </c>
      <c r="D546" t="s">
        <v>676</v>
      </c>
      <c r="E546">
        <v>2.9012026011790199E+48</v>
      </c>
      <c r="F546" s="3">
        <v>46051.395416666666</v>
      </c>
      <c r="G546" s="1">
        <v>46051</v>
      </c>
      <c r="H546">
        <v>1891712215001</v>
      </c>
      <c r="I546">
        <v>88.6</v>
      </c>
      <c r="J546">
        <v>13.29</v>
      </c>
      <c r="K546">
        <v>101.89</v>
      </c>
    </row>
    <row r="547" spans="1:11" x14ac:dyDescent="0.25">
      <c r="A547">
        <v>1801880574001</v>
      </c>
      <c r="B547" t="s">
        <v>55</v>
      </c>
      <c r="C547" t="s">
        <v>108</v>
      </c>
      <c r="D547" t="s">
        <v>677</v>
      </c>
      <c r="E547">
        <v>2.90120260118018E+48</v>
      </c>
      <c r="F547" s="3">
        <v>46051.397199074076</v>
      </c>
      <c r="G547" s="1">
        <v>46051</v>
      </c>
      <c r="H547">
        <v>1891712215001</v>
      </c>
      <c r="I547">
        <v>20</v>
      </c>
      <c r="J547">
        <v>3</v>
      </c>
      <c r="K547">
        <v>23</v>
      </c>
    </row>
    <row r="548" spans="1:11" x14ac:dyDescent="0.25">
      <c r="A548">
        <v>1801880574001</v>
      </c>
      <c r="B548" t="s">
        <v>55</v>
      </c>
      <c r="C548" t="s">
        <v>108</v>
      </c>
      <c r="D548" t="s">
        <v>678</v>
      </c>
      <c r="E548">
        <v>2.90120260118018E+48</v>
      </c>
      <c r="F548" s="3">
        <v>46051.398356481484</v>
      </c>
      <c r="G548" s="1">
        <v>46051</v>
      </c>
      <c r="H548">
        <v>1891712215001</v>
      </c>
      <c r="I548">
        <v>8</v>
      </c>
      <c r="J548">
        <v>1.2</v>
      </c>
      <c r="K548">
        <v>9.1999999999999993</v>
      </c>
    </row>
    <row r="549" spans="1:11" x14ac:dyDescent="0.25">
      <c r="A549">
        <v>1793107958001</v>
      </c>
      <c r="B549" t="s">
        <v>43</v>
      </c>
      <c r="C549" t="s">
        <v>108</v>
      </c>
      <c r="D549" t="s">
        <v>679</v>
      </c>
      <c r="E549">
        <v>2.90120260117931E+48</v>
      </c>
      <c r="F549" s="3">
        <v>46051.54173611111</v>
      </c>
      <c r="G549" s="1">
        <v>46051</v>
      </c>
      <c r="H549">
        <v>1891712215001</v>
      </c>
      <c r="I549">
        <v>36.369999999999997</v>
      </c>
      <c r="J549">
        <v>5.46</v>
      </c>
      <c r="K549">
        <v>41.83</v>
      </c>
    </row>
    <row r="550" spans="1:11" x14ac:dyDescent="0.25">
      <c r="A550">
        <v>1793107958001</v>
      </c>
      <c r="B550" t="s">
        <v>43</v>
      </c>
      <c r="C550" t="s">
        <v>108</v>
      </c>
      <c r="D550" t="s">
        <v>680</v>
      </c>
      <c r="E550">
        <v>2.90120260117931E+48</v>
      </c>
      <c r="F550" s="3">
        <v>46051.541956018518</v>
      </c>
      <c r="G550" s="1">
        <v>46051</v>
      </c>
      <c r="H550">
        <v>1891712215001</v>
      </c>
      <c r="I550">
        <v>23.66</v>
      </c>
      <c r="J550">
        <v>3.55</v>
      </c>
      <c r="K550">
        <v>27.21</v>
      </c>
    </row>
    <row r="551" spans="1:11" x14ac:dyDescent="0.25">
      <c r="A551">
        <v>1793107958001</v>
      </c>
      <c r="B551" t="s">
        <v>43</v>
      </c>
      <c r="C551" t="s">
        <v>108</v>
      </c>
      <c r="D551" t="s">
        <v>681</v>
      </c>
      <c r="E551">
        <v>2.90120260117931E+48</v>
      </c>
      <c r="F551" s="3">
        <v>46051.541759259257</v>
      </c>
      <c r="G551" s="1">
        <v>46051</v>
      </c>
      <c r="H551">
        <v>1891712215001</v>
      </c>
      <c r="I551">
        <v>60.79</v>
      </c>
      <c r="J551">
        <v>9.1199999999999992</v>
      </c>
      <c r="K551">
        <v>69.91</v>
      </c>
    </row>
    <row r="552" spans="1:11" x14ac:dyDescent="0.25">
      <c r="A552">
        <v>1793107958001</v>
      </c>
      <c r="B552" t="s">
        <v>43</v>
      </c>
      <c r="C552" t="s">
        <v>108</v>
      </c>
      <c r="D552" t="s">
        <v>682</v>
      </c>
      <c r="E552">
        <v>2.90120260117931E+48</v>
      </c>
      <c r="F552" s="3">
        <v>46051.54178240741</v>
      </c>
      <c r="G552" s="1">
        <v>46051</v>
      </c>
      <c r="H552">
        <v>1891712215001</v>
      </c>
      <c r="I552">
        <v>6.3</v>
      </c>
      <c r="J552">
        <v>0.95</v>
      </c>
      <c r="K552">
        <v>7.25</v>
      </c>
    </row>
    <row r="553" spans="1:11" x14ac:dyDescent="0.25">
      <c r="A553">
        <v>1793107958001</v>
      </c>
      <c r="B553" t="s">
        <v>43</v>
      </c>
      <c r="C553" t="s">
        <v>108</v>
      </c>
      <c r="D553" t="s">
        <v>683</v>
      </c>
      <c r="E553">
        <v>2.90120260117931E+48</v>
      </c>
      <c r="F553" s="3">
        <v>46051.541689814818</v>
      </c>
      <c r="G553" s="1">
        <v>46051</v>
      </c>
      <c r="H553">
        <v>1891712215001</v>
      </c>
      <c r="I553">
        <v>339.16</v>
      </c>
      <c r="J553">
        <v>50.87</v>
      </c>
      <c r="K553">
        <v>390.03</v>
      </c>
    </row>
    <row r="554" spans="1:11" x14ac:dyDescent="0.25">
      <c r="A554">
        <v>1790009459001</v>
      </c>
      <c r="B554" t="s">
        <v>136</v>
      </c>
      <c r="C554" t="s">
        <v>108</v>
      </c>
      <c r="D554" t="s">
        <v>684</v>
      </c>
      <c r="E554">
        <v>2.9012026011790001E+48</v>
      </c>
      <c r="F554" s="3">
        <v>46051.750659722224</v>
      </c>
      <c r="G554" s="1">
        <v>46051</v>
      </c>
      <c r="H554">
        <v>1891712215001</v>
      </c>
      <c r="I554">
        <v>739.43</v>
      </c>
      <c r="J554">
        <v>110.91</v>
      </c>
      <c r="K554">
        <v>850.34</v>
      </c>
    </row>
    <row r="555" spans="1:11" x14ac:dyDescent="0.25">
      <c r="A555">
        <v>604599126001</v>
      </c>
      <c r="B555" t="s">
        <v>23</v>
      </c>
      <c r="C555" t="s">
        <v>108</v>
      </c>
      <c r="D555" t="s">
        <v>685</v>
      </c>
      <c r="E555">
        <v>2.9012026010604499E+48</v>
      </c>
      <c r="F555" s="3">
        <v>46051.65730324074</v>
      </c>
      <c r="G555" s="1">
        <v>46051</v>
      </c>
      <c r="H555">
        <v>1891712215001</v>
      </c>
      <c r="I555">
        <v>60</v>
      </c>
      <c r="J555">
        <v>9</v>
      </c>
      <c r="K555">
        <v>69</v>
      </c>
    </row>
    <row r="556" spans="1:11" x14ac:dyDescent="0.25">
      <c r="A556">
        <v>1793162797001</v>
      </c>
      <c r="B556" t="s">
        <v>46</v>
      </c>
      <c r="C556" t="s">
        <v>108</v>
      </c>
      <c r="D556" t="s">
        <v>686</v>
      </c>
      <c r="E556">
        <v>2.90120260117931E+48</v>
      </c>
      <c r="F556" s="3">
        <v>46051.663831018515</v>
      </c>
      <c r="G556" s="1">
        <v>46051</v>
      </c>
      <c r="H556">
        <v>1891712215001</v>
      </c>
      <c r="I556">
        <v>20.09</v>
      </c>
      <c r="J556">
        <v>3.01</v>
      </c>
      <c r="K556">
        <v>23.1</v>
      </c>
    </row>
    <row r="557" spans="1:11" x14ac:dyDescent="0.25">
      <c r="A557">
        <v>990049459001</v>
      </c>
      <c r="B557" t="s">
        <v>149</v>
      </c>
      <c r="C557" t="s">
        <v>108</v>
      </c>
      <c r="D557" t="s">
        <v>687</v>
      </c>
      <c r="E557">
        <v>2.9012026010990001E+48</v>
      </c>
      <c r="F557" s="3">
        <v>46052.431250000001</v>
      </c>
      <c r="G557" s="1">
        <v>46051</v>
      </c>
      <c r="H557">
        <v>1891712215001</v>
      </c>
      <c r="I557">
        <v>1.97</v>
      </c>
      <c r="J557">
        <v>0.3</v>
      </c>
      <c r="K557">
        <v>2.27</v>
      </c>
    </row>
    <row r="558" spans="1:11" x14ac:dyDescent="0.25">
      <c r="A558">
        <v>1793107958001</v>
      </c>
      <c r="B558" t="s">
        <v>43</v>
      </c>
      <c r="C558" t="s">
        <v>108</v>
      </c>
      <c r="D558" t="s">
        <v>688</v>
      </c>
      <c r="E558">
        <v>2.90120260117931E+48</v>
      </c>
      <c r="F558" s="3">
        <v>46051.708541666667</v>
      </c>
      <c r="G558" s="1">
        <v>46051</v>
      </c>
      <c r="H558">
        <v>1891712215001</v>
      </c>
      <c r="I558">
        <v>337.03</v>
      </c>
      <c r="J558">
        <v>50.55</v>
      </c>
      <c r="K558">
        <v>387.58</v>
      </c>
    </row>
    <row r="559" spans="1:11" x14ac:dyDescent="0.25">
      <c r="A559">
        <v>1793107958001</v>
      </c>
      <c r="B559" t="s">
        <v>43</v>
      </c>
      <c r="C559" t="s">
        <v>108</v>
      </c>
      <c r="D559" t="s">
        <v>689</v>
      </c>
      <c r="E559">
        <v>2.90120260117931E+48</v>
      </c>
      <c r="F559" s="3">
        <v>46051.708761574075</v>
      </c>
      <c r="G559" s="1">
        <v>46051</v>
      </c>
      <c r="H559">
        <v>1891712215001</v>
      </c>
      <c r="I559">
        <v>28.87</v>
      </c>
      <c r="J559">
        <v>4.33</v>
      </c>
      <c r="K559">
        <v>33.200000000000003</v>
      </c>
    </row>
    <row r="560" spans="1:11" x14ac:dyDescent="0.25">
      <c r="A560">
        <v>1793162797001</v>
      </c>
      <c r="B560" t="s">
        <v>46</v>
      </c>
      <c r="C560" t="s">
        <v>108</v>
      </c>
      <c r="D560" t="s">
        <v>690</v>
      </c>
      <c r="E560">
        <v>2.90120260117931E+48</v>
      </c>
      <c r="F560" s="3">
        <v>46051.792673611111</v>
      </c>
      <c r="G560" s="1">
        <v>46051</v>
      </c>
      <c r="H560">
        <v>1891712215001</v>
      </c>
      <c r="I560">
        <v>369.65</v>
      </c>
      <c r="J560">
        <v>55.45</v>
      </c>
      <c r="K560">
        <v>425.1</v>
      </c>
    </row>
    <row r="561" spans="1:11" x14ac:dyDescent="0.25">
      <c r="A561">
        <v>1790009459001</v>
      </c>
      <c r="B561" t="s">
        <v>136</v>
      </c>
      <c r="C561" t="s">
        <v>108</v>
      </c>
      <c r="D561" t="s">
        <v>691</v>
      </c>
      <c r="E561">
        <v>3.0012026011789998E+48</v>
      </c>
      <c r="F561" s="3">
        <v>46052.459201388891</v>
      </c>
      <c r="G561" s="1">
        <v>46052</v>
      </c>
      <c r="H561">
        <v>1891712215001</v>
      </c>
      <c r="I561">
        <v>597.61</v>
      </c>
      <c r="J561">
        <v>89.64</v>
      </c>
      <c r="K561">
        <v>687.25</v>
      </c>
    </row>
    <row r="562" spans="1:11" x14ac:dyDescent="0.25">
      <c r="A562">
        <v>1802955151001</v>
      </c>
      <c r="B562" t="s">
        <v>60</v>
      </c>
      <c r="C562" t="s">
        <v>108</v>
      </c>
      <c r="D562" t="s">
        <v>692</v>
      </c>
      <c r="E562">
        <v>3.0012026011802901E+48</v>
      </c>
      <c r="F562" s="3">
        <v>46052.609375</v>
      </c>
      <c r="G562" s="1">
        <v>46052</v>
      </c>
      <c r="H562">
        <v>1891712215001</v>
      </c>
      <c r="I562">
        <v>480</v>
      </c>
      <c r="J562">
        <v>72</v>
      </c>
      <c r="K562">
        <v>552</v>
      </c>
    </row>
    <row r="563" spans="1:11" x14ac:dyDescent="0.25">
      <c r="A563">
        <v>1802565182001</v>
      </c>
      <c r="B563" t="s">
        <v>56</v>
      </c>
      <c r="C563" t="s">
        <v>108</v>
      </c>
      <c r="D563" t="s">
        <v>693</v>
      </c>
      <c r="E563">
        <v>3.0012026011802499E+48</v>
      </c>
      <c r="F563" s="3">
        <v>46052.348078703704</v>
      </c>
      <c r="G563" s="1">
        <v>46052</v>
      </c>
      <c r="H563">
        <v>1891712215001</v>
      </c>
      <c r="I563">
        <v>10</v>
      </c>
      <c r="J563">
        <v>1.5</v>
      </c>
      <c r="K563">
        <v>11.5</v>
      </c>
    </row>
    <row r="564" spans="1:11" x14ac:dyDescent="0.25">
      <c r="A564">
        <v>1790283380001</v>
      </c>
      <c r="B564" t="s">
        <v>107</v>
      </c>
      <c r="C564" t="s">
        <v>108</v>
      </c>
      <c r="D564" t="s">
        <v>694</v>
      </c>
      <c r="E564">
        <v>3.00120260117902E+48</v>
      </c>
      <c r="F564" s="3">
        <v>46052.39576388889</v>
      </c>
      <c r="G564" s="1">
        <v>46052</v>
      </c>
      <c r="H564">
        <v>1891712215001</v>
      </c>
      <c r="I564">
        <v>49.99</v>
      </c>
      <c r="J564">
        <v>7.5</v>
      </c>
      <c r="K564">
        <v>57.49</v>
      </c>
    </row>
    <row r="565" spans="1:11" x14ac:dyDescent="0.25">
      <c r="A565">
        <v>1790283380001</v>
      </c>
      <c r="B565" t="s">
        <v>107</v>
      </c>
      <c r="C565" t="s">
        <v>108</v>
      </c>
      <c r="D565" t="s">
        <v>695</v>
      </c>
      <c r="E565">
        <v>3.00120260117902E+48</v>
      </c>
      <c r="F565" s="3">
        <v>46052.391643518517</v>
      </c>
      <c r="G565" s="1">
        <v>46052</v>
      </c>
      <c r="H565">
        <v>1891712215001</v>
      </c>
      <c r="I565">
        <v>5.88</v>
      </c>
      <c r="J565">
        <v>0.88</v>
      </c>
      <c r="K565">
        <v>6.76</v>
      </c>
    </row>
    <row r="566" spans="1:11" x14ac:dyDescent="0.25">
      <c r="A566">
        <v>1801880574001</v>
      </c>
      <c r="B566" t="s">
        <v>55</v>
      </c>
      <c r="C566" t="s">
        <v>108</v>
      </c>
      <c r="D566" t="s">
        <v>696</v>
      </c>
      <c r="E566">
        <v>3.0012026011801798E+48</v>
      </c>
      <c r="F566" s="3">
        <v>46052.458611111113</v>
      </c>
      <c r="G566" s="1">
        <v>46052</v>
      </c>
      <c r="H566">
        <v>1891712215001</v>
      </c>
      <c r="I566">
        <v>20</v>
      </c>
      <c r="J566">
        <v>3</v>
      </c>
      <c r="K566">
        <v>23</v>
      </c>
    </row>
    <row r="567" spans="1:11" x14ac:dyDescent="0.25">
      <c r="A567">
        <v>1801880574001</v>
      </c>
      <c r="B567" t="s">
        <v>55</v>
      </c>
      <c r="C567" t="s">
        <v>108</v>
      </c>
      <c r="D567" t="s">
        <v>697</v>
      </c>
      <c r="E567">
        <v>3.0012026011801798E+48</v>
      </c>
      <c r="F567" s="3">
        <v>46052.459664351853</v>
      </c>
      <c r="G567" s="1">
        <v>46052</v>
      </c>
      <c r="H567">
        <v>1891712215001</v>
      </c>
      <c r="I567">
        <v>15</v>
      </c>
      <c r="J567">
        <v>2.25</v>
      </c>
      <c r="K567">
        <v>17.25</v>
      </c>
    </row>
    <row r="568" spans="1:11" x14ac:dyDescent="0.25">
      <c r="A568">
        <v>1801880574001</v>
      </c>
      <c r="B568" t="s">
        <v>55</v>
      </c>
      <c r="C568" t="s">
        <v>108</v>
      </c>
      <c r="D568" t="s">
        <v>698</v>
      </c>
      <c r="E568">
        <v>3.0012026011801798E+48</v>
      </c>
      <c r="F568" s="3">
        <v>46052.641805555555</v>
      </c>
      <c r="G568" s="1">
        <v>46052</v>
      </c>
      <c r="H568">
        <v>1891712215001</v>
      </c>
      <c r="I568">
        <v>20</v>
      </c>
      <c r="J568">
        <v>3</v>
      </c>
      <c r="K568">
        <v>23</v>
      </c>
    </row>
    <row r="569" spans="1:11" x14ac:dyDescent="0.25">
      <c r="A569">
        <v>1801880574001</v>
      </c>
      <c r="B569" t="s">
        <v>55</v>
      </c>
      <c r="C569" t="s">
        <v>108</v>
      </c>
      <c r="D569" t="s">
        <v>699</v>
      </c>
      <c r="E569">
        <v>3.0012026011801798E+48</v>
      </c>
      <c r="F569" s="3">
        <v>46052.642534722225</v>
      </c>
      <c r="G569" s="1">
        <v>46052</v>
      </c>
      <c r="H569">
        <v>1891712215001</v>
      </c>
      <c r="I569">
        <v>10</v>
      </c>
      <c r="J569">
        <v>1.5</v>
      </c>
      <c r="K569">
        <v>11.5</v>
      </c>
    </row>
    <row r="570" spans="1:11" x14ac:dyDescent="0.25">
      <c r="A570">
        <v>1793162797001</v>
      </c>
      <c r="B570" t="s">
        <v>46</v>
      </c>
      <c r="C570" t="s">
        <v>108</v>
      </c>
      <c r="D570" t="s">
        <v>700</v>
      </c>
      <c r="E570">
        <v>3.0012026011793101E+48</v>
      </c>
      <c r="F570" s="3">
        <v>46052.625671296293</v>
      </c>
      <c r="G570" s="1">
        <v>46052</v>
      </c>
      <c r="H570">
        <v>1891712215001</v>
      </c>
      <c r="I570">
        <v>30.43</v>
      </c>
      <c r="J570">
        <v>4.5599999999999996</v>
      </c>
      <c r="K570">
        <v>34.99</v>
      </c>
    </row>
    <row r="571" spans="1:11" x14ac:dyDescent="0.25">
      <c r="A571">
        <v>1801719152001</v>
      </c>
      <c r="B571" t="s">
        <v>52</v>
      </c>
      <c r="C571" t="s">
        <v>108</v>
      </c>
      <c r="D571" t="s">
        <v>701</v>
      </c>
      <c r="E571">
        <v>3.0012026011801701E+48</v>
      </c>
      <c r="F571" s="3">
        <v>46052.712847222225</v>
      </c>
      <c r="G571" s="1">
        <v>46052</v>
      </c>
      <c r="H571">
        <v>1891712215001</v>
      </c>
      <c r="I571">
        <v>880</v>
      </c>
      <c r="J571">
        <v>132</v>
      </c>
      <c r="K571">
        <v>1012</v>
      </c>
    </row>
    <row r="572" spans="1:11" x14ac:dyDescent="0.25">
      <c r="A572">
        <v>1790009459001</v>
      </c>
      <c r="B572" t="s">
        <v>136</v>
      </c>
      <c r="C572" t="s">
        <v>108</v>
      </c>
      <c r="D572" t="s">
        <v>702</v>
      </c>
      <c r="E572">
        <v>3.0012026011789998E+48</v>
      </c>
      <c r="F572" s="3">
        <v>46052.750671296293</v>
      </c>
      <c r="G572" s="1">
        <v>46052</v>
      </c>
      <c r="H572">
        <v>1891712215001</v>
      </c>
      <c r="I572">
        <v>1676.44</v>
      </c>
      <c r="J572">
        <v>251.47</v>
      </c>
      <c r="K572">
        <v>1927.91</v>
      </c>
    </row>
    <row r="573" spans="1:11" x14ac:dyDescent="0.25">
      <c r="A573">
        <v>1801880574001</v>
      </c>
      <c r="B573" t="s">
        <v>55</v>
      </c>
      <c r="C573" t="s">
        <v>108</v>
      </c>
      <c r="D573" t="s">
        <v>703</v>
      </c>
      <c r="E573">
        <v>3.0012026011801798E+48</v>
      </c>
      <c r="F573" s="3">
        <v>46052.532881944448</v>
      </c>
      <c r="G573" s="1">
        <v>46052</v>
      </c>
      <c r="H573">
        <v>1891712215001</v>
      </c>
      <c r="I573">
        <v>8</v>
      </c>
      <c r="J573">
        <v>1.2</v>
      </c>
      <c r="K573">
        <v>9.1999999999999993</v>
      </c>
    </row>
    <row r="574" spans="1:11" x14ac:dyDescent="0.25">
      <c r="A574">
        <v>1801880574001</v>
      </c>
      <c r="B574" t="s">
        <v>55</v>
      </c>
      <c r="C574" t="s">
        <v>108</v>
      </c>
      <c r="D574" t="s">
        <v>704</v>
      </c>
      <c r="E574">
        <v>3.0012026011801798E+48</v>
      </c>
      <c r="F574" s="3">
        <v>46052.532175925924</v>
      </c>
      <c r="G574" s="1">
        <v>46052</v>
      </c>
      <c r="H574">
        <v>1891712215001</v>
      </c>
      <c r="I574">
        <v>20</v>
      </c>
      <c r="J574">
        <v>3</v>
      </c>
      <c r="K574">
        <v>23</v>
      </c>
    </row>
    <row r="575" spans="1:11" x14ac:dyDescent="0.25">
      <c r="A575">
        <v>990379017001</v>
      </c>
      <c r="B575" t="s">
        <v>705</v>
      </c>
      <c r="C575" t="s">
        <v>108</v>
      </c>
      <c r="D575" t="s">
        <v>706</v>
      </c>
      <c r="E575">
        <v>3.00120260109903E+48</v>
      </c>
      <c r="F575" s="3">
        <v>46053.099965277775</v>
      </c>
      <c r="G575" s="1">
        <v>46052</v>
      </c>
      <c r="H575">
        <v>1891712215001</v>
      </c>
      <c r="I575">
        <v>111.02</v>
      </c>
      <c r="J575">
        <v>16.66</v>
      </c>
      <c r="K575">
        <v>127.68</v>
      </c>
    </row>
    <row r="576" spans="1:11" x14ac:dyDescent="0.25">
      <c r="A576">
        <v>990379017001</v>
      </c>
      <c r="B576" t="s">
        <v>705</v>
      </c>
      <c r="C576" t="s">
        <v>108</v>
      </c>
      <c r="D576" t="s">
        <v>707</v>
      </c>
      <c r="E576">
        <v>3.00120260109903E+48</v>
      </c>
      <c r="F576" s="3">
        <v>46053.089502314811</v>
      </c>
      <c r="G576" s="1">
        <v>46052</v>
      </c>
      <c r="H576">
        <v>1891712215001</v>
      </c>
      <c r="I576">
        <v>36.54</v>
      </c>
      <c r="J576">
        <v>5.48</v>
      </c>
      <c r="K576">
        <v>42.02</v>
      </c>
    </row>
    <row r="577" spans="1:11" x14ac:dyDescent="0.25">
      <c r="A577">
        <v>990049459001</v>
      </c>
      <c r="B577" t="s">
        <v>149</v>
      </c>
      <c r="C577" t="s">
        <v>108</v>
      </c>
      <c r="D577" t="s">
        <v>708</v>
      </c>
      <c r="E577">
        <v>3.0012026010990002E+48</v>
      </c>
      <c r="F577" s="3">
        <v>46053.486643518518</v>
      </c>
      <c r="G577" s="1">
        <v>46052</v>
      </c>
      <c r="H577">
        <v>1891712215001</v>
      </c>
      <c r="I577">
        <v>3.8</v>
      </c>
      <c r="J577">
        <v>0.56999999999999995</v>
      </c>
      <c r="K577">
        <v>4.37</v>
      </c>
    </row>
    <row r="578" spans="1:11" x14ac:dyDescent="0.25">
      <c r="A578">
        <v>990049459001</v>
      </c>
      <c r="B578" t="s">
        <v>149</v>
      </c>
      <c r="C578" t="s">
        <v>108</v>
      </c>
      <c r="D578" t="s">
        <v>709</v>
      </c>
      <c r="E578">
        <v>3.0012026010990002E+48</v>
      </c>
      <c r="F578" s="3">
        <v>46053.486770833333</v>
      </c>
      <c r="G578" s="1">
        <v>46052</v>
      </c>
      <c r="H578">
        <v>1891712215001</v>
      </c>
      <c r="I578">
        <v>15.91</v>
      </c>
      <c r="J578">
        <v>2.39</v>
      </c>
      <c r="K578">
        <v>18.3</v>
      </c>
    </row>
    <row r="579" spans="1:11" x14ac:dyDescent="0.25">
      <c r="A579">
        <v>990379017001</v>
      </c>
      <c r="B579" t="s">
        <v>705</v>
      </c>
      <c r="C579" t="s">
        <v>108</v>
      </c>
      <c r="D579" t="s">
        <v>710</v>
      </c>
      <c r="E579">
        <v>3.00120260109903E+48</v>
      </c>
      <c r="F579" s="3">
        <v>46055.250231481485</v>
      </c>
      <c r="G579" s="1">
        <v>46052</v>
      </c>
      <c r="H579">
        <v>1891712215001</v>
      </c>
      <c r="I579">
        <v>0.27</v>
      </c>
      <c r="J579">
        <v>0.04</v>
      </c>
      <c r="K579">
        <v>0.31</v>
      </c>
    </row>
    <row r="580" spans="1:11" x14ac:dyDescent="0.25">
      <c r="A580">
        <v>1790283380001</v>
      </c>
      <c r="B580" t="s">
        <v>107</v>
      </c>
      <c r="C580" t="s">
        <v>108</v>
      </c>
      <c r="D580" t="s">
        <v>711</v>
      </c>
      <c r="E580">
        <v>3.10120260117902E+48</v>
      </c>
      <c r="F580" s="3">
        <v>46053.538993055554</v>
      </c>
      <c r="G580" s="1">
        <v>46053</v>
      </c>
      <c r="H580">
        <v>1891712215001</v>
      </c>
      <c r="I580">
        <v>60.92</v>
      </c>
      <c r="J580">
        <v>9.14</v>
      </c>
      <c r="K580">
        <v>70.06</v>
      </c>
    </row>
    <row r="581" spans="1:11" x14ac:dyDescent="0.25">
      <c r="A581">
        <v>990005737001</v>
      </c>
      <c r="B581" t="s">
        <v>712</v>
      </c>
      <c r="C581" t="s">
        <v>108</v>
      </c>
      <c r="D581" t="s">
        <v>713</v>
      </c>
      <c r="E581">
        <v>3.1012026010990003E+48</v>
      </c>
      <c r="F581" s="3">
        <v>46053.248981481483</v>
      </c>
      <c r="G581" s="1">
        <v>46053</v>
      </c>
      <c r="H581">
        <v>1891712215001</v>
      </c>
      <c r="I581">
        <v>19.2</v>
      </c>
      <c r="J581">
        <v>2.88</v>
      </c>
      <c r="K581">
        <v>22.08</v>
      </c>
    </row>
    <row r="582" spans="1:11" x14ac:dyDescent="0.25">
      <c r="A582">
        <v>990005737001</v>
      </c>
      <c r="B582" t="s">
        <v>712</v>
      </c>
      <c r="C582" t="s">
        <v>108</v>
      </c>
      <c r="D582" t="s">
        <v>714</v>
      </c>
      <c r="E582">
        <v>3.1012026010990003E+48</v>
      </c>
      <c r="F582" s="3">
        <v>46053.256516203706</v>
      </c>
      <c r="G582" s="1">
        <v>46053</v>
      </c>
      <c r="H582">
        <v>1891712215001</v>
      </c>
      <c r="I582">
        <v>13.73</v>
      </c>
      <c r="J582">
        <v>2.06</v>
      </c>
      <c r="K582">
        <v>15.79</v>
      </c>
    </row>
    <row r="583" spans="1:11" x14ac:dyDescent="0.25">
      <c r="A583">
        <v>990005737001</v>
      </c>
      <c r="B583" t="s">
        <v>712</v>
      </c>
      <c r="C583" t="s">
        <v>108</v>
      </c>
      <c r="D583" t="s">
        <v>715</v>
      </c>
      <c r="E583">
        <v>3.1012026010990003E+48</v>
      </c>
      <c r="F583" s="3">
        <v>46053.248831018522</v>
      </c>
      <c r="G583" s="1">
        <v>46053</v>
      </c>
      <c r="H583">
        <v>1891712215001</v>
      </c>
      <c r="I583">
        <v>198.67</v>
      </c>
      <c r="J583">
        <v>29.81</v>
      </c>
      <c r="K583">
        <v>228.48</v>
      </c>
    </row>
    <row r="584" spans="1:11" x14ac:dyDescent="0.25">
      <c r="A584">
        <v>1790283380001</v>
      </c>
      <c r="B584" t="s">
        <v>107</v>
      </c>
      <c r="C584" t="s">
        <v>108</v>
      </c>
      <c r="D584" t="s">
        <v>716</v>
      </c>
      <c r="E584">
        <v>3.10120260117902E+48</v>
      </c>
      <c r="F584" s="3">
        <v>46053.543043981481</v>
      </c>
      <c r="G584" s="1">
        <v>46053</v>
      </c>
      <c r="H584">
        <v>1891712215001</v>
      </c>
      <c r="I584">
        <v>37.5</v>
      </c>
      <c r="J584">
        <v>5.62</v>
      </c>
      <c r="K584">
        <v>43.12</v>
      </c>
    </row>
    <row r="585" spans="1:11" x14ac:dyDescent="0.25">
      <c r="A585">
        <v>1790283380001</v>
      </c>
      <c r="B585" t="s">
        <v>107</v>
      </c>
      <c r="C585" t="s">
        <v>108</v>
      </c>
      <c r="D585" t="s">
        <v>717</v>
      </c>
      <c r="E585">
        <v>3.10120260117902E+48</v>
      </c>
      <c r="F585" s="3">
        <v>46053.54583333333</v>
      </c>
      <c r="G585" s="1">
        <v>46053</v>
      </c>
      <c r="H585">
        <v>1891712215001</v>
      </c>
      <c r="I585">
        <v>15.6</v>
      </c>
      <c r="J585">
        <v>2.34</v>
      </c>
      <c r="K585">
        <v>17.940000000000001</v>
      </c>
    </row>
    <row r="586" spans="1:11" x14ac:dyDescent="0.25">
      <c r="A586">
        <v>1802565182001</v>
      </c>
      <c r="B586" t="s">
        <v>56</v>
      </c>
      <c r="C586" t="s">
        <v>108</v>
      </c>
      <c r="D586" t="s">
        <v>718</v>
      </c>
      <c r="E586">
        <v>3.10120260118025E+48</v>
      </c>
      <c r="F586" s="3">
        <v>46053.419456018521</v>
      </c>
      <c r="G586" s="1">
        <v>46053</v>
      </c>
      <c r="H586">
        <v>1891712215001</v>
      </c>
      <c r="I586">
        <v>10</v>
      </c>
      <c r="J586">
        <v>1.5</v>
      </c>
      <c r="K586">
        <v>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16BE-8A1B-40BA-97FA-1A2399B990B8}">
  <dimension ref="A2:G26"/>
  <sheetViews>
    <sheetView tabSelected="1" workbookViewId="0">
      <selection activeCell="E27" sqref="E27"/>
    </sheetView>
  </sheetViews>
  <sheetFormatPr baseColWidth="10" defaultRowHeight="15" x14ac:dyDescent="0.25"/>
  <cols>
    <col min="1" max="1" width="27.42578125" bestFit="1" customWidth="1"/>
    <col min="2" max="2" width="16.140625" customWidth="1"/>
    <col min="3" max="3" width="20.28515625" customWidth="1"/>
    <col min="4" max="4" width="15.85546875" customWidth="1"/>
    <col min="6" max="6" width="15.5703125" bestFit="1" customWidth="1"/>
  </cols>
  <sheetData>
    <row r="2" spans="1:7" x14ac:dyDescent="0.25">
      <c r="B2" s="8" t="s">
        <v>728</v>
      </c>
      <c r="C2" s="8" t="s">
        <v>729</v>
      </c>
      <c r="D2" s="8" t="s">
        <v>730</v>
      </c>
      <c r="E2" s="8" t="s">
        <v>104</v>
      </c>
      <c r="F2" s="9" t="s">
        <v>731</v>
      </c>
    </row>
    <row r="3" spans="1:7" x14ac:dyDescent="0.25">
      <c r="A3" s="10" t="s">
        <v>732</v>
      </c>
      <c r="B3" s="11">
        <v>140726.13999999998</v>
      </c>
      <c r="C3" s="11">
        <v>7132.55</v>
      </c>
      <c r="D3" s="11">
        <f>+B3-C3</f>
        <v>133593.59</v>
      </c>
      <c r="E3" s="11">
        <v>20039.230000000003</v>
      </c>
      <c r="F3" s="11">
        <f>+D3*15%</f>
        <v>20039.038499999999</v>
      </c>
      <c r="G3" s="11">
        <f>+F3-E3</f>
        <v>-0.19150000000445289</v>
      </c>
    </row>
    <row r="4" spans="1:7" x14ac:dyDescent="0.25">
      <c r="A4" s="10" t="s">
        <v>733</v>
      </c>
      <c r="B4" s="11">
        <v>58470.990000000013</v>
      </c>
      <c r="C4" s="11">
        <v>3512.8</v>
      </c>
      <c r="D4" s="11">
        <f t="shared" ref="D4:D14" si="0">+B4-C4</f>
        <v>54958.19000000001</v>
      </c>
      <c r="E4" s="11">
        <v>8243.889999999994</v>
      </c>
      <c r="F4" s="11">
        <f>+D4*15%</f>
        <v>8243.7285000000011</v>
      </c>
      <c r="G4" s="11">
        <f t="shared" ref="G4:G23" si="1">+F4-E4</f>
        <v>-0.16149999999288411</v>
      </c>
    </row>
    <row r="5" spans="1:7" x14ac:dyDescent="0.25">
      <c r="A5" s="10" t="s">
        <v>734</v>
      </c>
      <c r="B5" s="11">
        <v>15807.369999999999</v>
      </c>
      <c r="C5" s="11">
        <v>0</v>
      </c>
      <c r="D5" s="11">
        <f t="shared" si="0"/>
        <v>15807.369999999999</v>
      </c>
      <c r="E5" s="11">
        <v>2371.15</v>
      </c>
      <c r="F5" s="11">
        <f>+D5*15%</f>
        <v>2371.1054999999997</v>
      </c>
      <c r="G5" s="11">
        <f t="shared" si="1"/>
        <v>-4.4500000000425644E-2</v>
      </c>
    </row>
    <row r="6" spans="1:7" x14ac:dyDescent="0.25">
      <c r="A6" s="10" t="s">
        <v>735</v>
      </c>
      <c r="B6" s="11">
        <v>15036.719999999998</v>
      </c>
      <c r="C6" s="11">
        <v>0</v>
      </c>
      <c r="D6" s="11">
        <f t="shared" si="0"/>
        <v>15036.719999999998</v>
      </c>
      <c r="E6" s="11">
        <v>2255.5099999999998</v>
      </c>
      <c r="F6" s="11">
        <f>+D6*15%</f>
        <v>2255.5079999999994</v>
      </c>
      <c r="G6" s="11">
        <f t="shared" si="1"/>
        <v>-2.0000000004074536E-3</v>
      </c>
    </row>
    <row r="7" spans="1:7" x14ac:dyDescent="0.25">
      <c r="A7" s="10" t="s">
        <v>736</v>
      </c>
      <c r="B7" s="11">
        <v>0</v>
      </c>
      <c r="C7" s="11">
        <v>0</v>
      </c>
      <c r="D7" s="11">
        <f t="shared" si="0"/>
        <v>0</v>
      </c>
      <c r="E7" s="11">
        <v>0</v>
      </c>
      <c r="F7" s="11">
        <f t="shared" ref="F7:F23" si="2">+D7*15%</f>
        <v>0</v>
      </c>
      <c r="G7" s="11">
        <f t="shared" si="1"/>
        <v>0</v>
      </c>
    </row>
    <row r="8" spans="1:7" x14ac:dyDescent="0.25">
      <c r="A8" s="10" t="s">
        <v>737</v>
      </c>
      <c r="B8" s="11">
        <v>2057.85</v>
      </c>
      <c r="C8" s="11">
        <v>0</v>
      </c>
      <c r="D8" s="11">
        <f t="shared" si="0"/>
        <v>2057.85</v>
      </c>
      <c r="E8" s="11">
        <v>0</v>
      </c>
      <c r="F8" s="11">
        <v>0</v>
      </c>
      <c r="G8" s="11">
        <f t="shared" si="1"/>
        <v>0</v>
      </c>
    </row>
    <row r="9" spans="1:7" x14ac:dyDescent="0.25">
      <c r="A9" s="10" t="s">
        <v>738</v>
      </c>
      <c r="B9" s="11">
        <v>0</v>
      </c>
      <c r="C9" s="11">
        <v>0</v>
      </c>
      <c r="D9" s="11">
        <f t="shared" si="0"/>
        <v>0</v>
      </c>
      <c r="E9" s="11">
        <v>0</v>
      </c>
      <c r="F9" s="11">
        <v>0</v>
      </c>
      <c r="G9" s="11">
        <f t="shared" si="1"/>
        <v>0</v>
      </c>
    </row>
    <row r="10" spans="1:7" x14ac:dyDescent="0.25">
      <c r="A10" s="10" t="s">
        <v>739</v>
      </c>
      <c r="B10" s="11">
        <v>0</v>
      </c>
      <c r="C10" s="11">
        <v>0</v>
      </c>
      <c r="D10" s="11">
        <f t="shared" si="0"/>
        <v>0</v>
      </c>
      <c r="E10" s="11">
        <v>0</v>
      </c>
      <c r="F10" s="11">
        <f t="shared" si="2"/>
        <v>0</v>
      </c>
      <c r="G10" s="11">
        <f t="shared" si="1"/>
        <v>0</v>
      </c>
    </row>
    <row r="11" spans="1:7" x14ac:dyDescent="0.25">
      <c r="A11" s="10" t="s">
        <v>740</v>
      </c>
      <c r="B11" s="11">
        <v>0</v>
      </c>
      <c r="C11" s="11">
        <v>0</v>
      </c>
      <c r="D11" s="11">
        <f t="shared" si="0"/>
        <v>0</v>
      </c>
      <c r="E11" s="11">
        <v>0</v>
      </c>
      <c r="F11" s="11">
        <f t="shared" si="2"/>
        <v>0</v>
      </c>
      <c r="G11" s="11">
        <f t="shared" si="1"/>
        <v>0</v>
      </c>
    </row>
    <row r="12" spans="1:7" x14ac:dyDescent="0.25">
      <c r="A12" s="10" t="s">
        <v>741</v>
      </c>
      <c r="B12" s="11">
        <v>0</v>
      </c>
      <c r="C12" s="11">
        <v>0</v>
      </c>
      <c r="D12" s="11">
        <f t="shared" si="0"/>
        <v>0</v>
      </c>
      <c r="E12" s="11">
        <v>0</v>
      </c>
      <c r="F12" s="11">
        <f t="shared" si="2"/>
        <v>0</v>
      </c>
      <c r="G12" s="11">
        <f t="shared" si="1"/>
        <v>0</v>
      </c>
    </row>
    <row r="13" spans="1:7" x14ac:dyDescent="0.25">
      <c r="A13" s="10" t="s">
        <v>742</v>
      </c>
      <c r="B13" s="11">
        <v>18989.850000000002</v>
      </c>
      <c r="C13" s="11">
        <v>332.98</v>
      </c>
      <c r="D13" s="11">
        <f t="shared" si="0"/>
        <v>18656.870000000003</v>
      </c>
      <c r="E13" s="11">
        <v>2798.57</v>
      </c>
      <c r="F13" s="11">
        <f t="shared" si="2"/>
        <v>2798.5305000000003</v>
      </c>
      <c r="G13" s="11">
        <f t="shared" si="1"/>
        <v>-3.9499999999861757E-2</v>
      </c>
    </row>
    <row r="14" spans="1:7" x14ac:dyDescent="0.25">
      <c r="A14" s="10" t="s">
        <v>743</v>
      </c>
      <c r="B14" s="11">
        <v>9844.3700000000008</v>
      </c>
      <c r="C14" s="11">
        <v>84.55</v>
      </c>
      <c r="D14" s="11">
        <f t="shared" si="0"/>
        <v>9759.8200000000015</v>
      </c>
      <c r="E14" s="11">
        <v>1463.98</v>
      </c>
      <c r="F14" s="12">
        <f t="shared" si="2"/>
        <v>1463.9730000000002</v>
      </c>
      <c r="G14" s="11">
        <f t="shared" si="1"/>
        <v>-6.999999999834472E-3</v>
      </c>
    </row>
    <row r="15" spans="1:7" x14ac:dyDescent="0.25">
      <c r="A15" s="10" t="s">
        <v>744</v>
      </c>
      <c r="B15" s="11">
        <v>2037.5299999999997</v>
      </c>
      <c r="C15" s="11">
        <v>0</v>
      </c>
      <c r="D15" s="11">
        <f>+B15-C15</f>
        <v>2037.5299999999997</v>
      </c>
      <c r="E15" s="11">
        <v>305.64</v>
      </c>
      <c r="F15" s="12">
        <f t="shared" si="2"/>
        <v>305.62949999999995</v>
      </c>
      <c r="G15" s="11">
        <f>+F15-E15</f>
        <v>-1.0500000000035925E-2</v>
      </c>
    </row>
    <row r="16" spans="1:7" x14ac:dyDescent="0.25">
      <c r="A16" s="10" t="s">
        <v>745</v>
      </c>
      <c r="B16" s="11">
        <v>1788.0100000000004</v>
      </c>
      <c r="C16" s="11">
        <v>0</v>
      </c>
      <c r="D16" s="11">
        <f t="shared" ref="D16" si="3">+B16-C16</f>
        <v>1788.0100000000004</v>
      </c>
      <c r="E16" s="11">
        <v>268.2</v>
      </c>
      <c r="F16" s="12">
        <f t="shared" si="2"/>
        <v>268.20150000000007</v>
      </c>
      <c r="G16" s="11">
        <f t="shared" ref="G16" si="4">+F16-E16</f>
        <v>1.5000000000782165E-3</v>
      </c>
    </row>
    <row r="17" spans="1:7" x14ac:dyDescent="0.25">
      <c r="A17" s="10" t="s">
        <v>746</v>
      </c>
      <c r="B17" s="11">
        <v>0</v>
      </c>
      <c r="C17" s="11">
        <v>0</v>
      </c>
      <c r="D17" s="11">
        <v>0</v>
      </c>
      <c r="E17" s="11">
        <v>0</v>
      </c>
      <c r="F17" s="12">
        <f t="shared" si="2"/>
        <v>0</v>
      </c>
      <c r="G17" s="11">
        <f t="shared" si="1"/>
        <v>0</v>
      </c>
    </row>
    <row r="18" spans="1:7" x14ac:dyDescent="0.25">
      <c r="A18" s="10" t="s">
        <v>747</v>
      </c>
      <c r="B18" s="11">
        <v>0</v>
      </c>
      <c r="C18" s="11">
        <v>0</v>
      </c>
      <c r="D18" s="11">
        <v>0</v>
      </c>
      <c r="E18" s="11">
        <v>0</v>
      </c>
      <c r="F18" s="12">
        <f t="shared" si="2"/>
        <v>0</v>
      </c>
      <c r="G18" s="11">
        <f t="shared" si="1"/>
        <v>0</v>
      </c>
    </row>
    <row r="19" spans="1:7" x14ac:dyDescent="0.25">
      <c r="A19" s="10" t="s">
        <v>748</v>
      </c>
      <c r="B19" s="11">
        <v>0</v>
      </c>
      <c r="C19" s="11">
        <v>0</v>
      </c>
      <c r="D19" s="11">
        <v>0</v>
      </c>
      <c r="E19" s="11">
        <v>0</v>
      </c>
      <c r="F19" s="12">
        <f t="shared" si="2"/>
        <v>0</v>
      </c>
      <c r="G19" s="11">
        <f t="shared" si="1"/>
        <v>0</v>
      </c>
    </row>
    <row r="20" spans="1:7" x14ac:dyDescent="0.25">
      <c r="A20" s="10" t="s">
        <v>749</v>
      </c>
      <c r="B20" s="11">
        <v>0</v>
      </c>
      <c r="C20" s="11">
        <v>0</v>
      </c>
      <c r="D20" s="11">
        <v>0</v>
      </c>
      <c r="E20" s="11">
        <v>0</v>
      </c>
      <c r="F20" s="12">
        <f t="shared" si="2"/>
        <v>0</v>
      </c>
      <c r="G20" s="11">
        <f t="shared" si="1"/>
        <v>0</v>
      </c>
    </row>
    <row r="21" spans="1:7" x14ac:dyDescent="0.25">
      <c r="A21" s="10" t="s">
        <v>750</v>
      </c>
      <c r="B21" s="11">
        <v>0</v>
      </c>
      <c r="C21" s="11">
        <v>0</v>
      </c>
      <c r="D21" s="11">
        <v>0</v>
      </c>
      <c r="E21" s="11">
        <v>0</v>
      </c>
      <c r="F21" s="12">
        <f t="shared" si="2"/>
        <v>0</v>
      </c>
      <c r="G21" s="11">
        <f t="shared" si="1"/>
        <v>0</v>
      </c>
    </row>
    <row r="22" spans="1:7" x14ac:dyDescent="0.25">
      <c r="A22" s="10" t="s">
        <v>751</v>
      </c>
      <c r="B22" s="11">
        <v>0</v>
      </c>
      <c r="C22" s="11">
        <v>0</v>
      </c>
      <c r="D22" s="11">
        <v>0</v>
      </c>
      <c r="E22" s="11">
        <v>0</v>
      </c>
      <c r="F22" s="12">
        <f t="shared" si="2"/>
        <v>0</v>
      </c>
      <c r="G22" s="11">
        <f t="shared" si="1"/>
        <v>0</v>
      </c>
    </row>
    <row r="23" spans="1:7" x14ac:dyDescent="0.25">
      <c r="A23" s="10" t="s">
        <v>752</v>
      </c>
      <c r="B23" s="11">
        <v>0</v>
      </c>
      <c r="C23" s="11">
        <v>0</v>
      </c>
      <c r="D23" s="11">
        <v>0</v>
      </c>
      <c r="E23" s="11">
        <v>0</v>
      </c>
      <c r="F23" s="12">
        <f t="shared" si="2"/>
        <v>0</v>
      </c>
      <c r="G23" s="11">
        <f t="shared" si="1"/>
        <v>0</v>
      </c>
    </row>
    <row r="24" spans="1:7" x14ac:dyDescent="0.25">
      <c r="B24" s="13">
        <f>SUM(B3:B23)</f>
        <v>264758.83</v>
      </c>
      <c r="C24" s="13">
        <f>SUM(C3:C23)</f>
        <v>11062.88</v>
      </c>
      <c r="D24" s="13">
        <f>SUM(D3:D23)</f>
        <v>253695.95</v>
      </c>
      <c r="E24" s="13">
        <f t="shared" ref="E24:F24" si="5">SUM(E3:E23)</f>
        <v>37746.17</v>
      </c>
      <c r="F24" s="13">
        <f t="shared" si="5"/>
        <v>37745.715000000004</v>
      </c>
      <c r="G24" s="13">
        <f>+F24-E24</f>
        <v>-0.45499999999447027</v>
      </c>
    </row>
    <row r="26" spans="1:7" x14ac:dyDescent="0.25">
      <c r="E26" s="2">
        <f>+'MAYOR IVA'!K411</f>
        <v>37746.159999999996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55D0-18F9-44D9-A3DF-F2E00B0B03A4}">
  <dimension ref="A1:L718"/>
  <sheetViews>
    <sheetView topLeftCell="A497" workbookViewId="0">
      <selection activeCell="H504" sqref="H504"/>
    </sheetView>
  </sheetViews>
  <sheetFormatPr baseColWidth="10" defaultRowHeight="15" x14ac:dyDescent="0.25"/>
  <cols>
    <col min="3" max="3" width="34.42578125" customWidth="1"/>
  </cols>
  <sheetData>
    <row r="1" spans="1:12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10</v>
      </c>
      <c r="G1" s="23" t="s">
        <v>11</v>
      </c>
      <c r="H1" s="23" t="s">
        <v>5</v>
      </c>
      <c r="I1" s="23" t="s">
        <v>6</v>
      </c>
      <c r="J1" s="23" t="s">
        <v>7</v>
      </c>
      <c r="K1" s="23" t="s">
        <v>8</v>
      </c>
      <c r="L1" s="23" t="s">
        <v>9</v>
      </c>
    </row>
    <row r="2" spans="1:12" x14ac:dyDescent="0.25">
      <c r="A2" s="20">
        <v>432</v>
      </c>
      <c r="B2" s="20">
        <v>190123626001</v>
      </c>
      <c r="C2" s="20" t="s">
        <v>12</v>
      </c>
      <c r="D2" s="22">
        <v>46042</v>
      </c>
      <c r="E2" s="20" t="s">
        <v>13</v>
      </c>
      <c r="F2" s="20">
        <v>50638</v>
      </c>
      <c r="G2" s="21">
        <v>6100.38</v>
      </c>
      <c r="H2" s="21">
        <v>5304.68</v>
      </c>
      <c r="I2" s="20">
        <v>0</v>
      </c>
      <c r="J2" s="20">
        <v>795.7</v>
      </c>
      <c r="K2" s="20">
        <v>0</v>
      </c>
      <c r="L2" s="21">
        <v>6100.38</v>
      </c>
    </row>
    <row r="3" spans="1:12" x14ac:dyDescent="0.25">
      <c r="A3" s="20">
        <v>1416</v>
      </c>
      <c r="B3" s="20">
        <v>201879962001</v>
      </c>
      <c r="C3" s="20" t="s">
        <v>14</v>
      </c>
      <c r="D3" s="22">
        <v>46044</v>
      </c>
      <c r="E3" s="20" t="s">
        <v>13</v>
      </c>
      <c r="F3" s="20">
        <v>238</v>
      </c>
      <c r="G3" s="20">
        <v>98.25</v>
      </c>
      <c r="H3" s="20">
        <v>0</v>
      </c>
      <c r="I3" s="20">
        <v>100</v>
      </c>
      <c r="J3" s="20">
        <v>0</v>
      </c>
      <c r="K3" s="20">
        <v>1.75</v>
      </c>
      <c r="L3" s="20">
        <v>98.25</v>
      </c>
    </row>
    <row r="4" spans="1:12" x14ac:dyDescent="0.25">
      <c r="A4" s="20">
        <v>1416</v>
      </c>
      <c r="B4" s="20">
        <v>201879962001</v>
      </c>
      <c r="C4" s="20" t="s">
        <v>14</v>
      </c>
      <c r="D4" s="22">
        <v>46044</v>
      </c>
      <c r="E4" s="20" t="s">
        <v>13</v>
      </c>
      <c r="F4" s="20">
        <v>240</v>
      </c>
      <c r="G4" s="20">
        <v>98.25</v>
      </c>
      <c r="H4" s="20">
        <v>0</v>
      </c>
      <c r="I4" s="20">
        <v>100</v>
      </c>
      <c r="J4" s="20">
        <v>0</v>
      </c>
      <c r="K4" s="20">
        <v>1.75</v>
      </c>
      <c r="L4" s="20">
        <v>98.25</v>
      </c>
    </row>
    <row r="5" spans="1:12" x14ac:dyDescent="0.25">
      <c r="A5" s="20">
        <v>1310</v>
      </c>
      <c r="B5" s="20">
        <v>501639371001</v>
      </c>
      <c r="C5" s="20" t="s">
        <v>15</v>
      </c>
      <c r="D5" s="22">
        <v>46030</v>
      </c>
      <c r="E5" s="20" t="s">
        <v>13</v>
      </c>
      <c r="F5" s="20">
        <v>2</v>
      </c>
      <c r="G5" s="20">
        <v>180</v>
      </c>
      <c r="H5" s="20">
        <v>200</v>
      </c>
      <c r="I5" s="20">
        <v>0</v>
      </c>
      <c r="J5" s="20">
        <v>30</v>
      </c>
      <c r="K5" s="20">
        <v>50</v>
      </c>
      <c r="L5" s="20">
        <v>0</v>
      </c>
    </row>
    <row r="6" spans="1:12" x14ac:dyDescent="0.25">
      <c r="A6" s="20">
        <v>1610</v>
      </c>
      <c r="B6" s="20">
        <v>602119992001</v>
      </c>
      <c r="C6" s="20" t="s">
        <v>18</v>
      </c>
      <c r="D6" s="22">
        <v>46028</v>
      </c>
      <c r="E6" s="20" t="s">
        <v>13</v>
      </c>
      <c r="F6" s="20">
        <v>250</v>
      </c>
      <c r="G6" s="20">
        <v>263.62</v>
      </c>
      <c r="H6" s="20">
        <v>0</v>
      </c>
      <c r="I6" s="20">
        <v>269</v>
      </c>
      <c r="J6" s="20">
        <v>0</v>
      </c>
      <c r="K6" s="20">
        <v>5.38</v>
      </c>
      <c r="L6" s="20">
        <v>263.62</v>
      </c>
    </row>
    <row r="7" spans="1:12" x14ac:dyDescent="0.25">
      <c r="A7" s="20">
        <v>1610</v>
      </c>
      <c r="B7" s="20">
        <v>602119992001</v>
      </c>
      <c r="C7" s="20" t="s">
        <v>18</v>
      </c>
      <c r="D7" s="22">
        <v>46028</v>
      </c>
      <c r="E7" s="20" t="s">
        <v>13</v>
      </c>
      <c r="F7" s="20">
        <v>251</v>
      </c>
      <c r="G7" s="20">
        <v>187.18</v>
      </c>
      <c r="H7" s="20">
        <v>0</v>
      </c>
      <c r="I7" s="20">
        <v>191</v>
      </c>
      <c r="J7" s="20">
        <v>0</v>
      </c>
      <c r="K7" s="20">
        <v>3.82</v>
      </c>
      <c r="L7" s="20">
        <v>187.18</v>
      </c>
    </row>
    <row r="8" spans="1:12" x14ac:dyDescent="0.25">
      <c r="A8" s="20">
        <v>1610</v>
      </c>
      <c r="B8" s="20">
        <v>602119992001</v>
      </c>
      <c r="C8" s="20" t="s">
        <v>18</v>
      </c>
      <c r="D8" s="22">
        <v>46041</v>
      </c>
      <c r="E8" s="20" t="s">
        <v>13</v>
      </c>
      <c r="F8" s="20">
        <v>253</v>
      </c>
      <c r="G8" s="20">
        <v>49</v>
      </c>
      <c r="H8" s="20">
        <v>0</v>
      </c>
      <c r="I8" s="20">
        <v>50</v>
      </c>
      <c r="J8" s="20">
        <v>0</v>
      </c>
      <c r="K8" s="20">
        <v>1</v>
      </c>
      <c r="L8" s="20">
        <v>49</v>
      </c>
    </row>
    <row r="9" spans="1:12" x14ac:dyDescent="0.25">
      <c r="A9" s="20">
        <v>1610</v>
      </c>
      <c r="B9" s="20">
        <v>602119992001</v>
      </c>
      <c r="C9" s="20" t="s">
        <v>18</v>
      </c>
      <c r="D9" s="22">
        <v>46051</v>
      </c>
      <c r="E9" s="20" t="s">
        <v>13</v>
      </c>
      <c r="F9" s="20">
        <v>254</v>
      </c>
      <c r="G9" s="20">
        <v>441</v>
      </c>
      <c r="H9" s="20">
        <v>0</v>
      </c>
      <c r="I9" s="20">
        <v>450</v>
      </c>
      <c r="J9" s="20">
        <v>0</v>
      </c>
      <c r="K9" s="20">
        <v>9</v>
      </c>
      <c r="L9" s="20">
        <v>441</v>
      </c>
    </row>
    <row r="10" spans="1:12" x14ac:dyDescent="0.25">
      <c r="A10" s="20">
        <v>1844</v>
      </c>
      <c r="B10" s="20">
        <v>602185464001</v>
      </c>
      <c r="C10" s="20" t="s">
        <v>19</v>
      </c>
      <c r="D10" s="22">
        <v>46029</v>
      </c>
      <c r="E10" s="20" t="s">
        <v>13</v>
      </c>
      <c r="F10" s="20">
        <v>1841</v>
      </c>
      <c r="G10" s="20">
        <v>24.58</v>
      </c>
      <c r="H10" s="20">
        <v>22.61</v>
      </c>
      <c r="I10" s="20">
        <v>0</v>
      </c>
      <c r="J10" s="20">
        <v>3.39</v>
      </c>
      <c r="K10" s="20">
        <v>1.42</v>
      </c>
      <c r="L10" s="20">
        <v>24.58</v>
      </c>
    </row>
    <row r="11" spans="1:12" x14ac:dyDescent="0.25">
      <c r="A11" s="20">
        <v>1850</v>
      </c>
      <c r="B11" s="20">
        <v>604389825001</v>
      </c>
      <c r="C11" s="20" t="s">
        <v>22</v>
      </c>
      <c r="D11" s="22">
        <v>46041</v>
      </c>
      <c r="E11" s="20" t="s">
        <v>13</v>
      </c>
      <c r="F11" s="20">
        <v>2</v>
      </c>
      <c r="G11" s="20">
        <v>133.30000000000001</v>
      </c>
      <c r="H11" s="20">
        <v>121.74</v>
      </c>
      <c r="I11" s="20">
        <v>0</v>
      </c>
      <c r="J11" s="20">
        <v>18.260000000000002</v>
      </c>
      <c r="K11" s="20">
        <v>6.7</v>
      </c>
      <c r="L11" s="20">
        <v>133.30000000000001</v>
      </c>
    </row>
    <row r="12" spans="1:12" x14ac:dyDescent="0.25">
      <c r="A12" s="20">
        <v>1599</v>
      </c>
      <c r="B12" s="20">
        <v>604599126001</v>
      </c>
      <c r="C12" s="20" t="s">
        <v>23</v>
      </c>
      <c r="D12" s="22">
        <v>46027</v>
      </c>
      <c r="E12" s="20" t="s">
        <v>13</v>
      </c>
      <c r="F12" s="20">
        <v>2514</v>
      </c>
      <c r="G12" s="20">
        <v>18.309999999999999</v>
      </c>
      <c r="H12" s="20">
        <v>17.87</v>
      </c>
      <c r="I12" s="20">
        <v>0</v>
      </c>
      <c r="J12" s="20">
        <v>2.68</v>
      </c>
      <c r="K12" s="20">
        <v>2.2400000000000002</v>
      </c>
      <c r="L12" s="20">
        <v>18.309999999999999</v>
      </c>
    </row>
    <row r="13" spans="1:12" x14ac:dyDescent="0.25">
      <c r="A13" s="20">
        <v>1599</v>
      </c>
      <c r="B13" s="20">
        <v>604599126001</v>
      </c>
      <c r="C13" s="20" t="s">
        <v>23</v>
      </c>
      <c r="D13" s="22">
        <v>46027</v>
      </c>
      <c r="E13" s="20" t="s">
        <v>13</v>
      </c>
      <c r="F13" s="20">
        <v>2513</v>
      </c>
      <c r="G13" s="20">
        <v>18.309999999999999</v>
      </c>
      <c r="H13" s="20">
        <v>17.87</v>
      </c>
      <c r="I13" s="20">
        <v>0</v>
      </c>
      <c r="J13" s="20">
        <v>2.68</v>
      </c>
      <c r="K13" s="20">
        <v>2.2400000000000002</v>
      </c>
      <c r="L13" s="20">
        <v>18.309999999999999</v>
      </c>
    </row>
    <row r="14" spans="1:12" x14ac:dyDescent="0.25">
      <c r="A14" s="20">
        <v>1599</v>
      </c>
      <c r="B14" s="20">
        <v>604599126001</v>
      </c>
      <c r="C14" s="20" t="s">
        <v>23</v>
      </c>
      <c r="D14" s="22">
        <v>46027</v>
      </c>
      <c r="E14" s="20" t="s">
        <v>13</v>
      </c>
      <c r="F14" s="20">
        <v>2512</v>
      </c>
      <c r="G14" s="20">
        <v>18.309999999999999</v>
      </c>
      <c r="H14" s="20">
        <v>17.87</v>
      </c>
      <c r="I14" s="20">
        <v>0</v>
      </c>
      <c r="J14" s="20">
        <v>2.68</v>
      </c>
      <c r="K14" s="20">
        <v>2.2400000000000002</v>
      </c>
      <c r="L14" s="20">
        <v>18.309999999999999</v>
      </c>
    </row>
    <row r="15" spans="1:12" x14ac:dyDescent="0.25">
      <c r="A15" s="20">
        <v>1599</v>
      </c>
      <c r="B15" s="20">
        <v>604599126001</v>
      </c>
      <c r="C15" s="20" t="s">
        <v>23</v>
      </c>
      <c r="D15" s="22">
        <v>46028</v>
      </c>
      <c r="E15" s="20" t="s">
        <v>13</v>
      </c>
      <c r="F15" s="20">
        <v>2519</v>
      </c>
      <c r="G15" s="20">
        <v>18.309999999999999</v>
      </c>
      <c r="H15" s="20">
        <v>17.87</v>
      </c>
      <c r="I15" s="20">
        <v>0</v>
      </c>
      <c r="J15" s="20">
        <v>2.68</v>
      </c>
      <c r="K15" s="20">
        <v>2.2400000000000002</v>
      </c>
      <c r="L15" s="20">
        <v>18.309999999999999</v>
      </c>
    </row>
    <row r="16" spans="1:12" x14ac:dyDescent="0.25">
      <c r="A16" s="20">
        <v>1599</v>
      </c>
      <c r="B16" s="20">
        <v>604599126001</v>
      </c>
      <c r="C16" s="20" t="s">
        <v>23</v>
      </c>
      <c r="D16" s="22">
        <v>46029</v>
      </c>
      <c r="E16" s="20" t="s">
        <v>13</v>
      </c>
      <c r="F16" s="20">
        <v>2528</v>
      </c>
      <c r="G16" s="20">
        <v>18.309999999999999</v>
      </c>
      <c r="H16" s="20">
        <v>17.87</v>
      </c>
      <c r="I16" s="20">
        <v>0</v>
      </c>
      <c r="J16" s="20">
        <v>2.68</v>
      </c>
      <c r="K16" s="20">
        <v>2.2400000000000002</v>
      </c>
      <c r="L16" s="20">
        <v>18.309999999999999</v>
      </c>
    </row>
    <row r="17" spans="1:12" x14ac:dyDescent="0.25">
      <c r="A17" s="20">
        <v>1599</v>
      </c>
      <c r="B17" s="20">
        <v>604599126001</v>
      </c>
      <c r="C17" s="20" t="s">
        <v>23</v>
      </c>
      <c r="D17" s="22">
        <v>46029</v>
      </c>
      <c r="E17" s="20" t="s">
        <v>13</v>
      </c>
      <c r="F17" s="20">
        <v>2532</v>
      </c>
      <c r="G17" s="20">
        <v>18.309999999999999</v>
      </c>
      <c r="H17" s="20">
        <v>17.87</v>
      </c>
      <c r="I17" s="20">
        <v>0</v>
      </c>
      <c r="J17" s="20">
        <v>2.68</v>
      </c>
      <c r="K17" s="20">
        <v>2.2400000000000002</v>
      </c>
      <c r="L17" s="20">
        <v>18.309999999999999</v>
      </c>
    </row>
    <row r="18" spans="1:12" x14ac:dyDescent="0.25">
      <c r="A18" s="20">
        <v>1599</v>
      </c>
      <c r="B18" s="20">
        <v>604599126001</v>
      </c>
      <c r="C18" s="20" t="s">
        <v>23</v>
      </c>
      <c r="D18" s="22">
        <v>46029</v>
      </c>
      <c r="E18" s="20" t="s">
        <v>13</v>
      </c>
      <c r="F18" s="20">
        <v>2534</v>
      </c>
      <c r="G18" s="20">
        <v>18.309999999999999</v>
      </c>
      <c r="H18" s="20">
        <v>17.87</v>
      </c>
      <c r="I18" s="20">
        <v>0</v>
      </c>
      <c r="J18" s="20">
        <v>2.68</v>
      </c>
      <c r="K18" s="20">
        <v>2.2400000000000002</v>
      </c>
      <c r="L18" s="20">
        <v>18.309999999999999</v>
      </c>
    </row>
    <row r="19" spans="1:12" x14ac:dyDescent="0.25">
      <c r="A19" s="20">
        <v>1599</v>
      </c>
      <c r="B19" s="20">
        <v>604599126001</v>
      </c>
      <c r="C19" s="20" t="s">
        <v>23</v>
      </c>
      <c r="D19" s="22">
        <v>46029</v>
      </c>
      <c r="E19" s="20" t="s">
        <v>13</v>
      </c>
      <c r="F19" s="20">
        <v>2537</v>
      </c>
      <c r="G19" s="20">
        <v>18.309999999999999</v>
      </c>
      <c r="H19" s="20">
        <v>17.87</v>
      </c>
      <c r="I19" s="20">
        <v>0</v>
      </c>
      <c r="J19" s="20">
        <v>2.68</v>
      </c>
      <c r="K19" s="20">
        <v>2.2400000000000002</v>
      </c>
      <c r="L19" s="20">
        <v>18.309999999999999</v>
      </c>
    </row>
    <row r="20" spans="1:12" x14ac:dyDescent="0.25">
      <c r="A20" s="20">
        <v>1599</v>
      </c>
      <c r="B20" s="20">
        <v>604599126001</v>
      </c>
      <c r="C20" s="20" t="s">
        <v>23</v>
      </c>
      <c r="D20" s="22">
        <v>46029</v>
      </c>
      <c r="E20" s="20" t="s">
        <v>13</v>
      </c>
      <c r="F20" s="20">
        <v>2533</v>
      </c>
      <c r="G20" s="20">
        <v>3.07</v>
      </c>
      <c r="H20" s="20">
        <v>3</v>
      </c>
      <c r="I20" s="20">
        <v>0</v>
      </c>
      <c r="J20" s="20">
        <v>0.45</v>
      </c>
      <c r="K20" s="20">
        <v>0.38</v>
      </c>
      <c r="L20" s="20">
        <v>3.07</v>
      </c>
    </row>
    <row r="21" spans="1:12" x14ac:dyDescent="0.25">
      <c r="A21" s="20">
        <v>1599</v>
      </c>
      <c r="B21" s="20">
        <v>604599126001</v>
      </c>
      <c r="C21" s="20" t="s">
        <v>23</v>
      </c>
      <c r="D21" s="22">
        <v>46030</v>
      </c>
      <c r="E21" s="20" t="s">
        <v>13</v>
      </c>
      <c r="F21" s="20">
        <v>2551</v>
      </c>
      <c r="G21" s="20">
        <v>18.309999999999999</v>
      </c>
      <c r="H21" s="20">
        <v>17.87</v>
      </c>
      <c r="I21" s="20">
        <v>0</v>
      </c>
      <c r="J21" s="20">
        <v>2.68</v>
      </c>
      <c r="K21" s="20">
        <v>2.2400000000000002</v>
      </c>
      <c r="L21" s="20">
        <v>18.309999999999999</v>
      </c>
    </row>
    <row r="22" spans="1:12" x14ac:dyDescent="0.25">
      <c r="A22" s="20">
        <v>1599</v>
      </c>
      <c r="B22" s="20">
        <v>604599126001</v>
      </c>
      <c r="C22" s="20" t="s">
        <v>23</v>
      </c>
      <c r="D22" s="22">
        <v>46030</v>
      </c>
      <c r="E22" s="20" t="s">
        <v>13</v>
      </c>
      <c r="F22" s="20">
        <v>2544</v>
      </c>
      <c r="G22" s="20">
        <v>18.309999999999999</v>
      </c>
      <c r="H22" s="20">
        <v>17.87</v>
      </c>
      <c r="I22" s="20">
        <v>0</v>
      </c>
      <c r="J22" s="20">
        <v>2.68</v>
      </c>
      <c r="K22" s="20">
        <v>2.2400000000000002</v>
      </c>
      <c r="L22" s="20">
        <v>18.309999999999999</v>
      </c>
    </row>
    <row r="23" spans="1:12" x14ac:dyDescent="0.25">
      <c r="A23" s="20">
        <v>1599</v>
      </c>
      <c r="B23" s="20">
        <v>604599126001</v>
      </c>
      <c r="C23" s="20" t="s">
        <v>23</v>
      </c>
      <c r="D23" s="22">
        <v>46030</v>
      </c>
      <c r="E23" s="20" t="s">
        <v>13</v>
      </c>
      <c r="F23" s="20">
        <v>2549</v>
      </c>
      <c r="G23" s="20">
        <v>18.309999999999999</v>
      </c>
      <c r="H23" s="20">
        <v>17.87</v>
      </c>
      <c r="I23" s="20">
        <v>0</v>
      </c>
      <c r="J23" s="20">
        <v>2.68</v>
      </c>
      <c r="K23" s="20">
        <v>2.2400000000000002</v>
      </c>
      <c r="L23" s="20">
        <v>18.309999999999999</v>
      </c>
    </row>
    <row r="24" spans="1:12" x14ac:dyDescent="0.25">
      <c r="A24" s="20">
        <v>1599</v>
      </c>
      <c r="B24" s="20">
        <v>604599126001</v>
      </c>
      <c r="C24" s="20" t="s">
        <v>23</v>
      </c>
      <c r="D24" s="22">
        <v>46031</v>
      </c>
      <c r="E24" s="20" t="s">
        <v>13</v>
      </c>
      <c r="F24" s="20">
        <v>2555</v>
      </c>
      <c r="G24" s="20">
        <v>18.309999999999999</v>
      </c>
      <c r="H24" s="20">
        <v>17.87</v>
      </c>
      <c r="I24" s="20">
        <v>0</v>
      </c>
      <c r="J24" s="20">
        <v>2.68</v>
      </c>
      <c r="K24" s="20">
        <v>2.2400000000000002</v>
      </c>
      <c r="L24" s="20">
        <v>18.309999999999999</v>
      </c>
    </row>
    <row r="25" spans="1:12" x14ac:dyDescent="0.25">
      <c r="A25" s="20">
        <v>1599</v>
      </c>
      <c r="B25" s="20">
        <v>604599126001</v>
      </c>
      <c r="C25" s="20" t="s">
        <v>23</v>
      </c>
      <c r="D25" s="22">
        <v>46031</v>
      </c>
      <c r="E25" s="20" t="s">
        <v>13</v>
      </c>
      <c r="F25" s="20">
        <v>2561</v>
      </c>
      <c r="G25" s="20">
        <v>18.309999999999999</v>
      </c>
      <c r="H25" s="20">
        <v>17.87</v>
      </c>
      <c r="I25" s="20">
        <v>0</v>
      </c>
      <c r="J25" s="20">
        <v>2.68</v>
      </c>
      <c r="K25" s="20">
        <v>2.2400000000000002</v>
      </c>
      <c r="L25" s="20">
        <v>18.309999999999999</v>
      </c>
    </row>
    <row r="26" spans="1:12" x14ac:dyDescent="0.25">
      <c r="A26" s="20">
        <v>1599</v>
      </c>
      <c r="B26" s="20">
        <v>604599126001</v>
      </c>
      <c r="C26" s="20" t="s">
        <v>23</v>
      </c>
      <c r="D26" s="22">
        <v>46037</v>
      </c>
      <c r="E26" s="20" t="s">
        <v>13</v>
      </c>
      <c r="F26" s="20">
        <v>2589</v>
      </c>
      <c r="G26" s="20">
        <v>20.88</v>
      </c>
      <c r="H26" s="20">
        <v>20.37</v>
      </c>
      <c r="I26" s="20">
        <v>0</v>
      </c>
      <c r="J26" s="20">
        <v>3.06</v>
      </c>
      <c r="K26" s="20">
        <v>2.5499999999999998</v>
      </c>
      <c r="L26" s="20">
        <v>20.88</v>
      </c>
    </row>
    <row r="27" spans="1:12" x14ac:dyDescent="0.25">
      <c r="A27" s="20">
        <v>1599</v>
      </c>
      <c r="B27" s="20">
        <v>604599126001</v>
      </c>
      <c r="C27" s="20" t="s">
        <v>23</v>
      </c>
      <c r="D27" s="22">
        <v>46038</v>
      </c>
      <c r="E27" s="20" t="s">
        <v>13</v>
      </c>
      <c r="F27" s="20">
        <v>2595</v>
      </c>
      <c r="G27" s="20">
        <v>18.309999999999999</v>
      </c>
      <c r="H27" s="20">
        <v>17.87</v>
      </c>
      <c r="I27" s="20">
        <v>0</v>
      </c>
      <c r="J27" s="20">
        <v>2.68</v>
      </c>
      <c r="K27" s="20">
        <v>2.2400000000000002</v>
      </c>
      <c r="L27" s="20">
        <v>18.309999999999999</v>
      </c>
    </row>
    <row r="28" spans="1:12" x14ac:dyDescent="0.25">
      <c r="A28" s="20">
        <v>1599</v>
      </c>
      <c r="B28" s="20">
        <v>604599126001</v>
      </c>
      <c r="C28" s="20" t="s">
        <v>23</v>
      </c>
      <c r="D28" s="22">
        <v>46038</v>
      </c>
      <c r="E28" s="20" t="s">
        <v>13</v>
      </c>
      <c r="F28" s="20">
        <v>2597</v>
      </c>
      <c r="G28" s="20">
        <v>18.309999999999999</v>
      </c>
      <c r="H28" s="20">
        <v>17.87</v>
      </c>
      <c r="I28" s="20">
        <v>0</v>
      </c>
      <c r="J28" s="20">
        <v>2.68</v>
      </c>
      <c r="K28" s="20">
        <v>2.2400000000000002</v>
      </c>
      <c r="L28" s="20">
        <v>18.309999999999999</v>
      </c>
    </row>
    <row r="29" spans="1:12" x14ac:dyDescent="0.25">
      <c r="A29" s="20">
        <v>1599</v>
      </c>
      <c r="B29" s="20">
        <v>604599126001</v>
      </c>
      <c r="C29" s="20" t="s">
        <v>23</v>
      </c>
      <c r="D29" s="22">
        <v>46038</v>
      </c>
      <c r="E29" s="20" t="s">
        <v>13</v>
      </c>
      <c r="F29" s="20">
        <v>2599</v>
      </c>
      <c r="G29" s="20">
        <v>18.309999999999999</v>
      </c>
      <c r="H29" s="20">
        <v>17.87</v>
      </c>
      <c r="I29" s="20">
        <v>0</v>
      </c>
      <c r="J29" s="20">
        <v>2.68</v>
      </c>
      <c r="K29" s="20">
        <v>2.2400000000000002</v>
      </c>
      <c r="L29" s="20">
        <v>18.309999999999999</v>
      </c>
    </row>
    <row r="30" spans="1:12" x14ac:dyDescent="0.25">
      <c r="A30" s="20">
        <v>1599</v>
      </c>
      <c r="B30" s="20">
        <v>604599126001</v>
      </c>
      <c r="C30" s="20" t="s">
        <v>23</v>
      </c>
      <c r="D30" s="22">
        <v>46041</v>
      </c>
      <c r="E30" s="20" t="s">
        <v>13</v>
      </c>
      <c r="F30" s="20">
        <v>2616</v>
      </c>
      <c r="G30" s="20">
        <v>18.309999999999999</v>
      </c>
      <c r="H30" s="20">
        <v>17.87</v>
      </c>
      <c r="I30" s="20">
        <v>0</v>
      </c>
      <c r="J30" s="20">
        <v>2.68</v>
      </c>
      <c r="K30" s="20">
        <v>2.2400000000000002</v>
      </c>
      <c r="L30" s="20">
        <v>18.309999999999999</v>
      </c>
    </row>
    <row r="31" spans="1:12" x14ac:dyDescent="0.25">
      <c r="A31" s="20">
        <v>1599</v>
      </c>
      <c r="B31" s="20">
        <v>604599126001</v>
      </c>
      <c r="C31" s="20" t="s">
        <v>23</v>
      </c>
      <c r="D31" s="22">
        <v>46041</v>
      </c>
      <c r="E31" s="20" t="s">
        <v>13</v>
      </c>
      <c r="F31" s="20">
        <v>2614</v>
      </c>
      <c r="G31" s="20">
        <v>18.309999999999999</v>
      </c>
      <c r="H31" s="20">
        <v>17.87</v>
      </c>
      <c r="I31" s="20">
        <v>0</v>
      </c>
      <c r="J31" s="20">
        <v>2.68</v>
      </c>
      <c r="K31" s="20">
        <v>2.2400000000000002</v>
      </c>
      <c r="L31" s="20">
        <v>18.309999999999999</v>
      </c>
    </row>
    <row r="32" spans="1:12" x14ac:dyDescent="0.25">
      <c r="A32" s="20">
        <v>1599</v>
      </c>
      <c r="B32" s="20">
        <v>604599126001</v>
      </c>
      <c r="C32" s="20" t="s">
        <v>23</v>
      </c>
      <c r="D32" s="22">
        <v>46042</v>
      </c>
      <c r="E32" s="20" t="s">
        <v>13</v>
      </c>
      <c r="F32" s="20">
        <v>2623</v>
      </c>
      <c r="G32" s="20">
        <v>18.309999999999999</v>
      </c>
      <c r="H32" s="20">
        <v>17.87</v>
      </c>
      <c r="I32" s="20">
        <v>0</v>
      </c>
      <c r="J32" s="20">
        <v>2.68</v>
      </c>
      <c r="K32" s="20">
        <v>2.2400000000000002</v>
      </c>
      <c r="L32" s="20">
        <v>18.309999999999999</v>
      </c>
    </row>
    <row r="33" spans="1:12" x14ac:dyDescent="0.25">
      <c r="A33" s="20">
        <v>1599</v>
      </c>
      <c r="B33" s="20">
        <v>604599126001</v>
      </c>
      <c r="C33" s="20" t="s">
        <v>23</v>
      </c>
      <c r="D33" s="22">
        <v>46042</v>
      </c>
      <c r="E33" s="20" t="s">
        <v>13</v>
      </c>
      <c r="F33" s="20">
        <v>2624</v>
      </c>
      <c r="G33" s="20">
        <v>18.309999999999999</v>
      </c>
      <c r="H33" s="20">
        <v>17.87</v>
      </c>
      <c r="I33" s="20">
        <v>0</v>
      </c>
      <c r="J33" s="20">
        <v>2.68</v>
      </c>
      <c r="K33" s="20">
        <v>2.2400000000000002</v>
      </c>
      <c r="L33" s="20">
        <v>18.309999999999999</v>
      </c>
    </row>
    <row r="34" spans="1:12" x14ac:dyDescent="0.25">
      <c r="A34" s="20">
        <v>1599</v>
      </c>
      <c r="B34" s="20">
        <v>604599126001</v>
      </c>
      <c r="C34" s="20" t="s">
        <v>23</v>
      </c>
      <c r="D34" s="22">
        <v>46043</v>
      </c>
      <c r="E34" s="20" t="s">
        <v>13</v>
      </c>
      <c r="F34" s="20">
        <v>2635</v>
      </c>
      <c r="G34" s="20">
        <v>18.309999999999999</v>
      </c>
      <c r="H34" s="20">
        <v>17.87</v>
      </c>
      <c r="I34" s="20">
        <v>0</v>
      </c>
      <c r="J34" s="20">
        <v>2.68</v>
      </c>
      <c r="K34" s="20">
        <v>2.2400000000000002</v>
      </c>
      <c r="L34" s="20">
        <v>18.309999999999999</v>
      </c>
    </row>
    <row r="35" spans="1:12" x14ac:dyDescent="0.25">
      <c r="A35" s="20">
        <v>1599</v>
      </c>
      <c r="B35" s="20">
        <v>604599126001</v>
      </c>
      <c r="C35" s="20" t="s">
        <v>23</v>
      </c>
      <c r="D35" s="22">
        <v>46043</v>
      </c>
      <c r="E35" s="20" t="s">
        <v>13</v>
      </c>
      <c r="F35" s="20">
        <v>2634</v>
      </c>
      <c r="G35" s="20">
        <v>18.309999999999999</v>
      </c>
      <c r="H35" s="20">
        <v>17.87</v>
      </c>
      <c r="I35" s="20">
        <v>0</v>
      </c>
      <c r="J35" s="20">
        <v>2.68</v>
      </c>
      <c r="K35" s="20">
        <v>2.2400000000000002</v>
      </c>
      <c r="L35" s="20">
        <v>18.309999999999999</v>
      </c>
    </row>
    <row r="36" spans="1:12" x14ac:dyDescent="0.25">
      <c r="A36" s="20">
        <v>1599</v>
      </c>
      <c r="B36" s="20">
        <v>604599126001</v>
      </c>
      <c r="C36" s="20" t="s">
        <v>23</v>
      </c>
      <c r="D36" s="22">
        <v>46043</v>
      </c>
      <c r="E36" s="20" t="s">
        <v>13</v>
      </c>
      <c r="F36" s="20">
        <v>2627</v>
      </c>
      <c r="G36" s="20">
        <v>18.309999999999999</v>
      </c>
      <c r="H36" s="20">
        <v>17.87</v>
      </c>
      <c r="I36" s="20">
        <v>0</v>
      </c>
      <c r="J36" s="20">
        <v>2.68</v>
      </c>
      <c r="K36" s="20">
        <v>2.2400000000000002</v>
      </c>
      <c r="L36" s="20">
        <v>18.309999999999999</v>
      </c>
    </row>
    <row r="37" spans="1:12" x14ac:dyDescent="0.25">
      <c r="A37" s="20">
        <v>1599</v>
      </c>
      <c r="B37" s="20">
        <v>604599126001</v>
      </c>
      <c r="C37" s="20" t="s">
        <v>23</v>
      </c>
      <c r="D37" s="22">
        <v>46043</v>
      </c>
      <c r="E37" s="20" t="s">
        <v>13</v>
      </c>
      <c r="F37" s="20">
        <v>2636</v>
      </c>
      <c r="G37" s="20">
        <v>18.309999999999999</v>
      </c>
      <c r="H37" s="20">
        <v>17.87</v>
      </c>
      <c r="I37" s="20">
        <v>0</v>
      </c>
      <c r="J37" s="20">
        <v>2.68</v>
      </c>
      <c r="K37" s="20">
        <v>2.2400000000000002</v>
      </c>
      <c r="L37" s="20">
        <v>18.309999999999999</v>
      </c>
    </row>
    <row r="38" spans="1:12" x14ac:dyDescent="0.25">
      <c r="A38" s="20">
        <v>1599</v>
      </c>
      <c r="B38" s="20">
        <v>604599126001</v>
      </c>
      <c r="C38" s="20" t="s">
        <v>23</v>
      </c>
      <c r="D38" s="22">
        <v>46044</v>
      </c>
      <c r="E38" s="20" t="s">
        <v>13</v>
      </c>
      <c r="F38" s="20">
        <v>2640</v>
      </c>
      <c r="G38" s="20">
        <v>18.309999999999999</v>
      </c>
      <c r="H38" s="20">
        <v>17.87</v>
      </c>
      <c r="I38" s="20">
        <v>0</v>
      </c>
      <c r="J38" s="20">
        <v>2.68</v>
      </c>
      <c r="K38" s="20">
        <v>2.2400000000000002</v>
      </c>
      <c r="L38" s="20">
        <v>18.309999999999999</v>
      </c>
    </row>
    <row r="39" spans="1:12" x14ac:dyDescent="0.25">
      <c r="A39" s="20">
        <v>1599</v>
      </c>
      <c r="B39" s="20">
        <v>604599126001</v>
      </c>
      <c r="C39" s="20" t="s">
        <v>23</v>
      </c>
      <c r="D39" s="22">
        <v>46048</v>
      </c>
      <c r="E39" s="20" t="s">
        <v>13</v>
      </c>
      <c r="F39" s="20">
        <v>2652</v>
      </c>
      <c r="G39" s="20">
        <v>18.309999999999999</v>
      </c>
      <c r="H39" s="20">
        <v>17.87</v>
      </c>
      <c r="I39" s="20">
        <v>0</v>
      </c>
      <c r="J39" s="20">
        <v>2.68</v>
      </c>
      <c r="K39" s="20">
        <v>2.2400000000000002</v>
      </c>
      <c r="L39" s="20">
        <v>18.309999999999999</v>
      </c>
    </row>
    <row r="40" spans="1:12" x14ac:dyDescent="0.25">
      <c r="A40" s="20">
        <v>1599</v>
      </c>
      <c r="B40" s="20">
        <v>604599126001</v>
      </c>
      <c r="C40" s="20" t="s">
        <v>23</v>
      </c>
      <c r="D40" s="22">
        <v>46048</v>
      </c>
      <c r="E40" s="20" t="s">
        <v>13</v>
      </c>
      <c r="F40" s="20">
        <v>2651</v>
      </c>
      <c r="G40" s="20">
        <v>18.309999999999999</v>
      </c>
      <c r="H40" s="20">
        <v>17.87</v>
      </c>
      <c r="I40" s="20">
        <v>0</v>
      </c>
      <c r="J40" s="20">
        <v>2.68</v>
      </c>
      <c r="K40" s="20">
        <v>2.2400000000000002</v>
      </c>
      <c r="L40" s="20">
        <v>18.309999999999999</v>
      </c>
    </row>
    <row r="41" spans="1:12" x14ac:dyDescent="0.25">
      <c r="A41" s="20">
        <v>1599</v>
      </c>
      <c r="B41" s="20">
        <v>604599126001</v>
      </c>
      <c r="C41" s="20" t="s">
        <v>23</v>
      </c>
      <c r="D41" s="22">
        <v>46048</v>
      </c>
      <c r="E41" s="20" t="s">
        <v>13</v>
      </c>
      <c r="F41" s="20">
        <v>2647</v>
      </c>
      <c r="G41" s="20">
        <v>18.309999999999999</v>
      </c>
      <c r="H41" s="20">
        <v>17.87</v>
      </c>
      <c r="I41" s="20">
        <v>0</v>
      </c>
      <c r="J41" s="20">
        <v>2.68</v>
      </c>
      <c r="K41" s="20">
        <v>2.2400000000000002</v>
      </c>
      <c r="L41" s="20">
        <v>18.309999999999999</v>
      </c>
    </row>
    <row r="42" spans="1:12" x14ac:dyDescent="0.25">
      <c r="A42" s="20">
        <v>1599</v>
      </c>
      <c r="B42" s="20">
        <v>604599126001</v>
      </c>
      <c r="C42" s="20" t="s">
        <v>23</v>
      </c>
      <c r="D42" s="22">
        <v>46049</v>
      </c>
      <c r="E42" s="20" t="s">
        <v>13</v>
      </c>
      <c r="F42" s="20">
        <v>2661</v>
      </c>
      <c r="G42" s="20">
        <v>18.309999999999999</v>
      </c>
      <c r="H42" s="20">
        <v>17.87</v>
      </c>
      <c r="I42" s="20">
        <v>0</v>
      </c>
      <c r="J42" s="20">
        <v>2.68</v>
      </c>
      <c r="K42" s="20">
        <v>2.2400000000000002</v>
      </c>
      <c r="L42" s="20">
        <v>18.309999999999999</v>
      </c>
    </row>
    <row r="43" spans="1:12" x14ac:dyDescent="0.25">
      <c r="A43" s="20">
        <v>1599</v>
      </c>
      <c r="B43" s="20">
        <v>604599126001</v>
      </c>
      <c r="C43" s="20" t="s">
        <v>23</v>
      </c>
      <c r="D43" s="22">
        <v>46050</v>
      </c>
      <c r="E43" s="20" t="s">
        <v>13</v>
      </c>
      <c r="F43" s="20">
        <v>2663</v>
      </c>
      <c r="G43" s="20">
        <v>18.309999999999999</v>
      </c>
      <c r="H43" s="20">
        <v>17.87</v>
      </c>
      <c r="I43" s="20">
        <v>0</v>
      </c>
      <c r="J43" s="20">
        <v>2.68</v>
      </c>
      <c r="K43" s="20">
        <v>2.2400000000000002</v>
      </c>
      <c r="L43" s="20">
        <v>18.309999999999999</v>
      </c>
    </row>
    <row r="44" spans="1:12" x14ac:dyDescent="0.25">
      <c r="A44" s="20">
        <v>1599</v>
      </c>
      <c r="B44" s="20">
        <v>604599126001</v>
      </c>
      <c r="C44" s="20" t="s">
        <v>23</v>
      </c>
      <c r="D44" s="22">
        <v>46051</v>
      </c>
      <c r="E44" s="20" t="s">
        <v>13</v>
      </c>
      <c r="F44" s="20">
        <v>2672</v>
      </c>
      <c r="G44" s="20">
        <v>61.5</v>
      </c>
      <c r="H44" s="20">
        <v>60</v>
      </c>
      <c r="I44" s="20">
        <v>0</v>
      </c>
      <c r="J44" s="20">
        <v>9</v>
      </c>
      <c r="K44" s="20">
        <v>7.5</v>
      </c>
      <c r="L44" s="20">
        <v>61.5</v>
      </c>
    </row>
    <row r="45" spans="1:12" x14ac:dyDescent="0.25">
      <c r="A45" s="20">
        <v>1603</v>
      </c>
      <c r="B45" s="20">
        <v>690000512001</v>
      </c>
      <c r="C45" s="20" t="s">
        <v>24</v>
      </c>
      <c r="D45" s="22">
        <v>46038</v>
      </c>
      <c r="E45" s="20" t="s">
        <v>13</v>
      </c>
      <c r="F45" s="20">
        <v>16130207</v>
      </c>
      <c r="G45" s="20">
        <v>31.51</v>
      </c>
      <c r="H45" s="20">
        <v>0</v>
      </c>
      <c r="I45" s="20">
        <v>31.51</v>
      </c>
      <c r="J45" s="20">
        <v>0</v>
      </c>
      <c r="K45" s="20">
        <v>0</v>
      </c>
      <c r="L45" s="20">
        <v>31.51</v>
      </c>
    </row>
    <row r="46" spans="1:12" x14ac:dyDescent="0.25">
      <c r="A46" s="20">
        <v>425</v>
      </c>
      <c r="B46" s="20">
        <v>990018685001</v>
      </c>
      <c r="C46" s="20" t="s">
        <v>26</v>
      </c>
      <c r="D46" s="22">
        <v>46035</v>
      </c>
      <c r="E46" s="20" t="s">
        <v>13</v>
      </c>
      <c r="F46" s="20">
        <v>137292</v>
      </c>
      <c r="G46" s="20">
        <v>790.25</v>
      </c>
      <c r="H46" s="20">
        <v>687.17</v>
      </c>
      <c r="I46" s="20">
        <v>0</v>
      </c>
      <c r="J46" s="20">
        <v>103.08</v>
      </c>
      <c r="K46" s="20">
        <v>0</v>
      </c>
      <c r="L46" s="20">
        <v>790.25</v>
      </c>
    </row>
    <row r="47" spans="1:12" x14ac:dyDescent="0.25">
      <c r="A47" s="20">
        <v>425</v>
      </c>
      <c r="B47" s="20">
        <v>990018685001</v>
      </c>
      <c r="C47" s="20" t="s">
        <v>26</v>
      </c>
      <c r="D47" s="22">
        <v>46037</v>
      </c>
      <c r="E47" s="20" t="s">
        <v>13</v>
      </c>
      <c r="F47" s="20">
        <v>137406</v>
      </c>
      <c r="G47" s="20">
        <v>674.89</v>
      </c>
      <c r="H47" s="20">
        <v>586.86</v>
      </c>
      <c r="I47" s="20">
        <v>0</v>
      </c>
      <c r="J47" s="20">
        <v>88.03</v>
      </c>
      <c r="K47" s="20">
        <v>0</v>
      </c>
      <c r="L47" s="20">
        <v>674.89</v>
      </c>
    </row>
    <row r="48" spans="1:12" x14ac:dyDescent="0.25">
      <c r="A48" s="20">
        <v>196</v>
      </c>
      <c r="B48" s="20">
        <v>991285679001</v>
      </c>
      <c r="C48" s="20" t="s">
        <v>27</v>
      </c>
      <c r="D48" s="22">
        <v>46039</v>
      </c>
      <c r="E48" s="20" t="s">
        <v>13</v>
      </c>
      <c r="F48" s="20">
        <v>128858</v>
      </c>
      <c r="G48" s="20">
        <v>57.21</v>
      </c>
      <c r="H48" s="20">
        <v>49.75</v>
      </c>
      <c r="I48" s="20">
        <v>0</v>
      </c>
      <c r="J48" s="20">
        <v>7.46</v>
      </c>
      <c r="K48" s="20">
        <v>0</v>
      </c>
      <c r="L48" s="20">
        <v>57.21</v>
      </c>
    </row>
    <row r="49" spans="1:12" x14ac:dyDescent="0.25">
      <c r="A49" s="20">
        <v>692</v>
      </c>
      <c r="B49" s="20">
        <v>992141913001</v>
      </c>
      <c r="C49" s="20" t="s">
        <v>28</v>
      </c>
      <c r="D49" s="22">
        <v>46029</v>
      </c>
      <c r="E49" s="20" t="s">
        <v>13</v>
      </c>
      <c r="F49" s="20">
        <v>679</v>
      </c>
      <c r="G49" s="20">
        <v>105.32</v>
      </c>
      <c r="H49" s="20">
        <v>91.58</v>
      </c>
      <c r="I49" s="20">
        <v>0</v>
      </c>
      <c r="J49" s="20">
        <v>13.74</v>
      </c>
      <c r="K49" s="20">
        <v>0</v>
      </c>
      <c r="L49" s="20">
        <v>105.32</v>
      </c>
    </row>
    <row r="50" spans="1:12" x14ac:dyDescent="0.25">
      <c r="A50" s="20">
        <v>692</v>
      </c>
      <c r="B50" s="20">
        <v>992141913001</v>
      </c>
      <c r="C50" s="20" t="s">
        <v>28</v>
      </c>
      <c r="D50" s="22">
        <v>46036</v>
      </c>
      <c r="E50" s="20" t="s">
        <v>13</v>
      </c>
      <c r="F50" s="20">
        <v>695</v>
      </c>
      <c r="G50" s="21">
        <v>2336.1999999999998</v>
      </c>
      <c r="H50" s="21">
        <v>2031.48</v>
      </c>
      <c r="I50" s="20">
        <v>0</v>
      </c>
      <c r="J50" s="20">
        <v>304.72000000000003</v>
      </c>
      <c r="K50" s="20">
        <v>0</v>
      </c>
      <c r="L50" s="21">
        <v>2336.1999999999998</v>
      </c>
    </row>
    <row r="51" spans="1:12" x14ac:dyDescent="0.25">
      <c r="A51" s="20">
        <v>692</v>
      </c>
      <c r="B51" s="20">
        <v>992141913001</v>
      </c>
      <c r="C51" s="20" t="s">
        <v>28</v>
      </c>
      <c r="D51" s="22">
        <v>46042</v>
      </c>
      <c r="E51" s="20" t="s">
        <v>13</v>
      </c>
      <c r="F51" s="20">
        <v>715</v>
      </c>
      <c r="G51" s="20">
        <v>12.4</v>
      </c>
      <c r="H51" s="20">
        <v>10.78</v>
      </c>
      <c r="I51" s="20">
        <v>0</v>
      </c>
      <c r="J51" s="20">
        <v>1.62</v>
      </c>
      <c r="K51" s="20">
        <v>0</v>
      </c>
      <c r="L51" s="20">
        <v>12.4</v>
      </c>
    </row>
    <row r="52" spans="1:12" x14ac:dyDescent="0.25">
      <c r="A52" s="20">
        <v>692</v>
      </c>
      <c r="B52" s="20">
        <v>992141913001</v>
      </c>
      <c r="C52" s="20" t="s">
        <v>28</v>
      </c>
      <c r="D52" s="22">
        <v>46045</v>
      </c>
      <c r="E52" s="20" t="s">
        <v>13</v>
      </c>
      <c r="F52" s="20">
        <v>3279</v>
      </c>
      <c r="G52" s="20">
        <v>28.83</v>
      </c>
      <c r="H52" s="20">
        <v>25.07</v>
      </c>
      <c r="I52" s="20">
        <v>0</v>
      </c>
      <c r="J52" s="20">
        <v>3.76</v>
      </c>
      <c r="K52" s="20">
        <v>0</v>
      </c>
      <c r="L52" s="20">
        <v>28.83</v>
      </c>
    </row>
    <row r="53" spans="1:12" x14ac:dyDescent="0.25">
      <c r="A53" s="20">
        <v>692</v>
      </c>
      <c r="B53" s="20">
        <v>992141913001</v>
      </c>
      <c r="C53" s="20" t="s">
        <v>28</v>
      </c>
      <c r="D53" s="22">
        <v>46045</v>
      </c>
      <c r="E53" s="20" t="s">
        <v>13</v>
      </c>
      <c r="F53" s="20">
        <v>3278</v>
      </c>
      <c r="G53" s="20">
        <v>138.91999999999999</v>
      </c>
      <c r="H53" s="20">
        <v>120.8</v>
      </c>
      <c r="I53" s="20">
        <v>0</v>
      </c>
      <c r="J53" s="20">
        <v>18.12</v>
      </c>
      <c r="K53" s="20">
        <v>0</v>
      </c>
      <c r="L53" s="20">
        <v>138.91999999999999</v>
      </c>
    </row>
    <row r="54" spans="1:12" x14ac:dyDescent="0.25">
      <c r="A54" s="20">
        <v>692</v>
      </c>
      <c r="B54" s="20">
        <v>992141913001</v>
      </c>
      <c r="C54" s="20" t="s">
        <v>28</v>
      </c>
      <c r="D54" s="22">
        <v>46045</v>
      </c>
      <c r="E54" s="20" t="s">
        <v>13</v>
      </c>
      <c r="F54" s="20">
        <v>3276</v>
      </c>
      <c r="G54" s="20">
        <v>126.01</v>
      </c>
      <c r="H54" s="20">
        <v>109.57</v>
      </c>
      <c r="I54" s="20">
        <v>0</v>
      </c>
      <c r="J54" s="20">
        <v>16.440000000000001</v>
      </c>
      <c r="K54" s="20">
        <v>0</v>
      </c>
      <c r="L54" s="20">
        <v>126.01</v>
      </c>
    </row>
    <row r="55" spans="1:12" x14ac:dyDescent="0.25">
      <c r="A55" s="20">
        <v>692</v>
      </c>
      <c r="B55" s="20">
        <v>992141913001</v>
      </c>
      <c r="C55" s="20" t="s">
        <v>28</v>
      </c>
      <c r="D55" s="22">
        <v>46045</v>
      </c>
      <c r="E55" s="20" t="s">
        <v>13</v>
      </c>
      <c r="F55" s="20">
        <v>3277</v>
      </c>
      <c r="G55" s="21">
        <v>2391.0700000000002</v>
      </c>
      <c r="H55" s="21">
        <v>2079.19</v>
      </c>
      <c r="I55" s="20">
        <v>0</v>
      </c>
      <c r="J55" s="20">
        <v>311.88</v>
      </c>
      <c r="K55" s="20">
        <v>0</v>
      </c>
      <c r="L55" s="21">
        <v>2391.0700000000002</v>
      </c>
    </row>
    <row r="56" spans="1:12" x14ac:dyDescent="0.25">
      <c r="A56" s="20">
        <v>692</v>
      </c>
      <c r="B56" s="20">
        <v>992141913001</v>
      </c>
      <c r="C56" s="20" t="s">
        <v>28</v>
      </c>
      <c r="D56" s="22">
        <v>46049</v>
      </c>
      <c r="E56" s="20" t="s">
        <v>13</v>
      </c>
      <c r="F56" s="20">
        <v>737</v>
      </c>
      <c r="G56" s="20">
        <v>100.08</v>
      </c>
      <c r="H56" s="20">
        <v>87.03</v>
      </c>
      <c r="I56" s="20">
        <v>0</v>
      </c>
      <c r="J56" s="20">
        <v>13.05</v>
      </c>
      <c r="K56" s="20">
        <v>0</v>
      </c>
      <c r="L56" s="20">
        <v>100.08</v>
      </c>
    </row>
    <row r="57" spans="1:12" x14ac:dyDescent="0.25">
      <c r="A57" s="20">
        <v>692</v>
      </c>
      <c r="B57" s="20">
        <v>992141913001</v>
      </c>
      <c r="C57" s="20" t="s">
        <v>28</v>
      </c>
      <c r="D57" s="22">
        <v>46051</v>
      </c>
      <c r="E57" s="20" t="s">
        <v>13</v>
      </c>
      <c r="F57" s="20">
        <v>3313</v>
      </c>
      <c r="G57" s="20">
        <v>102.49</v>
      </c>
      <c r="H57" s="20">
        <v>89.12</v>
      </c>
      <c r="I57" s="20">
        <v>0</v>
      </c>
      <c r="J57" s="20">
        <v>13.37</v>
      </c>
      <c r="K57" s="20">
        <v>0</v>
      </c>
      <c r="L57" s="20">
        <v>102.49</v>
      </c>
    </row>
    <row r="58" spans="1:12" x14ac:dyDescent="0.25">
      <c r="A58" s="20">
        <v>1807</v>
      </c>
      <c r="B58" s="20">
        <v>992629991001</v>
      </c>
      <c r="C58" s="20" t="s">
        <v>29</v>
      </c>
      <c r="D58" s="22">
        <v>46028</v>
      </c>
      <c r="E58" s="20" t="s">
        <v>13</v>
      </c>
      <c r="F58" s="20">
        <v>4556</v>
      </c>
      <c r="G58" s="21">
        <v>1120.1199999999999</v>
      </c>
      <c r="H58" s="21">
        <v>1030</v>
      </c>
      <c r="I58" s="20">
        <v>0</v>
      </c>
      <c r="J58" s="20">
        <v>154.5</v>
      </c>
      <c r="K58" s="20">
        <v>64.38</v>
      </c>
      <c r="L58" s="21">
        <v>1120.1199999999999</v>
      </c>
    </row>
    <row r="59" spans="1:12" x14ac:dyDescent="0.25">
      <c r="A59" s="20">
        <v>1807</v>
      </c>
      <c r="B59" s="20">
        <v>992629991001</v>
      </c>
      <c r="C59" s="20" t="s">
        <v>29</v>
      </c>
      <c r="D59" s="22">
        <v>46042</v>
      </c>
      <c r="E59" s="20" t="s">
        <v>13</v>
      </c>
      <c r="F59" s="20">
        <v>4672</v>
      </c>
      <c r="G59" s="20">
        <v>309.93</v>
      </c>
      <c r="H59" s="20">
        <v>285</v>
      </c>
      <c r="I59" s="20">
        <v>0</v>
      </c>
      <c r="J59" s="20">
        <v>42.75</v>
      </c>
      <c r="K59" s="20">
        <v>17.82</v>
      </c>
      <c r="L59" s="20">
        <v>309.93</v>
      </c>
    </row>
    <row r="60" spans="1:12" x14ac:dyDescent="0.25">
      <c r="A60" s="20">
        <v>1807</v>
      </c>
      <c r="B60" s="20">
        <v>992629991001</v>
      </c>
      <c r="C60" s="20" t="s">
        <v>29</v>
      </c>
      <c r="D60" s="22">
        <v>46044</v>
      </c>
      <c r="E60" s="20" t="s">
        <v>13</v>
      </c>
      <c r="F60" s="20">
        <v>4700</v>
      </c>
      <c r="G60" s="21">
        <v>2240.25</v>
      </c>
      <c r="H60" s="21">
        <v>2060</v>
      </c>
      <c r="I60" s="20">
        <v>0</v>
      </c>
      <c r="J60" s="20">
        <v>309</v>
      </c>
      <c r="K60" s="20">
        <v>128.75</v>
      </c>
      <c r="L60" s="21">
        <v>2240.25</v>
      </c>
    </row>
    <row r="61" spans="1:12" x14ac:dyDescent="0.25">
      <c r="A61" s="20">
        <v>355</v>
      </c>
      <c r="B61" s="20">
        <v>1768152560001</v>
      </c>
      <c r="C61" s="20" t="s">
        <v>30</v>
      </c>
      <c r="D61" s="22">
        <v>46034</v>
      </c>
      <c r="E61" s="20" t="s">
        <v>13</v>
      </c>
      <c r="F61" s="20">
        <v>245293033</v>
      </c>
      <c r="G61" s="20">
        <v>13.8</v>
      </c>
      <c r="H61" s="20">
        <v>12</v>
      </c>
      <c r="I61" s="20">
        <v>0</v>
      </c>
      <c r="J61" s="20">
        <v>1.8</v>
      </c>
      <c r="K61" s="20">
        <v>0</v>
      </c>
      <c r="L61" s="20">
        <v>0</v>
      </c>
    </row>
    <row r="62" spans="1:12" x14ac:dyDescent="0.25">
      <c r="A62" s="20">
        <v>355</v>
      </c>
      <c r="B62" s="20">
        <v>1768152560001</v>
      </c>
      <c r="C62" s="20" t="s">
        <v>30</v>
      </c>
      <c r="D62" s="22">
        <v>46034</v>
      </c>
      <c r="E62" s="20" t="s">
        <v>13</v>
      </c>
      <c r="F62" s="20">
        <v>245293038</v>
      </c>
      <c r="G62" s="20">
        <v>7.13</v>
      </c>
      <c r="H62" s="20">
        <v>6.2</v>
      </c>
      <c r="I62" s="20">
        <v>0</v>
      </c>
      <c r="J62" s="20">
        <v>0.93</v>
      </c>
      <c r="K62" s="20">
        <v>0</v>
      </c>
      <c r="L62" s="20">
        <v>0</v>
      </c>
    </row>
    <row r="63" spans="1:12" x14ac:dyDescent="0.25">
      <c r="A63" s="20">
        <v>5</v>
      </c>
      <c r="B63" s="20">
        <v>1790009459001</v>
      </c>
      <c r="C63" s="20" t="s">
        <v>32</v>
      </c>
      <c r="D63" s="22">
        <v>46028</v>
      </c>
      <c r="E63" s="20" t="s">
        <v>13</v>
      </c>
      <c r="F63" s="20">
        <v>85315</v>
      </c>
      <c r="G63" s="21">
        <v>1752.74</v>
      </c>
      <c r="H63" s="21">
        <v>1524.12</v>
      </c>
      <c r="I63" s="20">
        <v>0</v>
      </c>
      <c r="J63" s="20">
        <v>228.62</v>
      </c>
      <c r="K63" s="20">
        <v>0</v>
      </c>
      <c r="L63" s="21">
        <v>1752.74</v>
      </c>
    </row>
    <row r="64" spans="1:12" x14ac:dyDescent="0.25">
      <c r="A64" s="20">
        <v>5</v>
      </c>
      <c r="B64" s="20">
        <v>1790009459001</v>
      </c>
      <c r="C64" s="20" t="s">
        <v>32</v>
      </c>
      <c r="D64" s="22">
        <v>46028</v>
      </c>
      <c r="E64" s="20" t="s">
        <v>13</v>
      </c>
      <c r="F64" s="20">
        <v>85330</v>
      </c>
      <c r="G64" s="21">
        <v>4782.79</v>
      </c>
      <c r="H64" s="21">
        <v>4158.95</v>
      </c>
      <c r="I64" s="20">
        <v>0</v>
      </c>
      <c r="J64" s="20">
        <v>623.84</v>
      </c>
      <c r="K64" s="20">
        <v>0</v>
      </c>
      <c r="L64" s="21">
        <v>4782.79</v>
      </c>
    </row>
    <row r="65" spans="1:12" x14ac:dyDescent="0.25">
      <c r="A65" s="20">
        <v>5</v>
      </c>
      <c r="B65" s="20">
        <v>1790009459001</v>
      </c>
      <c r="C65" s="20" t="s">
        <v>32</v>
      </c>
      <c r="D65" s="22">
        <v>46029</v>
      </c>
      <c r="E65" s="20" t="s">
        <v>13</v>
      </c>
      <c r="F65" s="20">
        <v>85364</v>
      </c>
      <c r="G65" s="21">
        <v>1328.14</v>
      </c>
      <c r="H65" s="21">
        <v>1154.9000000000001</v>
      </c>
      <c r="I65" s="20">
        <v>0</v>
      </c>
      <c r="J65" s="20">
        <v>173.24</v>
      </c>
      <c r="K65" s="20">
        <v>0</v>
      </c>
      <c r="L65" s="21">
        <v>1328.14</v>
      </c>
    </row>
    <row r="66" spans="1:12" x14ac:dyDescent="0.25">
      <c r="A66" s="20">
        <v>5</v>
      </c>
      <c r="B66" s="20">
        <v>1790009459001</v>
      </c>
      <c r="C66" s="20" t="s">
        <v>32</v>
      </c>
      <c r="D66" s="22">
        <v>46030</v>
      </c>
      <c r="E66" s="20" t="s">
        <v>13</v>
      </c>
      <c r="F66" s="20">
        <v>85408</v>
      </c>
      <c r="G66" s="21">
        <v>3679.28</v>
      </c>
      <c r="H66" s="21">
        <v>3199.37</v>
      </c>
      <c r="I66" s="20">
        <v>0</v>
      </c>
      <c r="J66" s="20">
        <v>479.91</v>
      </c>
      <c r="K66" s="20">
        <v>0</v>
      </c>
      <c r="L66" s="21">
        <v>3679.28</v>
      </c>
    </row>
    <row r="67" spans="1:12" x14ac:dyDescent="0.25">
      <c r="A67" s="20">
        <v>5</v>
      </c>
      <c r="B67" s="20">
        <v>1790009459001</v>
      </c>
      <c r="C67" s="20" t="s">
        <v>32</v>
      </c>
      <c r="D67" s="22">
        <v>46030</v>
      </c>
      <c r="E67" s="20" t="s">
        <v>13</v>
      </c>
      <c r="F67" s="20">
        <v>85378</v>
      </c>
      <c r="G67" s="21">
        <v>2895.7</v>
      </c>
      <c r="H67" s="21">
        <v>2518</v>
      </c>
      <c r="I67" s="20">
        <v>0</v>
      </c>
      <c r="J67" s="20">
        <v>377.7</v>
      </c>
      <c r="K67" s="20">
        <v>0</v>
      </c>
      <c r="L67" s="21">
        <v>2895.7</v>
      </c>
    </row>
    <row r="68" spans="1:12" x14ac:dyDescent="0.25">
      <c r="A68" s="20">
        <v>5</v>
      </c>
      <c r="B68" s="20">
        <v>1790009459001</v>
      </c>
      <c r="C68" s="20" t="s">
        <v>32</v>
      </c>
      <c r="D68" s="22">
        <v>46031</v>
      </c>
      <c r="E68" s="20" t="s">
        <v>13</v>
      </c>
      <c r="F68" s="20">
        <v>85430</v>
      </c>
      <c r="G68" s="21">
        <v>3110.06</v>
      </c>
      <c r="H68" s="21">
        <v>2704.4</v>
      </c>
      <c r="I68" s="20">
        <v>0</v>
      </c>
      <c r="J68" s="20">
        <v>405.66</v>
      </c>
      <c r="K68" s="20">
        <v>0</v>
      </c>
      <c r="L68" s="21">
        <v>3110.06</v>
      </c>
    </row>
    <row r="69" spans="1:12" x14ac:dyDescent="0.25">
      <c r="A69" s="20">
        <v>5</v>
      </c>
      <c r="B69" s="20">
        <v>1790009459001</v>
      </c>
      <c r="C69" s="20" t="s">
        <v>32</v>
      </c>
      <c r="D69" s="22">
        <v>46031</v>
      </c>
      <c r="E69" s="20" t="s">
        <v>13</v>
      </c>
      <c r="F69" s="20">
        <v>85402</v>
      </c>
      <c r="G69" s="20">
        <v>611.89</v>
      </c>
      <c r="H69" s="20">
        <v>532.08000000000004</v>
      </c>
      <c r="I69" s="20">
        <v>0</v>
      </c>
      <c r="J69" s="20">
        <v>79.81</v>
      </c>
      <c r="K69" s="20">
        <v>0</v>
      </c>
      <c r="L69" s="20">
        <v>611.89</v>
      </c>
    </row>
    <row r="70" spans="1:12" x14ac:dyDescent="0.25">
      <c r="A70" s="20">
        <v>5</v>
      </c>
      <c r="B70" s="20">
        <v>1790009459001</v>
      </c>
      <c r="C70" s="20" t="s">
        <v>32</v>
      </c>
      <c r="D70" s="22">
        <v>46031</v>
      </c>
      <c r="E70" s="20" t="s">
        <v>13</v>
      </c>
      <c r="F70" s="20">
        <v>85427</v>
      </c>
      <c r="G70" s="20">
        <v>497.35</v>
      </c>
      <c r="H70" s="20">
        <v>432.48</v>
      </c>
      <c r="I70" s="20">
        <v>0</v>
      </c>
      <c r="J70" s="20">
        <v>64.87</v>
      </c>
      <c r="K70" s="20">
        <v>0</v>
      </c>
      <c r="L70" s="20">
        <v>497.35</v>
      </c>
    </row>
    <row r="71" spans="1:12" x14ac:dyDescent="0.25">
      <c r="A71" s="20">
        <v>5</v>
      </c>
      <c r="B71" s="20">
        <v>1790009459001</v>
      </c>
      <c r="C71" s="20" t="s">
        <v>32</v>
      </c>
      <c r="D71" s="22">
        <v>46031</v>
      </c>
      <c r="E71" s="20" t="s">
        <v>13</v>
      </c>
      <c r="F71" s="20">
        <v>85451</v>
      </c>
      <c r="G71" s="21">
        <v>3505.48</v>
      </c>
      <c r="H71" s="21">
        <v>3048.24</v>
      </c>
      <c r="I71" s="20">
        <v>0</v>
      </c>
      <c r="J71" s="20">
        <v>457.24</v>
      </c>
      <c r="K71" s="20">
        <v>0</v>
      </c>
      <c r="L71" s="21">
        <v>3505.48</v>
      </c>
    </row>
    <row r="72" spans="1:12" x14ac:dyDescent="0.25">
      <c r="A72" s="20">
        <v>5</v>
      </c>
      <c r="B72" s="20">
        <v>1790009459001</v>
      </c>
      <c r="C72" s="20" t="s">
        <v>32</v>
      </c>
      <c r="D72" s="22">
        <v>46032</v>
      </c>
      <c r="E72" s="20" t="s">
        <v>13</v>
      </c>
      <c r="F72" s="20">
        <v>85464</v>
      </c>
      <c r="G72" s="21">
        <v>1104.92</v>
      </c>
      <c r="H72" s="20">
        <v>960.8</v>
      </c>
      <c r="I72" s="20">
        <v>0</v>
      </c>
      <c r="J72" s="20">
        <v>144.12</v>
      </c>
      <c r="K72" s="20">
        <v>0</v>
      </c>
      <c r="L72" s="21">
        <v>1104.92</v>
      </c>
    </row>
    <row r="73" spans="1:12" x14ac:dyDescent="0.25">
      <c r="A73" s="20">
        <v>5</v>
      </c>
      <c r="B73" s="20">
        <v>1790009459001</v>
      </c>
      <c r="C73" s="20" t="s">
        <v>32</v>
      </c>
      <c r="D73" s="22">
        <v>46035</v>
      </c>
      <c r="E73" s="20" t="s">
        <v>13</v>
      </c>
      <c r="F73" s="20">
        <v>85503</v>
      </c>
      <c r="G73" s="21">
        <v>3219.98</v>
      </c>
      <c r="H73" s="21">
        <v>2799.98</v>
      </c>
      <c r="I73" s="20">
        <v>0</v>
      </c>
      <c r="J73" s="20">
        <v>420</v>
      </c>
      <c r="K73" s="20">
        <v>0</v>
      </c>
      <c r="L73" s="21">
        <v>3219.98</v>
      </c>
    </row>
    <row r="74" spans="1:12" x14ac:dyDescent="0.25">
      <c r="A74" s="20">
        <v>5</v>
      </c>
      <c r="B74" s="20">
        <v>1790009459001</v>
      </c>
      <c r="C74" s="20" t="s">
        <v>32</v>
      </c>
      <c r="D74" s="22">
        <v>46036</v>
      </c>
      <c r="E74" s="20" t="s">
        <v>13</v>
      </c>
      <c r="F74" s="20">
        <v>85530</v>
      </c>
      <c r="G74" s="21">
        <v>1295.98</v>
      </c>
      <c r="H74" s="21">
        <v>1126.94</v>
      </c>
      <c r="I74" s="20">
        <v>0</v>
      </c>
      <c r="J74" s="20">
        <v>169.04</v>
      </c>
      <c r="K74" s="20">
        <v>0</v>
      </c>
      <c r="L74" s="21">
        <v>1295.98</v>
      </c>
    </row>
    <row r="75" spans="1:12" x14ac:dyDescent="0.25">
      <c r="A75" s="20">
        <v>5</v>
      </c>
      <c r="B75" s="20">
        <v>1790009459001</v>
      </c>
      <c r="C75" s="20" t="s">
        <v>32</v>
      </c>
      <c r="D75" s="22">
        <v>46036</v>
      </c>
      <c r="E75" s="20" t="s">
        <v>13</v>
      </c>
      <c r="F75" s="20">
        <v>85544</v>
      </c>
      <c r="G75" s="21">
        <v>2122.29</v>
      </c>
      <c r="H75" s="21">
        <v>1845.47</v>
      </c>
      <c r="I75" s="20">
        <v>0</v>
      </c>
      <c r="J75" s="20">
        <v>276.82</v>
      </c>
      <c r="K75" s="20">
        <v>0</v>
      </c>
      <c r="L75" s="21">
        <v>2122.29</v>
      </c>
    </row>
    <row r="76" spans="1:12" x14ac:dyDescent="0.25">
      <c r="A76" s="20">
        <v>5</v>
      </c>
      <c r="B76" s="20">
        <v>1790009459001</v>
      </c>
      <c r="C76" s="20" t="s">
        <v>32</v>
      </c>
      <c r="D76" s="22">
        <v>46037</v>
      </c>
      <c r="E76" s="20" t="s">
        <v>13</v>
      </c>
      <c r="F76" s="20">
        <v>85582</v>
      </c>
      <c r="G76" s="20">
        <v>284.76</v>
      </c>
      <c r="H76" s="20">
        <v>247.62</v>
      </c>
      <c r="I76" s="20">
        <v>0</v>
      </c>
      <c r="J76" s="20">
        <v>37.14</v>
      </c>
      <c r="K76" s="20">
        <v>0</v>
      </c>
      <c r="L76" s="20">
        <v>284.76</v>
      </c>
    </row>
    <row r="77" spans="1:12" x14ac:dyDescent="0.25">
      <c r="A77" s="20">
        <v>5</v>
      </c>
      <c r="B77" s="20">
        <v>1790009459001</v>
      </c>
      <c r="C77" s="20" t="s">
        <v>32</v>
      </c>
      <c r="D77" s="22">
        <v>46038</v>
      </c>
      <c r="E77" s="20" t="s">
        <v>13</v>
      </c>
      <c r="F77" s="20">
        <v>85627</v>
      </c>
      <c r="G77" s="20">
        <v>591.87</v>
      </c>
      <c r="H77" s="20">
        <v>514.66999999999996</v>
      </c>
      <c r="I77" s="20">
        <v>0</v>
      </c>
      <c r="J77" s="20">
        <v>77.2</v>
      </c>
      <c r="K77" s="20">
        <v>0</v>
      </c>
      <c r="L77" s="20">
        <v>591.87</v>
      </c>
    </row>
    <row r="78" spans="1:12" x14ac:dyDescent="0.25">
      <c r="A78" s="20">
        <v>5</v>
      </c>
      <c r="B78" s="20">
        <v>1790009459001</v>
      </c>
      <c r="C78" s="20" t="s">
        <v>32</v>
      </c>
      <c r="D78" s="22">
        <v>46039</v>
      </c>
      <c r="E78" s="20" t="s">
        <v>13</v>
      </c>
      <c r="F78" s="20">
        <v>85647</v>
      </c>
      <c r="G78" s="20">
        <v>328.42</v>
      </c>
      <c r="H78" s="20">
        <v>285.58</v>
      </c>
      <c r="I78" s="20">
        <v>0</v>
      </c>
      <c r="J78" s="20">
        <v>42.84</v>
      </c>
      <c r="K78" s="20">
        <v>0</v>
      </c>
      <c r="L78" s="20">
        <v>328.42</v>
      </c>
    </row>
    <row r="79" spans="1:12" x14ac:dyDescent="0.25">
      <c r="A79" s="20">
        <v>5</v>
      </c>
      <c r="B79" s="20">
        <v>1790009459001</v>
      </c>
      <c r="C79" s="20" t="s">
        <v>32</v>
      </c>
      <c r="D79" s="22">
        <v>46039</v>
      </c>
      <c r="E79" s="20" t="s">
        <v>13</v>
      </c>
      <c r="F79" s="20">
        <v>85639</v>
      </c>
      <c r="G79" s="21">
        <v>3380.7</v>
      </c>
      <c r="H79" s="21">
        <v>2939.74</v>
      </c>
      <c r="I79" s="20">
        <v>0</v>
      </c>
      <c r="J79" s="20">
        <v>440.96</v>
      </c>
      <c r="K79" s="20">
        <v>0</v>
      </c>
      <c r="L79" s="21">
        <v>3380.7</v>
      </c>
    </row>
    <row r="80" spans="1:12" x14ac:dyDescent="0.25">
      <c r="A80" s="20">
        <v>5</v>
      </c>
      <c r="B80" s="20">
        <v>1790009459001</v>
      </c>
      <c r="C80" s="20" t="s">
        <v>32</v>
      </c>
      <c r="D80" s="22">
        <v>46042</v>
      </c>
      <c r="E80" s="20" t="s">
        <v>13</v>
      </c>
      <c r="F80" s="20">
        <v>85677</v>
      </c>
      <c r="G80" s="20">
        <v>768.95</v>
      </c>
      <c r="H80" s="20">
        <v>668.65</v>
      </c>
      <c r="I80" s="20">
        <v>0</v>
      </c>
      <c r="J80" s="20">
        <v>100.3</v>
      </c>
      <c r="K80" s="20">
        <v>0</v>
      </c>
      <c r="L80" s="20">
        <v>768.95</v>
      </c>
    </row>
    <row r="81" spans="1:12" x14ac:dyDescent="0.25">
      <c r="A81" s="20">
        <v>5</v>
      </c>
      <c r="B81" s="20">
        <v>1790009459001</v>
      </c>
      <c r="C81" s="20" t="s">
        <v>32</v>
      </c>
      <c r="D81" s="22">
        <v>46042</v>
      </c>
      <c r="E81" s="20" t="s">
        <v>13</v>
      </c>
      <c r="F81" s="20">
        <v>85678</v>
      </c>
      <c r="G81" s="21">
        <v>1543.39</v>
      </c>
      <c r="H81" s="20">
        <v>0</v>
      </c>
      <c r="I81" s="21">
        <v>1543.39</v>
      </c>
      <c r="J81" s="20">
        <v>0</v>
      </c>
      <c r="K81" s="20">
        <v>0</v>
      </c>
      <c r="L81" s="20">
        <v>0</v>
      </c>
    </row>
    <row r="82" spans="1:12" x14ac:dyDescent="0.25">
      <c r="A82" s="20">
        <v>5</v>
      </c>
      <c r="B82" s="20">
        <v>1790009459001</v>
      </c>
      <c r="C82" s="20" t="s">
        <v>32</v>
      </c>
      <c r="D82" s="22">
        <v>46043</v>
      </c>
      <c r="E82" s="20" t="s">
        <v>13</v>
      </c>
      <c r="F82" s="20">
        <v>85694</v>
      </c>
      <c r="G82" s="21">
        <v>2024.29</v>
      </c>
      <c r="H82" s="21">
        <v>1760.25</v>
      </c>
      <c r="I82" s="20">
        <v>0</v>
      </c>
      <c r="J82" s="20">
        <v>264.04000000000002</v>
      </c>
      <c r="K82" s="20">
        <v>0</v>
      </c>
      <c r="L82" s="21">
        <v>2024.29</v>
      </c>
    </row>
    <row r="83" spans="1:12" x14ac:dyDescent="0.25">
      <c r="A83" s="20">
        <v>5</v>
      </c>
      <c r="B83" s="20">
        <v>1790009459001</v>
      </c>
      <c r="C83" s="20" t="s">
        <v>32</v>
      </c>
      <c r="D83" s="22">
        <v>46043</v>
      </c>
      <c r="E83" s="20" t="s">
        <v>13</v>
      </c>
      <c r="F83" s="20">
        <v>85696</v>
      </c>
      <c r="G83" s="21">
        <v>2001.86</v>
      </c>
      <c r="H83" s="21">
        <v>1740.75</v>
      </c>
      <c r="I83" s="20">
        <v>0</v>
      </c>
      <c r="J83" s="20">
        <v>261.11</v>
      </c>
      <c r="K83" s="20">
        <v>0</v>
      </c>
      <c r="L83" s="21">
        <v>2001.86</v>
      </c>
    </row>
    <row r="84" spans="1:12" x14ac:dyDescent="0.25">
      <c r="A84" s="20">
        <v>5</v>
      </c>
      <c r="B84" s="20">
        <v>1790009459001</v>
      </c>
      <c r="C84" s="20" t="s">
        <v>32</v>
      </c>
      <c r="D84" s="22">
        <v>46043</v>
      </c>
      <c r="E84" s="20" t="s">
        <v>13</v>
      </c>
      <c r="F84" s="20">
        <v>85692</v>
      </c>
      <c r="G84" s="21">
        <v>3233.47</v>
      </c>
      <c r="H84" s="21">
        <v>2811.71</v>
      </c>
      <c r="I84" s="20">
        <v>0</v>
      </c>
      <c r="J84" s="20">
        <v>421.76</v>
      </c>
      <c r="K84" s="20">
        <v>0</v>
      </c>
      <c r="L84" s="21">
        <v>3233.47</v>
      </c>
    </row>
    <row r="85" spans="1:12" x14ac:dyDescent="0.25">
      <c r="A85" s="20">
        <v>5</v>
      </c>
      <c r="B85" s="20">
        <v>1790009459001</v>
      </c>
      <c r="C85" s="20" t="s">
        <v>32</v>
      </c>
      <c r="D85" s="22">
        <v>46044</v>
      </c>
      <c r="E85" s="20" t="s">
        <v>13</v>
      </c>
      <c r="F85" s="20">
        <v>85736</v>
      </c>
      <c r="G85" s="21">
        <v>2413.61</v>
      </c>
      <c r="H85" s="21">
        <v>2098.79</v>
      </c>
      <c r="I85" s="20">
        <v>0</v>
      </c>
      <c r="J85" s="20">
        <v>314.82</v>
      </c>
      <c r="K85" s="20">
        <v>0</v>
      </c>
      <c r="L85" s="21">
        <v>2413.61</v>
      </c>
    </row>
    <row r="86" spans="1:12" x14ac:dyDescent="0.25">
      <c r="A86" s="20">
        <v>5</v>
      </c>
      <c r="B86" s="20">
        <v>1790009459001</v>
      </c>
      <c r="C86" s="20" t="s">
        <v>32</v>
      </c>
      <c r="D86" s="22">
        <v>46045</v>
      </c>
      <c r="E86" s="20" t="s">
        <v>13</v>
      </c>
      <c r="F86" s="20">
        <v>85763</v>
      </c>
      <c r="G86" s="20">
        <v>906.1</v>
      </c>
      <c r="H86" s="20">
        <v>787.91</v>
      </c>
      <c r="I86" s="20">
        <v>0</v>
      </c>
      <c r="J86" s="20">
        <v>118.19</v>
      </c>
      <c r="K86" s="20">
        <v>0</v>
      </c>
      <c r="L86" s="20">
        <v>906.1</v>
      </c>
    </row>
    <row r="87" spans="1:12" x14ac:dyDescent="0.25">
      <c r="A87" s="20">
        <v>5</v>
      </c>
      <c r="B87" s="20">
        <v>1790009459001</v>
      </c>
      <c r="C87" s="20" t="s">
        <v>32</v>
      </c>
      <c r="D87" s="22">
        <v>46045</v>
      </c>
      <c r="E87" s="20" t="s">
        <v>13</v>
      </c>
      <c r="F87" s="20">
        <v>85759</v>
      </c>
      <c r="G87" s="20">
        <v>564.92999999999995</v>
      </c>
      <c r="H87" s="20">
        <v>491.24</v>
      </c>
      <c r="I87" s="20">
        <v>0</v>
      </c>
      <c r="J87" s="20">
        <v>73.69</v>
      </c>
      <c r="K87" s="20">
        <v>0</v>
      </c>
      <c r="L87" s="20">
        <v>564.92999999999995</v>
      </c>
    </row>
    <row r="88" spans="1:12" x14ac:dyDescent="0.25">
      <c r="A88" s="20">
        <v>5</v>
      </c>
      <c r="B88" s="20">
        <v>1790009459001</v>
      </c>
      <c r="C88" s="20" t="s">
        <v>32</v>
      </c>
      <c r="D88" s="22">
        <v>46046</v>
      </c>
      <c r="E88" s="20" t="s">
        <v>13</v>
      </c>
      <c r="F88" s="20">
        <v>85794</v>
      </c>
      <c r="G88" s="21">
        <v>2190.42</v>
      </c>
      <c r="H88" s="21">
        <v>1904.71</v>
      </c>
      <c r="I88" s="20">
        <v>0</v>
      </c>
      <c r="J88" s="20">
        <v>285.70999999999998</v>
      </c>
      <c r="K88" s="20">
        <v>0</v>
      </c>
      <c r="L88" s="21">
        <v>2190.42</v>
      </c>
    </row>
    <row r="89" spans="1:12" x14ac:dyDescent="0.25">
      <c r="A89" s="20">
        <v>5</v>
      </c>
      <c r="B89" s="20">
        <v>1790009459001</v>
      </c>
      <c r="C89" s="20" t="s">
        <v>32</v>
      </c>
      <c r="D89" s="22">
        <v>46048</v>
      </c>
      <c r="E89" s="20" t="s">
        <v>13</v>
      </c>
      <c r="F89" s="20">
        <v>85806</v>
      </c>
      <c r="G89" s="21">
        <v>3505.48</v>
      </c>
      <c r="H89" s="21">
        <v>3048.24</v>
      </c>
      <c r="I89" s="20">
        <v>0</v>
      </c>
      <c r="J89" s="20">
        <v>457.24</v>
      </c>
      <c r="K89" s="20">
        <v>0</v>
      </c>
      <c r="L89" s="21">
        <v>3505.48</v>
      </c>
    </row>
    <row r="90" spans="1:12" x14ac:dyDescent="0.25">
      <c r="A90" s="20">
        <v>5</v>
      </c>
      <c r="B90" s="20">
        <v>1790009459001</v>
      </c>
      <c r="C90" s="20" t="s">
        <v>32</v>
      </c>
      <c r="D90" s="22">
        <v>46049</v>
      </c>
      <c r="E90" s="20" t="s">
        <v>13</v>
      </c>
      <c r="F90" s="20">
        <v>85813</v>
      </c>
      <c r="G90" s="21">
        <v>1141.81</v>
      </c>
      <c r="H90" s="20">
        <v>992.88</v>
      </c>
      <c r="I90" s="20">
        <v>0</v>
      </c>
      <c r="J90" s="20">
        <v>148.93</v>
      </c>
      <c r="K90" s="20">
        <v>0</v>
      </c>
      <c r="L90" s="21">
        <v>1141.81</v>
      </c>
    </row>
    <row r="91" spans="1:12" x14ac:dyDescent="0.25">
      <c r="A91" s="20">
        <v>5</v>
      </c>
      <c r="B91" s="20">
        <v>1790009459001</v>
      </c>
      <c r="C91" s="20" t="s">
        <v>32</v>
      </c>
      <c r="D91" s="22">
        <v>46049</v>
      </c>
      <c r="E91" s="20" t="s">
        <v>13</v>
      </c>
      <c r="F91" s="20">
        <v>85823</v>
      </c>
      <c r="G91" s="21">
        <v>6031.12</v>
      </c>
      <c r="H91" s="21">
        <v>5244.45</v>
      </c>
      <c r="I91" s="20">
        <v>0</v>
      </c>
      <c r="J91" s="20">
        <v>786.67</v>
      </c>
      <c r="K91" s="20">
        <v>0</v>
      </c>
      <c r="L91" s="21">
        <v>6031.12</v>
      </c>
    </row>
    <row r="92" spans="1:12" x14ac:dyDescent="0.25">
      <c r="A92" s="20">
        <v>5</v>
      </c>
      <c r="B92" s="20">
        <v>1790009459001</v>
      </c>
      <c r="C92" s="20" t="s">
        <v>32</v>
      </c>
      <c r="D92" s="22">
        <v>46049</v>
      </c>
      <c r="E92" s="20" t="s">
        <v>13</v>
      </c>
      <c r="F92" s="20">
        <v>85826</v>
      </c>
      <c r="G92" s="21">
        <v>2563.84</v>
      </c>
      <c r="H92" s="21">
        <v>2229.4299999999998</v>
      </c>
      <c r="I92" s="20">
        <v>0</v>
      </c>
      <c r="J92" s="20">
        <v>334.41</v>
      </c>
      <c r="K92" s="20">
        <v>0</v>
      </c>
      <c r="L92" s="21">
        <v>2563.84</v>
      </c>
    </row>
    <row r="93" spans="1:12" x14ac:dyDescent="0.25">
      <c r="A93" s="20">
        <v>5</v>
      </c>
      <c r="B93" s="20">
        <v>1790009459001</v>
      </c>
      <c r="C93" s="20" t="s">
        <v>32</v>
      </c>
      <c r="D93" s="22">
        <v>46050</v>
      </c>
      <c r="E93" s="20" t="s">
        <v>13</v>
      </c>
      <c r="F93" s="20">
        <v>85841</v>
      </c>
      <c r="G93" s="21">
        <v>1161.3399999999999</v>
      </c>
      <c r="H93" s="21">
        <v>1009.86</v>
      </c>
      <c r="I93" s="20">
        <v>0</v>
      </c>
      <c r="J93" s="20">
        <v>151.47999999999999</v>
      </c>
      <c r="K93" s="20">
        <v>0</v>
      </c>
      <c r="L93" s="21">
        <v>1161.3399999999999</v>
      </c>
    </row>
    <row r="94" spans="1:12" x14ac:dyDescent="0.25">
      <c r="A94" s="20">
        <v>5</v>
      </c>
      <c r="B94" s="20">
        <v>1790009459001</v>
      </c>
      <c r="C94" s="20" t="s">
        <v>32</v>
      </c>
      <c r="D94" s="22">
        <v>46050</v>
      </c>
      <c r="E94" s="20" t="s">
        <v>13</v>
      </c>
      <c r="F94" s="20">
        <v>85848</v>
      </c>
      <c r="G94" s="21">
        <v>1202.5</v>
      </c>
      <c r="H94" s="21">
        <v>1045.6500000000001</v>
      </c>
      <c r="I94" s="20">
        <v>0</v>
      </c>
      <c r="J94" s="20">
        <v>156.85</v>
      </c>
      <c r="K94" s="20">
        <v>0</v>
      </c>
      <c r="L94" s="21">
        <v>1202.5</v>
      </c>
    </row>
    <row r="95" spans="1:12" x14ac:dyDescent="0.25">
      <c r="A95" s="20">
        <v>5</v>
      </c>
      <c r="B95" s="20">
        <v>1790009459001</v>
      </c>
      <c r="C95" s="20" t="s">
        <v>32</v>
      </c>
      <c r="D95" s="22">
        <v>46050</v>
      </c>
      <c r="E95" s="20" t="s">
        <v>13</v>
      </c>
      <c r="F95" s="20">
        <v>85875</v>
      </c>
      <c r="G95" s="21">
        <v>1874.06</v>
      </c>
      <c r="H95" s="20">
        <v>0</v>
      </c>
      <c r="I95" s="21">
        <v>1874.06</v>
      </c>
      <c r="J95" s="20">
        <v>0</v>
      </c>
      <c r="K95" s="20">
        <v>0</v>
      </c>
      <c r="L95" s="21">
        <v>1874.06</v>
      </c>
    </row>
    <row r="96" spans="1:12" x14ac:dyDescent="0.25">
      <c r="A96" s="20">
        <v>5</v>
      </c>
      <c r="B96" s="20">
        <v>1790009459001</v>
      </c>
      <c r="C96" s="20" t="s">
        <v>32</v>
      </c>
      <c r="D96" s="22">
        <v>46050</v>
      </c>
      <c r="E96" s="20" t="s">
        <v>13</v>
      </c>
      <c r="F96" s="20">
        <v>31334</v>
      </c>
      <c r="G96" s="21">
        <v>1437.5</v>
      </c>
      <c r="H96" s="21">
        <v>1250</v>
      </c>
      <c r="I96" s="20">
        <v>0</v>
      </c>
      <c r="J96" s="20">
        <v>187.5</v>
      </c>
      <c r="K96" s="20">
        <v>0</v>
      </c>
      <c r="L96" s="21">
        <v>1437.5</v>
      </c>
    </row>
    <row r="97" spans="1:12" x14ac:dyDescent="0.25">
      <c r="A97" s="20">
        <v>5</v>
      </c>
      <c r="B97" s="20">
        <v>1790009459001</v>
      </c>
      <c r="C97" s="20" t="s">
        <v>32</v>
      </c>
      <c r="D97" s="22">
        <v>46051</v>
      </c>
      <c r="E97" s="20" t="s">
        <v>13</v>
      </c>
      <c r="F97" s="20">
        <v>85899</v>
      </c>
      <c r="G97" s="21">
        <v>3064.88</v>
      </c>
      <c r="H97" s="21">
        <v>2665.11</v>
      </c>
      <c r="I97" s="20">
        <v>0</v>
      </c>
      <c r="J97" s="20">
        <v>399.77</v>
      </c>
      <c r="K97" s="20">
        <v>0</v>
      </c>
      <c r="L97" s="21">
        <v>3064.88</v>
      </c>
    </row>
    <row r="98" spans="1:12" x14ac:dyDescent="0.25">
      <c r="A98" s="20">
        <v>5</v>
      </c>
      <c r="B98" s="20">
        <v>1790009459001</v>
      </c>
      <c r="C98" s="20" t="s">
        <v>32</v>
      </c>
      <c r="D98" s="22">
        <v>46051</v>
      </c>
      <c r="E98" s="20" t="s">
        <v>13</v>
      </c>
      <c r="F98" s="20">
        <v>85870</v>
      </c>
      <c r="G98" s="21">
        <v>2828.75</v>
      </c>
      <c r="H98" s="21">
        <v>2459.7800000000002</v>
      </c>
      <c r="I98" s="20">
        <v>0</v>
      </c>
      <c r="J98" s="20">
        <v>368.97</v>
      </c>
      <c r="K98" s="20">
        <v>0</v>
      </c>
      <c r="L98" s="21">
        <v>2828.75</v>
      </c>
    </row>
    <row r="99" spans="1:12" x14ac:dyDescent="0.25">
      <c r="A99" s="20">
        <v>5</v>
      </c>
      <c r="B99" s="20">
        <v>1790009459001</v>
      </c>
      <c r="C99" s="20" t="s">
        <v>32</v>
      </c>
      <c r="D99" s="22">
        <v>46052</v>
      </c>
      <c r="E99" s="20" t="s">
        <v>13</v>
      </c>
      <c r="F99" s="20">
        <v>85908</v>
      </c>
      <c r="G99" s="20">
        <v>850.34</v>
      </c>
      <c r="H99" s="20">
        <v>739.43</v>
      </c>
      <c r="I99" s="20">
        <v>0</v>
      </c>
      <c r="J99" s="20">
        <v>110.91</v>
      </c>
      <c r="K99" s="20">
        <v>0</v>
      </c>
      <c r="L99" s="20">
        <v>850.34</v>
      </c>
    </row>
    <row r="100" spans="1:12" x14ac:dyDescent="0.25">
      <c r="A100" s="20">
        <v>5</v>
      </c>
      <c r="B100" s="20">
        <v>1790009459001</v>
      </c>
      <c r="C100" s="20" t="s">
        <v>32</v>
      </c>
      <c r="D100" s="22">
        <v>46053</v>
      </c>
      <c r="E100" s="20" t="s">
        <v>13</v>
      </c>
      <c r="F100" s="20">
        <v>85922</v>
      </c>
      <c r="G100" s="20">
        <v>687.25</v>
      </c>
      <c r="H100" s="20">
        <v>597.61</v>
      </c>
      <c r="I100" s="20">
        <v>0</v>
      </c>
      <c r="J100" s="20">
        <v>89.64</v>
      </c>
      <c r="K100" s="20">
        <v>0</v>
      </c>
      <c r="L100" s="20">
        <v>687.25</v>
      </c>
    </row>
    <row r="101" spans="1:12" x14ac:dyDescent="0.25">
      <c r="A101" s="20">
        <v>5</v>
      </c>
      <c r="B101" s="20">
        <v>1790009459001</v>
      </c>
      <c r="C101" s="20" t="s">
        <v>32</v>
      </c>
      <c r="D101" s="22">
        <v>46053</v>
      </c>
      <c r="E101" s="20" t="s">
        <v>13</v>
      </c>
      <c r="F101" s="20">
        <v>85938</v>
      </c>
      <c r="G101" s="21">
        <v>1927.91</v>
      </c>
      <c r="H101" s="21">
        <v>1676.44</v>
      </c>
      <c r="I101" s="20">
        <v>0</v>
      </c>
      <c r="J101" s="20">
        <v>251.47</v>
      </c>
      <c r="K101" s="20">
        <v>0</v>
      </c>
      <c r="L101" s="21">
        <v>1927.91</v>
      </c>
    </row>
    <row r="102" spans="1:12" x14ac:dyDescent="0.25">
      <c r="A102" s="20">
        <v>152</v>
      </c>
      <c r="B102" s="20">
        <v>1790041220001</v>
      </c>
      <c r="C102" s="20" t="s">
        <v>34</v>
      </c>
      <c r="D102" s="22">
        <v>46041</v>
      </c>
      <c r="E102" s="20" t="s">
        <v>13</v>
      </c>
      <c r="F102" s="20">
        <v>645084</v>
      </c>
      <c r="G102" s="20">
        <v>86.12</v>
      </c>
      <c r="H102" s="20">
        <v>74.89</v>
      </c>
      <c r="I102" s="20">
        <v>0</v>
      </c>
      <c r="J102" s="20">
        <v>11.23</v>
      </c>
      <c r="K102" s="20">
        <v>0</v>
      </c>
      <c r="L102" s="20">
        <v>86.12</v>
      </c>
    </row>
    <row r="103" spans="1:12" x14ac:dyDescent="0.25">
      <c r="A103" s="20">
        <v>152</v>
      </c>
      <c r="B103" s="20">
        <v>1790041220001</v>
      </c>
      <c r="C103" s="20" t="s">
        <v>34</v>
      </c>
      <c r="D103" s="22">
        <v>46043</v>
      </c>
      <c r="E103" s="20" t="s">
        <v>13</v>
      </c>
      <c r="F103" s="20">
        <v>646143</v>
      </c>
      <c r="G103" s="20">
        <v>251.92</v>
      </c>
      <c r="H103" s="20">
        <v>219.06</v>
      </c>
      <c r="I103" s="20">
        <v>0</v>
      </c>
      <c r="J103" s="20">
        <v>32.86</v>
      </c>
      <c r="K103" s="20">
        <v>0</v>
      </c>
      <c r="L103" s="20">
        <v>251.92</v>
      </c>
    </row>
    <row r="104" spans="1:12" x14ac:dyDescent="0.25">
      <c r="A104" s="20">
        <v>800</v>
      </c>
      <c r="B104" s="20">
        <v>1791256115001</v>
      </c>
      <c r="C104" s="20" t="s">
        <v>35</v>
      </c>
      <c r="D104" s="22">
        <v>46034</v>
      </c>
      <c r="E104" s="20" t="s">
        <v>13</v>
      </c>
      <c r="F104" s="20">
        <v>122556998</v>
      </c>
      <c r="G104" s="20">
        <v>57.5</v>
      </c>
      <c r="H104" s="20">
        <v>50</v>
      </c>
      <c r="I104" s="20">
        <v>0</v>
      </c>
      <c r="J104" s="20">
        <v>7.5</v>
      </c>
      <c r="K104" s="20">
        <v>0</v>
      </c>
      <c r="L104" s="20">
        <v>0</v>
      </c>
    </row>
    <row r="105" spans="1:12" x14ac:dyDescent="0.25">
      <c r="A105" s="20">
        <v>339</v>
      </c>
      <c r="B105" s="20">
        <v>1791310063001</v>
      </c>
      <c r="C105" s="20" t="s">
        <v>36</v>
      </c>
      <c r="D105" s="22">
        <v>46041</v>
      </c>
      <c r="E105" s="20" t="s">
        <v>13</v>
      </c>
      <c r="F105" s="20">
        <v>1453160</v>
      </c>
      <c r="G105" s="20">
        <v>60.09</v>
      </c>
      <c r="H105" s="20">
        <v>52.25</v>
      </c>
      <c r="I105" s="20">
        <v>0</v>
      </c>
      <c r="J105" s="20">
        <v>7.84</v>
      </c>
      <c r="K105" s="20">
        <v>0</v>
      </c>
      <c r="L105" s="20">
        <v>0</v>
      </c>
    </row>
    <row r="106" spans="1:12" x14ac:dyDescent="0.25">
      <c r="A106" s="20">
        <v>571</v>
      </c>
      <c r="B106" s="20">
        <v>1791317025001</v>
      </c>
      <c r="C106" s="20" t="s">
        <v>37</v>
      </c>
      <c r="D106" s="22">
        <v>46039</v>
      </c>
      <c r="E106" s="20" t="s">
        <v>13</v>
      </c>
      <c r="F106" s="20">
        <v>2626582</v>
      </c>
      <c r="G106" s="20">
        <v>1</v>
      </c>
      <c r="H106" s="20">
        <v>0</v>
      </c>
      <c r="I106" s="20">
        <v>1</v>
      </c>
      <c r="J106" s="20">
        <v>0</v>
      </c>
      <c r="K106" s="20">
        <v>0</v>
      </c>
      <c r="L106" s="20">
        <v>1</v>
      </c>
    </row>
    <row r="107" spans="1:12" x14ac:dyDescent="0.25">
      <c r="A107" s="20">
        <v>571</v>
      </c>
      <c r="B107" s="20">
        <v>1791317025001</v>
      </c>
      <c r="C107" s="20" t="s">
        <v>37</v>
      </c>
      <c r="D107" s="22">
        <v>46039</v>
      </c>
      <c r="E107" s="20" t="s">
        <v>13</v>
      </c>
      <c r="F107" s="20">
        <v>1139694</v>
      </c>
      <c r="G107" s="20">
        <v>1</v>
      </c>
      <c r="H107" s="20">
        <v>0</v>
      </c>
      <c r="I107" s="20">
        <v>1</v>
      </c>
      <c r="J107" s="20">
        <v>0</v>
      </c>
      <c r="K107" s="20">
        <v>0</v>
      </c>
      <c r="L107" s="20">
        <v>1</v>
      </c>
    </row>
    <row r="108" spans="1:12" x14ac:dyDescent="0.25">
      <c r="A108" s="20">
        <v>571</v>
      </c>
      <c r="B108" s="20">
        <v>1791317025001</v>
      </c>
      <c r="C108" s="20" t="s">
        <v>37</v>
      </c>
      <c r="D108" s="22">
        <v>46039</v>
      </c>
      <c r="E108" s="20" t="s">
        <v>13</v>
      </c>
      <c r="F108" s="20">
        <v>8249394</v>
      </c>
      <c r="G108" s="20">
        <v>1</v>
      </c>
      <c r="H108" s="20">
        <v>0</v>
      </c>
      <c r="I108" s="20">
        <v>1</v>
      </c>
      <c r="J108" s="20">
        <v>0</v>
      </c>
      <c r="K108" s="20">
        <v>0</v>
      </c>
      <c r="L108" s="20">
        <v>1</v>
      </c>
    </row>
    <row r="109" spans="1:12" x14ac:dyDescent="0.25">
      <c r="A109" s="20">
        <v>571</v>
      </c>
      <c r="B109" s="20">
        <v>1791317025001</v>
      </c>
      <c r="C109" s="20" t="s">
        <v>37</v>
      </c>
      <c r="D109" s="22">
        <v>46039</v>
      </c>
      <c r="E109" s="20" t="s">
        <v>13</v>
      </c>
      <c r="F109" s="20">
        <v>10049931</v>
      </c>
      <c r="G109" s="20">
        <v>1</v>
      </c>
      <c r="H109" s="20">
        <v>0</v>
      </c>
      <c r="I109" s="20">
        <v>1</v>
      </c>
      <c r="J109" s="20">
        <v>0</v>
      </c>
      <c r="K109" s="20">
        <v>0</v>
      </c>
      <c r="L109" s="20">
        <v>1</v>
      </c>
    </row>
    <row r="110" spans="1:12" x14ac:dyDescent="0.25">
      <c r="A110" s="20">
        <v>571</v>
      </c>
      <c r="B110" s="20">
        <v>1791317025001</v>
      </c>
      <c r="C110" s="20" t="s">
        <v>37</v>
      </c>
      <c r="D110" s="22">
        <v>46039</v>
      </c>
      <c r="E110" s="20" t="s">
        <v>13</v>
      </c>
      <c r="F110" s="20">
        <v>3583119</v>
      </c>
      <c r="G110" s="20">
        <v>1</v>
      </c>
      <c r="H110" s="20">
        <v>0</v>
      </c>
      <c r="I110" s="20">
        <v>1</v>
      </c>
      <c r="J110" s="20">
        <v>0</v>
      </c>
      <c r="K110" s="20">
        <v>0</v>
      </c>
      <c r="L110" s="20">
        <v>1</v>
      </c>
    </row>
    <row r="111" spans="1:12" x14ac:dyDescent="0.25">
      <c r="A111" s="20">
        <v>571</v>
      </c>
      <c r="B111" s="20">
        <v>1791317025001</v>
      </c>
      <c r="C111" s="20" t="s">
        <v>37</v>
      </c>
      <c r="D111" s="22">
        <v>46039</v>
      </c>
      <c r="E111" s="20" t="s">
        <v>13</v>
      </c>
      <c r="F111" s="20">
        <v>9946333</v>
      </c>
      <c r="G111" s="20">
        <v>1</v>
      </c>
      <c r="H111" s="20">
        <v>0</v>
      </c>
      <c r="I111" s="20">
        <v>1</v>
      </c>
      <c r="J111" s="20">
        <v>0</v>
      </c>
      <c r="K111" s="20">
        <v>0</v>
      </c>
      <c r="L111" s="20">
        <v>1</v>
      </c>
    </row>
    <row r="112" spans="1:12" x14ac:dyDescent="0.25">
      <c r="A112" s="20">
        <v>1441</v>
      </c>
      <c r="B112" s="20">
        <v>1792566606001</v>
      </c>
      <c r="C112" s="20" t="s">
        <v>38</v>
      </c>
      <c r="D112" s="22">
        <v>46045</v>
      </c>
      <c r="E112" s="20" t="s">
        <v>13</v>
      </c>
      <c r="F112" s="20">
        <v>7347</v>
      </c>
      <c r="G112" s="20">
        <v>114.18</v>
      </c>
      <c r="H112" s="20">
        <v>105</v>
      </c>
      <c r="I112" s="20">
        <v>0</v>
      </c>
      <c r="J112" s="20">
        <v>15.75</v>
      </c>
      <c r="K112" s="20">
        <v>6.57</v>
      </c>
      <c r="L112" s="20">
        <v>114.18</v>
      </c>
    </row>
    <row r="113" spans="1:12" x14ac:dyDescent="0.25">
      <c r="A113" s="20">
        <v>1579</v>
      </c>
      <c r="B113" s="20">
        <v>1792848776001</v>
      </c>
      <c r="C113" s="20" t="s">
        <v>39</v>
      </c>
      <c r="D113" s="22">
        <v>46046</v>
      </c>
      <c r="E113" s="20" t="s">
        <v>13</v>
      </c>
      <c r="F113" s="20">
        <v>33279</v>
      </c>
      <c r="G113" s="20">
        <v>255.91</v>
      </c>
      <c r="H113" s="20">
        <v>235.32</v>
      </c>
      <c r="I113" s="20">
        <v>0</v>
      </c>
      <c r="J113" s="20">
        <v>35.299999999999997</v>
      </c>
      <c r="K113" s="20">
        <v>14.71</v>
      </c>
      <c r="L113" s="20">
        <v>255.91</v>
      </c>
    </row>
    <row r="114" spans="1:12" x14ac:dyDescent="0.25">
      <c r="A114" s="20">
        <v>1840</v>
      </c>
      <c r="B114" s="20">
        <v>1793025692001</v>
      </c>
      <c r="C114" s="20" t="s">
        <v>42</v>
      </c>
      <c r="D114" s="22">
        <v>46052</v>
      </c>
      <c r="E114" s="20" t="s">
        <v>13</v>
      </c>
      <c r="F114" s="20">
        <v>19434</v>
      </c>
      <c r="G114" s="20">
        <v>245.34</v>
      </c>
      <c r="H114" s="20">
        <v>225.6</v>
      </c>
      <c r="I114" s="20">
        <v>0</v>
      </c>
      <c r="J114" s="20">
        <v>33.840000000000003</v>
      </c>
      <c r="K114" s="20">
        <v>14.1</v>
      </c>
      <c r="L114" s="20">
        <v>245.34</v>
      </c>
    </row>
    <row r="115" spans="1:12" x14ac:dyDescent="0.25">
      <c r="A115" s="20">
        <v>1410</v>
      </c>
      <c r="B115" s="20">
        <v>1793107958001</v>
      </c>
      <c r="C115" s="20" t="s">
        <v>43</v>
      </c>
      <c r="D115" s="22">
        <v>46027</v>
      </c>
      <c r="E115" s="20" t="s">
        <v>13</v>
      </c>
      <c r="F115" s="20">
        <v>4023</v>
      </c>
      <c r="G115" s="20">
        <v>203.56</v>
      </c>
      <c r="H115" s="20">
        <v>177.01</v>
      </c>
      <c r="I115" s="20">
        <v>0</v>
      </c>
      <c r="J115" s="20">
        <v>26.55</v>
      </c>
      <c r="K115" s="20">
        <v>0</v>
      </c>
      <c r="L115" s="20">
        <v>203.56</v>
      </c>
    </row>
    <row r="116" spans="1:12" x14ac:dyDescent="0.25">
      <c r="A116" s="20">
        <v>1410</v>
      </c>
      <c r="B116" s="20">
        <v>1793107958001</v>
      </c>
      <c r="C116" s="20" t="s">
        <v>43</v>
      </c>
      <c r="D116" s="22">
        <v>46027</v>
      </c>
      <c r="E116" s="20" t="s">
        <v>13</v>
      </c>
      <c r="F116" s="20">
        <v>4022</v>
      </c>
      <c r="G116" s="20">
        <v>135.54</v>
      </c>
      <c r="H116" s="20">
        <v>117.86</v>
      </c>
      <c r="I116" s="20">
        <v>0</v>
      </c>
      <c r="J116" s="20">
        <v>17.68</v>
      </c>
      <c r="K116" s="20">
        <v>0</v>
      </c>
      <c r="L116" s="20">
        <v>135.54</v>
      </c>
    </row>
    <row r="117" spans="1:12" x14ac:dyDescent="0.25">
      <c r="A117" s="20">
        <v>1410</v>
      </c>
      <c r="B117" s="20">
        <v>1793107958001</v>
      </c>
      <c r="C117" s="20" t="s">
        <v>43</v>
      </c>
      <c r="D117" s="22">
        <v>46028</v>
      </c>
      <c r="E117" s="20" t="s">
        <v>13</v>
      </c>
      <c r="F117" s="20">
        <v>5329</v>
      </c>
      <c r="G117" s="20">
        <v>946.58</v>
      </c>
      <c r="H117" s="20">
        <v>823.11</v>
      </c>
      <c r="I117" s="20">
        <v>0</v>
      </c>
      <c r="J117" s="20">
        <v>123.47</v>
      </c>
      <c r="K117" s="20">
        <v>0</v>
      </c>
      <c r="L117" s="20">
        <v>946.58</v>
      </c>
    </row>
    <row r="118" spans="1:12" x14ac:dyDescent="0.25">
      <c r="A118" s="20">
        <v>1410</v>
      </c>
      <c r="B118" s="20">
        <v>1793107958001</v>
      </c>
      <c r="C118" s="20" t="s">
        <v>43</v>
      </c>
      <c r="D118" s="22">
        <v>46028</v>
      </c>
      <c r="E118" s="20" t="s">
        <v>13</v>
      </c>
      <c r="F118" s="20">
        <v>5333</v>
      </c>
      <c r="G118" s="20">
        <v>128.03</v>
      </c>
      <c r="H118" s="20">
        <v>111.33</v>
      </c>
      <c r="I118" s="20">
        <v>0</v>
      </c>
      <c r="J118" s="20">
        <v>16.7</v>
      </c>
      <c r="K118" s="20">
        <v>0</v>
      </c>
      <c r="L118" s="20">
        <v>128.03</v>
      </c>
    </row>
    <row r="119" spans="1:12" x14ac:dyDescent="0.25">
      <c r="A119" s="20">
        <v>1410</v>
      </c>
      <c r="B119" s="20">
        <v>1793107958001</v>
      </c>
      <c r="C119" s="20" t="s">
        <v>43</v>
      </c>
      <c r="D119" s="22">
        <v>46028</v>
      </c>
      <c r="E119" s="20" t="s">
        <v>13</v>
      </c>
      <c r="F119" s="20">
        <v>7686</v>
      </c>
      <c r="G119" s="20">
        <v>530.75</v>
      </c>
      <c r="H119" s="20">
        <v>461.52</v>
      </c>
      <c r="I119" s="20">
        <v>0</v>
      </c>
      <c r="J119" s="20">
        <v>69.23</v>
      </c>
      <c r="K119" s="20">
        <v>0</v>
      </c>
      <c r="L119" s="20">
        <v>530.75</v>
      </c>
    </row>
    <row r="120" spans="1:12" x14ac:dyDescent="0.25">
      <c r="A120" s="20">
        <v>1410</v>
      </c>
      <c r="B120" s="20">
        <v>1793107958001</v>
      </c>
      <c r="C120" s="20" t="s">
        <v>43</v>
      </c>
      <c r="D120" s="22">
        <v>46028</v>
      </c>
      <c r="E120" s="20" t="s">
        <v>13</v>
      </c>
      <c r="F120" s="20">
        <v>5321</v>
      </c>
      <c r="G120" s="20">
        <v>297</v>
      </c>
      <c r="H120" s="20">
        <v>258.26</v>
      </c>
      <c r="I120" s="20">
        <v>0</v>
      </c>
      <c r="J120" s="20">
        <v>38.74</v>
      </c>
      <c r="K120" s="20">
        <v>0</v>
      </c>
      <c r="L120" s="20">
        <v>297</v>
      </c>
    </row>
    <row r="121" spans="1:12" x14ac:dyDescent="0.25">
      <c r="A121" s="20">
        <v>1410</v>
      </c>
      <c r="B121" s="20">
        <v>1793107958001</v>
      </c>
      <c r="C121" s="20" t="s">
        <v>43</v>
      </c>
      <c r="D121" s="22">
        <v>46028</v>
      </c>
      <c r="E121" s="20" t="s">
        <v>13</v>
      </c>
      <c r="F121" s="20">
        <v>7691</v>
      </c>
      <c r="G121" s="21">
        <v>1046.3</v>
      </c>
      <c r="H121" s="20">
        <v>909.83</v>
      </c>
      <c r="I121" s="20">
        <v>0</v>
      </c>
      <c r="J121" s="20">
        <v>136.47</v>
      </c>
      <c r="K121" s="20">
        <v>0</v>
      </c>
      <c r="L121" s="21">
        <v>1046.3</v>
      </c>
    </row>
    <row r="122" spans="1:12" x14ac:dyDescent="0.25">
      <c r="A122" s="20">
        <v>1410</v>
      </c>
      <c r="B122" s="20">
        <v>1793107958001</v>
      </c>
      <c r="C122" s="20" t="s">
        <v>43</v>
      </c>
      <c r="D122" s="22">
        <v>46029</v>
      </c>
      <c r="E122" s="20" t="s">
        <v>13</v>
      </c>
      <c r="F122" s="20">
        <v>7701</v>
      </c>
      <c r="G122" s="20">
        <v>41.61</v>
      </c>
      <c r="H122" s="20">
        <v>36.18</v>
      </c>
      <c r="I122" s="20">
        <v>0</v>
      </c>
      <c r="J122" s="20">
        <v>5.43</v>
      </c>
      <c r="K122" s="20">
        <v>0</v>
      </c>
      <c r="L122" s="20">
        <v>41.61</v>
      </c>
    </row>
    <row r="123" spans="1:12" x14ac:dyDescent="0.25">
      <c r="A123" s="20">
        <v>1410</v>
      </c>
      <c r="B123" s="20">
        <v>1793107958001</v>
      </c>
      <c r="C123" s="20" t="s">
        <v>43</v>
      </c>
      <c r="D123" s="22">
        <v>46029</v>
      </c>
      <c r="E123" s="20" t="s">
        <v>13</v>
      </c>
      <c r="F123" s="20">
        <v>5338</v>
      </c>
      <c r="G123" s="20">
        <v>299.23</v>
      </c>
      <c r="H123" s="20">
        <v>260.2</v>
      </c>
      <c r="I123" s="20">
        <v>0</v>
      </c>
      <c r="J123" s="20">
        <v>39.03</v>
      </c>
      <c r="K123" s="20">
        <v>0</v>
      </c>
      <c r="L123" s="20">
        <v>299.23</v>
      </c>
    </row>
    <row r="124" spans="1:12" x14ac:dyDescent="0.25">
      <c r="A124" s="20">
        <v>1410</v>
      </c>
      <c r="B124" s="20">
        <v>1793107958001</v>
      </c>
      <c r="C124" s="20" t="s">
        <v>43</v>
      </c>
      <c r="D124" s="22">
        <v>46029</v>
      </c>
      <c r="E124" s="20" t="s">
        <v>13</v>
      </c>
      <c r="F124" s="20">
        <v>5336</v>
      </c>
      <c r="G124" s="20">
        <v>340</v>
      </c>
      <c r="H124" s="20">
        <v>295.64999999999998</v>
      </c>
      <c r="I124" s="20">
        <v>0</v>
      </c>
      <c r="J124" s="20">
        <v>44.35</v>
      </c>
      <c r="K124" s="20">
        <v>0</v>
      </c>
      <c r="L124" s="20">
        <v>340</v>
      </c>
    </row>
    <row r="125" spans="1:12" x14ac:dyDescent="0.25">
      <c r="A125" s="20">
        <v>1410</v>
      </c>
      <c r="B125" s="20">
        <v>1793107958001</v>
      </c>
      <c r="C125" s="20" t="s">
        <v>43</v>
      </c>
      <c r="D125" s="22">
        <v>46029</v>
      </c>
      <c r="E125" s="20" t="s">
        <v>13</v>
      </c>
      <c r="F125" s="20">
        <v>5334</v>
      </c>
      <c r="G125" s="21">
        <v>1105.0999999999999</v>
      </c>
      <c r="H125" s="20">
        <v>960.96</v>
      </c>
      <c r="I125" s="20">
        <v>0</v>
      </c>
      <c r="J125" s="20">
        <v>144.13999999999999</v>
      </c>
      <c r="K125" s="20">
        <v>0</v>
      </c>
      <c r="L125" s="21">
        <v>1105.0999999999999</v>
      </c>
    </row>
    <row r="126" spans="1:12" x14ac:dyDescent="0.25">
      <c r="A126" s="20">
        <v>1410</v>
      </c>
      <c r="B126" s="20">
        <v>1793107958001</v>
      </c>
      <c r="C126" s="20" t="s">
        <v>43</v>
      </c>
      <c r="D126" s="22">
        <v>46029</v>
      </c>
      <c r="E126" s="20" t="s">
        <v>13</v>
      </c>
      <c r="F126" s="20">
        <v>5335</v>
      </c>
      <c r="G126" s="20">
        <v>426.9</v>
      </c>
      <c r="H126" s="20">
        <v>371.22</v>
      </c>
      <c r="I126" s="20">
        <v>0</v>
      </c>
      <c r="J126" s="20">
        <v>55.68</v>
      </c>
      <c r="K126" s="20">
        <v>0</v>
      </c>
      <c r="L126" s="20">
        <v>426.9</v>
      </c>
    </row>
    <row r="127" spans="1:12" x14ac:dyDescent="0.25">
      <c r="A127" s="20">
        <v>1410</v>
      </c>
      <c r="B127" s="20">
        <v>1793107958001</v>
      </c>
      <c r="C127" s="20" t="s">
        <v>43</v>
      </c>
      <c r="D127" s="22">
        <v>46029</v>
      </c>
      <c r="E127" s="20" t="s">
        <v>13</v>
      </c>
      <c r="F127" s="20">
        <v>7705</v>
      </c>
      <c r="G127" s="21">
        <v>1344.97</v>
      </c>
      <c r="H127" s="21">
        <v>1169.54</v>
      </c>
      <c r="I127" s="20">
        <v>0</v>
      </c>
      <c r="J127" s="20">
        <v>175.43</v>
      </c>
      <c r="K127" s="20">
        <v>0</v>
      </c>
      <c r="L127" s="21">
        <v>1344.97</v>
      </c>
    </row>
    <row r="128" spans="1:12" x14ac:dyDescent="0.25">
      <c r="A128" s="20">
        <v>1410</v>
      </c>
      <c r="B128" s="20">
        <v>1793107958001</v>
      </c>
      <c r="C128" s="20" t="s">
        <v>43</v>
      </c>
      <c r="D128" s="22">
        <v>46029</v>
      </c>
      <c r="E128" s="20" t="s">
        <v>13</v>
      </c>
      <c r="F128" s="20">
        <v>7700</v>
      </c>
      <c r="G128" s="20">
        <v>552.42999999999995</v>
      </c>
      <c r="H128" s="20">
        <v>480.37</v>
      </c>
      <c r="I128" s="20">
        <v>0</v>
      </c>
      <c r="J128" s="20">
        <v>72.06</v>
      </c>
      <c r="K128" s="20">
        <v>0</v>
      </c>
      <c r="L128" s="20">
        <v>552.42999999999995</v>
      </c>
    </row>
    <row r="129" spans="1:12" x14ac:dyDescent="0.25">
      <c r="A129" s="20">
        <v>1410</v>
      </c>
      <c r="B129" s="20">
        <v>1793107958001</v>
      </c>
      <c r="C129" s="20" t="s">
        <v>43</v>
      </c>
      <c r="D129" s="22">
        <v>46029</v>
      </c>
      <c r="E129" s="20" t="s">
        <v>13</v>
      </c>
      <c r="F129" s="20">
        <v>5337</v>
      </c>
      <c r="G129" s="20">
        <v>138.72</v>
      </c>
      <c r="H129" s="20">
        <v>120.63</v>
      </c>
      <c r="I129" s="20">
        <v>0</v>
      </c>
      <c r="J129" s="20">
        <v>18.09</v>
      </c>
      <c r="K129" s="20">
        <v>0</v>
      </c>
      <c r="L129" s="20">
        <v>138.72</v>
      </c>
    </row>
    <row r="130" spans="1:12" x14ac:dyDescent="0.25">
      <c r="A130" s="20">
        <v>1410</v>
      </c>
      <c r="B130" s="20">
        <v>1793107958001</v>
      </c>
      <c r="C130" s="20" t="s">
        <v>43</v>
      </c>
      <c r="D130" s="22">
        <v>46029</v>
      </c>
      <c r="E130" s="20" t="s">
        <v>13</v>
      </c>
      <c r="F130" s="20">
        <v>7698</v>
      </c>
      <c r="G130" s="20">
        <v>305.33</v>
      </c>
      <c r="H130" s="20">
        <v>265.5</v>
      </c>
      <c r="I130" s="20">
        <v>0</v>
      </c>
      <c r="J130" s="20">
        <v>39.83</v>
      </c>
      <c r="K130" s="20">
        <v>0</v>
      </c>
      <c r="L130" s="20">
        <v>305.33</v>
      </c>
    </row>
    <row r="131" spans="1:12" x14ac:dyDescent="0.25">
      <c r="A131" s="20">
        <v>1410</v>
      </c>
      <c r="B131" s="20">
        <v>1793107958001</v>
      </c>
      <c r="C131" s="20" t="s">
        <v>43</v>
      </c>
      <c r="D131" s="22">
        <v>46030</v>
      </c>
      <c r="E131" s="20" t="s">
        <v>13</v>
      </c>
      <c r="F131" s="20">
        <v>5351</v>
      </c>
      <c r="G131" s="20">
        <v>138</v>
      </c>
      <c r="H131" s="20">
        <v>120</v>
      </c>
      <c r="I131" s="20">
        <v>0</v>
      </c>
      <c r="J131" s="20">
        <v>18</v>
      </c>
      <c r="K131" s="20">
        <v>0</v>
      </c>
      <c r="L131" s="20">
        <v>138</v>
      </c>
    </row>
    <row r="132" spans="1:12" x14ac:dyDescent="0.25">
      <c r="A132" s="20">
        <v>1410</v>
      </c>
      <c r="B132" s="20">
        <v>1793107958001</v>
      </c>
      <c r="C132" s="20" t="s">
        <v>43</v>
      </c>
      <c r="D132" s="22">
        <v>46030</v>
      </c>
      <c r="E132" s="20" t="s">
        <v>13</v>
      </c>
      <c r="F132" s="20">
        <v>7708</v>
      </c>
      <c r="G132" s="21">
        <v>2212.04</v>
      </c>
      <c r="H132" s="21">
        <v>1923.51</v>
      </c>
      <c r="I132" s="20">
        <v>0</v>
      </c>
      <c r="J132" s="20">
        <v>288.52999999999997</v>
      </c>
      <c r="K132" s="20">
        <v>0</v>
      </c>
      <c r="L132" s="21">
        <v>2212.04</v>
      </c>
    </row>
    <row r="133" spans="1:12" x14ac:dyDescent="0.25">
      <c r="A133" s="20">
        <v>1410</v>
      </c>
      <c r="B133" s="20">
        <v>1793107958001</v>
      </c>
      <c r="C133" s="20" t="s">
        <v>43</v>
      </c>
      <c r="D133" s="22">
        <v>46030</v>
      </c>
      <c r="E133" s="20" t="s">
        <v>13</v>
      </c>
      <c r="F133" s="20">
        <v>7710</v>
      </c>
      <c r="G133" s="20">
        <v>41.78</v>
      </c>
      <c r="H133" s="20">
        <v>36.33</v>
      </c>
      <c r="I133" s="20">
        <v>0</v>
      </c>
      <c r="J133" s="20">
        <v>5.45</v>
      </c>
      <c r="K133" s="20">
        <v>0</v>
      </c>
      <c r="L133" s="20">
        <v>41.78</v>
      </c>
    </row>
    <row r="134" spans="1:12" x14ac:dyDescent="0.25">
      <c r="A134" s="20">
        <v>1410</v>
      </c>
      <c r="B134" s="20">
        <v>1793107958001</v>
      </c>
      <c r="C134" s="20" t="s">
        <v>43</v>
      </c>
      <c r="D134" s="22">
        <v>46030</v>
      </c>
      <c r="E134" s="20" t="s">
        <v>13</v>
      </c>
      <c r="F134" s="20">
        <v>7709</v>
      </c>
      <c r="G134" s="20">
        <v>186.54</v>
      </c>
      <c r="H134" s="20">
        <v>162.21</v>
      </c>
      <c r="I134" s="20">
        <v>0</v>
      </c>
      <c r="J134" s="20">
        <v>24.33</v>
      </c>
      <c r="K134" s="20">
        <v>0</v>
      </c>
      <c r="L134" s="20">
        <v>186.54</v>
      </c>
    </row>
    <row r="135" spans="1:12" x14ac:dyDescent="0.25">
      <c r="A135" s="20">
        <v>1410</v>
      </c>
      <c r="B135" s="20">
        <v>1793107958001</v>
      </c>
      <c r="C135" s="20" t="s">
        <v>43</v>
      </c>
      <c r="D135" s="22">
        <v>46030</v>
      </c>
      <c r="E135" s="20" t="s">
        <v>13</v>
      </c>
      <c r="F135" s="20">
        <v>5343</v>
      </c>
      <c r="G135" s="20">
        <v>31.43</v>
      </c>
      <c r="H135" s="20">
        <v>27.33</v>
      </c>
      <c r="I135" s="20">
        <v>0</v>
      </c>
      <c r="J135" s="20">
        <v>4.0999999999999996</v>
      </c>
      <c r="K135" s="20">
        <v>0</v>
      </c>
      <c r="L135" s="20">
        <v>31.43</v>
      </c>
    </row>
    <row r="136" spans="1:12" x14ac:dyDescent="0.25">
      <c r="A136" s="20">
        <v>1410</v>
      </c>
      <c r="B136" s="20">
        <v>1793107958001</v>
      </c>
      <c r="C136" s="20" t="s">
        <v>43</v>
      </c>
      <c r="D136" s="22">
        <v>46030</v>
      </c>
      <c r="E136" s="20" t="s">
        <v>13</v>
      </c>
      <c r="F136" s="20">
        <v>5344</v>
      </c>
      <c r="G136" s="20">
        <v>67.7</v>
      </c>
      <c r="H136" s="20">
        <v>58.87</v>
      </c>
      <c r="I136" s="20">
        <v>0</v>
      </c>
      <c r="J136" s="20">
        <v>8.83</v>
      </c>
      <c r="K136" s="20">
        <v>0</v>
      </c>
      <c r="L136" s="20">
        <v>67.7</v>
      </c>
    </row>
    <row r="137" spans="1:12" x14ac:dyDescent="0.25">
      <c r="A137" s="20">
        <v>1410</v>
      </c>
      <c r="B137" s="20">
        <v>1793107958001</v>
      </c>
      <c r="C137" s="20" t="s">
        <v>43</v>
      </c>
      <c r="D137" s="22">
        <v>46031</v>
      </c>
      <c r="E137" s="20" t="s">
        <v>13</v>
      </c>
      <c r="F137" s="20">
        <v>7721</v>
      </c>
      <c r="G137" s="20">
        <v>217.3</v>
      </c>
      <c r="H137" s="20">
        <v>188.96</v>
      </c>
      <c r="I137" s="20">
        <v>0</v>
      </c>
      <c r="J137" s="20">
        <v>28.34</v>
      </c>
      <c r="K137" s="20">
        <v>0</v>
      </c>
      <c r="L137" s="20">
        <v>217.3</v>
      </c>
    </row>
    <row r="138" spans="1:12" x14ac:dyDescent="0.25">
      <c r="A138" s="20">
        <v>1410</v>
      </c>
      <c r="B138" s="20">
        <v>1793107958001</v>
      </c>
      <c r="C138" s="20" t="s">
        <v>43</v>
      </c>
      <c r="D138" s="22">
        <v>46031</v>
      </c>
      <c r="E138" s="20" t="s">
        <v>13</v>
      </c>
      <c r="F138" s="20">
        <v>7719</v>
      </c>
      <c r="G138" s="20">
        <v>82.12</v>
      </c>
      <c r="H138" s="20">
        <v>71.41</v>
      </c>
      <c r="I138" s="20">
        <v>0</v>
      </c>
      <c r="J138" s="20">
        <v>10.71</v>
      </c>
      <c r="K138" s="20">
        <v>0</v>
      </c>
      <c r="L138" s="20">
        <v>82.12</v>
      </c>
    </row>
    <row r="139" spans="1:12" x14ac:dyDescent="0.25">
      <c r="A139" s="20">
        <v>1410</v>
      </c>
      <c r="B139" s="20">
        <v>1793107958001</v>
      </c>
      <c r="C139" s="20" t="s">
        <v>43</v>
      </c>
      <c r="D139" s="22">
        <v>46031</v>
      </c>
      <c r="E139" s="20" t="s">
        <v>13</v>
      </c>
      <c r="F139" s="20">
        <v>7718</v>
      </c>
      <c r="G139" s="20">
        <v>652.4</v>
      </c>
      <c r="H139" s="20">
        <v>567.29999999999995</v>
      </c>
      <c r="I139" s="20">
        <v>0</v>
      </c>
      <c r="J139" s="20">
        <v>85.1</v>
      </c>
      <c r="K139" s="20">
        <v>0</v>
      </c>
      <c r="L139" s="20">
        <v>652.4</v>
      </c>
    </row>
    <row r="140" spans="1:12" x14ac:dyDescent="0.25">
      <c r="A140" s="20">
        <v>1410</v>
      </c>
      <c r="B140" s="20">
        <v>1793107958001</v>
      </c>
      <c r="C140" s="20" t="s">
        <v>43</v>
      </c>
      <c r="D140" s="22">
        <v>46031</v>
      </c>
      <c r="E140" s="20" t="s">
        <v>13</v>
      </c>
      <c r="F140" s="20">
        <v>5357</v>
      </c>
      <c r="G140" s="20">
        <v>169.28</v>
      </c>
      <c r="H140" s="20">
        <v>147.19999999999999</v>
      </c>
      <c r="I140" s="20">
        <v>0</v>
      </c>
      <c r="J140" s="20">
        <v>22.08</v>
      </c>
      <c r="K140" s="20">
        <v>0</v>
      </c>
      <c r="L140" s="20">
        <v>169.28</v>
      </c>
    </row>
    <row r="141" spans="1:12" x14ac:dyDescent="0.25">
      <c r="A141" s="20">
        <v>1410</v>
      </c>
      <c r="B141" s="20">
        <v>1793107958001</v>
      </c>
      <c r="C141" s="20" t="s">
        <v>43</v>
      </c>
      <c r="D141" s="22">
        <v>46032</v>
      </c>
      <c r="E141" s="20" t="s">
        <v>13</v>
      </c>
      <c r="F141" s="20">
        <v>5368</v>
      </c>
      <c r="G141" s="20">
        <v>196.9</v>
      </c>
      <c r="H141" s="20">
        <v>171.22</v>
      </c>
      <c r="I141" s="20">
        <v>0</v>
      </c>
      <c r="J141" s="20">
        <v>25.68</v>
      </c>
      <c r="K141" s="20">
        <v>0</v>
      </c>
      <c r="L141" s="20">
        <v>196.9</v>
      </c>
    </row>
    <row r="142" spans="1:12" x14ac:dyDescent="0.25">
      <c r="A142" s="20">
        <v>1410</v>
      </c>
      <c r="B142" s="20">
        <v>1793107958001</v>
      </c>
      <c r="C142" s="20" t="s">
        <v>43</v>
      </c>
      <c r="D142" s="22">
        <v>46032</v>
      </c>
      <c r="E142" s="20" t="s">
        <v>13</v>
      </c>
      <c r="F142" s="20">
        <v>7730</v>
      </c>
      <c r="G142" s="20">
        <v>284.27999999999997</v>
      </c>
      <c r="H142" s="20">
        <v>247.2</v>
      </c>
      <c r="I142" s="20">
        <v>0</v>
      </c>
      <c r="J142" s="20">
        <v>37.08</v>
      </c>
      <c r="K142" s="20">
        <v>0</v>
      </c>
      <c r="L142" s="20">
        <v>284.27999999999997</v>
      </c>
    </row>
    <row r="143" spans="1:12" x14ac:dyDescent="0.25">
      <c r="A143" s="20">
        <v>1410</v>
      </c>
      <c r="B143" s="20">
        <v>1793107958001</v>
      </c>
      <c r="C143" s="20" t="s">
        <v>43</v>
      </c>
      <c r="D143" s="22">
        <v>46032</v>
      </c>
      <c r="E143" s="20" t="s">
        <v>13</v>
      </c>
      <c r="F143" s="20">
        <v>7727</v>
      </c>
      <c r="G143" s="20">
        <v>102.2</v>
      </c>
      <c r="H143" s="20">
        <v>88.87</v>
      </c>
      <c r="I143" s="20">
        <v>0</v>
      </c>
      <c r="J143" s="20">
        <v>13.33</v>
      </c>
      <c r="K143" s="20">
        <v>0</v>
      </c>
      <c r="L143" s="20">
        <v>102.2</v>
      </c>
    </row>
    <row r="144" spans="1:12" x14ac:dyDescent="0.25">
      <c r="A144" s="20">
        <v>1410</v>
      </c>
      <c r="B144" s="20">
        <v>1793107958001</v>
      </c>
      <c r="C144" s="20" t="s">
        <v>43</v>
      </c>
      <c r="D144" s="22">
        <v>46034</v>
      </c>
      <c r="E144" s="20" t="s">
        <v>13</v>
      </c>
      <c r="F144" s="20">
        <v>7724</v>
      </c>
      <c r="G144" s="20">
        <v>43.47</v>
      </c>
      <c r="H144" s="20">
        <v>37.799999999999997</v>
      </c>
      <c r="I144" s="20">
        <v>0</v>
      </c>
      <c r="J144" s="20">
        <v>5.67</v>
      </c>
      <c r="K144" s="20">
        <v>0</v>
      </c>
      <c r="L144" s="20">
        <v>43.47</v>
      </c>
    </row>
    <row r="145" spans="1:12" x14ac:dyDescent="0.25">
      <c r="A145" s="20">
        <v>1410</v>
      </c>
      <c r="B145" s="20">
        <v>1793107958001</v>
      </c>
      <c r="C145" s="20" t="s">
        <v>43</v>
      </c>
      <c r="D145" s="22">
        <v>46035</v>
      </c>
      <c r="E145" s="20" t="s">
        <v>13</v>
      </c>
      <c r="F145" s="20">
        <v>7741</v>
      </c>
      <c r="G145" s="20">
        <v>684.97</v>
      </c>
      <c r="H145" s="20">
        <v>595.63</v>
      </c>
      <c r="I145" s="20">
        <v>0</v>
      </c>
      <c r="J145" s="20">
        <v>89.34</v>
      </c>
      <c r="K145" s="20">
        <v>0</v>
      </c>
      <c r="L145" s="20">
        <v>684.97</v>
      </c>
    </row>
    <row r="146" spans="1:12" x14ac:dyDescent="0.25">
      <c r="A146" s="20">
        <v>1410</v>
      </c>
      <c r="B146" s="20">
        <v>1793107958001</v>
      </c>
      <c r="C146" s="20" t="s">
        <v>43</v>
      </c>
      <c r="D146" s="22">
        <v>46035</v>
      </c>
      <c r="E146" s="20" t="s">
        <v>13</v>
      </c>
      <c r="F146" s="20">
        <v>5381</v>
      </c>
      <c r="G146" s="21">
        <v>1105.0999999999999</v>
      </c>
      <c r="H146" s="20">
        <v>960.96</v>
      </c>
      <c r="I146" s="20">
        <v>0</v>
      </c>
      <c r="J146" s="20">
        <v>144.13999999999999</v>
      </c>
      <c r="K146" s="20">
        <v>0</v>
      </c>
      <c r="L146" s="21">
        <v>1105.0999999999999</v>
      </c>
    </row>
    <row r="147" spans="1:12" x14ac:dyDescent="0.25">
      <c r="A147" s="20">
        <v>1410</v>
      </c>
      <c r="B147" s="20">
        <v>1793107958001</v>
      </c>
      <c r="C147" s="20" t="s">
        <v>43</v>
      </c>
      <c r="D147" s="22">
        <v>46035</v>
      </c>
      <c r="E147" s="20" t="s">
        <v>13</v>
      </c>
      <c r="F147" s="20">
        <v>7737</v>
      </c>
      <c r="G147" s="20">
        <v>78.180000000000007</v>
      </c>
      <c r="H147" s="20">
        <v>67.98</v>
      </c>
      <c r="I147" s="20">
        <v>0</v>
      </c>
      <c r="J147" s="20">
        <v>10.199999999999999</v>
      </c>
      <c r="K147" s="20">
        <v>0</v>
      </c>
      <c r="L147" s="20">
        <v>78.180000000000007</v>
      </c>
    </row>
    <row r="148" spans="1:12" x14ac:dyDescent="0.25">
      <c r="A148" s="20">
        <v>1410</v>
      </c>
      <c r="B148" s="20">
        <v>1793107958001</v>
      </c>
      <c r="C148" s="20" t="s">
        <v>43</v>
      </c>
      <c r="D148" s="22">
        <v>46035</v>
      </c>
      <c r="E148" s="20" t="s">
        <v>13</v>
      </c>
      <c r="F148" s="20">
        <v>7740</v>
      </c>
      <c r="G148" s="20">
        <v>466.64</v>
      </c>
      <c r="H148" s="20">
        <v>405.77</v>
      </c>
      <c r="I148" s="20">
        <v>0</v>
      </c>
      <c r="J148" s="20">
        <v>60.87</v>
      </c>
      <c r="K148" s="20">
        <v>0</v>
      </c>
      <c r="L148" s="20">
        <v>466.64</v>
      </c>
    </row>
    <row r="149" spans="1:12" x14ac:dyDescent="0.25">
      <c r="A149" s="20">
        <v>1410</v>
      </c>
      <c r="B149" s="20">
        <v>1793107958001</v>
      </c>
      <c r="C149" s="20" t="s">
        <v>43</v>
      </c>
      <c r="D149" s="22">
        <v>46035</v>
      </c>
      <c r="E149" s="20" t="s">
        <v>13</v>
      </c>
      <c r="F149" s="20">
        <v>7746</v>
      </c>
      <c r="G149" s="20">
        <v>26.73</v>
      </c>
      <c r="H149" s="20">
        <v>23.24</v>
      </c>
      <c r="I149" s="20">
        <v>0</v>
      </c>
      <c r="J149" s="20">
        <v>3.49</v>
      </c>
      <c r="K149" s="20">
        <v>0</v>
      </c>
      <c r="L149" s="20">
        <v>26.73</v>
      </c>
    </row>
    <row r="150" spans="1:12" x14ac:dyDescent="0.25">
      <c r="A150" s="20">
        <v>1410</v>
      </c>
      <c r="B150" s="20">
        <v>1793107958001</v>
      </c>
      <c r="C150" s="20" t="s">
        <v>43</v>
      </c>
      <c r="D150" s="22">
        <v>46036</v>
      </c>
      <c r="E150" s="20" t="s">
        <v>13</v>
      </c>
      <c r="F150" s="20">
        <v>5391</v>
      </c>
      <c r="G150" s="20">
        <v>239.2</v>
      </c>
      <c r="H150" s="20">
        <v>208</v>
      </c>
      <c r="I150" s="20">
        <v>0</v>
      </c>
      <c r="J150" s="20">
        <v>31.2</v>
      </c>
      <c r="K150" s="20">
        <v>0</v>
      </c>
      <c r="L150" s="20">
        <v>239.2</v>
      </c>
    </row>
    <row r="151" spans="1:12" x14ac:dyDescent="0.25">
      <c r="A151" s="20">
        <v>1410</v>
      </c>
      <c r="B151" s="20">
        <v>1793107958001</v>
      </c>
      <c r="C151" s="20" t="s">
        <v>43</v>
      </c>
      <c r="D151" s="22">
        <v>46036</v>
      </c>
      <c r="E151" s="20" t="s">
        <v>13</v>
      </c>
      <c r="F151" s="20">
        <v>7756</v>
      </c>
      <c r="G151" s="20">
        <v>675.36</v>
      </c>
      <c r="H151" s="20">
        <v>587.27</v>
      </c>
      <c r="I151" s="20">
        <v>0</v>
      </c>
      <c r="J151" s="20">
        <v>88.09</v>
      </c>
      <c r="K151" s="20">
        <v>0</v>
      </c>
      <c r="L151" s="20">
        <v>675.36</v>
      </c>
    </row>
    <row r="152" spans="1:12" x14ac:dyDescent="0.25">
      <c r="A152" s="20">
        <v>1410</v>
      </c>
      <c r="B152" s="20">
        <v>1793107958001</v>
      </c>
      <c r="C152" s="20" t="s">
        <v>43</v>
      </c>
      <c r="D152" s="22">
        <v>46036</v>
      </c>
      <c r="E152" s="20" t="s">
        <v>13</v>
      </c>
      <c r="F152" s="20">
        <v>5386</v>
      </c>
      <c r="G152" s="20">
        <v>193.69</v>
      </c>
      <c r="H152" s="20">
        <v>168.43</v>
      </c>
      <c r="I152" s="20">
        <v>0</v>
      </c>
      <c r="J152" s="20">
        <v>25.26</v>
      </c>
      <c r="K152" s="20">
        <v>0</v>
      </c>
      <c r="L152" s="20">
        <v>193.69</v>
      </c>
    </row>
    <row r="153" spans="1:12" x14ac:dyDescent="0.25">
      <c r="A153" s="20">
        <v>1410</v>
      </c>
      <c r="B153" s="20">
        <v>1793107958001</v>
      </c>
      <c r="C153" s="20" t="s">
        <v>43</v>
      </c>
      <c r="D153" s="22">
        <v>46037</v>
      </c>
      <c r="E153" s="20" t="s">
        <v>13</v>
      </c>
      <c r="F153" s="20">
        <v>5396</v>
      </c>
      <c r="G153" s="20">
        <v>24.1</v>
      </c>
      <c r="H153" s="20">
        <v>20.96</v>
      </c>
      <c r="I153" s="20">
        <v>0</v>
      </c>
      <c r="J153" s="20">
        <v>3.14</v>
      </c>
      <c r="K153" s="20">
        <v>0</v>
      </c>
      <c r="L153" s="20">
        <v>24.1</v>
      </c>
    </row>
    <row r="154" spans="1:12" x14ac:dyDescent="0.25">
      <c r="A154" s="20">
        <v>1410</v>
      </c>
      <c r="B154" s="20">
        <v>1793107958001</v>
      </c>
      <c r="C154" s="20" t="s">
        <v>43</v>
      </c>
      <c r="D154" s="22">
        <v>46037</v>
      </c>
      <c r="E154" s="20" t="s">
        <v>13</v>
      </c>
      <c r="F154" s="20">
        <v>7760</v>
      </c>
      <c r="G154" s="21">
        <v>1729.05</v>
      </c>
      <c r="H154" s="21">
        <v>1503.52</v>
      </c>
      <c r="I154" s="20">
        <v>0</v>
      </c>
      <c r="J154" s="20">
        <v>225.53</v>
      </c>
      <c r="K154" s="20">
        <v>0</v>
      </c>
      <c r="L154" s="21">
        <v>1729.05</v>
      </c>
    </row>
    <row r="155" spans="1:12" x14ac:dyDescent="0.25">
      <c r="A155" s="20">
        <v>1410</v>
      </c>
      <c r="B155" s="20">
        <v>1793107958001</v>
      </c>
      <c r="C155" s="20" t="s">
        <v>43</v>
      </c>
      <c r="D155" s="22">
        <v>46037</v>
      </c>
      <c r="E155" s="20" t="s">
        <v>13</v>
      </c>
      <c r="F155" s="20">
        <v>5397</v>
      </c>
      <c r="G155" s="20">
        <v>112.65</v>
      </c>
      <c r="H155" s="20">
        <v>97.96</v>
      </c>
      <c r="I155" s="20">
        <v>0</v>
      </c>
      <c r="J155" s="20">
        <v>14.69</v>
      </c>
      <c r="K155" s="20">
        <v>0</v>
      </c>
      <c r="L155" s="20">
        <v>112.65</v>
      </c>
    </row>
    <row r="156" spans="1:12" x14ac:dyDescent="0.25">
      <c r="A156" s="20">
        <v>1410</v>
      </c>
      <c r="B156" s="20">
        <v>1793107958001</v>
      </c>
      <c r="C156" s="20" t="s">
        <v>43</v>
      </c>
      <c r="D156" s="22">
        <v>46037</v>
      </c>
      <c r="E156" s="20" t="s">
        <v>13</v>
      </c>
      <c r="F156" s="20">
        <v>5404</v>
      </c>
      <c r="G156" s="20">
        <v>303.76</v>
      </c>
      <c r="H156" s="20">
        <v>264.14</v>
      </c>
      <c r="I156" s="20">
        <v>0</v>
      </c>
      <c r="J156" s="20">
        <v>39.619999999999997</v>
      </c>
      <c r="K156" s="20">
        <v>0</v>
      </c>
      <c r="L156" s="20">
        <v>303.76</v>
      </c>
    </row>
    <row r="157" spans="1:12" x14ac:dyDescent="0.25">
      <c r="A157" s="20">
        <v>1410</v>
      </c>
      <c r="B157" s="20">
        <v>1793107958001</v>
      </c>
      <c r="C157" s="20" t="s">
        <v>43</v>
      </c>
      <c r="D157" s="22">
        <v>46038</v>
      </c>
      <c r="E157" s="20" t="s">
        <v>13</v>
      </c>
      <c r="F157" s="20">
        <v>7774</v>
      </c>
      <c r="G157" s="20">
        <v>44.51</v>
      </c>
      <c r="H157" s="20">
        <v>38.700000000000003</v>
      </c>
      <c r="I157" s="20">
        <v>0</v>
      </c>
      <c r="J157" s="20">
        <v>5.81</v>
      </c>
      <c r="K157" s="20">
        <v>0</v>
      </c>
      <c r="L157" s="20">
        <v>44.51</v>
      </c>
    </row>
    <row r="158" spans="1:12" x14ac:dyDescent="0.25">
      <c r="A158" s="20">
        <v>1410</v>
      </c>
      <c r="B158" s="20">
        <v>1793107958001</v>
      </c>
      <c r="C158" s="20" t="s">
        <v>43</v>
      </c>
      <c r="D158" s="22">
        <v>46038</v>
      </c>
      <c r="E158" s="20" t="s">
        <v>13</v>
      </c>
      <c r="F158" s="20">
        <v>7772</v>
      </c>
      <c r="G158" s="20">
        <v>129.5</v>
      </c>
      <c r="H158" s="20">
        <v>112.61</v>
      </c>
      <c r="I158" s="20">
        <v>0</v>
      </c>
      <c r="J158" s="20">
        <v>16.89</v>
      </c>
      <c r="K158" s="20">
        <v>0</v>
      </c>
      <c r="L158" s="20">
        <v>129.5</v>
      </c>
    </row>
    <row r="159" spans="1:12" x14ac:dyDescent="0.25">
      <c r="A159" s="20">
        <v>1410</v>
      </c>
      <c r="B159" s="20">
        <v>1793107958001</v>
      </c>
      <c r="C159" s="20" t="s">
        <v>43</v>
      </c>
      <c r="D159" s="22">
        <v>46038</v>
      </c>
      <c r="E159" s="20" t="s">
        <v>13</v>
      </c>
      <c r="F159" s="20">
        <v>5406</v>
      </c>
      <c r="G159" s="20">
        <v>182.21</v>
      </c>
      <c r="H159" s="20">
        <v>158.44</v>
      </c>
      <c r="I159" s="20">
        <v>0</v>
      </c>
      <c r="J159" s="20">
        <v>23.77</v>
      </c>
      <c r="K159" s="20">
        <v>0</v>
      </c>
      <c r="L159" s="20">
        <v>182.21</v>
      </c>
    </row>
    <row r="160" spans="1:12" x14ac:dyDescent="0.25">
      <c r="A160" s="20">
        <v>1410</v>
      </c>
      <c r="B160" s="20">
        <v>1793107958001</v>
      </c>
      <c r="C160" s="20" t="s">
        <v>43</v>
      </c>
      <c r="D160" s="22">
        <v>46039</v>
      </c>
      <c r="E160" s="20" t="s">
        <v>13</v>
      </c>
      <c r="F160" s="20">
        <v>7784</v>
      </c>
      <c r="G160" s="20">
        <v>318.56</v>
      </c>
      <c r="H160" s="20">
        <v>277.01</v>
      </c>
      <c r="I160" s="20">
        <v>0</v>
      </c>
      <c r="J160" s="20">
        <v>41.55</v>
      </c>
      <c r="K160" s="20">
        <v>0</v>
      </c>
      <c r="L160" s="20">
        <v>318.56</v>
      </c>
    </row>
    <row r="161" spans="1:12" x14ac:dyDescent="0.25">
      <c r="A161" s="20">
        <v>1410</v>
      </c>
      <c r="B161" s="20">
        <v>1793107958001</v>
      </c>
      <c r="C161" s="20" t="s">
        <v>43</v>
      </c>
      <c r="D161" s="22">
        <v>46039</v>
      </c>
      <c r="E161" s="20" t="s">
        <v>13</v>
      </c>
      <c r="F161" s="20">
        <v>7781</v>
      </c>
      <c r="G161" s="20">
        <v>380.06</v>
      </c>
      <c r="H161" s="20">
        <v>330.49</v>
      </c>
      <c r="I161" s="20">
        <v>0</v>
      </c>
      <c r="J161" s="20">
        <v>49.57</v>
      </c>
      <c r="K161" s="20">
        <v>0</v>
      </c>
      <c r="L161" s="20">
        <v>380.06</v>
      </c>
    </row>
    <row r="162" spans="1:12" x14ac:dyDescent="0.25">
      <c r="A162" s="20">
        <v>1410</v>
      </c>
      <c r="B162" s="20">
        <v>1793107958001</v>
      </c>
      <c r="C162" s="20" t="s">
        <v>43</v>
      </c>
      <c r="D162" s="22">
        <v>46041</v>
      </c>
      <c r="E162" s="20" t="s">
        <v>13</v>
      </c>
      <c r="F162" s="20">
        <v>5415</v>
      </c>
      <c r="G162" s="20">
        <v>248.38</v>
      </c>
      <c r="H162" s="20">
        <v>215.98</v>
      </c>
      <c r="I162" s="20">
        <v>0</v>
      </c>
      <c r="J162" s="20">
        <v>32.4</v>
      </c>
      <c r="K162" s="20">
        <v>0</v>
      </c>
      <c r="L162" s="20">
        <v>248.38</v>
      </c>
    </row>
    <row r="163" spans="1:12" x14ac:dyDescent="0.25">
      <c r="A163" s="20">
        <v>1410</v>
      </c>
      <c r="B163" s="20">
        <v>1793107958001</v>
      </c>
      <c r="C163" s="20" t="s">
        <v>43</v>
      </c>
      <c r="D163" s="22">
        <v>46042</v>
      </c>
      <c r="E163" s="20" t="s">
        <v>13</v>
      </c>
      <c r="F163" s="20">
        <v>7790</v>
      </c>
      <c r="G163" s="20">
        <v>133.58000000000001</v>
      </c>
      <c r="H163" s="20">
        <v>116.16</v>
      </c>
      <c r="I163" s="20">
        <v>0</v>
      </c>
      <c r="J163" s="20">
        <v>17.420000000000002</v>
      </c>
      <c r="K163" s="20">
        <v>0</v>
      </c>
      <c r="L163" s="20">
        <v>133.58000000000001</v>
      </c>
    </row>
    <row r="164" spans="1:12" x14ac:dyDescent="0.25">
      <c r="A164" s="20">
        <v>1410</v>
      </c>
      <c r="B164" s="20">
        <v>1793107958001</v>
      </c>
      <c r="C164" s="20" t="s">
        <v>43</v>
      </c>
      <c r="D164" s="22">
        <v>46042</v>
      </c>
      <c r="E164" s="20" t="s">
        <v>13</v>
      </c>
      <c r="F164" s="20">
        <v>7795</v>
      </c>
      <c r="G164" s="21">
        <v>1523.07</v>
      </c>
      <c r="H164" s="21">
        <v>1324.41</v>
      </c>
      <c r="I164" s="20">
        <v>0</v>
      </c>
      <c r="J164" s="20">
        <v>198.66</v>
      </c>
      <c r="K164" s="20">
        <v>0</v>
      </c>
      <c r="L164" s="21">
        <v>1523.07</v>
      </c>
    </row>
    <row r="165" spans="1:12" x14ac:dyDescent="0.25">
      <c r="A165" s="20">
        <v>1410</v>
      </c>
      <c r="B165" s="20">
        <v>1793107958001</v>
      </c>
      <c r="C165" s="20" t="s">
        <v>43</v>
      </c>
      <c r="D165" s="22">
        <v>46042</v>
      </c>
      <c r="E165" s="20" t="s">
        <v>13</v>
      </c>
      <c r="F165" s="20">
        <v>7794</v>
      </c>
      <c r="G165" s="20">
        <v>845.76</v>
      </c>
      <c r="H165" s="20">
        <v>735.44</v>
      </c>
      <c r="I165" s="20">
        <v>0</v>
      </c>
      <c r="J165" s="20">
        <v>110.32</v>
      </c>
      <c r="K165" s="20">
        <v>0</v>
      </c>
      <c r="L165" s="20">
        <v>845.76</v>
      </c>
    </row>
    <row r="166" spans="1:12" x14ac:dyDescent="0.25">
      <c r="A166" s="20">
        <v>1410</v>
      </c>
      <c r="B166" s="20">
        <v>1793107958001</v>
      </c>
      <c r="C166" s="20" t="s">
        <v>43</v>
      </c>
      <c r="D166" s="22">
        <v>46042</v>
      </c>
      <c r="E166" s="20" t="s">
        <v>13</v>
      </c>
      <c r="F166" s="20">
        <v>7788</v>
      </c>
      <c r="G166" s="20">
        <v>396.58</v>
      </c>
      <c r="H166" s="20">
        <v>344.85</v>
      </c>
      <c r="I166" s="20">
        <v>0</v>
      </c>
      <c r="J166" s="20">
        <v>51.73</v>
      </c>
      <c r="K166" s="20">
        <v>0</v>
      </c>
      <c r="L166" s="20">
        <v>396.58</v>
      </c>
    </row>
    <row r="167" spans="1:12" x14ac:dyDescent="0.25">
      <c r="A167" s="20">
        <v>1410</v>
      </c>
      <c r="B167" s="20">
        <v>1793107958001</v>
      </c>
      <c r="C167" s="20" t="s">
        <v>43</v>
      </c>
      <c r="D167" s="22">
        <v>46043</v>
      </c>
      <c r="E167" s="20" t="s">
        <v>13</v>
      </c>
      <c r="F167" s="20">
        <v>5433</v>
      </c>
      <c r="G167" s="20">
        <v>269.08999999999997</v>
      </c>
      <c r="H167" s="20">
        <v>233.99</v>
      </c>
      <c r="I167" s="20">
        <v>0</v>
      </c>
      <c r="J167" s="20">
        <v>35.1</v>
      </c>
      <c r="K167" s="20">
        <v>0</v>
      </c>
      <c r="L167" s="20">
        <v>269.08999999999997</v>
      </c>
    </row>
    <row r="168" spans="1:12" x14ac:dyDescent="0.25">
      <c r="A168" s="20">
        <v>1410</v>
      </c>
      <c r="B168" s="20">
        <v>1793107958001</v>
      </c>
      <c r="C168" s="20" t="s">
        <v>43</v>
      </c>
      <c r="D168" s="22">
        <v>46043</v>
      </c>
      <c r="E168" s="20" t="s">
        <v>13</v>
      </c>
      <c r="F168" s="20">
        <v>7797</v>
      </c>
      <c r="G168" s="20">
        <v>529.59</v>
      </c>
      <c r="H168" s="20">
        <v>460.51</v>
      </c>
      <c r="I168" s="20">
        <v>0</v>
      </c>
      <c r="J168" s="20">
        <v>69.08</v>
      </c>
      <c r="K168" s="20">
        <v>0</v>
      </c>
      <c r="L168" s="20">
        <v>529.59</v>
      </c>
    </row>
    <row r="169" spans="1:12" x14ac:dyDescent="0.25">
      <c r="A169" s="20">
        <v>1410</v>
      </c>
      <c r="B169" s="20">
        <v>1793107958001</v>
      </c>
      <c r="C169" s="20" t="s">
        <v>43</v>
      </c>
      <c r="D169" s="22">
        <v>46043</v>
      </c>
      <c r="E169" s="20" t="s">
        <v>13</v>
      </c>
      <c r="F169" s="20">
        <v>7796</v>
      </c>
      <c r="G169" s="20">
        <v>10.63</v>
      </c>
      <c r="H169" s="20">
        <v>9.24</v>
      </c>
      <c r="I169" s="20">
        <v>0</v>
      </c>
      <c r="J169" s="20">
        <v>1.39</v>
      </c>
      <c r="K169" s="20">
        <v>0</v>
      </c>
      <c r="L169" s="20">
        <v>10.63</v>
      </c>
    </row>
    <row r="170" spans="1:12" x14ac:dyDescent="0.25">
      <c r="A170" s="20">
        <v>1410</v>
      </c>
      <c r="B170" s="20">
        <v>1793107958001</v>
      </c>
      <c r="C170" s="20" t="s">
        <v>43</v>
      </c>
      <c r="D170" s="22">
        <v>46043</v>
      </c>
      <c r="E170" s="20" t="s">
        <v>13</v>
      </c>
      <c r="F170" s="20">
        <v>7798</v>
      </c>
      <c r="G170" s="21">
        <v>1418.66</v>
      </c>
      <c r="H170" s="21">
        <v>1233.6199999999999</v>
      </c>
      <c r="I170" s="20">
        <v>0</v>
      </c>
      <c r="J170" s="20">
        <v>185.04</v>
      </c>
      <c r="K170" s="20">
        <v>0</v>
      </c>
      <c r="L170" s="21">
        <v>1418.66</v>
      </c>
    </row>
    <row r="171" spans="1:12" x14ac:dyDescent="0.25">
      <c r="A171" s="20">
        <v>1410</v>
      </c>
      <c r="B171" s="20">
        <v>1793107958001</v>
      </c>
      <c r="C171" s="20" t="s">
        <v>43</v>
      </c>
      <c r="D171" s="22">
        <v>46044</v>
      </c>
      <c r="E171" s="20" t="s">
        <v>13</v>
      </c>
      <c r="F171" s="20">
        <v>5439</v>
      </c>
      <c r="G171" s="20">
        <v>182.21</v>
      </c>
      <c r="H171" s="20">
        <v>158.44</v>
      </c>
      <c r="I171" s="20">
        <v>0</v>
      </c>
      <c r="J171" s="20">
        <v>23.77</v>
      </c>
      <c r="K171" s="20">
        <v>0</v>
      </c>
      <c r="L171" s="20">
        <v>182.21</v>
      </c>
    </row>
    <row r="172" spans="1:12" x14ac:dyDescent="0.25">
      <c r="A172" s="20">
        <v>1410</v>
      </c>
      <c r="B172" s="20">
        <v>1793107958001</v>
      </c>
      <c r="C172" s="20" t="s">
        <v>43</v>
      </c>
      <c r="D172" s="22">
        <v>46044</v>
      </c>
      <c r="E172" s="20" t="s">
        <v>13</v>
      </c>
      <c r="F172" s="20">
        <v>7810</v>
      </c>
      <c r="G172" s="20">
        <v>964.54</v>
      </c>
      <c r="H172" s="20">
        <v>838.73</v>
      </c>
      <c r="I172" s="20">
        <v>0</v>
      </c>
      <c r="J172" s="20">
        <v>125.81</v>
      </c>
      <c r="K172" s="20">
        <v>0</v>
      </c>
      <c r="L172" s="20">
        <v>964.54</v>
      </c>
    </row>
    <row r="173" spans="1:12" x14ac:dyDescent="0.25">
      <c r="A173" s="20">
        <v>1410</v>
      </c>
      <c r="B173" s="20">
        <v>1793107958001</v>
      </c>
      <c r="C173" s="20" t="s">
        <v>43</v>
      </c>
      <c r="D173" s="22">
        <v>46044</v>
      </c>
      <c r="E173" s="20" t="s">
        <v>13</v>
      </c>
      <c r="F173" s="20">
        <v>7806</v>
      </c>
      <c r="G173" s="20">
        <v>544.09</v>
      </c>
      <c r="H173" s="20">
        <v>473.12</v>
      </c>
      <c r="I173" s="20">
        <v>0</v>
      </c>
      <c r="J173" s="20">
        <v>70.97</v>
      </c>
      <c r="K173" s="20">
        <v>0</v>
      </c>
      <c r="L173" s="20">
        <v>544.09</v>
      </c>
    </row>
    <row r="174" spans="1:12" x14ac:dyDescent="0.25">
      <c r="A174" s="20">
        <v>1410</v>
      </c>
      <c r="B174" s="20">
        <v>1793107958001</v>
      </c>
      <c r="C174" s="20" t="s">
        <v>43</v>
      </c>
      <c r="D174" s="22">
        <v>46044</v>
      </c>
      <c r="E174" s="20" t="s">
        <v>13</v>
      </c>
      <c r="F174" s="20">
        <v>5449</v>
      </c>
      <c r="G174" s="21">
        <v>1105.0999999999999</v>
      </c>
      <c r="H174" s="20">
        <v>960.96</v>
      </c>
      <c r="I174" s="20">
        <v>0</v>
      </c>
      <c r="J174" s="20">
        <v>144.13999999999999</v>
      </c>
      <c r="K174" s="20">
        <v>0</v>
      </c>
      <c r="L174" s="21">
        <v>1105.0999999999999</v>
      </c>
    </row>
    <row r="175" spans="1:12" x14ac:dyDescent="0.25">
      <c r="A175" s="20">
        <v>1410</v>
      </c>
      <c r="B175" s="20">
        <v>1793107958001</v>
      </c>
      <c r="C175" s="20" t="s">
        <v>43</v>
      </c>
      <c r="D175" s="22">
        <v>46044</v>
      </c>
      <c r="E175" s="20" t="s">
        <v>13</v>
      </c>
      <c r="F175" s="20">
        <v>5451</v>
      </c>
      <c r="G175" s="20">
        <v>147.19999999999999</v>
      </c>
      <c r="H175" s="20">
        <v>128</v>
      </c>
      <c r="I175" s="20">
        <v>0</v>
      </c>
      <c r="J175" s="20">
        <v>19.2</v>
      </c>
      <c r="K175" s="20">
        <v>0</v>
      </c>
      <c r="L175" s="20">
        <v>147.19999999999999</v>
      </c>
    </row>
    <row r="176" spans="1:12" x14ac:dyDescent="0.25">
      <c r="A176" s="20">
        <v>1410</v>
      </c>
      <c r="B176" s="20">
        <v>1793107958001</v>
      </c>
      <c r="C176" s="20" t="s">
        <v>43</v>
      </c>
      <c r="D176" s="22">
        <v>46045</v>
      </c>
      <c r="E176" s="20" t="s">
        <v>13</v>
      </c>
      <c r="F176" s="20">
        <v>7813</v>
      </c>
      <c r="G176" s="20">
        <v>75.44</v>
      </c>
      <c r="H176" s="20">
        <v>65.599999999999994</v>
      </c>
      <c r="I176" s="20">
        <v>0</v>
      </c>
      <c r="J176" s="20">
        <v>9.84</v>
      </c>
      <c r="K176" s="20">
        <v>0</v>
      </c>
      <c r="L176" s="20">
        <v>75.44</v>
      </c>
    </row>
    <row r="177" spans="1:12" x14ac:dyDescent="0.25">
      <c r="A177" s="20">
        <v>1410</v>
      </c>
      <c r="B177" s="20">
        <v>1793107958001</v>
      </c>
      <c r="C177" s="20" t="s">
        <v>43</v>
      </c>
      <c r="D177" s="22">
        <v>46045</v>
      </c>
      <c r="E177" s="20" t="s">
        <v>13</v>
      </c>
      <c r="F177" s="20">
        <v>5450</v>
      </c>
      <c r="G177" s="20">
        <v>335.62</v>
      </c>
      <c r="H177" s="20">
        <v>291.83999999999997</v>
      </c>
      <c r="I177" s="20">
        <v>0</v>
      </c>
      <c r="J177" s="20">
        <v>43.78</v>
      </c>
      <c r="K177" s="20">
        <v>0</v>
      </c>
      <c r="L177" s="20">
        <v>335.62</v>
      </c>
    </row>
    <row r="178" spans="1:12" x14ac:dyDescent="0.25">
      <c r="A178" s="20">
        <v>1410</v>
      </c>
      <c r="B178" s="20">
        <v>1793107958001</v>
      </c>
      <c r="C178" s="20" t="s">
        <v>43</v>
      </c>
      <c r="D178" s="22">
        <v>46046</v>
      </c>
      <c r="E178" s="20" t="s">
        <v>13</v>
      </c>
      <c r="F178" s="20">
        <v>7821</v>
      </c>
      <c r="G178" s="21">
        <v>5583.88</v>
      </c>
      <c r="H178" s="21">
        <v>4855.55</v>
      </c>
      <c r="I178" s="20">
        <v>0</v>
      </c>
      <c r="J178" s="20">
        <v>728.33</v>
      </c>
      <c r="K178" s="20">
        <v>0</v>
      </c>
      <c r="L178" s="21">
        <v>5583.88</v>
      </c>
    </row>
    <row r="179" spans="1:12" x14ac:dyDescent="0.25">
      <c r="A179" s="20">
        <v>1410</v>
      </c>
      <c r="B179" s="20">
        <v>1793107958001</v>
      </c>
      <c r="C179" s="20" t="s">
        <v>43</v>
      </c>
      <c r="D179" s="22">
        <v>46046</v>
      </c>
      <c r="E179" s="20" t="s">
        <v>13</v>
      </c>
      <c r="F179" s="20">
        <v>7817</v>
      </c>
      <c r="G179" s="20">
        <v>16.329999999999998</v>
      </c>
      <c r="H179" s="20">
        <v>14.2</v>
      </c>
      <c r="I179" s="20">
        <v>0</v>
      </c>
      <c r="J179" s="20">
        <v>2.13</v>
      </c>
      <c r="K179" s="20">
        <v>0</v>
      </c>
      <c r="L179" s="20">
        <v>16.329999999999998</v>
      </c>
    </row>
    <row r="180" spans="1:12" x14ac:dyDescent="0.25">
      <c r="A180" s="20">
        <v>1410</v>
      </c>
      <c r="B180" s="20">
        <v>1793107958001</v>
      </c>
      <c r="C180" s="20" t="s">
        <v>43</v>
      </c>
      <c r="D180" s="22">
        <v>46046</v>
      </c>
      <c r="E180" s="20" t="s">
        <v>13</v>
      </c>
      <c r="F180" s="20">
        <v>7820</v>
      </c>
      <c r="G180" s="20">
        <v>20</v>
      </c>
      <c r="H180" s="20">
        <v>17.39</v>
      </c>
      <c r="I180" s="20">
        <v>0</v>
      </c>
      <c r="J180" s="20">
        <v>2.61</v>
      </c>
      <c r="K180" s="20">
        <v>0</v>
      </c>
      <c r="L180" s="20">
        <v>20</v>
      </c>
    </row>
    <row r="181" spans="1:12" x14ac:dyDescent="0.25">
      <c r="A181" s="20">
        <v>1410</v>
      </c>
      <c r="B181" s="20">
        <v>1793107958001</v>
      </c>
      <c r="C181" s="20" t="s">
        <v>43</v>
      </c>
      <c r="D181" s="22">
        <v>46046</v>
      </c>
      <c r="E181" s="20" t="s">
        <v>13</v>
      </c>
      <c r="F181" s="20">
        <v>5462</v>
      </c>
      <c r="G181" s="20">
        <v>266.5</v>
      </c>
      <c r="H181" s="20">
        <v>231.74</v>
      </c>
      <c r="I181" s="20">
        <v>0</v>
      </c>
      <c r="J181" s="20">
        <v>34.76</v>
      </c>
      <c r="K181" s="20">
        <v>0</v>
      </c>
      <c r="L181" s="20">
        <v>266.5</v>
      </c>
    </row>
    <row r="182" spans="1:12" x14ac:dyDescent="0.25">
      <c r="A182" s="20">
        <v>1410</v>
      </c>
      <c r="B182" s="20">
        <v>1793107958001</v>
      </c>
      <c r="C182" s="20" t="s">
        <v>43</v>
      </c>
      <c r="D182" s="22">
        <v>46046</v>
      </c>
      <c r="E182" s="20" t="s">
        <v>13</v>
      </c>
      <c r="F182" s="20">
        <v>5447</v>
      </c>
      <c r="G182" s="20">
        <v>322.36</v>
      </c>
      <c r="H182" s="20">
        <v>280.31</v>
      </c>
      <c r="I182" s="20">
        <v>0</v>
      </c>
      <c r="J182" s="20">
        <v>42.05</v>
      </c>
      <c r="K182" s="20">
        <v>0</v>
      </c>
      <c r="L182" s="20">
        <v>322.36</v>
      </c>
    </row>
    <row r="183" spans="1:12" x14ac:dyDescent="0.25">
      <c r="A183" s="20">
        <v>1410</v>
      </c>
      <c r="B183" s="20">
        <v>1793107958001</v>
      </c>
      <c r="C183" s="20" t="s">
        <v>43</v>
      </c>
      <c r="D183" s="22">
        <v>46046</v>
      </c>
      <c r="E183" s="20" t="s">
        <v>13</v>
      </c>
      <c r="F183" s="20">
        <v>5442</v>
      </c>
      <c r="G183" s="20">
        <v>692.94</v>
      </c>
      <c r="H183" s="20">
        <v>602.55999999999995</v>
      </c>
      <c r="I183" s="20">
        <v>0</v>
      </c>
      <c r="J183" s="20">
        <v>90.38</v>
      </c>
      <c r="K183" s="20">
        <v>0</v>
      </c>
      <c r="L183" s="20">
        <v>692.94</v>
      </c>
    </row>
    <row r="184" spans="1:12" x14ac:dyDescent="0.25">
      <c r="A184" s="20">
        <v>1410</v>
      </c>
      <c r="B184" s="20">
        <v>1793107958001</v>
      </c>
      <c r="C184" s="20" t="s">
        <v>43</v>
      </c>
      <c r="D184" s="22">
        <v>46046</v>
      </c>
      <c r="E184" s="20" t="s">
        <v>13</v>
      </c>
      <c r="F184" s="20">
        <v>7809</v>
      </c>
      <c r="G184" s="20">
        <v>88.83</v>
      </c>
      <c r="H184" s="20">
        <v>77.239999999999995</v>
      </c>
      <c r="I184" s="20">
        <v>0</v>
      </c>
      <c r="J184" s="20">
        <v>11.59</v>
      </c>
      <c r="K184" s="20">
        <v>0</v>
      </c>
      <c r="L184" s="20">
        <v>88.83</v>
      </c>
    </row>
    <row r="185" spans="1:12" x14ac:dyDescent="0.25">
      <c r="A185" s="20">
        <v>1410</v>
      </c>
      <c r="B185" s="20">
        <v>1793107958001</v>
      </c>
      <c r="C185" s="20" t="s">
        <v>43</v>
      </c>
      <c r="D185" s="22">
        <v>46046</v>
      </c>
      <c r="E185" s="20" t="s">
        <v>13</v>
      </c>
      <c r="F185" s="20">
        <v>5466</v>
      </c>
      <c r="G185" s="20">
        <v>338.56</v>
      </c>
      <c r="H185" s="20">
        <v>294.39999999999998</v>
      </c>
      <c r="I185" s="20">
        <v>0</v>
      </c>
      <c r="J185" s="20">
        <v>44.16</v>
      </c>
      <c r="K185" s="20">
        <v>0</v>
      </c>
      <c r="L185" s="20">
        <v>338.56</v>
      </c>
    </row>
    <row r="186" spans="1:12" x14ac:dyDescent="0.25">
      <c r="A186" s="20">
        <v>1410</v>
      </c>
      <c r="B186" s="20">
        <v>1793107958001</v>
      </c>
      <c r="C186" s="20" t="s">
        <v>43</v>
      </c>
      <c r="D186" s="22">
        <v>46049</v>
      </c>
      <c r="E186" s="20" t="s">
        <v>13</v>
      </c>
      <c r="F186" s="20">
        <v>7832</v>
      </c>
      <c r="G186" s="20">
        <v>784.39</v>
      </c>
      <c r="H186" s="20">
        <v>682.08</v>
      </c>
      <c r="I186" s="20">
        <v>0</v>
      </c>
      <c r="J186" s="20">
        <v>102.31</v>
      </c>
      <c r="K186" s="20">
        <v>0</v>
      </c>
      <c r="L186" s="20">
        <v>784.39</v>
      </c>
    </row>
    <row r="187" spans="1:12" x14ac:dyDescent="0.25">
      <c r="A187" s="20">
        <v>1410</v>
      </c>
      <c r="B187" s="20">
        <v>1793107958001</v>
      </c>
      <c r="C187" s="20" t="s">
        <v>43</v>
      </c>
      <c r="D187" s="22">
        <v>46049</v>
      </c>
      <c r="E187" s="20" t="s">
        <v>13</v>
      </c>
      <c r="F187" s="20">
        <v>7823</v>
      </c>
      <c r="G187" s="20">
        <v>1.7</v>
      </c>
      <c r="H187" s="20">
        <v>1.48</v>
      </c>
      <c r="I187" s="20">
        <v>0</v>
      </c>
      <c r="J187" s="20">
        <v>0.22</v>
      </c>
      <c r="K187" s="20">
        <v>0</v>
      </c>
      <c r="L187" s="20">
        <v>1.7</v>
      </c>
    </row>
    <row r="188" spans="1:12" x14ac:dyDescent="0.25">
      <c r="A188" s="20">
        <v>1410</v>
      </c>
      <c r="B188" s="20">
        <v>1793107958001</v>
      </c>
      <c r="C188" s="20" t="s">
        <v>43</v>
      </c>
      <c r="D188" s="22">
        <v>46049</v>
      </c>
      <c r="E188" s="20" t="s">
        <v>13</v>
      </c>
      <c r="F188" s="20">
        <v>5476</v>
      </c>
      <c r="G188" s="20">
        <v>164.7</v>
      </c>
      <c r="H188" s="20">
        <v>143.22</v>
      </c>
      <c r="I188" s="20">
        <v>0</v>
      </c>
      <c r="J188" s="20">
        <v>21.48</v>
      </c>
      <c r="K188" s="20">
        <v>0</v>
      </c>
      <c r="L188" s="20">
        <v>164.7</v>
      </c>
    </row>
    <row r="189" spans="1:12" x14ac:dyDescent="0.25">
      <c r="A189" s="20">
        <v>1410</v>
      </c>
      <c r="B189" s="20">
        <v>1793107958001</v>
      </c>
      <c r="C189" s="20" t="s">
        <v>43</v>
      </c>
      <c r="D189" s="22">
        <v>46050</v>
      </c>
      <c r="E189" s="20" t="s">
        <v>13</v>
      </c>
      <c r="F189" s="20">
        <v>7834</v>
      </c>
      <c r="G189" s="20">
        <v>609.84</v>
      </c>
      <c r="H189" s="20">
        <v>530.29999999999995</v>
      </c>
      <c r="I189" s="20">
        <v>0</v>
      </c>
      <c r="J189" s="20">
        <v>79.540000000000006</v>
      </c>
      <c r="K189" s="20">
        <v>0</v>
      </c>
      <c r="L189" s="20">
        <v>609.84</v>
      </c>
    </row>
    <row r="190" spans="1:12" x14ac:dyDescent="0.25">
      <c r="A190" s="20">
        <v>1410</v>
      </c>
      <c r="B190" s="20">
        <v>1793107958001</v>
      </c>
      <c r="C190" s="20" t="s">
        <v>43</v>
      </c>
      <c r="D190" s="22">
        <v>46050</v>
      </c>
      <c r="E190" s="20" t="s">
        <v>13</v>
      </c>
      <c r="F190" s="20">
        <v>7822</v>
      </c>
      <c r="G190" s="20">
        <v>250.75</v>
      </c>
      <c r="H190" s="20">
        <v>218.04</v>
      </c>
      <c r="I190" s="20">
        <v>0</v>
      </c>
      <c r="J190" s="20">
        <v>32.71</v>
      </c>
      <c r="K190" s="20">
        <v>0</v>
      </c>
      <c r="L190" s="20">
        <v>250.75</v>
      </c>
    </row>
    <row r="191" spans="1:12" x14ac:dyDescent="0.25">
      <c r="A191" s="20">
        <v>1410</v>
      </c>
      <c r="B191" s="20">
        <v>1793107958001</v>
      </c>
      <c r="C191" s="20" t="s">
        <v>43</v>
      </c>
      <c r="D191" s="22">
        <v>46050</v>
      </c>
      <c r="E191" s="20" t="s">
        <v>13</v>
      </c>
      <c r="F191" s="20">
        <v>7829</v>
      </c>
      <c r="G191" s="20">
        <v>153.88</v>
      </c>
      <c r="H191" s="20">
        <v>133.81</v>
      </c>
      <c r="I191" s="20">
        <v>0</v>
      </c>
      <c r="J191" s="20">
        <v>20.07</v>
      </c>
      <c r="K191" s="20">
        <v>0</v>
      </c>
      <c r="L191" s="20">
        <v>153.88</v>
      </c>
    </row>
    <row r="192" spans="1:12" x14ac:dyDescent="0.25">
      <c r="A192" s="20">
        <v>1410</v>
      </c>
      <c r="B192" s="20">
        <v>1793107958001</v>
      </c>
      <c r="C192" s="20" t="s">
        <v>43</v>
      </c>
      <c r="D192" s="22">
        <v>46050</v>
      </c>
      <c r="E192" s="20" t="s">
        <v>13</v>
      </c>
      <c r="F192" s="20">
        <v>7849</v>
      </c>
      <c r="G192" s="20">
        <v>24.1</v>
      </c>
      <c r="H192" s="20">
        <v>20.96</v>
      </c>
      <c r="I192" s="20">
        <v>0</v>
      </c>
      <c r="J192" s="20">
        <v>3.14</v>
      </c>
      <c r="K192" s="20">
        <v>0</v>
      </c>
      <c r="L192" s="20">
        <v>24.1</v>
      </c>
    </row>
    <row r="193" spans="1:12" x14ac:dyDescent="0.25">
      <c r="A193" s="20">
        <v>1410</v>
      </c>
      <c r="B193" s="20">
        <v>1793107958001</v>
      </c>
      <c r="C193" s="20" t="s">
        <v>43</v>
      </c>
      <c r="D193" s="22">
        <v>46050</v>
      </c>
      <c r="E193" s="20" t="s">
        <v>13</v>
      </c>
      <c r="F193" s="20">
        <v>7845</v>
      </c>
      <c r="G193" s="20">
        <v>71.88</v>
      </c>
      <c r="H193" s="20">
        <v>62.5</v>
      </c>
      <c r="I193" s="20">
        <v>0</v>
      </c>
      <c r="J193" s="20">
        <v>9.3800000000000008</v>
      </c>
      <c r="K193" s="20">
        <v>0</v>
      </c>
      <c r="L193" s="20">
        <v>71.88</v>
      </c>
    </row>
    <row r="194" spans="1:12" x14ac:dyDescent="0.25">
      <c r="A194" s="20">
        <v>1410</v>
      </c>
      <c r="B194" s="20">
        <v>1793107958001</v>
      </c>
      <c r="C194" s="20" t="s">
        <v>43</v>
      </c>
      <c r="D194" s="22">
        <v>46050</v>
      </c>
      <c r="E194" s="20" t="s">
        <v>13</v>
      </c>
      <c r="F194" s="20">
        <v>7824</v>
      </c>
      <c r="G194" s="20">
        <v>1.7</v>
      </c>
      <c r="H194" s="20">
        <v>1.48</v>
      </c>
      <c r="I194" s="20">
        <v>0</v>
      </c>
      <c r="J194" s="20">
        <v>0.22</v>
      </c>
      <c r="K194" s="20">
        <v>0</v>
      </c>
      <c r="L194" s="20">
        <v>1.7</v>
      </c>
    </row>
    <row r="195" spans="1:12" x14ac:dyDescent="0.25">
      <c r="A195" s="20">
        <v>1410</v>
      </c>
      <c r="B195" s="20">
        <v>1793107958001</v>
      </c>
      <c r="C195" s="20" t="s">
        <v>43</v>
      </c>
      <c r="D195" s="22">
        <v>46051</v>
      </c>
      <c r="E195" s="20" t="s">
        <v>13</v>
      </c>
      <c r="F195" s="20">
        <v>5492</v>
      </c>
      <c r="G195" s="20">
        <v>767.52</v>
      </c>
      <c r="H195" s="20">
        <v>667.41</v>
      </c>
      <c r="I195" s="20">
        <v>0</v>
      </c>
      <c r="J195" s="20">
        <v>100.11</v>
      </c>
      <c r="K195" s="20">
        <v>0</v>
      </c>
      <c r="L195" s="20">
        <v>767.52</v>
      </c>
    </row>
    <row r="196" spans="1:12" x14ac:dyDescent="0.25">
      <c r="A196" s="20">
        <v>1410</v>
      </c>
      <c r="B196" s="20">
        <v>1793107958001</v>
      </c>
      <c r="C196" s="20" t="s">
        <v>43</v>
      </c>
      <c r="D196" s="22">
        <v>46051</v>
      </c>
      <c r="E196" s="20" t="s">
        <v>13</v>
      </c>
      <c r="F196" s="20">
        <v>7852</v>
      </c>
      <c r="G196" s="20">
        <v>323.58999999999997</v>
      </c>
      <c r="H196" s="20">
        <v>281.38</v>
      </c>
      <c r="I196" s="20">
        <v>0</v>
      </c>
      <c r="J196" s="20">
        <v>42.21</v>
      </c>
      <c r="K196" s="20">
        <v>0</v>
      </c>
      <c r="L196" s="20">
        <v>323.58999999999997</v>
      </c>
    </row>
    <row r="197" spans="1:12" x14ac:dyDescent="0.25">
      <c r="A197" s="20">
        <v>1410</v>
      </c>
      <c r="B197" s="20">
        <v>1793107958001</v>
      </c>
      <c r="C197" s="20" t="s">
        <v>43</v>
      </c>
      <c r="D197" s="22">
        <v>46051</v>
      </c>
      <c r="E197" s="20" t="s">
        <v>13</v>
      </c>
      <c r="F197" s="20">
        <v>5490</v>
      </c>
      <c r="G197" s="21">
        <v>2486.17</v>
      </c>
      <c r="H197" s="21">
        <v>2161.89</v>
      </c>
      <c r="I197" s="20">
        <v>0</v>
      </c>
      <c r="J197" s="20">
        <v>324.27999999999997</v>
      </c>
      <c r="K197" s="20">
        <v>0</v>
      </c>
      <c r="L197" s="21">
        <v>2486.17</v>
      </c>
    </row>
    <row r="198" spans="1:12" x14ac:dyDescent="0.25">
      <c r="A198" s="20">
        <v>1410</v>
      </c>
      <c r="B198" s="20">
        <v>1793107958001</v>
      </c>
      <c r="C198" s="20" t="s">
        <v>43</v>
      </c>
      <c r="D198" s="22">
        <v>46051</v>
      </c>
      <c r="E198" s="20" t="s">
        <v>13</v>
      </c>
      <c r="F198" s="20">
        <v>7855</v>
      </c>
      <c r="G198" s="20">
        <v>91.06</v>
      </c>
      <c r="H198" s="20">
        <v>79.180000000000007</v>
      </c>
      <c r="I198" s="20">
        <v>0</v>
      </c>
      <c r="J198" s="20">
        <v>11.88</v>
      </c>
      <c r="K198" s="20">
        <v>0</v>
      </c>
      <c r="L198" s="20">
        <v>91.06</v>
      </c>
    </row>
    <row r="199" spans="1:12" x14ac:dyDescent="0.25">
      <c r="A199" s="20">
        <v>1410</v>
      </c>
      <c r="B199" s="20">
        <v>1793107958001</v>
      </c>
      <c r="C199" s="20" t="s">
        <v>43</v>
      </c>
      <c r="D199" s="22">
        <v>46051</v>
      </c>
      <c r="E199" s="20" t="s">
        <v>13</v>
      </c>
      <c r="F199" s="20">
        <v>7862</v>
      </c>
      <c r="G199" s="20">
        <v>27.21</v>
      </c>
      <c r="H199" s="20">
        <v>23.66</v>
      </c>
      <c r="I199" s="20">
        <v>0</v>
      </c>
      <c r="J199" s="20">
        <v>3.55</v>
      </c>
      <c r="K199" s="20">
        <v>0</v>
      </c>
      <c r="L199" s="20">
        <v>27.21</v>
      </c>
    </row>
    <row r="200" spans="1:12" x14ac:dyDescent="0.25">
      <c r="A200" s="20">
        <v>1410</v>
      </c>
      <c r="B200" s="20">
        <v>1793107958001</v>
      </c>
      <c r="C200" s="20" t="s">
        <v>43</v>
      </c>
      <c r="D200" s="22">
        <v>46051</v>
      </c>
      <c r="E200" s="20" t="s">
        <v>13</v>
      </c>
      <c r="F200" s="20">
        <v>7858</v>
      </c>
      <c r="G200" s="20">
        <v>41.83</v>
      </c>
      <c r="H200" s="20">
        <v>36.369999999999997</v>
      </c>
      <c r="I200" s="20">
        <v>0</v>
      </c>
      <c r="J200" s="20">
        <v>5.46</v>
      </c>
      <c r="K200" s="20">
        <v>0</v>
      </c>
      <c r="L200" s="20">
        <v>41.83</v>
      </c>
    </row>
    <row r="201" spans="1:12" x14ac:dyDescent="0.25">
      <c r="A201" s="20">
        <v>1410</v>
      </c>
      <c r="B201" s="20">
        <v>1793107958001</v>
      </c>
      <c r="C201" s="20" t="s">
        <v>43</v>
      </c>
      <c r="D201" s="22">
        <v>46051</v>
      </c>
      <c r="E201" s="20" t="s">
        <v>13</v>
      </c>
      <c r="F201" s="20">
        <v>7853</v>
      </c>
      <c r="G201" s="20">
        <v>468.07</v>
      </c>
      <c r="H201" s="20">
        <v>407.02</v>
      </c>
      <c r="I201" s="20">
        <v>0</v>
      </c>
      <c r="J201" s="20">
        <v>61.05</v>
      </c>
      <c r="K201" s="20">
        <v>0</v>
      </c>
      <c r="L201" s="20">
        <v>468.07</v>
      </c>
    </row>
    <row r="202" spans="1:12" x14ac:dyDescent="0.25">
      <c r="A202" s="20">
        <v>1410</v>
      </c>
      <c r="B202" s="20">
        <v>1793107958001</v>
      </c>
      <c r="C202" s="20" t="s">
        <v>43</v>
      </c>
      <c r="D202" s="22">
        <v>46052</v>
      </c>
      <c r="E202" s="20" t="s">
        <v>13</v>
      </c>
      <c r="F202" s="20">
        <v>5494</v>
      </c>
      <c r="G202" s="20">
        <v>898.29</v>
      </c>
      <c r="H202" s="20">
        <v>781.12</v>
      </c>
      <c r="I202" s="20">
        <v>0</v>
      </c>
      <c r="J202" s="20">
        <v>117.17</v>
      </c>
      <c r="K202" s="20">
        <v>0</v>
      </c>
      <c r="L202" s="20">
        <v>898.29</v>
      </c>
    </row>
    <row r="203" spans="1:12" x14ac:dyDescent="0.25">
      <c r="A203" s="20">
        <v>1410</v>
      </c>
      <c r="B203" s="20">
        <v>1793107958001</v>
      </c>
      <c r="C203" s="20" t="s">
        <v>43</v>
      </c>
      <c r="D203" s="22">
        <v>46052</v>
      </c>
      <c r="E203" s="20" t="s">
        <v>13</v>
      </c>
      <c r="F203" s="20">
        <v>7859</v>
      </c>
      <c r="G203" s="20">
        <v>390.03</v>
      </c>
      <c r="H203" s="20">
        <v>339.16</v>
      </c>
      <c r="I203" s="20">
        <v>0</v>
      </c>
      <c r="J203" s="20">
        <v>50.87</v>
      </c>
      <c r="K203" s="20">
        <v>0</v>
      </c>
      <c r="L203" s="20">
        <v>390.03</v>
      </c>
    </row>
    <row r="204" spans="1:12" x14ac:dyDescent="0.25">
      <c r="A204" s="20">
        <v>1410</v>
      </c>
      <c r="B204" s="20">
        <v>1793107958001</v>
      </c>
      <c r="C204" s="20" t="s">
        <v>43</v>
      </c>
      <c r="D204" s="22">
        <v>46052</v>
      </c>
      <c r="E204" s="20" t="s">
        <v>13</v>
      </c>
      <c r="F204" s="20">
        <v>7860</v>
      </c>
      <c r="G204" s="20">
        <v>69.91</v>
      </c>
      <c r="H204" s="20">
        <v>60.79</v>
      </c>
      <c r="I204" s="20">
        <v>0</v>
      </c>
      <c r="J204" s="20">
        <v>9.1199999999999992</v>
      </c>
      <c r="K204" s="20">
        <v>0</v>
      </c>
      <c r="L204" s="20">
        <v>69.91</v>
      </c>
    </row>
    <row r="205" spans="1:12" x14ac:dyDescent="0.25">
      <c r="A205" s="20">
        <v>1410</v>
      </c>
      <c r="B205" s="20">
        <v>1793107958001</v>
      </c>
      <c r="C205" s="20" t="s">
        <v>43</v>
      </c>
      <c r="D205" s="22">
        <v>46052</v>
      </c>
      <c r="E205" s="20" t="s">
        <v>13</v>
      </c>
      <c r="F205" s="20">
        <v>7867</v>
      </c>
      <c r="G205" s="20">
        <v>387.58</v>
      </c>
      <c r="H205" s="20">
        <v>337.03</v>
      </c>
      <c r="I205" s="20">
        <v>0</v>
      </c>
      <c r="J205" s="20">
        <v>50.55</v>
      </c>
      <c r="K205" s="20">
        <v>0</v>
      </c>
      <c r="L205" s="20">
        <v>387.58</v>
      </c>
    </row>
    <row r="206" spans="1:12" x14ac:dyDescent="0.25">
      <c r="A206" s="20">
        <v>1410</v>
      </c>
      <c r="B206" s="20">
        <v>1793107958001</v>
      </c>
      <c r="C206" s="20" t="s">
        <v>43</v>
      </c>
      <c r="D206" s="22">
        <v>46052</v>
      </c>
      <c r="E206" s="20" t="s">
        <v>13</v>
      </c>
      <c r="F206" s="20">
        <v>7861</v>
      </c>
      <c r="G206" s="20">
        <v>7.25</v>
      </c>
      <c r="H206" s="20">
        <v>6.3</v>
      </c>
      <c r="I206" s="20">
        <v>0</v>
      </c>
      <c r="J206" s="20">
        <v>0.95</v>
      </c>
      <c r="K206" s="20">
        <v>0</v>
      </c>
      <c r="L206" s="20">
        <v>7.25</v>
      </c>
    </row>
    <row r="207" spans="1:12" x14ac:dyDescent="0.25">
      <c r="A207" s="20">
        <v>1410</v>
      </c>
      <c r="B207" s="20">
        <v>1793107958001</v>
      </c>
      <c r="C207" s="20" t="s">
        <v>43</v>
      </c>
      <c r="D207" s="22">
        <v>46053</v>
      </c>
      <c r="E207" s="20" t="s">
        <v>13</v>
      </c>
      <c r="F207" s="20">
        <v>7868</v>
      </c>
      <c r="G207" s="20">
        <v>33.200000000000003</v>
      </c>
      <c r="H207" s="20">
        <v>28.87</v>
      </c>
      <c r="I207" s="20">
        <v>0</v>
      </c>
      <c r="J207" s="20">
        <v>4.33</v>
      </c>
      <c r="K207" s="20">
        <v>0</v>
      </c>
      <c r="L207" s="20">
        <v>33.200000000000003</v>
      </c>
    </row>
    <row r="208" spans="1:12" x14ac:dyDescent="0.25">
      <c r="A208" s="20">
        <v>1792</v>
      </c>
      <c r="B208" s="20">
        <v>1793162797001</v>
      </c>
      <c r="C208" s="20" t="s">
        <v>46</v>
      </c>
      <c r="D208" s="22">
        <v>46030</v>
      </c>
      <c r="E208" s="20" t="s">
        <v>13</v>
      </c>
      <c r="F208" s="20">
        <v>509</v>
      </c>
      <c r="G208" s="20">
        <v>227.57</v>
      </c>
      <c r="H208" s="20">
        <v>209.26</v>
      </c>
      <c r="I208" s="20">
        <v>0</v>
      </c>
      <c r="J208" s="20">
        <v>31.39</v>
      </c>
      <c r="K208" s="20">
        <v>13.08</v>
      </c>
      <c r="L208" s="20">
        <v>227.57</v>
      </c>
    </row>
    <row r="209" spans="1:12" x14ac:dyDescent="0.25">
      <c r="A209" s="20">
        <v>1792</v>
      </c>
      <c r="B209" s="20">
        <v>1793162797001</v>
      </c>
      <c r="C209" s="20" t="s">
        <v>46</v>
      </c>
      <c r="D209" s="22">
        <v>46030</v>
      </c>
      <c r="E209" s="20" t="s">
        <v>13</v>
      </c>
      <c r="F209" s="20">
        <v>508</v>
      </c>
      <c r="G209" s="20">
        <v>156.04</v>
      </c>
      <c r="H209" s="20">
        <v>143.49</v>
      </c>
      <c r="I209" s="20">
        <v>0</v>
      </c>
      <c r="J209" s="20">
        <v>21.52</v>
      </c>
      <c r="K209" s="20">
        <v>8.9700000000000006</v>
      </c>
      <c r="L209" s="20">
        <v>156.04</v>
      </c>
    </row>
    <row r="210" spans="1:12" x14ac:dyDescent="0.25">
      <c r="A210" s="20">
        <v>1792</v>
      </c>
      <c r="B210" s="20">
        <v>1793162797001</v>
      </c>
      <c r="C210" s="20" t="s">
        <v>46</v>
      </c>
      <c r="D210" s="22">
        <v>46032</v>
      </c>
      <c r="E210" s="20" t="s">
        <v>13</v>
      </c>
      <c r="F210" s="20">
        <v>519</v>
      </c>
      <c r="G210" s="20">
        <v>119.34</v>
      </c>
      <c r="H210" s="20">
        <v>109.74</v>
      </c>
      <c r="I210" s="20">
        <v>0</v>
      </c>
      <c r="J210" s="20">
        <v>16.46</v>
      </c>
      <c r="K210" s="20">
        <v>6.86</v>
      </c>
      <c r="L210" s="20">
        <v>119.34</v>
      </c>
    </row>
    <row r="211" spans="1:12" x14ac:dyDescent="0.25">
      <c r="A211" s="20">
        <v>1792</v>
      </c>
      <c r="B211" s="20">
        <v>1793162797001</v>
      </c>
      <c r="C211" s="20" t="s">
        <v>46</v>
      </c>
      <c r="D211" s="22">
        <v>46032</v>
      </c>
      <c r="E211" s="20" t="s">
        <v>13</v>
      </c>
      <c r="F211" s="20">
        <v>515</v>
      </c>
      <c r="G211" s="20">
        <v>153.32</v>
      </c>
      <c r="H211" s="20">
        <v>140.99</v>
      </c>
      <c r="I211" s="20">
        <v>0</v>
      </c>
      <c r="J211" s="20">
        <v>21.15</v>
      </c>
      <c r="K211" s="20">
        <v>8.82</v>
      </c>
      <c r="L211" s="20">
        <v>153.32</v>
      </c>
    </row>
    <row r="212" spans="1:12" x14ac:dyDescent="0.25">
      <c r="A212" s="20">
        <v>1792</v>
      </c>
      <c r="B212" s="20">
        <v>1793162797001</v>
      </c>
      <c r="C212" s="20" t="s">
        <v>46</v>
      </c>
      <c r="D212" s="22">
        <v>46032</v>
      </c>
      <c r="E212" s="20" t="s">
        <v>13</v>
      </c>
      <c r="F212" s="20">
        <v>514</v>
      </c>
      <c r="G212" s="20">
        <v>375.1</v>
      </c>
      <c r="H212" s="20">
        <v>344.92</v>
      </c>
      <c r="I212" s="20">
        <v>0</v>
      </c>
      <c r="J212" s="20">
        <v>51.74</v>
      </c>
      <c r="K212" s="20">
        <v>21.56</v>
      </c>
      <c r="L212" s="20">
        <v>375.1</v>
      </c>
    </row>
    <row r="213" spans="1:12" x14ac:dyDescent="0.25">
      <c r="A213" s="20">
        <v>1792</v>
      </c>
      <c r="B213" s="20">
        <v>1793162797001</v>
      </c>
      <c r="C213" s="20" t="s">
        <v>46</v>
      </c>
      <c r="D213" s="22">
        <v>46034</v>
      </c>
      <c r="E213" s="20" t="s">
        <v>13</v>
      </c>
      <c r="F213" s="20">
        <v>521</v>
      </c>
      <c r="G213" s="20">
        <v>225.24</v>
      </c>
      <c r="H213" s="20">
        <v>207.11</v>
      </c>
      <c r="I213" s="20">
        <v>0</v>
      </c>
      <c r="J213" s="20">
        <v>31.07</v>
      </c>
      <c r="K213" s="20">
        <v>12.94</v>
      </c>
      <c r="L213" s="20">
        <v>225.24</v>
      </c>
    </row>
    <row r="214" spans="1:12" x14ac:dyDescent="0.25">
      <c r="A214" s="20">
        <v>1792</v>
      </c>
      <c r="B214" s="20">
        <v>1793162797001</v>
      </c>
      <c r="C214" s="20" t="s">
        <v>46</v>
      </c>
      <c r="D214" s="22">
        <v>46036</v>
      </c>
      <c r="E214" s="20" t="s">
        <v>13</v>
      </c>
      <c r="F214" s="20">
        <v>528</v>
      </c>
      <c r="G214" s="20">
        <v>110.99</v>
      </c>
      <c r="H214" s="20">
        <v>102.06</v>
      </c>
      <c r="I214" s="20">
        <v>0</v>
      </c>
      <c r="J214" s="20">
        <v>15.31</v>
      </c>
      <c r="K214" s="20">
        <v>6.38</v>
      </c>
      <c r="L214" s="20">
        <v>110.99</v>
      </c>
    </row>
    <row r="215" spans="1:12" x14ac:dyDescent="0.25">
      <c r="A215" s="20">
        <v>1792</v>
      </c>
      <c r="B215" s="20">
        <v>1793162797001</v>
      </c>
      <c r="C215" s="20" t="s">
        <v>46</v>
      </c>
      <c r="D215" s="22">
        <v>46036</v>
      </c>
      <c r="E215" s="20" t="s">
        <v>13</v>
      </c>
      <c r="F215" s="20">
        <v>523</v>
      </c>
      <c r="G215" s="20">
        <v>218.78</v>
      </c>
      <c r="H215" s="20">
        <v>201.17</v>
      </c>
      <c r="I215" s="20">
        <v>0</v>
      </c>
      <c r="J215" s="20">
        <v>30.18</v>
      </c>
      <c r="K215" s="20">
        <v>12.57</v>
      </c>
      <c r="L215" s="20">
        <v>218.78</v>
      </c>
    </row>
    <row r="216" spans="1:12" x14ac:dyDescent="0.25">
      <c r="A216" s="20">
        <v>1792</v>
      </c>
      <c r="B216" s="20">
        <v>1793162797001</v>
      </c>
      <c r="C216" s="20" t="s">
        <v>46</v>
      </c>
      <c r="D216" s="22">
        <v>46037</v>
      </c>
      <c r="E216" s="20" t="s">
        <v>13</v>
      </c>
      <c r="F216" s="20">
        <v>535</v>
      </c>
      <c r="G216" s="20">
        <v>11.7</v>
      </c>
      <c r="H216" s="20">
        <v>10.76</v>
      </c>
      <c r="I216" s="20">
        <v>0</v>
      </c>
      <c r="J216" s="20">
        <v>1.61</v>
      </c>
      <c r="K216" s="20">
        <v>0.67</v>
      </c>
      <c r="L216" s="20">
        <v>11.7</v>
      </c>
    </row>
    <row r="217" spans="1:12" x14ac:dyDescent="0.25">
      <c r="A217" s="20">
        <v>1792</v>
      </c>
      <c r="B217" s="20">
        <v>1793162797001</v>
      </c>
      <c r="C217" s="20" t="s">
        <v>46</v>
      </c>
      <c r="D217" s="22">
        <v>46037</v>
      </c>
      <c r="E217" s="20" t="s">
        <v>13</v>
      </c>
      <c r="F217" s="20">
        <v>536</v>
      </c>
      <c r="G217" s="20">
        <v>133.97</v>
      </c>
      <c r="H217" s="20">
        <v>123.19</v>
      </c>
      <c r="I217" s="20">
        <v>0</v>
      </c>
      <c r="J217" s="20">
        <v>18.48</v>
      </c>
      <c r="K217" s="20">
        <v>7.7</v>
      </c>
      <c r="L217" s="20">
        <v>133.97</v>
      </c>
    </row>
    <row r="218" spans="1:12" x14ac:dyDescent="0.25">
      <c r="A218" s="20">
        <v>1792</v>
      </c>
      <c r="B218" s="20">
        <v>1793162797001</v>
      </c>
      <c r="C218" s="20" t="s">
        <v>46</v>
      </c>
      <c r="D218" s="22">
        <v>46043</v>
      </c>
      <c r="E218" s="20" t="s">
        <v>13</v>
      </c>
      <c r="F218" s="20">
        <v>553</v>
      </c>
      <c r="G218" s="20">
        <v>134.54</v>
      </c>
      <c r="H218" s="20">
        <v>123.72</v>
      </c>
      <c r="I218" s="20">
        <v>0</v>
      </c>
      <c r="J218" s="20">
        <v>18.559999999999999</v>
      </c>
      <c r="K218" s="20">
        <v>7.74</v>
      </c>
      <c r="L218" s="20">
        <v>134.54</v>
      </c>
    </row>
    <row r="219" spans="1:12" x14ac:dyDescent="0.25">
      <c r="A219" s="20">
        <v>1792</v>
      </c>
      <c r="B219" s="20">
        <v>1793162797001</v>
      </c>
      <c r="C219" s="20" t="s">
        <v>46</v>
      </c>
      <c r="D219" s="22">
        <v>46043</v>
      </c>
      <c r="E219" s="20" t="s">
        <v>13</v>
      </c>
      <c r="F219" s="20">
        <v>554</v>
      </c>
      <c r="G219" s="20">
        <v>547.79</v>
      </c>
      <c r="H219" s="20">
        <v>503.71</v>
      </c>
      <c r="I219" s="20">
        <v>0</v>
      </c>
      <c r="J219" s="20">
        <v>75.56</v>
      </c>
      <c r="K219" s="20">
        <v>31.48</v>
      </c>
      <c r="L219" s="20">
        <v>547.79</v>
      </c>
    </row>
    <row r="220" spans="1:12" x14ac:dyDescent="0.25">
      <c r="A220" s="20">
        <v>1792</v>
      </c>
      <c r="B220" s="20">
        <v>1793162797001</v>
      </c>
      <c r="C220" s="20" t="s">
        <v>46</v>
      </c>
      <c r="D220" s="22">
        <v>46043</v>
      </c>
      <c r="E220" s="20" t="s">
        <v>13</v>
      </c>
      <c r="F220" s="20">
        <v>549</v>
      </c>
      <c r="G220" s="20">
        <v>502.91</v>
      </c>
      <c r="H220" s="20">
        <v>462.44</v>
      </c>
      <c r="I220" s="20">
        <v>0</v>
      </c>
      <c r="J220" s="20">
        <v>69.37</v>
      </c>
      <c r="K220" s="20">
        <v>28.9</v>
      </c>
      <c r="L220" s="20">
        <v>502.91</v>
      </c>
    </row>
    <row r="221" spans="1:12" x14ac:dyDescent="0.25">
      <c r="A221" s="20">
        <v>1792</v>
      </c>
      <c r="B221" s="20">
        <v>1793162797001</v>
      </c>
      <c r="C221" s="20" t="s">
        <v>46</v>
      </c>
      <c r="D221" s="22">
        <v>46044</v>
      </c>
      <c r="E221" s="20" t="s">
        <v>13</v>
      </c>
      <c r="F221" s="20">
        <v>558</v>
      </c>
      <c r="G221" s="20">
        <v>12.4</v>
      </c>
      <c r="H221" s="20">
        <v>11.4</v>
      </c>
      <c r="I221" s="20">
        <v>0</v>
      </c>
      <c r="J221" s="20">
        <v>1.71</v>
      </c>
      <c r="K221" s="20">
        <v>0.71</v>
      </c>
      <c r="L221" s="20">
        <v>12.4</v>
      </c>
    </row>
    <row r="222" spans="1:12" x14ac:dyDescent="0.25">
      <c r="A222" s="20">
        <v>1792</v>
      </c>
      <c r="B222" s="20">
        <v>1793162797001</v>
      </c>
      <c r="C222" s="20" t="s">
        <v>46</v>
      </c>
      <c r="D222" s="22">
        <v>46046</v>
      </c>
      <c r="E222" s="20" t="s">
        <v>13</v>
      </c>
      <c r="F222" s="20">
        <v>565</v>
      </c>
      <c r="G222" s="20">
        <v>3.91</v>
      </c>
      <c r="H222" s="20">
        <v>3.59</v>
      </c>
      <c r="I222" s="20">
        <v>0</v>
      </c>
      <c r="J222" s="20">
        <v>0.54</v>
      </c>
      <c r="K222" s="20">
        <v>0.22</v>
      </c>
      <c r="L222" s="20">
        <v>3.91</v>
      </c>
    </row>
    <row r="223" spans="1:12" x14ac:dyDescent="0.25">
      <c r="A223" s="20">
        <v>1792</v>
      </c>
      <c r="B223" s="20">
        <v>1793162797001</v>
      </c>
      <c r="C223" s="20" t="s">
        <v>46</v>
      </c>
      <c r="D223" s="22">
        <v>46052</v>
      </c>
      <c r="E223" s="20" t="s">
        <v>13</v>
      </c>
      <c r="F223" s="20">
        <v>571</v>
      </c>
      <c r="G223" s="20">
        <v>929.68</v>
      </c>
      <c r="H223" s="20">
        <v>854.88</v>
      </c>
      <c r="I223" s="20">
        <v>0</v>
      </c>
      <c r="J223" s="20">
        <v>128.22999999999999</v>
      </c>
      <c r="K223" s="20">
        <v>53.43</v>
      </c>
      <c r="L223" s="20">
        <v>929.68</v>
      </c>
    </row>
    <row r="224" spans="1:12" x14ac:dyDescent="0.25">
      <c r="A224" s="20">
        <v>1792</v>
      </c>
      <c r="B224" s="20">
        <v>1793162797001</v>
      </c>
      <c r="C224" s="20" t="s">
        <v>46</v>
      </c>
      <c r="D224" s="22">
        <v>46052</v>
      </c>
      <c r="E224" s="20" t="s">
        <v>13</v>
      </c>
      <c r="F224" s="20">
        <v>576</v>
      </c>
      <c r="G224" s="21">
        <v>1442.51</v>
      </c>
      <c r="H224" s="21">
        <v>1326.44</v>
      </c>
      <c r="I224" s="20">
        <v>0</v>
      </c>
      <c r="J224" s="20">
        <v>198.97</v>
      </c>
      <c r="K224" s="20">
        <v>82.9</v>
      </c>
      <c r="L224" s="21">
        <v>1442.51</v>
      </c>
    </row>
    <row r="225" spans="1:12" x14ac:dyDescent="0.25">
      <c r="A225" s="20">
        <v>1792</v>
      </c>
      <c r="B225" s="20">
        <v>1793162797001</v>
      </c>
      <c r="C225" s="20" t="s">
        <v>46</v>
      </c>
      <c r="D225" s="22">
        <v>46052</v>
      </c>
      <c r="E225" s="20" t="s">
        <v>13</v>
      </c>
      <c r="F225" s="20">
        <v>583</v>
      </c>
      <c r="G225" s="20">
        <v>21.85</v>
      </c>
      <c r="H225" s="20">
        <v>20.09</v>
      </c>
      <c r="I225" s="20">
        <v>0</v>
      </c>
      <c r="J225" s="20">
        <v>3.01</v>
      </c>
      <c r="K225" s="20">
        <v>1.25</v>
      </c>
      <c r="L225" s="20">
        <v>21.85</v>
      </c>
    </row>
    <row r="226" spans="1:12" x14ac:dyDescent="0.25">
      <c r="A226" s="20">
        <v>1792</v>
      </c>
      <c r="B226" s="20">
        <v>1793162797001</v>
      </c>
      <c r="C226" s="20" t="s">
        <v>46</v>
      </c>
      <c r="D226" s="22">
        <v>46052</v>
      </c>
      <c r="E226" s="20" t="s">
        <v>13</v>
      </c>
      <c r="F226" s="20">
        <v>585</v>
      </c>
      <c r="G226" s="20">
        <v>401.99</v>
      </c>
      <c r="H226" s="20">
        <v>369.65</v>
      </c>
      <c r="I226" s="20">
        <v>0</v>
      </c>
      <c r="J226" s="20">
        <v>55.45</v>
      </c>
      <c r="K226" s="20">
        <v>23.11</v>
      </c>
      <c r="L226" s="20">
        <v>401.99</v>
      </c>
    </row>
    <row r="227" spans="1:12" x14ac:dyDescent="0.25">
      <c r="A227" s="20">
        <v>1792</v>
      </c>
      <c r="B227" s="20">
        <v>1793162797001</v>
      </c>
      <c r="C227" s="20" t="s">
        <v>46</v>
      </c>
      <c r="D227" s="22">
        <v>46053</v>
      </c>
      <c r="E227" s="20" t="s">
        <v>13</v>
      </c>
      <c r="F227" s="20">
        <v>587</v>
      </c>
      <c r="G227" s="20">
        <v>33.090000000000003</v>
      </c>
      <c r="H227" s="20">
        <v>30.43</v>
      </c>
      <c r="I227" s="20">
        <v>0</v>
      </c>
      <c r="J227" s="20">
        <v>4.5599999999999996</v>
      </c>
      <c r="K227" s="20">
        <v>1.9</v>
      </c>
      <c r="L227" s="20">
        <v>33.090000000000003</v>
      </c>
    </row>
    <row r="228" spans="1:12" x14ac:dyDescent="0.25">
      <c r="A228" s="20">
        <v>1421</v>
      </c>
      <c r="B228" s="20">
        <v>1793169171001</v>
      </c>
      <c r="C228" s="20" t="s">
        <v>47</v>
      </c>
      <c r="D228" s="22">
        <v>46031</v>
      </c>
      <c r="E228" s="20" t="s">
        <v>13</v>
      </c>
      <c r="F228" s="20">
        <v>919</v>
      </c>
      <c r="G228" s="21">
        <v>1796.8</v>
      </c>
      <c r="H228" s="21">
        <v>1604.29</v>
      </c>
      <c r="I228" s="20">
        <v>0</v>
      </c>
      <c r="J228" s="20">
        <v>240.64</v>
      </c>
      <c r="K228" s="20">
        <v>48.13</v>
      </c>
      <c r="L228" s="21">
        <v>1796.8</v>
      </c>
    </row>
    <row r="229" spans="1:12" x14ac:dyDescent="0.25">
      <c r="A229" s="20">
        <v>1101</v>
      </c>
      <c r="B229" s="20">
        <v>1800749044001</v>
      </c>
      <c r="C229" s="20" t="s">
        <v>48</v>
      </c>
      <c r="D229" s="22">
        <v>46030</v>
      </c>
      <c r="E229" s="20" t="s">
        <v>13</v>
      </c>
      <c r="F229" s="20">
        <v>77</v>
      </c>
      <c r="G229" s="21">
        <v>1620</v>
      </c>
      <c r="H229" s="21">
        <v>1800</v>
      </c>
      <c r="I229" s="20">
        <v>0</v>
      </c>
      <c r="J229" s="20">
        <v>270</v>
      </c>
      <c r="K229" s="20">
        <v>450</v>
      </c>
      <c r="L229" s="21">
        <v>1620</v>
      </c>
    </row>
    <row r="230" spans="1:12" x14ac:dyDescent="0.25">
      <c r="A230" s="20">
        <v>689</v>
      </c>
      <c r="B230" s="20">
        <v>1801421593001</v>
      </c>
      <c r="C230" s="20" t="s">
        <v>50</v>
      </c>
      <c r="D230" s="22">
        <v>46028</v>
      </c>
      <c r="E230" s="20" t="s">
        <v>13</v>
      </c>
      <c r="F230" s="20">
        <v>161</v>
      </c>
      <c r="G230" s="20">
        <v>33.24</v>
      </c>
      <c r="H230" s="20">
        <v>32.43</v>
      </c>
      <c r="I230" s="20">
        <v>0</v>
      </c>
      <c r="J230" s="20">
        <v>4.8600000000000003</v>
      </c>
      <c r="K230" s="20">
        <v>4.05</v>
      </c>
      <c r="L230" s="20">
        <v>33.24</v>
      </c>
    </row>
    <row r="231" spans="1:12" x14ac:dyDescent="0.25">
      <c r="A231" s="20">
        <v>689</v>
      </c>
      <c r="B231" s="20">
        <v>1801421593001</v>
      </c>
      <c r="C231" s="20" t="s">
        <v>50</v>
      </c>
      <c r="D231" s="22">
        <v>46037</v>
      </c>
      <c r="E231" s="20" t="s">
        <v>13</v>
      </c>
      <c r="F231" s="20">
        <v>165</v>
      </c>
      <c r="G231" s="20">
        <v>42.68</v>
      </c>
      <c r="H231" s="20">
        <v>41.64</v>
      </c>
      <c r="I231" s="20">
        <v>0</v>
      </c>
      <c r="J231" s="20">
        <v>6.25</v>
      </c>
      <c r="K231" s="20">
        <v>5.21</v>
      </c>
      <c r="L231" s="20">
        <v>42.68</v>
      </c>
    </row>
    <row r="232" spans="1:12" x14ac:dyDescent="0.25">
      <c r="A232" s="20">
        <v>689</v>
      </c>
      <c r="B232" s="20">
        <v>1801421593001</v>
      </c>
      <c r="C232" s="20" t="s">
        <v>50</v>
      </c>
      <c r="D232" s="22">
        <v>46037</v>
      </c>
      <c r="E232" s="20" t="s">
        <v>13</v>
      </c>
      <c r="F232" s="20">
        <v>163</v>
      </c>
      <c r="G232" s="20">
        <v>65.62</v>
      </c>
      <c r="H232" s="20">
        <v>64.02</v>
      </c>
      <c r="I232" s="20">
        <v>0</v>
      </c>
      <c r="J232" s="20">
        <v>9.6</v>
      </c>
      <c r="K232" s="20">
        <v>8</v>
      </c>
      <c r="L232" s="20">
        <v>65.62</v>
      </c>
    </row>
    <row r="233" spans="1:12" x14ac:dyDescent="0.25">
      <c r="A233" s="20">
        <v>689</v>
      </c>
      <c r="B233" s="20">
        <v>1801421593001</v>
      </c>
      <c r="C233" s="20" t="s">
        <v>50</v>
      </c>
      <c r="D233" s="22">
        <v>46037</v>
      </c>
      <c r="E233" s="20" t="s">
        <v>13</v>
      </c>
      <c r="F233" s="20">
        <v>164</v>
      </c>
      <c r="G233" s="20">
        <v>83.58</v>
      </c>
      <c r="H233" s="20">
        <v>81.540000000000006</v>
      </c>
      <c r="I233" s="20">
        <v>0</v>
      </c>
      <c r="J233" s="20">
        <v>12.23</v>
      </c>
      <c r="K233" s="20">
        <v>10.19</v>
      </c>
      <c r="L233" s="20">
        <v>83.58</v>
      </c>
    </row>
    <row r="234" spans="1:12" x14ac:dyDescent="0.25">
      <c r="A234" s="20">
        <v>689</v>
      </c>
      <c r="B234" s="20">
        <v>1801421593001</v>
      </c>
      <c r="C234" s="20" t="s">
        <v>50</v>
      </c>
      <c r="D234" s="22">
        <v>46045</v>
      </c>
      <c r="E234" s="20" t="s">
        <v>13</v>
      </c>
      <c r="F234" s="20">
        <v>167</v>
      </c>
      <c r="G234" s="20">
        <v>191.5</v>
      </c>
      <c r="H234" s="20">
        <v>176.09</v>
      </c>
      <c r="I234" s="20">
        <v>0</v>
      </c>
      <c r="J234" s="20">
        <v>26.41</v>
      </c>
      <c r="K234" s="20">
        <v>11</v>
      </c>
      <c r="L234" s="20">
        <v>191.5</v>
      </c>
    </row>
    <row r="235" spans="1:12" x14ac:dyDescent="0.25">
      <c r="A235" s="20">
        <v>1111</v>
      </c>
      <c r="B235" s="20">
        <v>1801719152001</v>
      </c>
      <c r="C235" s="20" t="s">
        <v>52</v>
      </c>
      <c r="D235" s="22">
        <v>46028</v>
      </c>
      <c r="E235" s="20" t="s">
        <v>13</v>
      </c>
      <c r="F235" s="20">
        <v>31473</v>
      </c>
      <c r="G235" s="21">
        <v>1044</v>
      </c>
      <c r="H235" s="20">
        <v>960</v>
      </c>
      <c r="I235" s="20">
        <v>0</v>
      </c>
      <c r="J235" s="20">
        <v>144</v>
      </c>
      <c r="K235" s="20">
        <v>60</v>
      </c>
      <c r="L235" s="21">
        <v>1044</v>
      </c>
    </row>
    <row r="236" spans="1:12" x14ac:dyDescent="0.25">
      <c r="A236" s="20">
        <v>1111</v>
      </c>
      <c r="B236" s="20">
        <v>1801719152001</v>
      </c>
      <c r="C236" s="20" t="s">
        <v>52</v>
      </c>
      <c r="D236" s="22">
        <v>46037</v>
      </c>
      <c r="E236" s="20" t="s">
        <v>13</v>
      </c>
      <c r="F236" s="20">
        <v>31613</v>
      </c>
      <c r="G236" s="21">
        <v>2919.98</v>
      </c>
      <c r="H236" s="21">
        <v>2685.04</v>
      </c>
      <c r="I236" s="20">
        <v>0</v>
      </c>
      <c r="J236" s="20">
        <v>402.76</v>
      </c>
      <c r="K236" s="20">
        <v>167.82</v>
      </c>
      <c r="L236" s="21">
        <v>2919.98</v>
      </c>
    </row>
    <row r="237" spans="1:12" x14ac:dyDescent="0.25">
      <c r="A237" s="20">
        <v>1111</v>
      </c>
      <c r="B237" s="20">
        <v>1801719152001</v>
      </c>
      <c r="C237" s="20" t="s">
        <v>52</v>
      </c>
      <c r="D237" s="22">
        <v>46042</v>
      </c>
      <c r="E237" s="20" t="s">
        <v>13</v>
      </c>
      <c r="F237" s="20">
        <v>31647</v>
      </c>
      <c r="G237" s="20">
        <v>217.5</v>
      </c>
      <c r="H237" s="20">
        <v>200</v>
      </c>
      <c r="I237" s="20">
        <v>0</v>
      </c>
      <c r="J237" s="20">
        <v>30</v>
      </c>
      <c r="K237" s="20">
        <v>12.5</v>
      </c>
      <c r="L237" s="20">
        <v>217.5</v>
      </c>
    </row>
    <row r="238" spans="1:12" x14ac:dyDescent="0.25">
      <c r="A238" s="20">
        <v>1111</v>
      </c>
      <c r="B238" s="20">
        <v>1801719152001</v>
      </c>
      <c r="C238" s="20" t="s">
        <v>52</v>
      </c>
      <c r="D238" s="22">
        <v>46044</v>
      </c>
      <c r="E238" s="20" t="s">
        <v>13</v>
      </c>
      <c r="F238" s="20">
        <v>31673</v>
      </c>
      <c r="G238" s="20">
        <v>217.5</v>
      </c>
      <c r="H238" s="20">
        <v>200</v>
      </c>
      <c r="I238" s="20">
        <v>0</v>
      </c>
      <c r="J238" s="20">
        <v>30</v>
      </c>
      <c r="K238" s="20">
        <v>12.5</v>
      </c>
      <c r="L238" s="20">
        <v>217.5</v>
      </c>
    </row>
    <row r="239" spans="1:12" x14ac:dyDescent="0.25">
      <c r="A239" s="20">
        <v>1111</v>
      </c>
      <c r="B239" s="20">
        <v>1801719152001</v>
      </c>
      <c r="C239" s="20" t="s">
        <v>52</v>
      </c>
      <c r="D239" s="22">
        <v>46051</v>
      </c>
      <c r="E239" s="20" t="s">
        <v>13</v>
      </c>
      <c r="F239" s="20">
        <v>31752</v>
      </c>
      <c r="G239" s="20">
        <v>456.75</v>
      </c>
      <c r="H239" s="20">
        <v>420</v>
      </c>
      <c r="I239" s="20">
        <v>0</v>
      </c>
      <c r="J239" s="20">
        <v>63</v>
      </c>
      <c r="K239" s="20">
        <v>26.25</v>
      </c>
      <c r="L239" s="20">
        <v>456.75</v>
      </c>
    </row>
    <row r="240" spans="1:12" x14ac:dyDescent="0.25">
      <c r="A240" s="20">
        <v>1111</v>
      </c>
      <c r="B240" s="20">
        <v>1801719152001</v>
      </c>
      <c r="C240" s="20" t="s">
        <v>52</v>
      </c>
      <c r="D240" s="22">
        <v>46052</v>
      </c>
      <c r="E240" s="20" t="s">
        <v>13</v>
      </c>
      <c r="F240" s="20">
        <v>31770</v>
      </c>
      <c r="G240" s="20">
        <v>957</v>
      </c>
      <c r="H240" s="20">
        <v>880</v>
      </c>
      <c r="I240" s="20">
        <v>0</v>
      </c>
      <c r="J240" s="20">
        <v>132</v>
      </c>
      <c r="K240" s="20">
        <v>55</v>
      </c>
      <c r="L240" s="20">
        <v>957</v>
      </c>
    </row>
    <row r="241" spans="1:12" x14ac:dyDescent="0.25">
      <c r="A241" s="20">
        <v>1826</v>
      </c>
      <c r="B241" s="20">
        <v>1801806124001</v>
      </c>
      <c r="C241" s="20" t="s">
        <v>53</v>
      </c>
      <c r="D241" s="22">
        <v>46028</v>
      </c>
      <c r="E241" s="20" t="s">
        <v>13</v>
      </c>
      <c r="F241" s="20">
        <v>1037</v>
      </c>
      <c r="G241" s="21">
        <v>1305</v>
      </c>
      <c r="H241" s="21">
        <v>1200</v>
      </c>
      <c r="I241" s="20">
        <v>0</v>
      </c>
      <c r="J241" s="20">
        <v>180</v>
      </c>
      <c r="K241" s="20">
        <v>75</v>
      </c>
      <c r="L241" s="21">
        <v>1305</v>
      </c>
    </row>
    <row r="242" spans="1:12" x14ac:dyDescent="0.25">
      <c r="A242" s="20">
        <v>1826</v>
      </c>
      <c r="B242" s="20">
        <v>1801806124001</v>
      </c>
      <c r="C242" s="20" t="s">
        <v>53</v>
      </c>
      <c r="D242" s="22">
        <v>46035</v>
      </c>
      <c r="E242" s="20" t="s">
        <v>13</v>
      </c>
      <c r="F242" s="20">
        <v>1049</v>
      </c>
      <c r="G242" s="20">
        <v>43.5</v>
      </c>
      <c r="H242" s="20">
        <v>40</v>
      </c>
      <c r="I242" s="20">
        <v>0</v>
      </c>
      <c r="J242" s="20">
        <v>6</v>
      </c>
      <c r="K242" s="20">
        <v>2.5</v>
      </c>
      <c r="L242" s="20">
        <v>43.5</v>
      </c>
    </row>
    <row r="243" spans="1:12" x14ac:dyDescent="0.25">
      <c r="A243" s="20">
        <v>1120</v>
      </c>
      <c r="B243" s="20">
        <v>1801866276001</v>
      </c>
      <c r="C243" s="20" t="s">
        <v>54</v>
      </c>
      <c r="D243" s="22">
        <v>46044</v>
      </c>
      <c r="E243" s="20" t="s">
        <v>13</v>
      </c>
      <c r="F243" s="20">
        <v>81</v>
      </c>
      <c r="G243" s="20">
        <v>98</v>
      </c>
      <c r="H243" s="20">
        <v>0</v>
      </c>
      <c r="I243" s="20">
        <v>100</v>
      </c>
      <c r="J243" s="20">
        <v>0</v>
      </c>
      <c r="K243" s="20">
        <v>2</v>
      </c>
      <c r="L243" s="20">
        <v>98</v>
      </c>
    </row>
    <row r="244" spans="1:12" x14ac:dyDescent="0.25">
      <c r="A244" s="20">
        <v>1431</v>
      </c>
      <c r="B244" s="20">
        <v>1801880574001</v>
      </c>
      <c r="C244" s="20" t="s">
        <v>55</v>
      </c>
      <c r="D244" s="22">
        <v>46027</v>
      </c>
      <c r="E244" s="20" t="s">
        <v>13</v>
      </c>
      <c r="F244" s="20">
        <v>663</v>
      </c>
      <c r="G244" s="20">
        <v>20.7</v>
      </c>
      <c r="H244" s="20">
        <v>20</v>
      </c>
      <c r="I244" s="20">
        <v>0</v>
      </c>
      <c r="J244" s="20">
        <v>3</v>
      </c>
      <c r="K244" s="20">
        <v>2.2999999999999998</v>
      </c>
      <c r="L244" s="20">
        <v>20.7</v>
      </c>
    </row>
    <row r="245" spans="1:12" x14ac:dyDescent="0.25">
      <c r="A245" s="20">
        <v>1431</v>
      </c>
      <c r="B245" s="20">
        <v>1801880574001</v>
      </c>
      <c r="C245" s="20" t="s">
        <v>55</v>
      </c>
      <c r="D245" s="22">
        <v>46027</v>
      </c>
      <c r="E245" s="20" t="s">
        <v>13</v>
      </c>
      <c r="F245" s="20">
        <v>664</v>
      </c>
      <c r="G245" s="20">
        <v>10.35</v>
      </c>
      <c r="H245" s="20">
        <v>10</v>
      </c>
      <c r="I245" s="20">
        <v>0</v>
      </c>
      <c r="J245" s="20">
        <v>1.5</v>
      </c>
      <c r="K245" s="20">
        <v>1.1499999999999999</v>
      </c>
      <c r="L245" s="20">
        <v>10.35</v>
      </c>
    </row>
    <row r="246" spans="1:12" x14ac:dyDescent="0.25">
      <c r="A246" s="20">
        <v>1431</v>
      </c>
      <c r="B246" s="20">
        <v>1801880574001</v>
      </c>
      <c r="C246" s="20" t="s">
        <v>55</v>
      </c>
      <c r="D246" s="22">
        <v>46027</v>
      </c>
      <c r="E246" s="20" t="s">
        <v>13</v>
      </c>
      <c r="F246" s="20">
        <v>666</v>
      </c>
      <c r="G246" s="20">
        <v>20.7</v>
      </c>
      <c r="H246" s="20">
        <v>20</v>
      </c>
      <c r="I246" s="20">
        <v>0</v>
      </c>
      <c r="J246" s="20">
        <v>3</v>
      </c>
      <c r="K246" s="20">
        <v>2.2999999999999998</v>
      </c>
      <c r="L246" s="20">
        <v>20.7</v>
      </c>
    </row>
    <row r="247" spans="1:12" x14ac:dyDescent="0.25">
      <c r="A247" s="20">
        <v>1431</v>
      </c>
      <c r="B247" s="20">
        <v>1801880574001</v>
      </c>
      <c r="C247" s="20" t="s">
        <v>55</v>
      </c>
      <c r="D247" s="22">
        <v>46027</v>
      </c>
      <c r="E247" s="20" t="s">
        <v>13</v>
      </c>
      <c r="F247" s="20">
        <v>667</v>
      </c>
      <c r="G247" s="20">
        <v>20.7</v>
      </c>
      <c r="H247" s="20">
        <v>20</v>
      </c>
      <c r="I247" s="20">
        <v>0</v>
      </c>
      <c r="J247" s="20">
        <v>3</v>
      </c>
      <c r="K247" s="20">
        <v>2.2999999999999998</v>
      </c>
      <c r="L247" s="20">
        <v>20.7</v>
      </c>
    </row>
    <row r="248" spans="1:12" x14ac:dyDescent="0.25">
      <c r="A248" s="20">
        <v>1431</v>
      </c>
      <c r="B248" s="20">
        <v>1801880574001</v>
      </c>
      <c r="C248" s="20" t="s">
        <v>55</v>
      </c>
      <c r="D248" s="22">
        <v>46027</v>
      </c>
      <c r="E248" s="20" t="s">
        <v>13</v>
      </c>
      <c r="F248" s="20">
        <v>670</v>
      </c>
      <c r="G248" s="20">
        <v>11.9</v>
      </c>
      <c r="H248" s="20">
        <v>11.5</v>
      </c>
      <c r="I248" s="20">
        <v>0</v>
      </c>
      <c r="J248" s="20">
        <v>1.73</v>
      </c>
      <c r="K248" s="20">
        <v>1.33</v>
      </c>
      <c r="L248" s="20">
        <v>11.9</v>
      </c>
    </row>
    <row r="249" spans="1:12" x14ac:dyDescent="0.25">
      <c r="A249" s="20">
        <v>1431</v>
      </c>
      <c r="B249" s="20">
        <v>1801880574001</v>
      </c>
      <c r="C249" s="20" t="s">
        <v>55</v>
      </c>
      <c r="D249" s="22">
        <v>46028</v>
      </c>
      <c r="E249" s="20" t="s">
        <v>13</v>
      </c>
      <c r="F249" s="20">
        <v>676</v>
      </c>
      <c r="G249" s="20">
        <v>20.7</v>
      </c>
      <c r="H249" s="20">
        <v>20</v>
      </c>
      <c r="I249" s="20">
        <v>0</v>
      </c>
      <c r="J249" s="20">
        <v>3</v>
      </c>
      <c r="K249" s="20">
        <v>2.2999999999999998</v>
      </c>
      <c r="L249" s="20">
        <v>20.7</v>
      </c>
    </row>
    <row r="250" spans="1:12" x14ac:dyDescent="0.25">
      <c r="A250" s="20">
        <v>1431</v>
      </c>
      <c r="B250" s="20">
        <v>1801880574001</v>
      </c>
      <c r="C250" s="20" t="s">
        <v>55</v>
      </c>
      <c r="D250" s="22">
        <v>46028</v>
      </c>
      <c r="E250" s="20" t="s">
        <v>13</v>
      </c>
      <c r="F250" s="20">
        <v>677</v>
      </c>
      <c r="G250" s="20">
        <v>10.35</v>
      </c>
      <c r="H250" s="20">
        <v>10</v>
      </c>
      <c r="I250" s="20">
        <v>0</v>
      </c>
      <c r="J250" s="20">
        <v>1.5</v>
      </c>
      <c r="K250" s="20">
        <v>1.1499999999999999</v>
      </c>
      <c r="L250" s="20">
        <v>10.35</v>
      </c>
    </row>
    <row r="251" spans="1:12" x14ac:dyDescent="0.25">
      <c r="A251" s="20">
        <v>1431</v>
      </c>
      <c r="B251" s="20">
        <v>1801880574001</v>
      </c>
      <c r="C251" s="20" t="s">
        <v>55</v>
      </c>
      <c r="D251" s="22">
        <v>46028</v>
      </c>
      <c r="E251" s="20" t="s">
        <v>13</v>
      </c>
      <c r="F251" s="20">
        <v>678</v>
      </c>
      <c r="G251" s="20">
        <v>20.7</v>
      </c>
      <c r="H251" s="20">
        <v>20</v>
      </c>
      <c r="I251" s="20">
        <v>0</v>
      </c>
      <c r="J251" s="20">
        <v>3</v>
      </c>
      <c r="K251" s="20">
        <v>2.2999999999999998</v>
      </c>
      <c r="L251" s="20">
        <v>20.7</v>
      </c>
    </row>
    <row r="252" spans="1:12" x14ac:dyDescent="0.25">
      <c r="A252" s="20">
        <v>1431</v>
      </c>
      <c r="B252" s="20">
        <v>1801880574001</v>
      </c>
      <c r="C252" s="20" t="s">
        <v>55</v>
      </c>
      <c r="D252" s="22">
        <v>46028</v>
      </c>
      <c r="E252" s="20" t="s">
        <v>13</v>
      </c>
      <c r="F252" s="20">
        <v>679</v>
      </c>
      <c r="G252" s="20">
        <v>25.87</v>
      </c>
      <c r="H252" s="20">
        <v>25</v>
      </c>
      <c r="I252" s="20">
        <v>0</v>
      </c>
      <c r="J252" s="20">
        <v>3.75</v>
      </c>
      <c r="K252" s="20">
        <v>2.88</v>
      </c>
      <c r="L252" s="20">
        <v>25.87</v>
      </c>
    </row>
    <row r="253" spans="1:12" x14ac:dyDescent="0.25">
      <c r="A253" s="20">
        <v>1431</v>
      </c>
      <c r="B253" s="20">
        <v>1801880574001</v>
      </c>
      <c r="C253" s="20" t="s">
        <v>55</v>
      </c>
      <c r="D253" s="22">
        <v>46028</v>
      </c>
      <c r="E253" s="20" t="s">
        <v>13</v>
      </c>
      <c r="F253" s="20">
        <v>674</v>
      </c>
      <c r="G253" s="20">
        <v>20.7</v>
      </c>
      <c r="H253" s="20">
        <v>20</v>
      </c>
      <c r="I253" s="20">
        <v>0</v>
      </c>
      <c r="J253" s="20">
        <v>3</v>
      </c>
      <c r="K253" s="20">
        <v>2.2999999999999998</v>
      </c>
      <c r="L253" s="20">
        <v>20.7</v>
      </c>
    </row>
    <row r="254" spans="1:12" x14ac:dyDescent="0.25">
      <c r="A254" s="20">
        <v>1431</v>
      </c>
      <c r="B254" s="20">
        <v>1801880574001</v>
      </c>
      <c r="C254" s="20" t="s">
        <v>55</v>
      </c>
      <c r="D254" s="22">
        <v>46028</v>
      </c>
      <c r="E254" s="20" t="s">
        <v>13</v>
      </c>
      <c r="F254" s="20">
        <v>675</v>
      </c>
      <c r="G254" s="20">
        <v>10.35</v>
      </c>
      <c r="H254" s="20">
        <v>10</v>
      </c>
      <c r="I254" s="20">
        <v>0</v>
      </c>
      <c r="J254" s="20">
        <v>1.5</v>
      </c>
      <c r="K254" s="20">
        <v>1.1499999999999999</v>
      </c>
      <c r="L254" s="20">
        <v>10.35</v>
      </c>
    </row>
    <row r="255" spans="1:12" x14ac:dyDescent="0.25">
      <c r="A255" s="20">
        <v>1431</v>
      </c>
      <c r="B255" s="20">
        <v>1801880574001</v>
      </c>
      <c r="C255" s="20" t="s">
        <v>55</v>
      </c>
      <c r="D255" s="22">
        <v>46029</v>
      </c>
      <c r="E255" s="20" t="s">
        <v>13</v>
      </c>
      <c r="F255" s="20">
        <v>685</v>
      </c>
      <c r="G255" s="20">
        <v>20.7</v>
      </c>
      <c r="H255" s="20">
        <v>20</v>
      </c>
      <c r="I255" s="20">
        <v>0</v>
      </c>
      <c r="J255" s="20">
        <v>3</v>
      </c>
      <c r="K255" s="20">
        <v>2.2999999999999998</v>
      </c>
      <c r="L255" s="20">
        <v>20.7</v>
      </c>
    </row>
    <row r="256" spans="1:12" x14ac:dyDescent="0.25">
      <c r="A256" s="20">
        <v>1431</v>
      </c>
      <c r="B256" s="20">
        <v>1801880574001</v>
      </c>
      <c r="C256" s="20" t="s">
        <v>55</v>
      </c>
      <c r="D256" s="22">
        <v>46029</v>
      </c>
      <c r="E256" s="20" t="s">
        <v>13</v>
      </c>
      <c r="F256" s="20">
        <v>687</v>
      </c>
      <c r="G256" s="20">
        <v>24.84</v>
      </c>
      <c r="H256" s="20">
        <v>24</v>
      </c>
      <c r="I256" s="20">
        <v>0</v>
      </c>
      <c r="J256" s="20">
        <v>3.6</v>
      </c>
      <c r="K256" s="20">
        <v>2.76</v>
      </c>
      <c r="L256" s="20">
        <v>24.84</v>
      </c>
    </row>
    <row r="257" spans="1:12" x14ac:dyDescent="0.25">
      <c r="A257" s="20">
        <v>1431</v>
      </c>
      <c r="B257" s="20">
        <v>1801880574001</v>
      </c>
      <c r="C257" s="20" t="s">
        <v>55</v>
      </c>
      <c r="D257" s="22">
        <v>46029</v>
      </c>
      <c r="E257" s="20" t="s">
        <v>13</v>
      </c>
      <c r="F257" s="20">
        <v>686</v>
      </c>
      <c r="G257" s="20">
        <v>10.35</v>
      </c>
      <c r="H257" s="20">
        <v>10</v>
      </c>
      <c r="I257" s="20">
        <v>0</v>
      </c>
      <c r="J257" s="20">
        <v>1.5</v>
      </c>
      <c r="K257" s="20">
        <v>1.1499999999999999</v>
      </c>
      <c r="L257" s="20">
        <v>10.35</v>
      </c>
    </row>
    <row r="258" spans="1:12" x14ac:dyDescent="0.25">
      <c r="A258" s="20">
        <v>1431</v>
      </c>
      <c r="B258" s="20">
        <v>1801880574001</v>
      </c>
      <c r="C258" s="20" t="s">
        <v>55</v>
      </c>
      <c r="D258" s="22">
        <v>46030</v>
      </c>
      <c r="E258" s="20" t="s">
        <v>13</v>
      </c>
      <c r="F258" s="20">
        <v>690</v>
      </c>
      <c r="G258" s="20">
        <v>20.7</v>
      </c>
      <c r="H258" s="20">
        <v>20</v>
      </c>
      <c r="I258" s="20">
        <v>0</v>
      </c>
      <c r="J258" s="20">
        <v>3</v>
      </c>
      <c r="K258" s="20">
        <v>2.2999999999999998</v>
      </c>
      <c r="L258" s="20">
        <v>20.7</v>
      </c>
    </row>
    <row r="259" spans="1:12" x14ac:dyDescent="0.25">
      <c r="A259" s="20">
        <v>1431</v>
      </c>
      <c r="B259" s="20">
        <v>1801880574001</v>
      </c>
      <c r="C259" s="20" t="s">
        <v>55</v>
      </c>
      <c r="D259" s="22">
        <v>46030</v>
      </c>
      <c r="E259" s="20" t="s">
        <v>13</v>
      </c>
      <c r="F259" s="20">
        <v>691</v>
      </c>
      <c r="G259" s="20">
        <v>10.35</v>
      </c>
      <c r="H259" s="20">
        <v>10</v>
      </c>
      <c r="I259" s="20">
        <v>0</v>
      </c>
      <c r="J259" s="20">
        <v>1.5</v>
      </c>
      <c r="K259" s="20">
        <v>1.1499999999999999</v>
      </c>
      <c r="L259" s="20">
        <v>10.35</v>
      </c>
    </row>
    <row r="260" spans="1:12" x14ac:dyDescent="0.25">
      <c r="A260" s="20">
        <v>1431</v>
      </c>
      <c r="B260" s="20">
        <v>1801880574001</v>
      </c>
      <c r="C260" s="20" t="s">
        <v>55</v>
      </c>
      <c r="D260" s="22">
        <v>46030</v>
      </c>
      <c r="E260" s="20" t="s">
        <v>13</v>
      </c>
      <c r="F260" s="20">
        <v>697</v>
      </c>
      <c r="G260" s="20">
        <v>20.7</v>
      </c>
      <c r="H260" s="20">
        <v>20</v>
      </c>
      <c r="I260" s="20">
        <v>0</v>
      </c>
      <c r="J260" s="20">
        <v>3</v>
      </c>
      <c r="K260" s="20">
        <v>2.2999999999999998</v>
      </c>
      <c r="L260" s="20">
        <v>20.7</v>
      </c>
    </row>
    <row r="261" spans="1:12" x14ac:dyDescent="0.25">
      <c r="A261" s="20">
        <v>1431</v>
      </c>
      <c r="B261" s="20">
        <v>1801880574001</v>
      </c>
      <c r="C261" s="20" t="s">
        <v>55</v>
      </c>
      <c r="D261" s="22">
        <v>46030</v>
      </c>
      <c r="E261" s="20" t="s">
        <v>13</v>
      </c>
      <c r="F261" s="20">
        <v>695</v>
      </c>
      <c r="G261" s="20">
        <v>20.7</v>
      </c>
      <c r="H261" s="20">
        <v>20</v>
      </c>
      <c r="I261" s="20">
        <v>0</v>
      </c>
      <c r="J261" s="20">
        <v>3</v>
      </c>
      <c r="K261" s="20">
        <v>2.2999999999999998</v>
      </c>
      <c r="L261" s="20">
        <v>20.7</v>
      </c>
    </row>
    <row r="262" spans="1:12" x14ac:dyDescent="0.25">
      <c r="A262" s="20">
        <v>1431</v>
      </c>
      <c r="B262" s="20">
        <v>1801880574001</v>
      </c>
      <c r="C262" s="20" t="s">
        <v>55</v>
      </c>
      <c r="D262" s="22">
        <v>46030</v>
      </c>
      <c r="E262" s="20" t="s">
        <v>13</v>
      </c>
      <c r="F262" s="20">
        <v>696</v>
      </c>
      <c r="G262" s="20">
        <v>10.35</v>
      </c>
      <c r="H262" s="20">
        <v>10</v>
      </c>
      <c r="I262" s="20">
        <v>0</v>
      </c>
      <c r="J262" s="20">
        <v>1.5</v>
      </c>
      <c r="K262" s="20">
        <v>1.1499999999999999</v>
      </c>
      <c r="L262" s="20">
        <v>10.35</v>
      </c>
    </row>
    <row r="263" spans="1:12" x14ac:dyDescent="0.25">
      <c r="A263" s="20">
        <v>1431</v>
      </c>
      <c r="B263" s="20">
        <v>1801880574001</v>
      </c>
      <c r="C263" s="20" t="s">
        <v>55</v>
      </c>
      <c r="D263" s="22">
        <v>46030</v>
      </c>
      <c r="E263" s="20" t="s">
        <v>13</v>
      </c>
      <c r="F263" s="20">
        <v>693</v>
      </c>
      <c r="G263" s="20">
        <v>20.7</v>
      </c>
      <c r="H263" s="20">
        <v>20</v>
      </c>
      <c r="I263" s="20">
        <v>0</v>
      </c>
      <c r="J263" s="20">
        <v>3</v>
      </c>
      <c r="K263" s="20">
        <v>2.2999999999999998</v>
      </c>
      <c r="L263" s="20">
        <v>20.7</v>
      </c>
    </row>
    <row r="264" spans="1:12" x14ac:dyDescent="0.25">
      <c r="A264" s="20">
        <v>1431</v>
      </c>
      <c r="B264" s="20">
        <v>1801880574001</v>
      </c>
      <c r="C264" s="20" t="s">
        <v>55</v>
      </c>
      <c r="D264" s="22">
        <v>46031</v>
      </c>
      <c r="E264" s="20" t="s">
        <v>13</v>
      </c>
      <c r="F264" s="20">
        <v>698</v>
      </c>
      <c r="G264" s="20">
        <v>20.7</v>
      </c>
      <c r="H264" s="20">
        <v>20</v>
      </c>
      <c r="I264" s="20">
        <v>0</v>
      </c>
      <c r="J264" s="20">
        <v>3</v>
      </c>
      <c r="K264" s="20">
        <v>2.2999999999999998</v>
      </c>
      <c r="L264" s="20">
        <v>20.7</v>
      </c>
    </row>
    <row r="265" spans="1:12" x14ac:dyDescent="0.25">
      <c r="A265" s="20">
        <v>1431</v>
      </c>
      <c r="B265" s="20">
        <v>1801880574001</v>
      </c>
      <c r="C265" s="20" t="s">
        <v>55</v>
      </c>
      <c r="D265" s="22">
        <v>46031</v>
      </c>
      <c r="E265" s="20" t="s">
        <v>13</v>
      </c>
      <c r="F265" s="20">
        <v>702</v>
      </c>
      <c r="G265" s="20">
        <v>5.17</v>
      </c>
      <c r="H265" s="20">
        <v>5</v>
      </c>
      <c r="I265" s="20">
        <v>0</v>
      </c>
      <c r="J265" s="20">
        <v>0.75</v>
      </c>
      <c r="K265" s="20">
        <v>0.57999999999999996</v>
      </c>
      <c r="L265" s="20">
        <v>5.17</v>
      </c>
    </row>
    <row r="266" spans="1:12" x14ac:dyDescent="0.25">
      <c r="A266" s="20">
        <v>1431</v>
      </c>
      <c r="B266" s="20">
        <v>1801880574001</v>
      </c>
      <c r="C266" s="20" t="s">
        <v>55</v>
      </c>
      <c r="D266" s="22">
        <v>46031</v>
      </c>
      <c r="E266" s="20" t="s">
        <v>13</v>
      </c>
      <c r="F266" s="20">
        <v>699</v>
      </c>
      <c r="G266" s="20">
        <v>35.19</v>
      </c>
      <c r="H266" s="20">
        <v>34</v>
      </c>
      <c r="I266" s="20">
        <v>0</v>
      </c>
      <c r="J266" s="20">
        <v>5.0999999999999996</v>
      </c>
      <c r="K266" s="20">
        <v>3.91</v>
      </c>
      <c r="L266" s="20">
        <v>35.19</v>
      </c>
    </row>
    <row r="267" spans="1:12" x14ac:dyDescent="0.25">
      <c r="A267" s="20">
        <v>1431</v>
      </c>
      <c r="B267" s="20">
        <v>1801880574001</v>
      </c>
      <c r="C267" s="20" t="s">
        <v>55</v>
      </c>
      <c r="D267" s="22">
        <v>46032</v>
      </c>
      <c r="E267" s="20" t="s">
        <v>13</v>
      </c>
      <c r="F267" s="20">
        <v>704</v>
      </c>
      <c r="G267" s="20">
        <v>20.7</v>
      </c>
      <c r="H267" s="20">
        <v>20</v>
      </c>
      <c r="I267" s="20">
        <v>0</v>
      </c>
      <c r="J267" s="20">
        <v>3</v>
      </c>
      <c r="K267" s="20">
        <v>2.2999999999999998</v>
      </c>
      <c r="L267" s="20">
        <v>20.7</v>
      </c>
    </row>
    <row r="268" spans="1:12" x14ac:dyDescent="0.25">
      <c r="A268" s="20">
        <v>1431</v>
      </c>
      <c r="B268" s="20">
        <v>1801880574001</v>
      </c>
      <c r="C268" s="20" t="s">
        <v>55</v>
      </c>
      <c r="D268" s="22">
        <v>46032</v>
      </c>
      <c r="E268" s="20" t="s">
        <v>13</v>
      </c>
      <c r="F268" s="20">
        <v>703</v>
      </c>
      <c r="G268" s="20">
        <v>20.7</v>
      </c>
      <c r="H268" s="20">
        <v>20</v>
      </c>
      <c r="I268" s="20">
        <v>0</v>
      </c>
      <c r="J268" s="20">
        <v>3</v>
      </c>
      <c r="K268" s="20">
        <v>2.2999999999999998</v>
      </c>
      <c r="L268" s="20">
        <v>20.7</v>
      </c>
    </row>
    <row r="269" spans="1:12" x14ac:dyDescent="0.25">
      <c r="A269" s="20">
        <v>1431</v>
      </c>
      <c r="B269" s="20">
        <v>1801880574001</v>
      </c>
      <c r="C269" s="20" t="s">
        <v>55</v>
      </c>
      <c r="D269" s="22">
        <v>46034</v>
      </c>
      <c r="E269" s="20" t="s">
        <v>13</v>
      </c>
      <c r="F269" s="20">
        <v>705</v>
      </c>
      <c r="G269" s="20">
        <v>20.7</v>
      </c>
      <c r="H269" s="20">
        <v>20</v>
      </c>
      <c r="I269" s="20">
        <v>0</v>
      </c>
      <c r="J269" s="20">
        <v>3</v>
      </c>
      <c r="K269" s="20">
        <v>2.2999999999999998</v>
      </c>
      <c r="L269" s="20">
        <v>20.7</v>
      </c>
    </row>
    <row r="270" spans="1:12" x14ac:dyDescent="0.25">
      <c r="A270" s="20">
        <v>1431</v>
      </c>
      <c r="B270" s="20">
        <v>1801880574001</v>
      </c>
      <c r="C270" s="20" t="s">
        <v>55</v>
      </c>
      <c r="D270" s="22">
        <v>46034</v>
      </c>
      <c r="E270" s="20" t="s">
        <v>13</v>
      </c>
      <c r="F270" s="20">
        <v>706</v>
      </c>
      <c r="G270" s="20">
        <v>15.52</v>
      </c>
      <c r="H270" s="20">
        <v>15</v>
      </c>
      <c r="I270" s="20">
        <v>0</v>
      </c>
      <c r="J270" s="20">
        <v>2.25</v>
      </c>
      <c r="K270" s="20">
        <v>1.73</v>
      </c>
      <c r="L270" s="20">
        <v>15.52</v>
      </c>
    </row>
    <row r="271" spans="1:12" x14ac:dyDescent="0.25">
      <c r="A271" s="20">
        <v>1431</v>
      </c>
      <c r="B271" s="20">
        <v>1801880574001</v>
      </c>
      <c r="C271" s="20" t="s">
        <v>55</v>
      </c>
      <c r="D271" s="22">
        <v>46034</v>
      </c>
      <c r="E271" s="20" t="s">
        <v>13</v>
      </c>
      <c r="F271" s="20">
        <v>707</v>
      </c>
      <c r="G271" s="20">
        <v>20.7</v>
      </c>
      <c r="H271" s="20">
        <v>20</v>
      </c>
      <c r="I271" s="20">
        <v>0</v>
      </c>
      <c r="J271" s="20">
        <v>3</v>
      </c>
      <c r="K271" s="20">
        <v>2.2999999999999998</v>
      </c>
      <c r="L271" s="20">
        <v>20.7</v>
      </c>
    </row>
    <row r="272" spans="1:12" x14ac:dyDescent="0.25">
      <c r="A272" s="20">
        <v>1431</v>
      </c>
      <c r="B272" s="20">
        <v>1801880574001</v>
      </c>
      <c r="C272" s="20" t="s">
        <v>55</v>
      </c>
      <c r="D272" s="22">
        <v>46034</v>
      </c>
      <c r="E272" s="20" t="s">
        <v>13</v>
      </c>
      <c r="F272" s="20">
        <v>712</v>
      </c>
      <c r="G272" s="20">
        <v>20.7</v>
      </c>
      <c r="H272" s="20">
        <v>20</v>
      </c>
      <c r="I272" s="20">
        <v>0</v>
      </c>
      <c r="J272" s="20">
        <v>3</v>
      </c>
      <c r="K272" s="20">
        <v>2.2999999999999998</v>
      </c>
      <c r="L272" s="20">
        <v>20.7</v>
      </c>
    </row>
    <row r="273" spans="1:12" x14ac:dyDescent="0.25">
      <c r="A273" s="20">
        <v>1431</v>
      </c>
      <c r="B273" s="20">
        <v>1801880574001</v>
      </c>
      <c r="C273" s="20" t="s">
        <v>55</v>
      </c>
      <c r="D273" s="22">
        <v>46034</v>
      </c>
      <c r="E273" s="20" t="s">
        <v>13</v>
      </c>
      <c r="F273" s="20">
        <v>710</v>
      </c>
      <c r="G273" s="20">
        <v>10.35</v>
      </c>
      <c r="H273" s="20">
        <v>10</v>
      </c>
      <c r="I273" s="20">
        <v>0</v>
      </c>
      <c r="J273" s="20">
        <v>1.5</v>
      </c>
      <c r="K273" s="20">
        <v>1.1499999999999999</v>
      </c>
      <c r="L273" s="20">
        <v>10.35</v>
      </c>
    </row>
    <row r="274" spans="1:12" x14ac:dyDescent="0.25">
      <c r="A274" s="20">
        <v>1431</v>
      </c>
      <c r="B274" s="20">
        <v>1801880574001</v>
      </c>
      <c r="C274" s="20" t="s">
        <v>55</v>
      </c>
      <c r="D274" s="22">
        <v>46034</v>
      </c>
      <c r="E274" s="20" t="s">
        <v>13</v>
      </c>
      <c r="F274" s="20">
        <v>711</v>
      </c>
      <c r="G274" s="20">
        <v>20.7</v>
      </c>
      <c r="H274" s="20">
        <v>20</v>
      </c>
      <c r="I274" s="20">
        <v>0</v>
      </c>
      <c r="J274" s="20">
        <v>3</v>
      </c>
      <c r="K274" s="20">
        <v>2.2999999999999998</v>
      </c>
      <c r="L274" s="20">
        <v>20.7</v>
      </c>
    </row>
    <row r="275" spans="1:12" x14ac:dyDescent="0.25">
      <c r="A275" s="20">
        <v>1431</v>
      </c>
      <c r="B275" s="20">
        <v>1801880574001</v>
      </c>
      <c r="C275" s="20" t="s">
        <v>55</v>
      </c>
      <c r="D275" s="22">
        <v>46034</v>
      </c>
      <c r="E275" s="20" t="s">
        <v>13</v>
      </c>
      <c r="F275" s="20">
        <v>709</v>
      </c>
      <c r="G275" s="20">
        <v>20.7</v>
      </c>
      <c r="H275" s="20">
        <v>20</v>
      </c>
      <c r="I275" s="20">
        <v>0</v>
      </c>
      <c r="J275" s="20">
        <v>3</v>
      </c>
      <c r="K275" s="20">
        <v>2.2999999999999998</v>
      </c>
      <c r="L275" s="20">
        <v>20.7</v>
      </c>
    </row>
    <row r="276" spans="1:12" x14ac:dyDescent="0.25">
      <c r="A276" s="20">
        <v>1431</v>
      </c>
      <c r="B276" s="20">
        <v>1801880574001</v>
      </c>
      <c r="C276" s="20" t="s">
        <v>55</v>
      </c>
      <c r="D276" s="22">
        <v>46035</v>
      </c>
      <c r="E276" s="20" t="s">
        <v>13</v>
      </c>
      <c r="F276" s="20">
        <v>715</v>
      </c>
      <c r="G276" s="20">
        <v>20.7</v>
      </c>
      <c r="H276" s="20">
        <v>20</v>
      </c>
      <c r="I276" s="20">
        <v>0</v>
      </c>
      <c r="J276" s="20">
        <v>3</v>
      </c>
      <c r="K276" s="20">
        <v>2.2999999999999998</v>
      </c>
      <c r="L276" s="20">
        <v>20.7</v>
      </c>
    </row>
    <row r="277" spans="1:12" x14ac:dyDescent="0.25">
      <c r="A277" s="20">
        <v>1431</v>
      </c>
      <c r="B277" s="20">
        <v>1801880574001</v>
      </c>
      <c r="C277" s="20" t="s">
        <v>55</v>
      </c>
      <c r="D277" s="22">
        <v>46035</v>
      </c>
      <c r="E277" s="20" t="s">
        <v>13</v>
      </c>
      <c r="F277" s="20">
        <v>716</v>
      </c>
      <c r="G277" s="20">
        <v>15.52</v>
      </c>
      <c r="H277" s="20">
        <v>15</v>
      </c>
      <c r="I277" s="20">
        <v>0</v>
      </c>
      <c r="J277" s="20">
        <v>2.25</v>
      </c>
      <c r="K277" s="20">
        <v>1.73</v>
      </c>
      <c r="L277" s="20">
        <v>15.52</v>
      </c>
    </row>
    <row r="278" spans="1:12" x14ac:dyDescent="0.25">
      <c r="A278" s="20">
        <v>1431</v>
      </c>
      <c r="B278" s="20">
        <v>1801880574001</v>
      </c>
      <c r="C278" s="20" t="s">
        <v>55</v>
      </c>
      <c r="D278" s="22">
        <v>46036</v>
      </c>
      <c r="E278" s="20" t="s">
        <v>13</v>
      </c>
      <c r="F278" s="20">
        <v>722</v>
      </c>
      <c r="G278" s="20">
        <v>10.35</v>
      </c>
      <c r="H278" s="20">
        <v>10</v>
      </c>
      <c r="I278" s="20">
        <v>0</v>
      </c>
      <c r="J278" s="20">
        <v>1.5</v>
      </c>
      <c r="K278" s="20">
        <v>1.1499999999999999</v>
      </c>
      <c r="L278" s="20">
        <v>10.35</v>
      </c>
    </row>
    <row r="279" spans="1:12" x14ac:dyDescent="0.25">
      <c r="A279" s="20">
        <v>1431</v>
      </c>
      <c r="B279" s="20">
        <v>1801880574001</v>
      </c>
      <c r="C279" s="20" t="s">
        <v>55</v>
      </c>
      <c r="D279" s="22">
        <v>46036</v>
      </c>
      <c r="E279" s="20" t="s">
        <v>13</v>
      </c>
      <c r="F279" s="20">
        <v>721</v>
      </c>
      <c r="G279" s="20">
        <v>20.7</v>
      </c>
      <c r="H279" s="20">
        <v>20</v>
      </c>
      <c r="I279" s="20">
        <v>0</v>
      </c>
      <c r="J279" s="20">
        <v>3</v>
      </c>
      <c r="K279" s="20">
        <v>2.2999999999999998</v>
      </c>
      <c r="L279" s="20">
        <v>20.7</v>
      </c>
    </row>
    <row r="280" spans="1:12" x14ac:dyDescent="0.25">
      <c r="A280" s="20">
        <v>1431</v>
      </c>
      <c r="B280" s="20">
        <v>1801880574001</v>
      </c>
      <c r="C280" s="20" t="s">
        <v>55</v>
      </c>
      <c r="D280" s="22">
        <v>46038</v>
      </c>
      <c r="E280" s="20" t="s">
        <v>13</v>
      </c>
      <c r="F280" s="20">
        <v>727</v>
      </c>
      <c r="G280" s="20">
        <v>20.7</v>
      </c>
      <c r="H280" s="20">
        <v>20</v>
      </c>
      <c r="I280" s="20">
        <v>0</v>
      </c>
      <c r="J280" s="20">
        <v>3</v>
      </c>
      <c r="K280" s="20">
        <v>2.2999999999999998</v>
      </c>
      <c r="L280" s="20">
        <v>20.7</v>
      </c>
    </row>
    <row r="281" spans="1:12" x14ac:dyDescent="0.25">
      <c r="A281" s="20">
        <v>1431</v>
      </c>
      <c r="B281" s="20">
        <v>1801880574001</v>
      </c>
      <c r="C281" s="20" t="s">
        <v>55</v>
      </c>
      <c r="D281" s="22">
        <v>46038</v>
      </c>
      <c r="E281" s="20" t="s">
        <v>13</v>
      </c>
      <c r="F281" s="20">
        <v>728</v>
      </c>
      <c r="G281" s="20">
        <v>10.35</v>
      </c>
      <c r="H281" s="20">
        <v>10</v>
      </c>
      <c r="I281" s="20">
        <v>0</v>
      </c>
      <c r="J281" s="20">
        <v>1.5</v>
      </c>
      <c r="K281" s="20">
        <v>1.1499999999999999</v>
      </c>
      <c r="L281" s="20">
        <v>10.35</v>
      </c>
    </row>
    <row r="282" spans="1:12" x14ac:dyDescent="0.25">
      <c r="A282" s="20">
        <v>1431</v>
      </c>
      <c r="B282" s="20">
        <v>1801880574001</v>
      </c>
      <c r="C282" s="20" t="s">
        <v>55</v>
      </c>
      <c r="D282" s="22">
        <v>46038</v>
      </c>
      <c r="E282" s="20" t="s">
        <v>13</v>
      </c>
      <c r="F282" s="20">
        <v>732</v>
      </c>
      <c r="G282" s="20">
        <v>10.35</v>
      </c>
      <c r="H282" s="20">
        <v>10</v>
      </c>
      <c r="I282" s="20">
        <v>0</v>
      </c>
      <c r="J282" s="20">
        <v>1.5</v>
      </c>
      <c r="K282" s="20">
        <v>1.1499999999999999</v>
      </c>
      <c r="L282" s="20">
        <v>10.35</v>
      </c>
    </row>
    <row r="283" spans="1:12" x14ac:dyDescent="0.25">
      <c r="A283" s="20">
        <v>1431</v>
      </c>
      <c r="B283" s="20">
        <v>1801880574001</v>
      </c>
      <c r="C283" s="20" t="s">
        <v>55</v>
      </c>
      <c r="D283" s="22">
        <v>46038</v>
      </c>
      <c r="E283" s="20" t="s">
        <v>13</v>
      </c>
      <c r="F283" s="20">
        <v>730</v>
      </c>
      <c r="G283" s="20">
        <v>10.35</v>
      </c>
      <c r="H283" s="20">
        <v>10</v>
      </c>
      <c r="I283" s="20">
        <v>0</v>
      </c>
      <c r="J283" s="20">
        <v>1.5</v>
      </c>
      <c r="K283" s="20">
        <v>1.1499999999999999</v>
      </c>
      <c r="L283" s="20">
        <v>10.35</v>
      </c>
    </row>
    <row r="284" spans="1:12" x14ac:dyDescent="0.25">
      <c r="A284" s="20">
        <v>1431</v>
      </c>
      <c r="B284" s="20">
        <v>1801880574001</v>
      </c>
      <c r="C284" s="20" t="s">
        <v>55</v>
      </c>
      <c r="D284" s="22">
        <v>46038</v>
      </c>
      <c r="E284" s="20" t="s">
        <v>13</v>
      </c>
      <c r="F284" s="20">
        <v>731</v>
      </c>
      <c r="G284" s="20">
        <v>20.7</v>
      </c>
      <c r="H284" s="20">
        <v>20</v>
      </c>
      <c r="I284" s="20">
        <v>0</v>
      </c>
      <c r="J284" s="20">
        <v>3</v>
      </c>
      <c r="K284" s="20">
        <v>2.2999999999999998</v>
      </c>
      <c r="L284" s="20">
        <v>20.7</v>
      </c>
    </row>
    <row r="285" spans="1:12" x14ac:dyDescent="0.25">
      <c r="A285" s="20">
        <v>1431</v>
      </c>
      <c r="B285" s="20">
        <v>1801880574001</v>
      </c>
      <c r="C285" s="20" t="s">
        <v>55</v>
      </c>
      <c r="D285" s="22">
        <v>46038</v>
      </c>
      <c r="E285" s="20" t="s">
        <v>13</v>
      </c>
      <c r="F285" s="20">
        <v>729</v>
      </c>
      <c r="G285" s="20">
        <v>20.7</v>
      </c>
      <c r="H285" s="20">
        <v>20</v>
      </c>
      <c r="I285" s="20">
        <v>0</v>
      </c>
      <c r="J285" s="20">
        <v>3</v>
      </c>
      <c r="K285" s="20">
        <v>2.2999999999999998</v>
      </c>
      <c r="L285" s="20">
        <v>20.7</v>
      </c>
    </row>
    <row r="286" spans="1:12" x14ac:dyDescent="0.25">
      <c r="A286" s="20">
        <v>1431</v>
      </c>
      <c r="B286" s="20">
        <v>1801880574001</v>
      </c>
      <c r="C286" s="20" t="s">
        <v>55</v>
      </c>
      <c r="D286" s="22">
        <v>46042</v>
      </c>
      <c r="E286" s="20" t="s">
        <v>13</v>
      </c>
      <c r="F286" s="20">
        <v>741</v>
      </c>
      <c r="G286" s="20">
        <v>20.7</v>
      </c>
      <c r="H286" s="20">
        <v>20</v>
      </c>
      <c r="I286" s="20">
        <v>0</v>
      </c>
      <c r="J286" s="20">
        <v>3</v>
      </c>
      <c r="K286" s="20">
        <v>2.2999999999999998</v>
      </c>
      <c r="L286" s="20">
        <v>20.7</v>
      </c>
    </row>
    <row r="287" spans="1:12" x14ac:dyDescent="0.25">
      <c r="A287" s="20">
        <v>1431</v>
      </c>
      <c r="B287" s="20">
        <v>1801880574001</v>
      </c>
      <c r="C287" s="20" t="s">
        <v>55</v>
      </c>
      <c r="D287" s="22">
        <v>46042</v>
      </c>
      <c r="E287" s="20" t="s">
        <v>13</v>
      </c>
      <c r="F287" s="20">
        <v>742</v>
      </c>
      <c r="G287" s="20">
        <v>10.35</v>
      </c>
      <c r="H287" s="20">
        <v>10</v>
      </c>
      <c r="I287" s="20">
        <v>0</v>
      </c>
      <c r="J287" s="20">
        <v>1.5</v>
      </c>
      <c r="K287" s="20">
        <v>1.1499999999999999</v>
      </c>
      <c r="L287" s="20">
        <v>10.35</v>
      </c>
    </row>
    <row r="288" spans="1:12" x14ac:dyDescent="0.25">
      <c r="A288" s="20">
        <v>1431</v>
      </c>
      <c r="B288" s="20">
        <v>1801880574001</v>
      </c>
      <c r="C288" s="20" t="s">
        <v>55</v>
      </c>
      <c r="D288" s="22">
        <v>46042</v>
      </c>
      <c r="E288" s="20" t="s">
        <v>13</v>
      </c>
      <c r="F288" s="20">
        <v>748</v>
      </c>
      <c r="G288" s="20">
        <v>20.7</v>
      </c>
      <c r="H288" s="20">
        <v>20</v>
      </c>
      <c r="I288" s="20">
        <v>0</v>
      </c>
      <c r="J288" s="20">
        <v>3</v>
      </c>
      <c r="K288" s="20">
        <v>2.2999999999999998</v>
      </c>
      <c r="L288" s="20">
        <v>20.7</v>
      </c>
    </row>
    <row r="289" spans="1:12" x14ac:dyDescent="0.25">
      <c r="A289" s="20">
        <v>1431</v>
      </c>
      <c r="B289" s="20">
        <v>1801880574001</v>
      </c>
      <c r="C289" s="20" t="s">
        <v>55</v>
      </c>
      <c r="D289" s="22">
        <v>46042</v>
      </c>
      <c r="E289" s="20" t="s">
        <v>13</v>
      </c>
      <c r="F289" s="20">
        <v>744</v>
      </c>
      <c r="G289" s="20">
        <v>10.35</v>
      </c>
      <c r="H289" s="20">
        <v>10</v>
      </c>
      <c r="I289" s="20">
        <v>0</v>
      </c>
      <c r="J289" s="20">
        <v>1.5</v>
      </c>
      <c r="K289" s="20">
        <v>1.1499999999999999</v>
      </c>
      <c r="L289" s="20">
        <v>10.35</v>
      </c>
    </row>
    <row r="290" spans="1:12" x14ac:dyDescent="0.25">
      <c r="A290" s="20">
        <v>1431</v>
      </c>
      <c r="B290" s="20">
        <v>1801880574001</v>
      </c>
      <c r="C290" s="20" t="s">
        <v>55</v>
      </c>
      <c r="D290" s="22">
        <v>46042</v>
      </c>
      <c r="E290" s="20" t="s">
        <v>13</v>
      </c>
      <c r="F290" s="20">
        <v>743</v>
      </c>
      <c r="G290" s="20">
        <v>20.7</v>
      </c>
      <c r="H290" s="20">
        <v>20</v>
      </c>
      <c r="I290" s="20">
        <v>0</v>
      </c>
      <c r="J290" s="20">
        <v>3</v>
      </c>
      <c r="K290" s="20">
        <v>2.2999999999999998</v>
      </c>
      <c r="L290" s="20">
        <v>20.7</v>
      </c>
    </row>
    <row r="291" spans="1:12" x14ac:dyDescent="0.25">
      <c r="A291" s="20">
        <v>1431</v>
      </c>
      <c r="B291" s="20">
        <v>1801880574001</v>
      </c>
      <c r="C291" s="20" t="s">
        <v>55</v>
      </c>
      <c r="D291" s="22">
        <v>46043</v>
      </c>
      <c r="E291" s="20" t="s">
        <v>13</v>
      </c>
      <c r="F291" s="20">
        <v>749</v>
      </c>
      <c r="G291" s="20">
        <v>20.7</v>
      </c>
      <c r="H291" s="20">
        <v>20</v>
      </c>
      <c r="I291" s="20">
        <v>0</v>
      </c>
      <c r="J291" s="20">
        <v>3</v>
      </c>
      <c r="K291" s="20">
        <v>2.2999999999999998</v>
      </c>
      <c r="L291" s="20">
        <v>20.7</v>
      </c>
    </row>
    <row r="292" spans="1:12" x14ac:dyDescent="0.25">
      <c r="A292" s="20">
        <v>1431</v>
      </c>
      <c r="B292" s="20">
        <v>1801880574001</v>
      </c>
      <c r="C292" s="20" t="s">
        <v>55</v>
      </c>
      <c r="D292" s="22">
        <v>46043</v>
      </c>
      <c r="E292" s="20" t="s">
        <v>13</v>
      </c>
      <c r="F292" s="20">
        <v>750</v>
      </c>
      <c r="G292" s="20">
        <v>8.2799999999999994</v>
      </c>
      <c r="H292" s="20">
        <v>8</v>
      </c>
      <c r="I292" s="20">
        <v>0</v>
      </c>
      <c r="J292" s="20">
        <v>1.2</v>
      </c>
      <c r="K292" s="20">
        <v>0.92</v>
      </c>
      <c r="L292" s="20">
        <v>8.2799999999999994</v>
      </c>
    </row>
    <row r="293" spans="1:12" x14ac:dyDescent="0.25">
      <c r="A293" s="20">
        <v>1431</v>
      </c>
      <c r="B293" s="20">
        <v>1801880574001</v>
      </c>
      <c r="C293" s="20" t="s">
        <v>55</v>
      </c>
      <c r="D293" s="22">
        <v>46043</v>
      </c>
      <c r="E293" s="20" t="s">
        <v>13</v>
      </c>
      <c r="F293" s="20">
        <v>751</v>
      </c>
      <c r="G293" s="20">
        <v>20.7</v>
      </c>
      <c r="H293" s="20">
        <v>20</v>
      </c>
      <c r="I293" s="20">
        <v>0</v>
      </c>
      <c r="J293" s="20">
        <v>3</v>
      </c>
      <c r="K293" s="20">
        <v>2.2999999999999998</v>
      </c>
      <c r="L293" s="20">
        <v>20.7</v>
      </c>
    </row>
    <row r="294" spans="1:12" x14ac:dyDescent="0.25">
      <c r="A294" s="20">
        <v>1431</v>
      </c>
      <c r="B294" s="20">
        <v>1801880574001</v>
      </c>
      <c r="C294" s="20" t="s">
        <v>55</v>
      </c>
      <c r="D294" s="22">
        <v>46043</v>
      </c>
      <c r="E294" s="20" t="s">
        <v>13</v>
      </c>
      <c r="F294" s="20">
        <v>753</v>
      </c>
      <c r="G294" s="20">
        <v>8.2799999999999994</v>
      </c>
      <c r="H294" s="20">
        <v>8</v>
      </c>
      <c r="I294" s="20">
        <v>0</v>
      </c>
      <c r="J294" s="20">
        <v>1.2</v>
      </c>
      <c r="K294" s="20">
        <v>0.92</v>
      </c>
      <c r="L294" s="20">
        <v>8.2799999999999994</v>
      </c>
    </row>
    <row r="295" spans="1:12" x14ac:dyDescent="0.25">
      <c r="A295" s="20">
        <v>1431</v>
      </c>
      <c r="B295" s="20">
        <v>1801880574001</v>
      </c>
      <c r="C295" s="20" t="s">
        <v>55</v>
      </c>
      <c r="D295" s="22">
        <v>46043</v>
      </c>
      <c r="E295" s="20" t="s">
        <v>13</v>
      </c>
      <c r="F295" s="20">
        <v>761</v>
      </c>
      <c r="G295" s="20">
        <v>10.35</v>
      </c>
      <c r="H295" s="20">
        <v>10</v>
      </c>
      <c r="I295" s="20">
        <v>0</v>
      </c>
      <c r="J295" s="20">
        <v>1.5</v>
      </c>
      <c r="K295" s="20">
        <v>1.1499999999999999</v>
      </c>
      <c r="L295" s="20">
        <v>10.35</v>
      </c>
    </row>
    <row r="296" spans="1:12" x14ac:dyDescent="0.25">
      <c r="A296" s="20">
        <v>1431</v>
      </c>
      <c r="B296" s="20">
        <v>1801880574001</v>
      </c>
      <c r="C296" s="20" t="s">
        <v>55</v>
      </c>
      <c r="D296" s="22">
        <v>46043</v>
      </c>
      <c r="E296" s="20" t="s">
        <v>13</v>
      </c>
      <c r="F296" s="20">
        <v>756</v>
      </c>
      <c r="G296" s="20">
        <v>10.35</v>
      </c>
      <c r="H296" s="20">
        <v>10</v>
      </c>
      <c r="I296" s="20">
        <v>0</v>
      </c>
      <c r="J296" s="20">
        <v>1.5</v>
      </c>
      <c r="K296" s="20">
        <v>1.1499999999999999</v>
      </c>
      <c r="L296" s="20">
        <v>10.35</v>
      </c>
    </row>
    <row r="297" spans="1:12" x14ac:dyDescent="0.25">
      <c r="A297" s="20">
        <v>1431</v>
      </c>
      <c r="B297" s="20">
        <v>1801880574001</v>
      </c>
      <c r="C297" s="20" t="s">
        <v>55</v>
      </c>
      <c r="D297" s="22">
        <v>46043</v>
      </c>
      <c r="E297" s="20" t="s">
        <v>13</v>
      </c>
      <c r="F297" s="20">
        <v>757</v>
      </c>
      <c r="G297" s="20">
        <v>8.2799999999999994</v>
      </c>
      <c r="H297" s="20">
        <v>8</v>
      </c>
      <c r="I297" s="20">
        <v>0</v>
      </c>
      <c r="J297" s="20">
        <v>1.2</v>
      </c>
      <c r="K297" s="20">
        <v>0.92</v>
      </c>
      <c r="L297" s="20">
        <v>8.2799999999999994</v>
      </c>
    </row>
    <row r="298" spans="1:12" x14ac:dyDescent="0.25">
      <c r="A298" s="20">
        <v>1431</v>
      </c>
      <c r="B298" s="20">
        <v>1801880574001</v>
      </c>
      <c r="C298" s="20" t="s">
        <v>55</v>
      </c>
      <c r="D298" s="22">
        <v>46043</v>
      </c>
      <c r="E298" s="20" t="s">
        <v>13</v>
      </c>
      <c r="F298" s="20">
        <v>758</v>
      </c>
      <c r="G298" s="20">
        <v>20.7</v>
      </c>
      <c r="H298" s="20">
        <v>20</v>
      </c>
      <c r="I298" s="20">
        <v>0</v>
      </c>
      <c r="J298" s="20">
        <v>3</v>
      </c>
      <c r="K298" s="20">
        <v>2.2999999999999998</v>
      </c>
      <c r="L298" s="20">
        <v>20.7</v>
      </c>
    </row>
    <row r="299" spans="1:12" x14ac:dyDescent="0.25">
      <c r="A299" s="20">
        <v>1431</v>
      </c>
      <c r="B299" s="20">
        <v>1801880574001</v>
      </c>
      <c r="C299" s="20" t="s">
        <v>55</v>
      </c>
      <c r="D299" s="22">
        <v>46043</v>
      </c>
      <c r="E299" s="20" t="s">
        <v>13</v>
      </c>
      <c r="F299" s="20">
        <v>755</v>
      </c>
      <c r="G299" s="20">
        <v>20.7</v>
      </c>
      <c r="H299" s="20">
        <v>20</v>
      </c>
      <c r="I299" s="20">
        <v>0</v>
      </c>
      <c r="J299" s="20">
        <v>3</v>
      </c>
      <c r="K299" s="20">
        <v>2.2999999999999998</v>
      </c>
      <c r="L299" s="20">
        <v>20.7</v>
      </c>
    </row>
    <row r="300" spans="1:12" x14ac:dyDescent="0.25">
      <c r="A300" s="20">
        <v>1431</v>
      </c>
      <c r="B300" s="20">
        <v>1801880574001</v>
      </c>
      <c r="C300" s="20" t="s">
        <v>55</v>
      </c>
      <c r="D300" s="22">
        <v>46044</v>
      </c>
      <c r="E300" s="20" t="s">
        <v>13</v>
      </c>
      <c r="F300" s="20">
        <v>762</v>
      </c>
      <c r="G300" s="20">
        <v>20.7</v>
      </c>
      <c r="H300" s="20">
        <v>20</v>
      </c>
      <c r="I300" s="20">
        <v>0</v>
      </c>
      <c r="J300" s="20">
        <v>3</v>
      </c>
      <c r="K300" s="20">
        <v>2.2999999999999998</v>
      </c>
      <c r="L300" s="20">
        <v>20.7</v>
      </c>
    </row>
    <row r="301" spans="1:12" x14ac:dyDescent="0.25">
      <c r="A301" s="20">
        <v>1431</v>
      </c>
      <c r="B301" s="20">
        <v>1801880574001</v>
      </c>
      <c r="C301" s="20" t="s">
        <v>55</v>
      </c>
      <c r="D301" s="22">
        <v>46044</v>
      </c>
      <c r="E301" s="20" t="s">
        <v>13</v>
      </c>
      <c r="F301" s="20">
        <v>763</v>
      </c>
      <c r="G301" s="20">
        <v>10.35</v>
      </c>
      <c r="H301" s="20">
        <v>10</v>
      </c>
      <c r="I301" s="20">
        <v>0</v>
      </c>
      <c r="J301" s="20">
        <v>1.5</v>
      </c>
      <c r="K301" s="20">
        <v>1.1499999999999999</v>
      </c>
      <c r="L301" s="20">
        <v>10.35</v>
      </c>
    </row>
    <row r="302" spans="1:12" x14ac:dyDescent="0.25">
      <c r="A302" s="20">
        <v>1431</v>
      </c>
      <c r="B302" s="20">
        <v>1801880574001</v>
      </c>
      <c r="C302" s="20" t="s">
        <v>55</v>
      </c>
      <c r="D302" s="22">
        <v>46044</v>
      </c>
      <c r="E302" s="20" t="s">
        <v>13</v>
      </c>
      <c r="F302" s="20">
        <v>769</v>
      </c>
      <c r="G302" s="20">
        <v>8.2799999999999994</v>
      </c>
      <c r="H302" s="20">
        <v>8</v>
      </c>
      <c r="I302" s="20">
        <v>0</v>
      </c>
      <c r="J302" s="20">
        <v>1.2</v>
      </c>
      <c r="K302" s="20">
        <v>0.92</v>
      </c>
      <c r="L302" s="20">
        <v>8.2799999999999994</v>
      </c>
    </row>
    <row r="303" spans="1:12" x14ac:dyDescent="0.25">
      <c r="A303" s="20">
        <v>1431</v>
      </c>
      <c r="B303" s="20">
        <v>1801880574001</v>
      </c>
      <c r="C303" s="20" t="s">
        <v>55</v>
      </c>
      <c r="D303" s="22">
        <v>46044</v>
      </c>
      <c r="E303" s="20" t="s">
        <v>13</v>
      </c>
      <c r="F303" s="20">
        <v>766</v>
      </c>
      <c r="G303" s="20">
        <v>10.35</v>
      </c>
      <c r="H303" s="20">
        <v>10</v>
      </c>
      <c r="I303" s="20">
        <v>0</v>
      </c>
      <c r="J303" s="20">
        <v>1.5</v>
      </c>
      <c r="K303" s="20">
        <v>1.1499999999999999</v>
      </c>
      <c r="L303" s="20">
        <v>10.35</v>
      </c>
    </row>
    <row r="304" spans="1:12" x14ac:dyDescent="0.25">
      <c r="A304" s="20">
        <v>1431</v>
      </c>
      <c r="B304" s="20">
        <v>1801880574001</v>
      </c>
      <c r="C304" s="20" t="s">
        <v>55</v>
      </c>
      <c r="D304" s="22">
        <v>46044</v>
      </c>
      <c r="E304" s="20" t="s">
        <v>13</v>
      </c>
      <c r="F304" s="20">
        <v>767</v>
      </c>
      <c r="G304" s="20">
        <v>20.7</v>
      </c>
      <c r="H304" s="20">
        <v>20</v>
      </c>
      <c r="I304" s="20">
        <v>0</v>
      </c>
      <c r="J304" s="20">
        <v>3</v>
      </c>
      <c r="K304" s="20">
        <v>2.2999999999999998</v>
      </c>
      <c r="L304" s="20">
        <v>20.7</v>
      </c>
    </row>
    <row r="305" spans="1:12" x14ac:dyDescent="0.25">
      <c r="A305" s="20">
        <v>1431</v>
      </c>
      <c r="B305" s="20">
        <v>1801880574001</v>
      </c>
      <c r="C305" s="20" t="s">
        <v>55</v>
      </c>
      <c r="D305" s="22">
        <v>46044</v>
      </c>
      <c r="E305" s="20" t="s">
        <v>13</v>
      </c>
      <c r="F305" s="20">
        <v>765</v>
      </c>
      <c r="G305" s="20">
        <v>20.7</v>
      </c>
      <c r="H305" s="20">
        <v>20</v>
      </c>
      <c r="I305" s="20">
        <v>0</v>
      </c>
      <c r="J305" s="20">
        <v>3</v>
      </c>
      <c r="K305" s="20">
        <v>2.2999999999999998</v>
      </c>
      <c r="L305" s="20">
        <v>20.7</v>
      </c>
    </row>
    <row r="306" spans="1:12" x14ac:dyDescent="0.25">
      <c r="A306" s="20">
        <v>1431</v>
      </c>
      <c r="B306" s="20">
        <v>1801880574001</v>
      </c>
      <c r="C306" s="20" t="s">
        <v>55</v>
      </c>
      <c r="D306" s="22">
        <v>46045</v>
      </c>
      <c r="E306" s="20" t="s">
        <v>13</v>
      </c>
      <c r="F306" s="20">
        <v>771</v>
      </c>
      <c r="G306" s="20">
        <v>25.87</v>
      </c>
      <c r="H306" s="20">
        <v>25</v>
      </c>
      <c r="I306" s="20">
        <v>0</v>
      </c>
      <c r="J306" s="20">
        <v>3.75</v>
      </c>
      <c r="K306" s="20">
        <v>2.88</v>
      </c>
      <c r="L306" s="20">
        <v>25.87</v>
      </c>
    </row>
    <row r="307" spans="1:12" x14ac:dyDescent="0.25">
      <c r="A307" s="20">
        <v>1431</v>
      </c>
      <c r="B307" s="20">
        <v>1801880574001</v>
      </c>
      <c r="C307" s="20" t="s">
        <v>55</v>
      </c>
      <c r="D307" s="22">
        <v>46045</v>
      </c>
      <c r="E307" s="20" t="s">
        <v>13</v>
      </c>
      <c r="F307" s="20">
        <v>773</v>
      </c>
      <c r="G307" s="20">
        <v>15.52</v>
      </c>
      <c r="H307" s="20">
        <v>15</v>
      </c>
      <c r="I307" s="20">
        <v>0</v>
      </c>
      <c r="J307" s="20">
        <v>2.25</v>
      </c>
      <c r="K307" s="20">
        <v>1.73</v>
      </c>
      <c r="L307" s="20">
        <v>15.52</v>
      </c>
    </row>
    <row r="308" spans="1:12" x14ac:dyDescent="0.25">
      <c r="A308" s="20">
        <v>1431</v>
      </c>
      <c r="B308" s="20">
        <v>1801880574001</v>
      </c>
      <c r="C308" s="20" t="s">
        <v>55</v>
      </c>
      <c r="D308" s="22">
        <v>46045</v>
      </c>
      <c r="E308" s="20" t="s">
        <v>13</v>
      </c>
      <c r="F308" s="20">
        <v>772</v>
      </c>
      <c r="G308" s="20">
        <v>20.7</v>
      </c>
      <c r="H308" s="20">
        <v>20</v>
      </c>
      <c r="I308" s="20">
        <v>0</v>
      </c>
      <c r="J308" s="20">
        <v>3</v>
      </c>
      <c r="K308" s="20">
        <v>2.2999999999999998</v>
      </c>
      <c r="L308" s="20">
        <v>20.7</v>
      </c>
    </row>
    <row r="309" spans="1:12" x14ac:dyDescent="0.25">
      <c r="A309" s="20">
        <v>1431</v>
      </c>
      <c r="B309" s="20">
        <v>1801880574001</v>
      </c>
      <c r="C309" s="20" t="s">
        <v>55</v>
      </c>
      <c r="D309" s="22">
        <v>46048</v>
      </c>
      <c r="E309" s="20" t="s">
        <v>13</v>
      </c>
      <c r="F309" s="20">
        <v>777</v>
      </c>
      <c r="G309" s="20">
        <v>10.35</v>
      </c>
      <c r="H309" s="20">
        <v>10</v>
      </c>
      <c r="I309" s="20">
        <v>0</v>
      </c>
      <c r="J309" s="20">
        <v>1.5</v>
      </c>
      <c r="K309" s="20">
        <v>1.1499999999999999</v>
      </c>
      <c r="L309" s="20">
        <v>10.35</v>
      </c>
    </row>
    <row r="310" spans="1:12" x14ac:dyDescent="0.25">
      <c r="A310" s="20">
        <v>1431</v>
      </c>
      <c r="B310" s="20">
        <v>1801880574001</v>
      </c>
      <c r="C310" s="20" t="s">
        <v>55</v>
      </c>
      <c r="D310" s="22">
        <v>46048</v>
      </c>
      <c r="E310" s="20" t="s">
        <v>13</v>
      </c>
      <c r="F310" s="20">
        <v>776</v>
      </c>
      <c r="G310" s="20">
        <v>12.42</v>
      </c>
      <c r="H310" s="20">
        <v>12</v>
      </c>
      <c r="I310" s="20">
        <v>0</v>
      </c>
      <c r="J310" s="20">
        <v>1.8</v>
      </c>
      <c r="K310" s="20">
        <v>1.38</v>
      </c>
      <c r="L310" s="20">
        <v>12.42</v>
      </c>
    </row>
    <row r="311" spans="1:12" x14ac:dyDescent="0.25">
      <c r="A311" s="20">
        <v>1431</v>
      </c>
      <c r="B311" s="20">
        <v>1801880574001</v>
      </c>
      <c r="C311" s="20" t="s">
        <v>55</v>
      </c>
      <c r="D311" s="22">
        <v>46049</v>
      </c>
      <c r="E311" s="20" t="s">
        <v>13</v>
      </c>
      <c r="F311" s="20">
        <v>784</v>
      </c>
      <c r="G311" s="20">
        <v>15.52</v>
      </c>
      <c r="H311" s="20">
        <v>15</v>
      </c>
      <c r="I311" s="20">
        <v>0</v>
      </c>
      <c r="J311" s="20">
        <v>2.25</v>
      </c>
      <c r="K311" s="20">
        <v>1.73</v>
      </c>
      <c r="L311" s="20">
        <v>15.52</v>
      </c>
    </row>
    <row r="312" spans="1:12" x14ac:dyDescent="0.25">
      <c r="A312" s="20">
        <v>1431</v>
      </c>
      <c r="B312" s="20">
        <v>1801880574001</v>
      </c>
      <c r="C312" s="20" t="s">
        <v>55</v>
      </c>
      <c r="D312" s="22">
        <v>46049</v>
      </c>
      <c r="E312" s="20" t="s">
        <v>13</v>
      </c>
      <c r="F312" s="20">
        <v>783</v>
      </c>
      <c r="G312" s="20">
        <v>20.7</v>
      </c>
      <c r="H312" s="20">
        <v>20</v>
      </c>
      <c r="I312" s="20">
        <v>0</v>
      </c>
      <c r="J312" s="20">
        <v>3</v>
      </c>
      <c r="K312" s="20">
        <v>2.2999999999999998</v>
      </c>
      <c r="L312" s="20">
        <v>20.7</v>
      </c>
    </row>
    <row r="313" spans="1:12" x14ac:dyDescent="0.25">
      <c r="A313" s="20">
        <v>1431</v>
      </c>
      <c r="B313" s="20">
        <v>1801880574001</v>
      </c>
      <c r="C313" s="20" t="s">
        <v>55</v>
      </c>
      <c r="D313" s="22">
        <v>46051</v>
      </c>
      <c r="E313" s="20" t="s">
        <v>13</v>
      </c>
      <c r="F313" s="20">
        <v>791</v>
      </c>
      <c r="G313" s="20">
        <v>20.7</v>
      </c>
      <c r="H313" s="20">
        <v>20</v>
      </c>
      <c r="I313" s="20">
        <v>0</v>
      </c>
      <c r="J313" s="20">
        <v>3</v>
      </c>
      <c r="K313" s="20">
        <v>2.2999999999999998</v>
      </c>
      <c r="L313" s="20">
        <v>20.7</v>
      </c>
    </row>
    <row r="314" spans="1:12" x14ac:dyDescent="0.25">
      <c r="A314" s="20">
        <v>1431</v>
      </c>
      <c r="B314" s="20">
        <v>1801880574001</v>
      </c>
      <c r="C314" s="20" t="s">
        <v>55</v>
      </c>
      <c r="D314" s="22">
        <v>46051</v>
      </c>
      <c r="E314" s="20" t="s">
        <v>13</v>
      </c>
      <c r="F314" s="20">
        <v>793</v>
      </c>
      <c r="G314" s="20">
        <v>4.1399999999999997</v>
      </c>
      <c r="H314" s="20">
        <v>4</v>
      </c>
      <c r="I314" s="20">
        <v>0</v>
      </c>
      <c r="J314" s="20">
        <v>0.6</v>
      </c>
      <c r="K314" s="20">
        <v>0.46</v>
      </c>
      <c r="L314" s="20">
        <v>4.1399999999999997</v>
      </c>
    </row>
    <row r="315" spans="1:12" x14ac:dyDescent="0.25">
      <c r="A315" s="20">
        <v>1431</v>
      </c>
      <c r="B315" s="20">
        <v>1801880574001</v>
      </c>
      <c r="C315" s="20" t="s">
        <v>55</v>
      </c>
      <c r="D315" s="22">
        <v>46051</v>
      </c>
      <c r="E315" s="20" t="s">
        <v>13</v>
      </c>
      <c r="F315" s="20">
        <v>792</v>
      </c>
      <c r="G315" s="20">
        <v>8.2799999999999994</v>
      </c>
      <c r="H315" s="20">
        <v>8</v>
      </c>
      <c r="I315" s="20">
        <v>0</v>
      </c>
      <c r="J315" s="20">
        <v>1.2</v>
      </c>
      <c r="K315" s="20">
        <v>0.92</v>
      </c>
      <c r="L315" s="20">
        <v>8.2799999999999994</v>
      </c>
    </row>
    <row r="316" spans="1:12" x14ac:dyDescent="0.25">
      <c r="A316" s="20">
        <v>1431</v>
      </c>
      <c r="B316" s="20">
        <v>1801880574001</v>
      </c>
      <c r="C316" s="20" t="s">
        <v>55</v>
      </c>
      <c r="D316" s="22">
        <v>46052</v>
      </c>
      <c r="E316" s="20" t="s">
        <v>13</v>
      </c>
      <c r="F316" s="20">
        <v>797</v>
      </c>
      <c r="G316" s="20">
        <v>20.7</v>
      </c>
      <c r="H316" s="20">
        <v>20</v>
      </c>
      <c r="I316" s="20">
        <v>0</v>
      </c>
      <c r="J316" s="20">
        <v>3</v>
      </c>
      <c r="K316" s="20">
        <v>2.2999999999999998</v>
      </c>
      <c r="L316" s="20">
        <v>20.7</v>
      </c>
    </row>
    <row r="317" spans="1:12" x14ac:dyDescent="0.25">
      <c r="A317" s="20">
        <v>1431</v>
      </c>
      <c r="B317" s="20">
        <v>1801880574001</v>
      </c>
      <c r="C317" s="20" t="s">
        <v>55</v>
      </c>
      <c r="D317" s="22">
        <v>46052</v>
      </c>
      <c r="E317" s="20" t="s">
        <v>13</v>
      </c>
      <c r="F317" s="20">
        <v>798</v>
      </c>
      <c r="G317" s="20">
        <v>15.52</v>
      </c>
      <c r="H317" s="20">
        <v>15</v>
      </c>
      <c r="I317" s="20">
        <v>0</v>
      </c>
      <c r="J317" s="20">
        <v>2.25</v>
      </c>
      <c r="K317" s="20">
        <v>1.73</v>
      </c>
      <c r="L317" s="20">
        <v>15.52</v>
      </c>
    </row>
    <row r="318" spans="1:12" x14ac:dyDescent="0.25">
      <c r="A318" s="20">
        <v>1431</v>
      </c>
      <c r="B318" s="20">
        <v>1801880574001</v>
      </c>
      <c r="C318" s="20" t="s">
        <v>55</v>
      </c>
      <c r="D318" s="22">
        <v>46052</v>
      </c>
      <c r="E318" s="20" t="s">
        <v>13</v>
      </c>
      <c r="F318" s="20">
        <v>804</v>
      </c>
      <c r="G318" s="20">
        <v>10.35</v>
      </c>
      <c r="H318" s="20">
        <v>10</v>
      </c>
      <c r="I318" s="20">
        <v>0</v>
      </c>
      <c r="J318" s="20">
        <v>1.5</v>
      </c>
      <c r="K318" s="20">
        <v>1.1499999999999999</v>
      </c>
      <c r="L318" s="20">
        <v>10.35</v>
      </c>
    </row>
    <row r="319" spans="1:12" x14ac:dyDescent="0.25">
      <c r="A319" s="20">
        <v>1431</v>
      </c>
      <c r="B319" s="20">
        <v>1801880574001</v>
      </c>
      <c r="C319" s="20" t="s">
        <v>55</v>
      </c>
      <c r="D319" s="22">
        <v>46052</v>
      </c>
      <c r="E319" s="20" t="s">
        <v>13</v>
      </c>
      <c r="F319" s="20">
        <v>802</v>
      </c>
      <c r="G319" s="20">
        <v>8.2799999999999994</v>
      </c>
      <c r="H319" s="20">
        <v>8</v>
      </c>
      <c r="I319" s="20">
        <v>0</v>
      </c>
      <c r="J319" s="20">
        <v>1.2</v>
      </c>
      <c r="K319" s="20">
        <v>0.92</v>
      </c>
      <c r="L319" s="20">
        <v>8.2799999999999994</v>
      </c>
    </row>
    <row r="320" spans="1:12" x14ac:dyDescent="0.25">
      <c r="A320" s="20">
        <v>1431</v>
      </c>
      <c r="B320" s="20">
        <v>1801880574001</v>
      </c>
      <c r="C320" s="20" t="s">
        <v>55</v>
      </c>
      <c r="D320" s="22">
        <v>46052</v>
      </c>
      <c r="E320" s="20" t="s">
        <v>13</v>
      </c>
      <c r="F320" s="20">
        <v>803</v>
      </c>
      <c r="G320" s="20">
        <v>20.7</v>
      </c>
      <c r="H320" s="20">
        <v>20</v>
      </c>
      <c r="I320" s="20">
        <v>0</v>
      </c>
      <c r="J320" s="20">
        <v>3</v>
      </c>
      <c r="K320" s="20">
        <v>2.2999999999999998</v>
      </c>
      <c r="L320" s="20">
        <v>20.7</v>
      </c>
    </row>
    <row r="321" spans="1:12" x14ac:dyDescent="0.25">
      <c r="A321" s="20">
        <v>1431</v>
      </c>
      <c r="B321" s="20">
        <v>1801880574001</v>
      </c>
      <c r="C321" s="20" t="s">
        <v>55</v>
      </c>
      <c r="D321" s="22">
        <v>46052</v>
      </c>
      <c r="E321" s="20" t="s">
        <v>13</v>
      </c>
      <c r="F321" s="20">
        <v>801</v>
      </c>
      <c r="G321" s="20">
        <v>20.7</v>
      </c>
      <c r="H321" s="20">
        <v>20</v>
      </c>
      <c r="I321" s="20">
        <v>0</v>
      </c>
      <c r="J321" s="20">
        <v>3</v>
      </c>
      <c r="K321" s="20">
        <v>2.2999999999999998</v>
      </c>
      <c r="L321" s="20">
        <v>20.7</v>
      </c>
    </row>
    <row r="322" spans="1:12" x14ac:dyDescent="0.25">
      <c r="A322" s="20">
        <v>1754</v>
      </c>
      <c r="B322" s="20">
        <v>1802565182001</v>
      </c>
      <c r="C322" s="20" t="s">
        <v>56</v>
      </c>
      <c r="D322" s="22">
        <v>46027</v>
      </c>
      <c r="E322" s="20" t="s">
        <v>13</v>
      </c>
      <c r="F322" s="20">
        <v>1421</v>
      </c>
      <c r="G322" s="20">
        <v>15.37</v>
      </c>
      <c r="H322" s="20">
        <v>15</v>
      </c>
      <c r="I322" s="20">
        <v>0</v>
      </c>
      <c r="J322" s="20">
        <v>2.25</v>
      </c>
      <c r="K322" s="20">
        <v>1.88</v>
      </c>
      <c r="L322" s="20">
        <v>15.37</v>
      </c>
    </row>
    <row r="323" spans="1:12" x14ac:dyDescent="0.25">
      <c r="A323" s="20">
        <v>1754</v>
      </c>
      <c r="B323" s="20">
        <v>1802565182001</v>
      </c>
      <c r="C323" s="20" t="s">
        <v>56</v>
      </c>
      <c r="D323" s="22">
        <v>46027</v>
      </c>
      <c r="E323" s="20" t="s">
        <v>13</v>
      </c>
      <c r="F323" s="20">
        <v>1424</v>
      </c>
      <c r="G323" s="20">
        <v>8.1999999999999993</v>
      </c>
      <c r="H323" s="20">
        <v>8</v>
      </c>
      <c r="I323" s="20">
        <v>0</v>
      </c>
      <c r="J323" s="20">
        <v>1.2</v>
      </c>
      <c r="K323" s="20">
        <v>1</v>
      </c>
      <c r="L323" s="20">
        <v>8.1999999999999993</v>
      </c>
    </row>
    <row r="324" spans="1:12" x14ac:dyDescent="0.25">
      <c r="A324" s="20">
        <v>1754</v>
      </c>
      <c r="B324" s="20">
        <v>1802565182001</v>
      </c>
      <c r="C324" s="20" t="s">
        <v>56</v>
      </c>
      <c r="D324" s="22">
        <v>46027</v>
      </c>
      <c r="E324" s="20" t="s">
        <v>13</v>
      </c>
      <c r="F324" s="20">
        <v>1423</v>
      </c>
      <c r="G324" s="20">
        <v>6.15</v>
      </c>
      <c r="H324" s="20">
        <v>6</v>
      </c>
      <c r="I324" s="20">
        <v>0</v>
      </c>
      <c r="J324" s="20">
        <v>0.9</v>
      </c>
      <c r="K324" s="20">
        <v>0.75</v>
      </c>
      <c r="L324" s="20">
        <v>6.15</v>
      </c>
    </row>
    <row r="325" spans="1:12" x14ac:dyDescent="0.25">
      <c r="A325" s="20">
        <v>1754</v>
      </c>
      <c r="B325" s="20">
        <v>1802565182001</v>
      </c>
      <c r="C325" s="20" t="s">
        <v>56</v>
      </c>
      <c r="D325" s="22">
        <v>46027</v>
      </c>
      <c r="E325" s="20" t="s">
        <v>13</v>
      </c>
      <c r="F325" s="20">
        <v>1422</v>
      </c>
      <c r="G325" s="20">
        <v>10.25</v>
      </c>
      <c r="H325" s="20">
        <v>10</v>
      </c>
      <c r="I325" s="20">
        <v>0</v>
      </c>
      <c r="J325" s="20">
        <v>1.5</v>
      </c>
      <c r="K325" s="20">
        <v>1.25</v>
      </c>
      <c r="L325" s="20">
        <v>10.25</v>
      </c>
    </row>
    <row r="326" spans="1:12" x14ac:dyDescent="0.25">
      <c r="A326" s="20">
        <v>1754</v>
      </c>
      <c r="B326" s="20">
        <v>1802565182001</v>
      </c>
      <c r="C326" s="20" t="s">
        <v>56</v>
      </c>
      <c r="D326" s="22">
        <v>46027</v>
      </c>
      <c r="E326" s="20" t="s">
        <v>13</v>
      </c>
      <c r="F326" s="20">
        <v>1420</v>
      </c>
      <c r="G326" s="20">
        <v>10.25</v>
      </c>
      <c r="H326" s="20">
        <v>10</v>
      </c>
      <c r="I326" s="20">
        <v>0</v>
      </c>
      <c r="J326" s="20">
        <v>1.5</v>
      </c>
      <c r="K326" s="20">
        <v>1.25</v>
      </c>
      <c r="L326" s="20">
        <v>10.25</v>
      </c>
    </row>
    <row r="327" spans="1:12" x14ac:dyDescent="0.25">
      <c r="A327" s="20">
        <v>1754</v>
      </c>
      <c r="B327" s="20">
        <v>1802565182001</v>
      </c>
      <c r="C327" s="20" t="s">
        <v>56</v>
      </c>
      <c r="D327" s="22">
        <v>46028</v>
      </c>
      <c r="E327" s="20" t="s">
        <v>13</v>
      </c>
      <c r="F327" s="20">
        <v>1427</v>
      </c>
      <c r="G327" s="20">
        <v>10.25</v>
      </c>
      <c r="H327" s="20">
        <v>10</v>
      </c>
      <c r="I327" s="20">
        <v>0</v>
      </c>
      <c r="J327" s="20">
        <v>1.5</v>
      </c>
      <c r="K327" s="20">
        <v>1.25</v>
      </c>
      <c r="L327" s="20">
        <v>10.25</v>
      </c>
    </row>
    <row r="328" spans="1:12" x14ac:dyDescent="0.25">
      <c r="A328" s="20">
        <v>1754</v>
      </c>
      <c r="B328" s="20">
        <v>1802565182001</v>
      </c>
      <c r="C328" s="20" t="s">
        <v>56</v>
      </c>
      <c r="D328" s="22">
        <v>46028</v>
      </c>
      <c r="E328" s="20" t="s">
        <v>13</v>
      </c>
      <c r="F328" s="20">
        <v>1428</v>
      </c>
      <c r="G328" s="20">
        <v>15.37</v>
      </c>
      <c r="H328" s="20">
        <v>15</v>
      </c>
      <c r="I328" s="20">
        <v>0</v>
      </c>
      <c r="J328" s="20">
        <v>2.25</v>
      </c>
      <c r="K328" s="20">
        <v>1.88</v>
      </c>
      <c r="L328" s="20">
        <v>15.37</v>
      </c>
    </row>
    <row r="329" spans="1:12" x14ac:dyDescent="0.25">
      <c r="A329" s="20">
        <v>1754</v>
      </c>
      <c r="B329" s="20">
        <v>1802565182001</v>
      </c>
      <c r="C329" s="20" t="s">
        <v>56</v>
      </c>
      <c r="D329" s="22">
        <v>46028</v>
      </c>
      <c r="E329" s="20" t="s">
        <v>13</v>
      </c>
      <c r="F329" s="20">
        <v>1429</v>
      </c>
      <c r="G329" s="20">
        <v>6.15</v>
      </c>
      <c r="H329" s="20">
        <v>6</v>
      </c>
      <c r="I329" s="20">
        <v>0</v>
      </c>
      <c r="J329" s="20">
        <v>0.9</v>
      </c>
      <c r="K329" s="20">
        <v>0.75</v>
      </c>
      <c r="L329" s="20">
        <v>6.15</v>
      </c>
    </row>
    <row r="330" spans="1:12" x14ac:dyDescent="0.25">
      <c r="A330" s="20">
        <v>1754</v>
      </c>
      <c r="B330" s="20">
        <v>1802565182001</v>
      </c>
      <c r="C330" s="20" t="s">
        <v>56</v>
      </c>
      <c r="D330" s="22">
        <v>46028</v>
      </c>
      <c r="E330" s="20" t="s">
        <v>13</v>
      </c>
      <c r="F330" s="20">
        <v>1432</v>
      </c>
      <c r="G330" s="20">
        <v>6.15</v>
      </c>
      <c r="H330" s="20">
        <v>6</v>
      </c>
      <c r="I330" s="20">
        <v>0</v>
      </c>
      <c r="J330" s="20">
        <v>0.9</v>
      </c>
      <c r="K330" s="20">
        <v>0.75</v>
      </c>
      <c r="L330" s="20">
        <v>6.15</v>
      </c>
    </row>
    <row r="331" spans="1:12" x14ac:dyDescent="0.25">
      <c r="A331" s="20">
        <v>1754</v>
      </c>
      <c r="B331" s="20">
        <v>1802565182001</v>
      </c>
      <c r="C331" s="20" t="s">
        <v>56</v>
      </c>
      <c r="D331" s="22">
        <v>46028</v>
      </c>
      <c r="E331" s="20" t="s">
        <v>13</v>
      </c>
      <c r="F331" s="20">
        <v>1433</v>
      </c>
      <c r="G331" s="20">
        <v>10.25</v>
      </c>
      <c r="H331" s="20">
        <v>10</v>
      </c>
      <c r="I331" s="20">
        <v>0</v>
      </c>
      <c r="J331" s="20">
        <v>1.5</v>
      </c>
      <c r="K331" s="20">
        <v>1.25</v>
      </c>
      <c r="L331" s="20">
        <v>10.25</v>
      </c>
    </row>
    <row r="332" spans="1:12" x14ac:dyDescent="0.25">
      <c r="A332" s="20">
        <v>1754</v>
      </c>
      <c r="B332" s="20">
        <v>1802565182001</v>
      </c>
      <c r="C332" s="20" t="s">
        <v>56</v>
      </c>
      <c r="D332" s="22">
        <v>46028</v>
      </c>
      <c r="E332" s="20" t="s">
        <v>13</v>
      </c>
      <c r="F332" s="20">
        <v>1434</v>
      </c>
      <c r="G332" s="20">
        <v>10.25</v>
      </c>
      <c r="H332" s="20">
        <v>10</v>
      </c>
      <c r="I332" s="20">
        <v>0</v>
      </c>
      <c r="J332" s="20">
        <v>1.5</v>
      </c>
      <c r="K332" s="20">
        <v>1.25</v>
      </c>
      <c r="L332" s="20">
        <v>10.25</v>
      </c>
    </row>
    <row r="333" spans="1:12" x14ac:dyDescent="0.25">
      <c r="A333" s="20">
        <v>1754</v>
      </c>
      <c r="B333" s="20">
        <v>1802565182001</v>
      </c>
      <c r="C333" s="20" t="s">
        <v>56</v>
      </c>
      <c r="D333" s="22">
        <v>46028</v>
      </c>
      <c r="E333" s="20" t="s">
        <v>13</v>
      </c>
      <c r="F333" s="20">
        <v>1431</v>
      </c>
      <c r="G333" s="20">
        <v>10.25</v>
      </c>
      <c r="H333" s="20">
        <v>10</v>
      </c>
      <c r="I333" s="20">
        <v>0</v>
      </c>
      <c r="J333" s="20">
        <v>1.5</v>
      </c>
      <c r="K333" s="20">
        <v>1.25</v>
      </c>
      <c r="L333" s="20">
        <v>10.25</v>
      </c>
    </row>
    <row r="334" spans="1:12" x14ac:dyDescent="0.25">
      <c r="A334" s="20">
        <v>1754</v>
      </c>
      <c r="B334" s="20">
        <v>1802565182001</v>
      </c>
      <c r="C334" s="20" t="s">
        <v>56</v>
      </c>
      <c r="D334" s="22">
        <v>46029</v>
      </c>
      <c r="E334" s="20" t="s">
        <v>13</v>
      </c>
      <c r="F334" s="20">
        <v>1436</v>
      </c>
      <c r="G334" s="20">
        <v>6.15</v>
      </c>
      <c r="H334" s="20">
        <v>6</v>
      </c>
      <c r="I334" s="20">
        <v>0</v>
      </c>
      <c r="J334" s="20">
        <v>0.9</v>
      </c>
      <c r="K334" s="20">
        <v>0.75</v>
      </c>
      <c r="L334" s="20">
        <v>6.15</v>
      </c>
    </row>
    <row r="335" spans="1:12" x14ac:dyDescent="0.25">
      <c r="A335" s="20">
        <v>1754</v>
      </c>
      <c r="B335" s="20">
        <v>1802565182001</v>
      </c>
      <c r="C335" s="20" t="s">
        <v>56</v>
      </c>
      <c r="D335" s="22">
        <v>46029</v>
      </c>
      <c r="E335" s="20" t="s">
        <v>13</v>
      </c>
      <c r="F335" s="20">
        <v>1435</v>
      </c>
      <c r="G335" s="20">
        <v>6.15</v>
      </c>
      <c r="H335" s="20">
        <v>6</v>
      </c>
      <c r="I335" s="20">
        <v>0</v>
      </c>
      <c r="J335" s="20">
        <v>0.9</v>
      </c>
      <c r="K335" s="20">
        <v>0.75</v>
      </c>
      <c r="L335" s="20">
        <v>6.15</v>
      </c>
    </row>
    <row r="336" spans="1:12" x14ac:dyDescent="0.25">
      <c r="A336" s="20">
        <v>1754</v>
      </c>
      <c r="B336" s="20">
        <v>1802565182001</v>
      </c>
      <c r="C336" s="20" t="s">
        <v>56</v>
      </c>
      <c r="D336" s="22">
        <v>46029</v>
      </c>
      <c r="E336" s="20" t="s">
        <v>13</v>
      </c>
      <c r="F336" s="20">
        <v>1437</v>
      </c>
      <c r="G336" s="20">
        <v>18.45</v>
      </c>
      <c r="H336" s="20">
        <v>18</v>
      </c>
      <c r="I336" s="20">
        <v>0</v>
      </c>
      <c r="J336" s="20">
        <v>2.7</v>
      </c>
      <c r="K336" s="20">
        <v>2.25</v>
      </c>
      <c r="L336" s="20">
        <v>18.45</v>
      </c>
    </row>
    <row r="337" spans="1:12" x14ac:dyDescent="0.25">
      <c r="A337" s="20">
        <v>1754</v>
      </c>
      <c r="B337" s="20">
        <v>1802565182001</v>
      </c>
      <c r="C337" s="20" t="s">
        <v>56</v>
      </c>
      <c r="D337" s="22">
        <v>46030</v>
      </c>
      <c r="E337" s="20" t="s">
        <v>13</v>
      </c>
      <c r="F337" s="20">
        <v>1445</v>
      </c>
      <c r="G337" s="20">
        <v>6.15</v>
      </c>
      <c r="H337" s="20">
        <v>6</v>
      </c>
      <c r="I337" s="20">
        <v>0</v>
      </c>
      <c r="J337" s="20">
        <v>0.9</v>
      </c>
      <c r="K337" s="20">
        <v>0.75</v>
      </c>
      <c r="L337" s="20">
        <v>6.15</v>
      </c>
    </row>
    <row r="338" spans="1:12" x14ac:dyDescent="0.25">
      <c r="A338" s="20">
        <v>1754</v>
      </c>
      <c r="B338" s="20">
        <v>1802565182001</v>
      </c>
      <c r="C338" s="20" t="s">
        <v>56</v>
      </c>
      <c r="D338" s="22">
        <v>46030</v>
      </c>
      <c r="E338" s="20" t="s">
        <v>13</v>
      </c>
      <c r="F338" s="20">
        <v>1444</v>
      </c>
      <c r="G338" s="20">
        <v>6.15</v>
      </c>
      <c r="H338" s="20">
        <v>6</v>
      </c>
      <c r="I338" s="20">
        <v>0</v>
      </c>
      <c r="J338" s="20">
        <v>0.9</v>
      </c>
      <c r="K338" s="20">
        <v>0.75</v>
      </c>
      <c r="L338" s="20">
        <v>6.15</v>
      </c>
    </row>
    <row r="339" spans="1:12" x14ac:dyDescent="0.25">
      <c r="A339" s="20">
        <v>1754</v>
      </c>
      <c r="B339" s="20">
        <v>1802565182001</v>
      </c>
      <c r="C339" s="20" t="s">
        <v>56</v>
      </c>
      <c r="D339" s="22">
        <v>46030</v>
      </c>
      <c r="E339" s="20" t="s">
        <v>13</v>
      </c>
      <c r="F339" s="20">
        <v>1443</v>
      </c>
      <c r="G339" s="20">
        <v>10.25</v>
      </c>
      <c r="H339" s="20">
        <v>10</v>
      </c>
      <c r="I339" s="20">
        <v>0</v>
      </c>
      <c r="J339" s="20">
        <v>1.5</v>
      </c>
      <c r="K339" s="20">
        <v>1.25</v>
      </c>
      <c r="L339" s="20">
        <v>10.25</v>
      </c>
    </row>
    <row r="340" spans="1:12" x14ac:dyDescent="0.25">
      <c r="A340" s="20">
        <v>1754</v>
      </c>
      <c r="B340" s="20">
        <v>1802565182001</v>
      </c>
      <c r="C340" s="20" t="s">
        <v>56</v>
      </c>
      <c r="D340" s="22">
        <v>46030</v>
      </c>
      <c r="E340" s="20" t="s">
        <v>13</v>
      </c>
      <c r="F340" s="20">
        <v>1442</v>
      </c>
      <c r="G340" s="20">
        <v>6.15</v>
      </c>
      <c r="H340" s="20">
        <v>6</v>
      </c>
      <c r="I340" s="20">
        <v>0</v>
      </c>
      <c r="J340" s="20">
        <v>0.9</v>
      </c>
      <c r="K340" s="20">
        <v>0.75</v>
      </c>
      <c r="L340" s="20">
        <v>6.15</v>
      </c>
    </row>
    <row r="341" spans="1:12" x14ac:dyDescent="0.25">
      <c r="A341" s="20">
        <v>1754</v>
      </c>
      <c r="B341" s="20">
        <v>1802565182001</v>
      </c>
      <c r="C341" s="20" t="s">
        <v>56</v>
      </c>
      <c r="D341" s="22">
        <v>46030</v>
      </c>
      <c r="E341" s="20" t="s">
        <v>13</v>
      </c>
      <c r="F341" s="20">
        <v>1438</v>
      </c>
      <c r="G341" s="20">
        <v>6.15</v>
      </c>
      <c r="H341" s="20">
        <v>6</v>
      </c>
      <c r="I341" s="20">
        <v>0</v>
      </c>
      <c r="J341" s="20">
        <v>0.9</v>
      </c>
      <c r="K341" s="20">
        <v>0.75</v>
      </c>
      <c r="L341" s="20">
        <v>6.15</v>
      </c>
    </row>
    <row r="342" spans="1:12" x14ac:dyDescent="0.25">
      <c r="A342" s="20">
        <v>1754</v>
      </c>
      <c r="B342" s="20">
        <v>1802565182001</v>
      </c>
      <c r="C342" s="20" t="s">
        <v>56</v>
      </c>
      <c r="D342" s="22">
        <v>46030</v>
      </c>
      <c r="E342" s="20" t="s">
        <v>13</v>
      </c>
      <c r="F342" s="20">
        <v>1439</v>
      </c>
      <c r="G342" s="20">
        <v>6.15</v>
      </c>
      <c r="H342" s="20">
        <v>6</v>
      </c>
      <c r="I342" s="20">
        <v>0</v>
      </c>
      <c r="J342" s="20">
        <v>0.9</v>
      </c>
      <c r="K342" s="20">
        <v>0.75</v>
      </c>
      <c r="L342" s="20">
        <v>6.15</v>
      </c>
    </row>
    <row r="343" spans="1:12" x14ac:dyDescent="0.25">
      <c r="A343" s="20">
        <v>1754</v>
      </c>
      <c r="B343" s="20">
        <v>1802565182001</v>
      </c>
      <c r="C343" s="20" t="s">
        <v>56</v>
      </c>
      <c r="D343" s="22">
        <v>46030</v>
      </c>
      <c r="E343" s="20" t="s">
        <v>13</v>
      </c>
      <c r="F343" s="20">
        <v>1440</v>
      </c>
      <c r="G343" s="20">
        <v>10.25</v>
      </c>
      <c r="H343" s="20">
        <v>10</v>
      </c>
      <c r="I343" s="20">
        <v>0</v>
      </c>
      <c r="J343" s="20">
        <v>1.5</v>
      </c>
      <c r="K343" s="20">
        <v>1.25</v>
      </c>
      <c r="L343" s="20">
        <v>10.25</v>
      </c>
    </row>
    <row r="344" spans="1:12" x14ac:dyDescent="0.25">
      <c r="A344" s="20">
        <v>1754</v>
      </c>
      <c r="B344" s="20">
        <v>1802565182001</v>
      </c>
      <c r="C344" s="20" t="s">
        <v>56</v>
      </c>
      <c r="D344" s="22">
        <v>46030</v>
      </c>
      <c r="E344" s="20" t="s">
        <v>13</v>
      </c>
      <c r="F344" s="20">
        <v>1441</v>
      </c>
      <c r="G344" s="20">
        <v>10.25</v>
      </c>
      <c r="H344" s="20">
        <v>10</v>
      </c>
      <c r="I344" s="20">
        <v>0</v>
      </c>
      <c r="J344" s="20">
        <v>1.5</v>
      </c>
      <c r="K344" s="20">
        <v>1.25</v>
      </c>
      <c r="L344" s="20">
        <v>10.25</v>
      </c>
    </row>
    <row r="345" spans="1:12" x14ac:dyDescent="0.25">
      <c r="A345" s="20">
        <v>1754</v>
      </c>
      <c r="B345" s="20">
        <v>1802565182001</v>
      </c>
      <c r="C345" s="20" t="s">
        <v>56</v>
      </c>
      <c r="D345" s="22">
        <v>46031</v>
      </c>
      <c r="E345" s="20" t="s">
        <v>13</v>
      </c>
      <c r="F345" s="20">
        <v>1447</v>
      </c>
      <c r="G345" s="20">
        <v>10.25</v>
      </c>
      <c r="H345" s="20">
        <v>10</v>
      </c>
      <c r="I345" s="20">
        <v>0</v>
      </c>
      <c r="J345" s="20">
        <v>1.5</v>
      </c>
      <c r="K345" s="20">
        <v>1.25</v>
      </c>
      <c r="L345" s="20">
        <v>10.25</v>
      </c>
    </row>
    <row r="346" spans="1:12" x14ac:dyDescent="0.25">
      <c r="A346" s="20">
        <v>1754</v>
      </c>
      <c r="B346" s="20">
        <v>1802565182001</v>
      </c>
      <c r="C346" s="20" t="s">
        <v>56</v>
      </c>
      <c r="D346" s="22">
        <v>46031</v>
      </c>
      <c r="E346" s="20" t="s">
        <v>13</v>
      </c>
      <c r="F346" s="20">
        <v>1449</v>
      </c>
      <c r="G346" s="20">
        <v>10.25</v>
      </c>
      <c r="H346" s="20">
        <v>10</v>
      </c>
      <c r="I346" s="20">
        <v>0</v>
      </c>
      <c r="J346" s="20">
        <v>1.5</v>
      </c>
      <c r="K346" s="20">
        <v>1.25</v>
      </c>
      <c r="L346" s="20">
        <v>10.25</v>
      </c>
    </row>
    <row r="347" spans="1:12" x14ac:dyDescent="0.25">
      <c r="A347" s="20">
        <v>1754</v>
      </c>
      <c r="B347" s="20">
        <v>1802565182001</v>
      </c>
      <c r="C347" s="20" t="s">
        <v>56</v>
      </c>
      <c r="D347" s="22">
        <v>46031</v>
      </c>
      <c r="E347" s="20" t="s">
        <v>13</v>
      </c>
      <c r="F347" s="20">
        <v>1448</v>
      </c>
      <c r="G347" s="20">
        <v>6.15</v>
      </c>
      <c r="H347" s="20">
        <v>6</v>
      </c>
      <c r="I347" s="20">
        <v>0</v>
      </c>
      <c r="J347" s="20">
        <v>0.9</v>
      </c>
      <c r="K347" s="20">
        <v>0.75</v>
      </c>
      <c r="L347" s="20">
        <v>6.15</v>
      </c>
    </row>
    <row r="348" spans="1:12" x14ac:dyDescent="0.25">
      <c r="A348" s="20">
        <v>1754</v>
      </c>
      <c r="B348" s="20">
        <v>1802565182001</v>
      </c>
      <c r="C348" s="20" t="s">
        <v>56</v>
      </c>
      <c r="D348" s="22">
        <v>46031</v>
      </c>
      <c r="E348" s="20" t="s">
        <v>13</v>
      </c>
      <c r="F348" s="20">
        <v>1446</v>
      </c>
      <c r="G348" s="20">
        <v>10.25</v>
      </c>
      <c r="H348" s="20">
        <v>10</v>
      </c>
      <c r="I348" s="20">
        <v>0</v>
      </c>
      <c r="J348" s="20">
        <v>1.5</v>
      </c>
      <c r="K348" s="20">
        <v>1.25</v>
      </c>
      <c r="L348" s="20">
        <v>10.25</v>
      </c>
    </row>
    <row r="349" spans="1:12" x14ac:dyDescent="0.25">
      <c r="A349" s="20">
        <v>1754</v>
      </c>
      <c r="B349" s="20">
        <v>1802565182001</v>
      </c>
      <c r="C349" s="20" t="s">
        <v>56</v>
      </c>
      <c r="D349" s="22">
        <v>46032</v>
      </c>
      <c r="E349" s="20" t="s">
        <v>13</v>
      </c>
      <c r="F349" s="20">
        <v>1451</v>
      </c>
      <c r="G349" s="20">
        <v>6.15</v>
      </c>
      <c r="H349" s="20">
        <v>6</v>
      </c>
      <c r="I349" s="20">
        <v>0</v>
      </c>
      <c r="J349" s="20">
        <v>0.9</v>
      </c>
      <c r="K349" s="20">
        <v>0.75</v>
      </c>
      <c r="L349" s="20">
        <v>6.15</v>
      </c>
    </row>
    <row r="350" spans="1:12" x14ac:dyDescent="0.25">
      <c r="A350" s="20">
        <v>1754</v>
      </c>
      <c r="B350" s="20">
        <v>1802565182001</v>
      </c>
      <c r="C350" s="20" t="s">
        <v>56</v>
      </c>
      <c r="D350" s="22">
        <v>46032</v>
      </c>
      <c r="E350" s="20" t="s">
        <v>13</v>
      </c>
      <c r="F350" s="20">
        <v>1450</v>
      </c>
      <c r="G350" s="20">
        <v>10.25</v>
      </c>
      <c r="H350" s="20">
        <v>10</v>
      </c>
      <c r="I350" s="20">
        <v>0</v>
      </c>
      <c r="J350" s="20">
        <v>1.5</v>
      </c>
      <c r="K350" s="20">
        <v>1.25</v>
      </c>
      <c r="L350" s="20">
        <v>10.25</v>
      </c>
    </row>
    <row r="351" spans="1:12" x14ac:dyDescent="0.25">
      <c r="A351" s="20">
        <v>1754</v>
      </c>
      <c r="B351" s="20">
        <v>1802565182001</v>
      </c>
      <c r="C351" s="20" t="s">
        <v>56</v>
      </c>
      <c r="D351" s="22">
        <v>46034</v>
      </c>
      <c r="E351" s="20" t="s">
        <v>13</v>
      </c>
      <c r="F351" s="20">
        <v>1452</v>
      </c>
      <c r="G351" s="20">
        <v>10.25</v>
      </c>
      <c r="H351" s="20">
        <v>10</v>
      </c>
      <c r="I351" s="20">
        <v>0</v>
      </c>
      <c r="J351" s="20">
        <v>1.5</v>
      </c>
      <c r="K351" s="20">
        <v>1.25</v>
      </c>
      <c r="L351" s="20">
        <v>10.25</v>
      </c>
    </row>
    <row r="352" spans="1:12" x14ac:dyDescent="0.25">
      <c r="A352" s="20">
        <v>1754</v>
      </c>
      <c r="B352" s="20">
        <v>1802565182001</v>
      </c>
      <c r="C352" s="20" t="s">
        <v>56</v>
      </c>
      <c r="D352" s="22">
        <v>46034</v>
      </c>
      <c r="E352" s="20" t="s">
        <v>13</v>
      </c>
      <c r="F352" s="20">
        <v>1458</v>
      </c>
      <c r="G352" s="20">
        <v>10.25</v>
      </c>
      <c r="H352" s="20">
        <v>10</v>
      </c>
      <c r="I352" s="20">
        <v>0</v>
      </c>
      <c r="J352" s="20">
        <v>1.5</v>
      </c>
      <c r="K352" s="20">
        <v>1.25</v>
      </c>
      <c r="L352" s="20">
        <v>10.25</v>
      </c>
    </row>
    <row r="353" spans="1:12" x14ac:dyDescent="0.25">
      <c r="A353" s="20">
        <v>1754</v>
      </c>
      <c r="B353" s="20">
        <v>1802565182001</v>
      </c>
      <c r="C353" s="20" t="s">
        <v>56</v>
      </c>
      <c r="D353" s="22">
        <v>46034</v>
      </c>
      <c r="E353" s="20" t="s">
        <v>13</v>
      </c>
      <c r="F353" s="20">
        <v>1456</v>
      </c>
      <c r="G353" s="20">
        <v>6.15</v>
      </c>
      <c r="H353" s="20">
        <v>6</v>
      </c>
      <c r="I353" s="20">
        <v>0</v>
      </c>
      <c r="J353" s="20">
        <v>0.9</v>
      </c>
      <c r="K353" s="20">
        <v>0.75</v>
      </c>
      <c r="L353" s="20">
        <v>6.15</v>
      </c>
    </row>
    <row r="354" spans="1:12" x14ac:dyDescent="0.25">
      <c r="A354" s="20">
        <v>1754</v>
      </c>
      <c r="B354" s="20">
        <v>1802565182001</v>
      </c>
      <c r="C354" s="20" t="s">
        <v>56</v>
      </c>
      <c r="D354" s="22">
        <v>46034</v>
      </c>
      <c r="E354" s="20" t="s">
        <v>13</v>
      </c>
      <c r="F354" s="20">
        <v>1457</v>
      </c>
      <c r="G354" s="20">
        <v>6.15</v>
      </c>
      <c r="H354" s="20">
        <v>6</v>
      </c>
      <c r="I354" s="20">
        <v>0</v>
      </c>
      <c r="J354" s="20">
        <v>0.9</v>
      </c>
      <c r="K354" s="20">
        <v>0.75</v>
      </c>
      <c r="L354" s="20">
        <v>6.15</v>
      </c>
    </row>
    <row r="355" spans="1:12" x14ac:dyDescent="0.25">
      <c r="A355" s="20">
        <v>1754</v>
      </c>
      <c r="B355" s="20">
        <v>1802565182001</v>
      </c>
      <c r="C355" s="20" t="s">
        <v>56</v>
      </c>
      <c r="D355" s="22">
        <v>46034</v>
      </c>
      <c r="E355" s="20" t="s">
        <v>13</v>
      </c>
      <c r="F355" s="20">
        <v>1459</v>
      </c>
      <c r="G355" s="20">
        <v>10.25</v>
      </c>
      <c r="H355" s="20">
        <v>10</v>
      </c>
      <c r="I355" s="20">
        <v>0</v>
      </c>
      <c r="J355" s="20">
        <v>1.5</v>
      </c>
      <c r="K355" s="20">
        <v>1.25</v>
      </c>
      <c r="L355" s="20">
        <v>10.25</v>
      </c>
    </row>
    <row r="356" spans="1:12" x14ac:dyDescent="0.25">
      <c r="A356" s="20">
        <v>1754</v>
      </c>
      <c r="B356" s="20">
        <v>1802565182001</v>
      </c>
      <c r="C356" s="20" t="s">
        <v>56</v>
      </c>
      <c r="D356" s="22">
        <v>46034</v>
      </c>
      <c r="E356" s="20" t="s">
        <v>13</v>
      </c>
      <c r="F356" s="20">
        <v>1453</v>
      </c>
      <c r="G356" s="20">
        <v>6.15</v>
      </c>
      <c r="H356" s="20">
        <v>6</v>
      </c>
      <c r="I356" s="20">
        <v>0</v>
      </c>
      <c r="J356" s="20">
        <v>0.9</v>
      </c>
      <c r="K356" s="20">
        <v>0.75</v>
      </c>
      <c r="L356" s="20">
        <v>6.15</v>
      </c>
    </row>
    <row r="357" spans="1:12" x14ac:dyDescent="0.25">
      <c r="A357" s="20">
        <v>1754</v>
      </c>
      <c r="B357" s="20">
        <v>1802565182001</v>
      </c>
      <c r="C357" s="20" t="s">
        <v>56</v>
      </c>
      <c r="D357" s="22">
        <v>46034</v>
      </c>
      <c r="E357" s="20" t="s">
        <v>13</v>
      </c>
      <c r="F357" s="20">
        <v>1454</v>
      </c>
      <c r="G357" s="20">
        <v>6.15</v>
      </c>
      <c r="H357" s="20">
        <v>6</v>
      </c>
      <c r="I357" s="20">
        <v>0</v>
      </c>
      <c r="J357" s="20">
        <v>0.9</v>
      </c>
      <c r="K357" s="20">
        <v>0.75</v>
      </c>
      <c r="L357" s="20">
        <v>6.15</v>
      </c>
    </row>
    <row r="358" spans="1:12" x14ac:dyDescent="0.25">
      <c r="A358" s="20">
        <v>1754</v>
      </c>
      <c r="B358" s="20">
        <v>1802565182001</v>
      </c>
      <c r="C358" s="20" t="s">
        <v>56</v>
      </c>
      <c r="D358" s="22">
        <v>46035</v>
      </c>
      <c r="E358" s="20" t="s">
        <v>13</v>
      </c>
      <c r="F358" s="20">
        <v>1463</v>
      </c>
      <c r="G358" s="20">
        <v>6.15</v>
      </c>
      <c r="H358" s="20">
        <v>6</v>
      </c>
      <c r="I358" s="20">
        <v>0</v>
      </c>
      <c r="J358" s="20">
        <v>0.9</v>
      </c>
      <c r="K358" s="20">
        <v>0.75</v>
      </c>
      <c r="L358" s="20">
        <v>6.15</v>
      </c>
    </row>
    <row r="359" spans="1:12" x14ac:dyDescent="0.25">
      <c r="A359" s="20">
        <v>1754</v>
      </c>
      <c r="B359" s="20">
        <v>1802565182001</v>
      </c>
      <c r="C359" s="20" t="s">
        <v>56</v>
      </c>
      <c r="D359" s="22">
        <v>46035</v>
      </c>
      <c r="E359" s="20" t="s">
        <v>13</v>
      </c>
      <c r="F359" s="20">
        <v>1465</v>
      </c>
      <c r="G359" s="20">
        <v>10.25</v>
      </c>
      <c r="H359" s="20">
        <v>10</v>
      </c>
      <c r="I359" s="20">
        <v>0</v>
      </c>
      <c r="J359" s="20">
        <v>1.5</v>
      </c>
      <c r="K359" s="20">
        <v>1.25</v>
      </c>
      <c r="L359" s="20">
        <v>10.25</v>
      </c>
    </row>
    <row r="360" spans="1:12" x14ac:dyDescent="0.25">
      <c r="A360" s="20">
        <v>1754</v>
      </c>
      <c r="B360" s="20">
        <v>1802565182001</v>
      </c>
      <c r="C360" s="20" t="s">
        <v>56</v>
      </c>
      <c r="D360" s="22">
        <v>46036</v>
      </c>
      <c r="E360" s="20" t="s">
        <v>13</v>
      </c>
      <c r="F360" s="20">
        <v>1470</v>
      </c>
      <c r="G360" s="20">
        <v>10.25</v>
      </c>
      <c r="H360" s="20">
        <v>10</v>
      </c>
      <c r="I360" s="20">
        <v>0</v>
      </c>
      <c r="J360" s="20">
        <v>1.5</v>
      </c>
      <c r="K360" s="20">
        <v>1.25</v>
      </c>
      <c r="L360" s="20">
        <v>10.25</v>
      </c>
    </row>
    <row r="361" spans="1:12" x14ac:dyDescent="0.25">
      <c r="A361" s="20">
        <v>1754</v>
      </c>
      <c r="B361" s="20">
        <v>1802565182001</v>
      </c>
      <c r="C361" s="20" t="s">
        <v>56</v>
      </c>
      <c r="D361" s="22">
        <v>46036</v>
      </c>
      <c r="E361" s="20" t="s">
        <v>13</v>
      </c>
      <c r="F361" s="20">
        <v>1469</v>
      </c>
      <c r="G361" s="20">
        <v>6.15</v>
      </c>
      <c r="H361" s="20">
        <v>6</v>
      </c>
      <c r="I361" s="20">
        <v>0</v>
      </c>
      <c r="J361" s="20">
        <v>0.9</v>
      </c>
      <c r="K361" s="20">
        <v>0.75</v>
      </c>
      <c r="L361" s="20">
        <v>6.15</v>
      </c>
    </row>
    <row r="362" spans="1:12" x14ac:dyDescent="0.25">
      <c r="A362" s="20">
        <v>1754</v>
      </c>
      <c r="B362" s="20">
        <v>1802565182001</v>
      </c>
      <c r="C362" s="20" t="s">
        <v>56</v>
      </c>
      <c r="D362" s="22">
        <v>46036</v>
      </c>
      <c r="E362" s="20" t="s">
        <v>13</v>
      </c>
      <c r="F362" s="20">
        <v>1468</v>
      </c>
      <c r="G362" s="20">
        <v>6.15</v>
      </c>
      <c r="H362" s="20">
        <v>6</v>
      </c>
      <c r="I362" s="20">
        <v>0</v>
      </c>
      <c r="J362" s="20">
        <v>0.9</v>
      </c>
      <c r="K362" s="20">
        <v>0.75</v>
      </c>
      <c r="L362" s="20">
        <v>6.15</v>
      </c>
    </row>
    <row r="363" spans="1:12" x14ac:dyDescent="0.25">
      <c r="A363" s="20">
        <v>1754</v>
      </c>
      <c r="B363" s="20">
        <v>1802565182001</v>
      </c>
      <c r="C363" s="20" t="s">
        <v>56</v>
      </c>
      <c r="D363" s="22">
        <v>46036</v>
      </c>
      <c r="E363" s="20" t="s">
        <v>13</v>
      </c>
      <c r="F363" s="20">
        <v>1471</v>
      </c>
      <c r="G363" s="20">
        <v>71.75</v>
      </c>
      <c r="H363" s="20">
        <v>70</v>
      </c>
      <c r="I363" s="20">
        <v>0</v>
      </c>
      <c r="J363" s="20">
        <v>10.5</v>
      </c>
      <c r="K363" s="20">
        <v>8.75</v>
      </c>
      <c r="L363" s="20">
        <v>71.75</v>
      </c>
    </row>
    <row r="364" spans="1:12" x14ac:dyDescent="0.25">
      <c r="A364" s="20">
        <v>1754</v>
      </c>
      <c r="B364" s="20">
        <v>1802565182001</v>
      </c>
      <c r="C364" s="20" t="s">
        <v>56</v>
      </c>
      <c r="D364" s="22">
        <v>46037</v>
      </c>
      <c r="E364" s="20" t="s">
        <v>13</v>
      </c>
      <c r="F364" s="20">
        <v>1474</v>
      </c>
      <c r="G364" s="20">
        <v>6.15</v>
      </c>
      <c r="H364" s="20">
        <v>6</v>
      </c>
      <c r="I364" s="20">
        <v>0</v>
      </c>
      <c r="J364" s="20">
        <v>0.9</v>
      </c>
      <c r="K364" s="20">
        <v>0.75</v>
      </c>
      <c r="L364" s="20">
        <v>6.15</v>
      </c>
    </row>
    <row r="365" spans="1:12" x14ac:dyDescent="0.25">
      <c r="A365" s="20">
        <v>1754</v>
      </c>
      <c r="B365" s="20">
        <v>1802565182001</v>
      </c>
      <c r="C365" s="20" t="s">
        <v>56</v>
      </c>
      <c r="D365" s="22">
        <v>46037</v>
      </c>
      <c r="E365" s="20" t="s">
        <v>13</v>
      </c>
      <c r="F365" s="20">
        <v>1472</v>
      </c>
      <c r="G365" s="20">
        <v>10.25</v>
      </c>
      <c r="H365" s="20">
        <v>10</v>
      </c>
      <c r="I365" s="20">
        <v>0</v>
      </c>
      <c r="J365" s="20">
        <v>1.5</v>
      </c>
      <c r="K365" s="20">
        <v>1.25</v>
      </c>
      <c r="L365" s="20">
        <v>10.25</v>
      </c>
    </row>
    <row r="366" spans="1:12" x14ac:dyDescent="0.25">
      <c r="A366" s="20">
        <v>1754</v>
      </c>
      <c r="B366" s="20">
        <v>1802565182001</v>
      </c>
      <c r="C366" s="20" t="s">
        <v>56</v>
      </c>
      <c r="D366" s="22">
        <v>46037</v>
      </c>
      <c r="E366" s="20" t="s">
        <v>13</v>
      </c>
      <c r="F366" s="20">
        <v>1473</v>
      </c>
      <c r="G366" s="20">
        <v>10.25</v>
      </c>
      <c r="H366" s="20">
        <v>10</v>
      </c>
      <c r="I366" s="20">
        <v>0</v>
      </c>
      <c r="J366" s="20">
        <v>1.5</v>
      </c>
      <c r="K366" s="20">
        <v>1.25</v>
      </c>
      <c r="L366" s="20">
        <v>10.25</v>
      </c>
    </row>
    <row r="367" spans="1:12" x14ac:dyDescent="0.25">
      <c r="A367" s="20">
        <v>1754</v>
      </c>
      <c r="B367" s="20">
        <v>1802565182001</v>
      </c>
      <c r="C367" s="20" t="s">
        <v>56</v>
      </c>
      <c r="D367" s="22">
        <v>46038</v>
      </c>
      <c r="E367" s="20" t="s">
        <v>13</v>
      </c>
      <c r="F367" s="20">
        <v>1476</v>
      </c>
      <c r="G367" s="20">
        <v>10.25</v>
      </c>
      <c r="H367" s="20">
        <v>10</v>
      </c>
      <c r="I367" s="20">
        <v>0</v>
      </c>
      <c r="J367" s="20">
        <v>1.5</v>
      </c>
      <c r="K367" s="20">
        <v>1.25</v>
      </c>
      <c r="L367" s="20">
        <v>10.25</v>
      </c>
    </row>
    <row r="368" spans="1:12" x14ac:dyDescent="0.25">
      <c r="A368" s="20">
        <v>1754</v>
      </c>
      <c r="B368" s="20">
        <v>1802565182001</v>
      </c>
      <c r="C368" s="20" t="s">
        <v>56</v>
      </c>
      <c r="D368" s="22">
        <v>46038</v>
      </c>
      <c r="E368" s="20" t="s">
        <v>13</v>
      </c>
      <c r="F368" s="20">
        <v>1477</v>
      </c>
      <c r="G368" s="20">
        <v>6.15</v>
      </c>
      <c r="H368" s="20">
        <v>6</v>
      </c>
      <c r="I368" s="20">
        <v>0</v>
      </c>
      <c r="J368" s="20">
        <v>0.9</v>
      </c>
      <c r="K368" s="20">
        <v>0.75</v>
      </c>
      <c r="L368" s="20">
        <v>6.15</v>
      </c>
    </row>
    <row r="369" spans="1:12" x14ac:dyDescent="0.25">
      <c r="A369" s="20">
        <v>1754</v>
      </c>
      <c r="B369" s="20">
        <v>1802565182001</v>
      </c>
      <c r="C369" s="20" t="s">
        <v>56</v>
      </c>
      <c r="D369" s="22">
        <v>46038</v>
      </c>
      <c r="E369" s="20" t="s">
        <v>13</v>
      </c>
      <c r="F369" s="20">
        <v>1481</v>
      </c>
      <c r="G369" s="20">
        <v>6.15</v>
      </c>
      <c r="H369" s="20">
        <v>6</v>
      </c>
      <c r="I369" s="20">
        <v>0</v>
      </c>
      <c r="J369" s="20">
        <v>0.9</v>
      </c>
      <c r="K369" s="20">
        <v>0.75</v>
      </c>
      <c r="L369" s="20">
        <v>6.15</v>
      </c>
    </row>
    <row r="370" spans="1:12" x14ac:dyDescent="0.25">
      <c r="A370" s="20">
        <v>1754</v>
      </c>
      <c r="B370" s="20">
        <v>1802565182001</v>
      </c>
      <c r="C370" s="20" t="s">
        <v>56</v>
      </c>
      <c r="D370" s="22">
        <v>46038</v>
      </c>
      <c r="E370" s="20" t="s">
        <v>13</v>
      </c>
      <c r="F370" s="20">
        <v>1479</v>
      </c>
      <c r="G370" s="20">
        <v>10.25</v>
      </c>
      <c r="H370" s="20">
        <v>10</v>
      </c>
      <c r="I370" s="20">
        <v>0</v>
      </c>
      <c r="J370" s="20">
        <v>1.5</v>
      </c>
      <c r="K370" s="20">
        <v>1.25</v>
      </c>
      <c r="L370" s="20">
        <v>10.25</v>
      </c>
    </row>
    <row r="371" spans="1:12" x14ac:dyDescent="0.25">
      <c r="A371" s="20">
        <v>1754</v>
      </c>
      <c r="B371" s="20">
        <v>1802565182001</v>
      </c>
      <c r="C371" s="20" t="s">
        <v>56</v>
      </c>
      <c r="D371" s="22">
        <v>46038</v>
      </c>
      <c r="E371" s="20" t="s">
        <v>13</v>
      </c>
      <c r="F371" s="20">
        <v>1478</v>
      </c>
      <c r="G371" s="20">
        <v>10.25</v>
      </c>
      <c r="H371" s="20">
        <v>10</v>
      </c>
      <c r="I371" s="20">
        <v>0</v>
      </c>
      <c r="J371" s="20">
        <v>1.5</v>
      </c>
      <c r="K371" s="20">
        <v>1.25</v>
      </c>
      <c r="L371" s="20">
        <v>10.25</v>
      </c>
    </row>
    <row r="372" spans="1:12" x14ac:dyDescent="0.25">
      <c r="A372" s="20">
        <v>1754</v>
      </c>
      <c r="B372" s="20">
        <v>1802565182001</v>
      </c>
      <c r="C372" s="20" t="s">
        <v>56</v>
      </c>
      <c r="D372" s="22">
        <v>46041</v>
      </c>
      <c r="E372" s="20" t="s">
        <v>13</v>
      </c>
      <c r="F372" s="20">
        <v>1483</v>
      </c>
      <c r="G372" s="20">
        <v>10.25</v>
      </c>
      <c r="H372" s="20">
        <v>10</v>
      </c>
      <c r="I372" s="20">
        <v>0</v>
      </c>
      <c r="J372" s="20">
        <v>1.5</v>
      </c>
      <c r="K372" s="20">
        <v>1.25</v>
      </c>
      <c r="L372" s="20">
        <v>10.25</v>
      </c>
    </row>
    <row r="373" spans="1:12" x14ac:dyDescent="0.25">
      <c r="A373" s="20">
        <v>1754</v>
      </c>
      <c r="B373" s="20">
        <v>1802565182001</v>
      </c>
      <c r="C373" s="20" t="s">
        <v>56</v>
      </c>
      <c r="D373" s="22">
        <v>46041</v>
      </c>
      <c r="E373" s="20" t="s">
        <v>13</v>
      </c>
      <c r="F373" s="20">
        <v>1486</v>
      </c>
      <c r="G373" s="20">
        <v>10.25</v>
      </c>
      <c r="H373" s="20">
        <v>10</v>
      </c>
      <c r="I373" s="20">
        <v>0</v>
      </c>
      <c r="J373" s="20">
        <v>1.5</v>
      </c>
      <c r="K373" s="20">
        <v>1.25</v>
      </c>
      <c r="L373" s="20">
        <v>10.25</v>
      </c>
    </row>
    <row r="374" spans="1:12" x14ac:dyDescent="0.25">
      <c r="A374" s="20">
        <v>1754</v>
      </c>
      <c r="B374" s="20">
        <v>1802565182001</v>
      </c>
      <c r="C374" s="20" t="s">
        <v>56</v>
      </c>
      <c r="D374" s="22">
        <v>46041</v>
      </c>
      <c r="E374" s="20" t="s">
        <v>13</v>
      </c>
      <c r="F374" s="20">
        <v>1485</v>
      </c>
      <c r="G374" s="20">
        <v>10.25</v>
      </c>
      <c r="H374" s="20">
        <v>10</v>
      </c>
      <c r="I374" s="20">
        <v>0</v>
      </c>
      <c r="J374" s="20">
        <v>1.5</v>
      </c>
      <c r="K374" s="20">
        <v>1.25</v>
      </c>
      <c r="L374" s="20">
        <v>10.25</v>
      </c>
    </row>
    <row r="375" spans="1:12" x14ac:dyDescent="0.25">
      <c r="A375" s="20">
        <v>1754</v>
      </c>
      <c r="B375" s="20">
        <v>1802565182001</v>
      </c>
      <c r="C375" s="20" t="s">
        <v>56</v>
      </c>
      <c r="D375" s="22">
        <v>46042</v>
      </c>
      <c r="E375" s="20" t="s">
        <v>13</v>
      </c>
      <c r="F375" s="20">
        <v>1492</v>
      </c>
      <c r="G375" s="20">
        <v>6.15</v>
      </c>
      <c r="H375" s="20">
        <v>6</v>
      </c>
      <c r="I375" s="20">
        <v>0</v>
      </c>
      <c r="J375" s="20">
        <v>0.9</v>
      </c>
      <c r="K375" s="20">
        <v>0.75</v>
      </c>
      <c r="L375" s="20">
        <v>6.15</v>
      </c>
    </row>
    <row r="376" spans="1:12" x14ac:dyDescent="0.25">
      <c r="A376" s="20">
        <v>1754</v>
      </c>
      <c r="B376" s="20">
        <v>1802565182001</v>
      </c>
      <c r="C376" s="20" t="s">
        <v>56</v>
      </c>
      <c r="D376" s="22">
        <v>46042</v>
      </c>
      <c r="E376" s="20" t="s">
        <v>13</v>
      </c>
      <c r="F376" s="20">
        <v>1491</v>
      </c>
      <c r="G376" s="20">
        <v>10.25</v>
      </c>
      <c r="H376" s="20">
        <v>10</v>
      </c>
      <c r="I376" s="20">
        <v>0</v>
      </c>
      <c r="J376" s="20">
        <v>1.5</v>
      </c>
      <c r="K376" s="20">
        <v>1.25</v>
      </c>
      <c r="L376" s="20">
        <v>10.25</v>
      </c>
    </row>
    <row r="377" spans="1:12" x14ac:dyDescent="0.25">
      <c r="A377" s="20">
        <v>1754</v>
      </c>
      <c r="B377" s="20">
        <v>1802565182001</v>
      </c>
      <c r="C377" s="20" t="s">
        <v>56</v>
      </c>
      <c r="D377" s="22">
        <v>46042</v>
      </c>
      <c r="E377" s="20" t="s">
        <v>13</v>
      </c>
      <c r="F377" s="20">
        <v>1490</v>
      </c>
      <c r="G377" s="20">
        <v>6.15</v>
      </c>
      <c r="H377" s="20">
        <v>6</v>
      </c>
      <c r="I377" s="20">
        <v>0</v>
      </c>
      <c r="J377" s="20">
        <v>0.9</v>
      </c>
      <c r="K377" s="20">
        <v>0.75</v>
      </c>
      <c r="L377" s="20">
        <v>6.15</v>
      </c>
    </row>
    <row r="378" spans="1:12" x14ac:dyDescent="0.25">
      <c r="A378" s="20">
        <v>1754</v>
      </c>
      <c r="B378" s="20">
        <v>1802565182001</v>
      </c>
      <c r="C378" s="20" t="s">
        <v>56</v>
      </c>
      <c r="D378" s="22">
        <v>46042</v>
      </c>
      <c r="E378" s="20" t="s">
        <v>13</v>
      </c>
      <c r="F378" s="20">
        <v>1489</v>
      </c>
      <c r="G378" s="20">
        <v>10.25</v>
      </c>
      <c r="H378" s="20">
        <v>10</v>
      </c>
      <c r="I378" s="20">
        <v>0</v>
      </c>
      <c r="J378" s="20">
        <v>1.5</v>
      </c>
      <c r="K378" s="20">
        <v>1.25</v>
      </c>
      <c r="L378" s="20">
        <v>10.25</v>
      </c>
    </row>
    <row r="379" spans="1:12" x14ac:dyDescent="0.25">
      <c r="A379" s="20">
        <v>1754</v>
      </c>
      <c r="B379" s="20">
        <v>1802565182001</v>
      </c>
      <c r="C379" s="20" t="s">
        <v>56</v>
      </c>
      <c r="D379" s="22">
        <v>46043</v>
      </c>
      <c r="E379" s="20" t="s">
        <v>13</v>
      </c>
      <c r="F379" s="20">
        <v>1493</v>
      </c>
      <c r="G379" s="20">
        <v>10.25</v>
      </c>
      <c r="H379" s="20">
        <v>10</v>
      </c>
      <c r="I379" s="20">
        <v>0</v>
      </c>
      <c r="J379" s="20">
        <v>1.5</v>
      </c>
      <c r="K379" s="20">
        <v>1.25</v>
      </c>
      <c r="L379" s="20">
        <v>10.25</v>
      </c>
    </row>
    <row r="380" spans="1:12" x14ac:dyDescent="0.25">
      <c r="A380" s="20">
        <v>1754</v>
      </c>
      <c r="B380" s="20">
        <v>1802565182001</v>
      </c>
      <c r="C380" s="20" t="s">
        <v>56</v>
      </c>
      <c r="D380" s="22">
        <v>46043</v>
      </c>
      <c r="E380" s="20" t="s">
        <v>13</v>
      </c>
      <c r="F380" s="20">
        <v>1494</v>
      </c>
      <c r="G380" s="20">
        <v>10.25</v>
      </c>
      <c r="H380" s="20">
        <v>10</v>
      </c>
      <c r="I380" s="20">
        <v>0</v>
      </c>
      <c r="J380" s="20">
        <v>1.5</v>
      </c>
      <c r="K380" s="20">
        <v>1.25</v>
      </c>
      <c r="L380" s="20">
        <v>10.25</v>
      </c>
    </row>
    <row r="381" spans="1:12" x14ac:dyDescent="0.25">
      <c r="A381" s="20">
        <v>1754</v>
      </c>
      <c r="B381" s="20">
        <v>1802565182001</v>
      </c>
      <c r="C381" s="20" t="s">
        <v>56</v>
      </c>
      <c r="D381" s="22">
        <v>46044</v>
      </c>
      <c r="E381" s="20" t="s">
        <v>13</v>
      </c>
      <c r="F381" s="20">
        <v>1498</v>
      </c>
      <c r="G381" s="20">
        <v>12.3</v>
      </c>
      <c r="H381" s="20">
        <v>12</v>
      </c>
      <c r="I381" s="20">
        <v>0</v>
      </c>
      <c r="J381" s="20">
        <v>1.8</v>
      </c>
      <c r="K381" s="20">
        <v>1.5</v>
      </c>
      <c r="L381" s="20">
        <v>12.3</v>
      </c>
    </row>
    <row r="382" spans="1:12" x14ac:dyDescent="0.25">
      <c r="A382" s="20">
        <v>1754</v>
      </c>
      <c r="B382" s="20">
        <v>1802565182001</v>
      </c>
      <c r="C382" s="20" t="s">
        <v>56</v>
      </c>
      <c r="D382" s="22">
        <v>46044</v>
      </c>
      <c r="E382" s="20" t="s">
        <v>13</v>
      </c>
      <c r="F382" s="20">
        <v>1497</v>
      </c>
      <c r="G382" s="20">
        <v>6.15</v>
      </c>
      <c r="H382" s="20">
        <v>6</v>
      </c>
      <c r="I382" s="20">
        <v>0</v>
      </c>
      <c r="J382" s="20">
        <v>0.9</v>
      </c>
      <c r="K382" s="20">
        <v>0.75</v>
      </c>
      <c r="L382" s="20">
        <v>6.15</v>
      </c>
    </row>
    <row r="383" spans="1:12" x14ac:dyDescent="0.25">
      <c r="A383" s="20">
        <v>1754</v>
      </c>
      <c r="B383" s="20">
        <v>1802565182001</v>
      </c>
      <c r="C383" s="20" t="s">
        <v>56</v>
      </c>
      <c r="D383" s="22">
        <v>46044</v>
      </c>
      <c r="E383" s="20" t="s">
        <v>13</v>
      </c>
      <c r="F383" s="20">
        <v>1496</v>
      </c>
      <c r="G383" s="20">
        <v>6.15</v>
      </c>
      <c r="H383" s="20">
        <v>6</v>
      </c>
      <c r="I383" s="20">
        <v>0</v>
      </c>
      <c r="J383" s="20">
        <v>0.9</v>
      </c>
      <c r="K383" s="20">
        <v>0.75</v>
      </c>
      <c r="L383" s="20">
        <v>6.15</v>
      </c>
    </row>
    <row r="384" spans="1:12" x14ac:dyDescent="0.25">
      <c r="A384" s="20">
        <v>1754</v>
      </c>
      <c r="B384" s="20">
        <v>1802565182001</v>
      </c>
      <c r="C384" s="20" t="s">
        <v>56</v>
      </c>
      <c r="D384" s="22">
        <v>46044</v>
      </c>
      <c r="E384" s="20" t="s">
        <v>13</v>
      </c>
      <c r="F384" s="20">
        <v>1499</v>
      </c>
      <c r="G384" s="20">
        <v>10.25</v>
      </c>
      <c r="H384" s="20">
        <v>10</v>
      </c>
      <c r="I384" s="20">
        <v>0</v>
      </c>
      <c r="J384" s="20">
        <v>1.5</v>
      </c>
      <c r="K384" s="20">
        <v>1.25</v>
      </c>
      <c r="L384" s="20">
        <v>10.25</v>
      </c>
    </row>
    <row r="385" spans="1:12" x14ac:dyDescent="0.25">
      <c r="A385" s="20">
        <v>1754</v>
      </c>
      <c r="B385" s="20">
        <v>1802565182001</v>
      </c>
      <c r="C385" s="20" t="s">
        <v>56</v>
      </c>
      <c r="D385" s="22">
        <v>46044</v>
      </c>
      <c r="E385" s="20" t="s">
        <v>13</v>
      </c>
      <c r="F385" s="20">
        <v>1500</v>
      </c>
      <c r="G385" s="20">
        <v>10.25</v>
      </c>
      <c r="H385" s="20">
        <v>10</v>
      </c>
      <c r="I385" s="20">
        <v>0</v>
      </c>
      <c r="J385" s="20">
        <v>1.5</v>
      </c>
      <c r="K385" s="20">
        <v>1.25</v>
      </c>
      <c r="L385" s="20">
        <v>10.25</v>
      </c>
    </row>
    <row r="386" spans="1:12" x14ac:dyDescent="0.25">
      <c r="A386" s="20">
        <v>1754</v>
      </c>
      <c r="B386" s="20">
        <v>1802565182001</v>
      </c>
      <c r="C386" s="20" t="s">
        <v>56</v>
      </c>
      <c r="D386" s="22">
        <v>46044</v>
      </c>
      <c r="E386" s="20" t="s">
        <v>13</v>
      </c>
      <c r="F386" s="20">
        <v>1495</v>
      </c>
      <c r="G386" s="20">
        <v>10.25</v>
      </c>
      <c r="H386" s="20">
        <v>10</v>
      </c>
      <c r="I386" s="20">
        <v>0</v>
      </c>
      <c r="J386" s="20">
        <v>1.5</v>
      </c>
      <c r="K386" s="20">
        <v>1.25</v>
      </c>
      <c r="L386" s="20">
        <v>10.25</v>
      </c>
    </row>
    <row r="387" spans="1:12" x14ac:dyDescent="0.25">
      <c r="A387" s="20">
        <v>1754</v>
      </c>
      <c r="B387" s="20">
        <v>1802565182001</v>
      </c>
      <c r="C387" s="20" t="s">
        <v>56</v>
      </c>
      <c r="D387" s="22">
        <v>46045</v>
      </c>
      <c r="E387" s="20" t="s">
        <v>13</v>
      </c>
      <c r="F387" s="20">
        <v>1501</v>
      </c>
      <c r="G387" s="20">
        <v>10.25</v>
      </c>
      <c r="H387" s="20">
        <v>10</v>
      </c>
      <c r="I387" s="20">
        <v>0</v>
      </c>
      <c r="J387" s="20">
        <v>1.5</v>
      </c>
      <c r="K387" s="20">
        <v>1.25</v>
      </c>
      <c r="L387" s="20">
        <v>10.25</v>
      </c>
    </row>
    <row r="388" spans="1:12" x14ac:dyDescent="0.25">
      <c r="A388" s="20">
        <v>1754</v>
      </c>
      <c r="B388" s="20">
        <v>1802565182001</v>
      </c>
      <c r="C388" s="20" t="s">
        <v>56</v>
      </c>
      <c r="D388" s="22">
        <v>46045</v>
      </c>
      <c r="E388" s="20" t="s">
        <v>13</v>
      </c>
      <c r="F388" s="20">
        <v>1502</v>
      </c>
      <c r="G388" s="20">
        <v>10.25</v>
      </c>
      <c r="H388" s="20">
        <v>10</v>
      </c>
      <c r="I388" s="20">
        <v>0</v>
      </c>
      <c r="J388" s="20">
        <v>1.5</v>
      </c>
      <c r="K388" s="20">
        <v>1.25</v>
      </c>
      <c r="L388" s="20">
        <v>10.25</v>
      </c>
    </row>
    <row r="389" spans="1:12" x14ac:dyDescent="0.25">
      <c r="A389" s="20">
        <v>1754</v>
      </c>
      <c r="B389" s="20">
        <v>1802565182001</v>
      </c>
      <c r="C389" s="20" t="s">
        <v>56</v>
      </c>
      <c r="D389" s="22">
        <v>46045</v>
      </c>
      <c r="E389" s="20" t="s">
        <v>13</v>
      </c>
      <c r="F389" s="20">
        <v>1505</v>
      </c>
      <c r="G389" s="20">
        <v>10.25</v>
      </c>
      <c r="H389" s="20">
        <v>10</v>
      </c>
      <c r="I389" s="20">
        <v>0</v>
      </c>
      <c r="J389" s="20">
        <v>1.5</v>
      </c>
      <c r="K389" s="20">
        <v>1.25</v>
      </c>
      <c r="L389" s="20">
        <v>10.25</v>
      </c>
    </row>
    <row r="390" spans="1:12" x14ac:dyDescent="0.25">
      <c r="A390" s="20">
        <v>1754</v>
      </c>
      <c r="B390" s="20">
        <v>1802565182001</v>
      </c>
      <c r="C390" s="20" t="s">
        <v>56</v>
      </c>
      <c r="D390" s="22">
        <v>46045</v>
      </c>
      <c r="E390" s="20" t="s">
        <v>13</v>
      </c>
      <c r="F390" s="20">
        <v>1503</v>
      </c>
      <c r="G390" s="20">
        <v>10.25</v>
      </c>
      <c r="H390" s="20">
        <v>10</v>
      </c>
      <c r="I390" s="20">
        <v>0</v>
      </c>
      <c r="J390" s="20">
        <v>1.5</v>
      </c>
      <c r="K390" s="20">
        <v>1.25</v>
      </c>
      <c r="L390" s="20">
        <v>10.25</v>
      </c>
    </row>
    <row r="391" spans="1:12" x14ac:dyDescent="0.25">
      <c r="A391" s="20">
        <v>1754</v>
      </c>
      <c r="B391" s="20">
        <v>1802565182001</v>
      </c>
      <c r="C391" s="20" t="s">
        <v>56</v>
      </c>
      <c r="D391" s="22">
        <v>46046</v>
      </c>
      <c r="E391" s="20" t="s">
        <v>13</v>
      </c>
      <c r="F391" s="20">
        <v>1508</v>
      </c>
      <c r="G391" s="20">
        <v>6.15</v>
      </c>
      <c r="H391" s="20">
        <v>6</v>
      </c>
      <c r="I391" s="20">
        <v>0</v>
      </c>
      <c r="J391" s="20">
        <v>0.9</v>
      </c>
      <c r="K391" s="20">
        <v>0.75</v>
      </c>
      <c r="L391" s="20">
        <v>6.15</v>
      </c>
    </row>
    <row r="392" spans="1:12" x14ac:dyDescent="0.25">
      <c r="A392" s="20">
        <v>1754</v>
      </c>
      <c r="B392" s="20">
        <v>1802565182001</v>
      </c>
      <c r="C392" s="20" t="s">
        <v>56</v>
      </c>
      <c r="D392" s="22">
        <v>46046</v>
      </c>
      <c r="E392" s="20" t="s">
        <v>13</v>
      </c>
      <c r="F392" s="20">
        <v>1509</v>
      </c>
      <c r="G392" s="20">
        <v>10.25</v>
      </c>
      <c r="H392" s="20">
        <v>10</v>
      </c>
      <c r="I392" s="20">
        <v>0</v>
      </c>
      <c r="J392" s="20">
        <v>1.5</v>
      </c>
      <c r="K392" s="20">
        <v>1.25</v>
      </c>
      <c r="L392" s="20">
        <v>10.25</v>
      </c>
    </row>
    <row r="393" spans="1:12" x14ac:dyDescent="0.25">
      <c r="A393" s="20">
        <v>1754</v>
      </c>
      <c r="B393" s="20">
        <v>1802565182001</v>
      </c>
      <c r="C393" s="20" t="s">
        <v>56</v>
      </c>
      <c r="D393" s="22">
        <v>46046</v>
      </c>
      <c r="E393" s="20" t="s">
        <v>13</v>
      </c>
      <c r="F393" s="20">
        <v>1507</v>
      </c>
      <c r="G393" s="20">
        <v>6.15</v>
      </c>
      <c r="H393" s="20">
        <v>6</v>
      </c>
      <c r="I393" s="20">
        <v>0</v>
      </c>
      <c r="J393" s="20">
        <v>0.9</v>
      </c>
      <c r="K393" s="20">
        <v>0.75</v>
      </c>
      <c r="L393" s="20">
        <v>6.15</v>
      </c>
    </row>
    <row r="394" spans="1:12" x14ac:dyDescent="0.25">
      <c r="A394" s="20">
        <v>1754</v>
      </c>
      <c r="B394" s="20">
        <v>1802565182001</v>
      </c>
      <c r="C394" s="20" t="s">
        <v>56</v>
      </c>
      <c r="D394" s="22">
        <v>46048</v>
      </c>
      <c r="E394" s="20" t="s">
        <v>13</v>
      </c>
      <c r="F394" s="20">
        <v>1510</v>
      </c>
      <c r="G394" s="20">
        <v>10.25</v>
      </c>
      <c r="H394" s="20">
        <v>10</v>
      </c>
      <c r="I394" s="20">
        <v>0</v>
      </c>
      <c r="J394" s="20">
        <v>1.5</v>
      </c>
      <c r="K394" s="20">
        <v>1.25</v>
      </c>
      <c r="L394" s="20">
        <v>10.25</v>
      </c>
    </row>
    <row r="395" spans="1:12" x14ac:dyDescent="0.25">
      <c r="A395" s="20">
        <v>1754</v>
      </c>
      <c r="B395" s="20">
        <v>1802565182001</v>
      </c>
      <c r="C395" s="20" t="s">
        <v>56</v>
      </c>
      <c r="D395" s="22">
        <v>46049</v>
      </c>
      <c r="E395" s="20" t="s">
        <v>13</v>
      </c>
      <c r="F395" s="20">
        <v>1516</v>
      </c>
      <c r="G395" s="20">
        <v>6.15</v>
      </c>
      <c r="H395" s="20">
        <v>6</v>
      </c>
      <c r="I395" s="20">
        <v>0</v>
      </c>
      <c r="J395" s="20">
        <v>0.9</v>
      </c>
      <c r="K395" s="20">
        <v>0.75</v>
      </c>
      <c r="L395" s="20">
        <v>6.15</v>
      </c>
    </row>
    <row r="396" spans="1:12" x14ac:dyDescent="0.25">
      <c r="A396" s="20">
        <v>1754</v>
      </c>
      <c r="B396" s="20">
        <v>1802565182001</v>
      </c>
      <c r="C396" s="20" t="s">
        <v>56</v>
      </c>
      <c r="D396" s="22">
        <v>46049</v>
      </c>
      <c r="E396" s="20" t="s">
        <v>13</v>
      </c>
      <c r="F396" s="20">
        <v>1512</v>
      </c>
      <c r="G396" s="20">
        <v>10.25</v>
      </c>
      <c r="H396" s="20">
        <v>10</v>
      </c>
      <c r="I396" s="20">
        <v>0</v>
      </c>
      <c r="J396" s="20">
        <v>1.5</v>
      </c>
      <c r="K396" s="20">
        <v>1.25</v>
      </c>
      <c r="L396" s="20">
        <v>10.25</v>
      </c>
    </row>
    <row r="397" spans="1:12" x14ac:dyDescent="0.25">
      <c r="A397" s="20">
        <v>1754</v>
      </c>
      <c r="B397" s="20">
        <v>1802565182001</v>
      </c>
      <c r="C397" s="20" t="s">
        <v>56</v>
      </c>
      <c r="D397" s="22">
        <v>46049</v>
      </c>
      <c r="E397" s="20" t="s">
        <v>13</v>
      </c>
      <c r="F397" s="20">
        <v>1513</v>
      </c>
      <c r="G397" s="20">
        <v>10.25</v>
      </c>
      <c r="H397" s="20">
        <v>10</v>
      </c>
      <c r="I397" s="20">
        <v>0</v>
      </c>
      <c r="J397" s="20">
        <v>1.5</v>
      </c>
      <c r="K397" s="20">
        <v>1.25</v>
      </c>
      <c r="L397" s="20">
        <v>10.25</v>
      </c>
    </row>
    <row r="398" spans="1:12" x14ac:dyDescent="0.25">
      <c r="A398" s="20">
        <v>1754</v>
      </c>
      <c r="B398" s="20">
        <v>1802565182001</v>
      </c>
      <c r="C398" s="20" t="s">
        <v>56</v>
      </c>
      <c r="D398" s="22">
        <v>46049</v>
      </c>
      <c r="E398" s="20" t="s">
        <v>13</v>
      </c>
      <c r="F398" s="20">
        <v>1514</v>
      </c>
      <c r="G398" s="20">
        <v>10.25</v>
      </c>
      <c r="H398" s="20">
        <v>10</v>
      </c>
      <c r="I398" s="20">
        <v>0</v>
      </c>
      <c r="J398" s="20">
        <v>1.5</v>
      </c>
      <c r="K398" s="20">
        <v>1.25</v>
      </c>
      <c r="L398" s="20">
        <v>10.25</v>
      </c>
    </row>
    <row r="399" spans="1:12" x14ac:dyDescent="0.25">
      <c r="A399" s="20">
        <v>1754</v>
      </c>
      <c r="B399" s="20">
        <v>1802565182001</v>
      </c>
      <c r="C399" s="20" t="s">
        <v>56</v>
      </c>
      <c r="D399" s="22">
        <v>46049</v>
      </c>
      <c r="E399" s="20" t="s">
        <v>13</v>
      </c>
      <c r="F399" s="20">
        <v>1515</v>
      </c>
      <c r="G399" s="20">
        <v>10.25</v>
      </c>
      <c r="H399" s="20">
        <v>10</v>
      </c>
      <c r="I399" s="20">
        <v>0</v>
      </c>
      <c r="J399" s="20">
        <v>1.5</v>
      </c>
      <c r="K399" s="20">
        <v>1.25</v>
      </c>
      <c r="L399" s="20">
        <v>10.25</v>
      </c>
    </row>
    <row r="400" spans="1:12" x14ac:dyDescent="0.25">
      <c r="A400" s="20">
        <v>1754</v>
      </c>
      <c r="B400" s="20">
        <v>1802565182001</v>
      </c>
      <c r="C400" s="20" t="s">
        <v>56</v>
      </c>
      <c r="D400" s="22">
        <v>46050</v>
      </c>
      <c r="E400" s="20" t="s">
        <v>13</v>
      </c>
      <c r="F400" s="20">
        <v>1524</v>
      </c>
      <c r="G400" s="20">
        <v>6.15</v>
      </c>
      <c r="H400" s="20">
        <v>6</v>
      </c>
      <c r="I400" s="20">
        <v>0</v>
      </c>
      <c r="J400" s="20">
        <v>0.9</v>
      </c>
      <c r="K400" s="20">
        <v>0.75</v>
      </c>
      <c r="L400" s="20">
        <v>6.15</v>
      </c>
    </row>
    <row r="401" spans="1:12" x14ac:dyDescent="0.25">
      <c r="A401" s="20">
        <v>1754</v>
      </c>
      <c r="B401" s="20">
        <v>1802565182001</v>
      </c>
      <c r="C401" s="20" t="s">
        <v>56</v>
      </c>
      <c r="D401" s="22">
        <v>46050</v>
      </c>
      <c r="E401" s="20" t="s">
        <v>13</v>
      </c>
      <c r="F401" s="20">
        <v>1523</v>
      </c>
      <c r="G401" s="20">
        <v>10.25</v>
      </c>
      <c r="H401" s="20">
        <v>10</v>
      </c>
      <c r="I401" s="20">
        <v>0</v>
      </c>
      <c r="J401" s="20">
        <v>1.5</v>
      </c>
      <c r="K401" s="20">
        <v>1.25</v>
      </c>
      <c r="L401" s="20">
        <v>10.25</v>
      </c>
    </row>
    <row r="402" spans="1:12" x14ac:dyDescent="0.25">
      <c r="A402" s="20">
        <v>1754</v>
      </c>
      <c r="B402" s="20">
        <v>1802565182001</v>
      </c>
      <c r="C402" s="20" t="s">
        <v>56</v>
      </c>
      <c r="D402" s="22">
        <v>46050</v>
      </c>
      <c r="E402" s="20" t="s">
        <v>13</v>
      </c>
      <c r="F402" s="20">
        <v>1519</v>
      </c>
      <c r="G402" s="20">
        <v>10.25</v>
      </c>
      <c r="H402" s="20">
        <v>10</v>
      </c>
      <c r="I402" s="20">
        <v>0</v>
      </c>
      <c r="J402" s="20">
        <v>1.5</v>
      </c>
      <c r="K402" s="20">
        <v>1.25</v>
      </c>
      <c r="L402" s="20">
        <v>10.25</v>
      </c>
    </row>
    <row r="403" spans="1:12" x14ac:dyDescent="0.25">
      <c r="A403" s="20">
        <v>1754</v>
      </c>
      <c r="B403" s="20">
        <v>1802565182001</v>
      </c>
      <c r="C403" s="20" t="s">
        <v>56</v>
      </c>
      <c r="D403" s="22">
        <v>46050</v>
      </c>
      <c r="E403" s="20" t="s">
        <v>13</v>
      </c>
      <c r="F403" s="20">
        <v>1520</v>
      </c>
      <c r="G403" s="20">
        <v>6.15</v>
      </c>
      <c r="H403" s="20">
        <v>6</v>
      </c>
      <c r="I403" s="20">
        <v>0</v>
      </c>
      <c r="J403" s="20">
        <v>0.9</v>
      </c>
      <c r="K403" s="20">
        <v>0.75</v>
      </c>
      <c r="L403" s="20">
        <v>6.15</v>
      </c>
    </row>
    <row r="404" spans="1:12" x14ac:dyDescent="0.25">
      <c r="A404" s="20">
        <v>1754</v>
      </c>
      <c r="B404" s="20">
        <v>1802565182001</v>
      </c>
      <c r="C404" s="20" t="s">
        <v>56</v>
      </c>
      <c r="D404" s="22">
        <v>46050</v>
      </c>
      <c r="E404" s="20" t="s">
        <v>13</v>
      </c>
      <c r="F404" s="20">
        <v>1521</v>
      </c>
      <c r="G404" s="20">
        <v>10.25</v>
      </c>
      <c r="H404" s="20">
        <v>10</v>
      </c>
      <c r="I404" s="20">
        <v>0</v>
      </c>
      <c r="J404" s="20">
        <v>1.5</v>
      </c>
      <c r="K404" s="20">
        <v>1.25</v>
      </c>
      <c r="L404" s="20">
        <v>10.25</v>
      </c>
    </row>
    <row r="405" spans="1:12" x14ac:dyDescent="0.25">
      <c r="A405" s="20">
        <v>1754</v>
      </c>
      <c r="B405" s="20">
        <v>1802565182001</v>
      </c>
      <c r="C405" s="20" t="s">
        <v>56</v>
      </c>
      <c r="D405" s="22">
        <v>46050</v>
      </c>
      <c r="E405" s="20" t="s">
        <v>13</v>
      </c>
      <c r="F405" s="20">
        <v>1522</v>
      </c>
      <c r="G405" s="20">
        <v>6.15</v>
      </c>
      <c r="H405" s="20">
        <v>6</v>
      </c>
      <c r="I405" s="20">
        <v>0</v>
      </c>
      <c r="J405" s="20">
        <v>0.9</v>
      </c>
      <c r="K405" s="20">
        <v>0.75</v>
      </c>
      <c r="L405" s="20">
        <v>6.15</v>
      </c>
    </row>
    <row r="406" spans="1:12" x14ac:dyDescent="0.25">
      <c r="A406" s="20">
        <v>1754</v>
      </c>
      <c r="B406" s="20">
        <v>1802565182001</v>
      </c>
      <c r="C406" s="20" t="s">
        <v>56</v>
      </c>
      <c r="D406" s="22">
        <v>46051</v>
      </c>
      <c r="E406" s="20" t="s">
        <v>13</v>
      </c>
      <c r="F406" s="20">
        <v>1526</v>
      </c>
      <c r="G406" s="20">
        <v>6.15</v>
      </c>
      <c r="H406" s="20">
        <v>6</v>
      </c>
      <c r="I406" s="20">
        <v>0</v>
      </c>
      <c r="J406" s="20">
        <v>0.9</v>
      </c>
      <c r="K406" s="20">
        <v>0.75</v>
      </c>
      <c r="L406" s="20">
        <v>6.15</v>
      </c>
    </row>
    <row r="407" spans="1:12" x14ac:dyDescent="0.25">
      <c r="A407" s="20">
        <v>1754</v>
      </c>
      <c r="B407" s="20">
        <v>1802565182001</v>
      </c>
      <c r="C407" s="20" t="s">
        <v>56</v>
      </c>
      <c r="D407" s="22">
        <v>46051</v>
      </c>
      <c r="E407" s="20" t="s">
        <v>13</v>
      </c>
      <c r="F407" s="20">
        <v>1528</v>
      </c>
      <c r="G407" s="20">
        <v>15.37</v>
      </c>
      <c r="H407" s="20">
        <v>15</v>
      </c>
      <c r="I407" s="20">
        <v>0</v>
      </c>
      <c r="J407" s="20">
        <v>2.25</v>
      </c>
      <c r="K407" s="20">
        <v>1.88</v>
      </c>
      <c r="L407" s="20">
        <v>15.37</v>
      </c>
    </row>
    <row r="408" spans="1:12" x14ac:dyDescent="0.25">
      <c r="A408" s="20">
        <v>1754</v>
      </c>
      <c r="B408" s="20">
        <v>1802565182001</v>
      </c>
      <c r="C408" s="20" t="s">
        <v>56</v>
      </c>
      <c r="D408" s="22">
        <v>46051</v>
      </c>
      <c r="E408" s="20" t="s">
        <v>13</v>
      </c>
      <c r="F408" s="20">
        <v>1527</v>
      </c>
      <c r="G408" s="20">
        <v>15.37</v>
      </c>
      <c r="H408" s="20">
        <v>15</v>
      </c>
      <c r="I408" s="20">
        <v>0</v>
      </c>
      <c r="J408" s="20">
        <v>2.25</v>
      </c>
      <c r="K408" s="20">
        <v>1.88</v>
      </c>
      <c r="L408" s="20">
        <v>15.37</v>
      </c>
    </row>
    <row r="409" spans="1:12" x14ac:dyDescent="0.25">
      <c r="A409" s="20">
        <v>1754</v>
      </c>
      <c r="B409" s="20">
        <v>1802565182001</v>
      </c>
      <c r="C409" s="20" t="s">
        <v>56</v>
      </c>
      <c r="D409" s="22">
        <v>46051</v>
      </c>
      <c r="E409" s="20" t="s">
        <v>13</v>
      </c>
      <c r="F409" s="20">
        <v>1529</v>
      </c>
      <c r="G409" s="20">
        <v>10.25</v>
      </c>
      <c r="H409" s="20">
        <v>10</v>
      </c>
      <c r="I409" s="20">
        <v>0</v>
      </c>
      <c r="J409" s="20">
        <v>1.5</v>
      </c>
      <c r="K409" s="20">
        <v>1.25</v>
      </c>
      <c r="L409" s="20">
        <v>10.25</v>
      </c>
    </row>
    <row r="410" spans="1:12" x14ac:dyDescent="0.25">
      <c r="A410" s="20">
        <v>1754</v>
      </c>
      <c r="B410" s="20">
        <v>1802565182001</v>
      </c>
      <c r="C410" s="20" t="s">
        <v>56</v>
      </c>
      <c r="D410" s="22">
        <v>46052</v>
      </c>
      <c r="E410" s="20" t="s">
        <v>13</v>
      </c>
      <c r="F410" s="20">
        <v>1531</v>
      </c>
      <c r="G410" s="20">
        <v>10.25</v>
      </c>
      <c r="H410" s="20">
        <v>10</v>
      </c>
      <c r="I410" s="20">
        <v>0</v>
      </c>
      <c r="J410" s="20">
        <v>1.5</v>
      </c>
      <c r="K410" s="20">
        <v>1.25</v>
      </c>
      <c r="L410" s="20">
        <v>10.25</v>
      </c>
    </row>
    <row r="411" spans="1:12" x14ac:dyDescent="0.25">
      <c r="A411" s="20">
        <v>1754</v>
      </c>
      <c r="B411" s="20">
        <v>1802565182001</v>
      </c>
      <c r="C411" s="20" t="s">
        <v>56</v>
      </c>
      <c r="D411" s="22">
        <v>46053</v>
      </c>
      <c r="E411" s="20" t="s">
        <v>13</v>
      </c>
      <c r="F411" s="20">
        <v>1532</v>
      </c>
      <c r="G411" s="20">
        <v>10.25</v>
      </c>
      <c r="H411" s="20">
        <v>10</v>
      </c>
      <c r="I411" s="20">
        <v>0</v>
      </c>
      <c r="J411" s="20">
        <v>1.5</v>
      </c>
      <c r="K411" s="20">
        <v>1.25</v>
      </c>
      <c r="L411" s="20">
        <v>10.25</v>
      </c>
    </row>
    <row r="412" spans="1:12" x14ac:dyDescent="0.25">
      <c r="A412" s="20">
        <v>1455</v>
      </c>
      <c r="B412" s="20">
        <v>1802588002001</v>
      </c>
      <c r="C412" s="20" t="s">
        <v>57</v>
      </c>
      <c r="D412" s="22">
        <v>46027</v>
      </c>
      <c r="E412" s="20" t="s">
        <v>13</v>
      </c>
      <c r="F412" s="20">
        <v>3553</v>
      </c>
      <c r="G412" s="20">
        <v>5.43</v>
      </c>
      <c r="H412" s="20">
        <v>5</v>
      </c>
      <c r="I412" s="20">
        <v>0</v>
      </c>
      <c r="J412" s="20">
        <v>0.75</v>
      </c>
      <c r="K412" s="20">
        <v>0.32</v>
      </c>
      <c r="L412" s="20">
        <v>5.43</v>
      </c>
    </row>
    <row r="413" spans="1:12" x14ac:dyDescent="0.25">
      <c r="A413" s="20">
        <v>1455</v>
      </c>
      <c r="B413" s="20">
        <v>1802588002001</v>
      </c>
      <c r="C413" s="20" t="s">
        <v>57</v>
      </c>
      <c r="D413" s="22">
        <v>46037</v>
      </c>
      <c r="E413" s="20" t="s">
        <v>13</v>
      </c>
      <c r="F413" s="20">
        <v>3567</v>
      </c>
      <c r="G413" s="20">
        <v>97.87</v>
      </c>
      <c r="H413" s="20">
        <v>90</v>
      </c>
      <c r="I413" s="20">
        <v>0</v>
      </c>
      <c r="J413" s="20">
        <v>13.5</v>
      </c>
      <c r="K413" s="20">
        <v>5.63</v>
      </c>
      <c r="L413" s="20">
        <v>97.87</v>
      </c>
    </row>
    <row r="414" spans="1:12" x14ac:dyDescent="0.25">
      <c r="A414" s="20">
        <v>1455</v>
      </c>
      <c r="B414" s="20">
        <v>1802588002001</v>
      </c>
      <c r="C414" s="20" t="s">
        <v>57</v>
      </c>
      <c r="D414" s="22">
        <v>46045</v>
      </c>
      <c r="E414" s="20" t="s">
        <v>13</v>
      </c>
      <c r="F414" s="20">
        <v>3585</v>
      </c>
      <c r="G414" s="20">
        <v>16.309999999999999</v>
      </c>
      <c r="H414" s="20">
        <v>15</v>
      </c>
      <c r="I414" s="20">
        <v>0</v>
      </c>
      <c r="J414" s="20">
        <v>2.25</v>
      </c>
      <c r="K414" s="20">
        <v>0.94</v>
      </c>
      <c r="L414" s="20">
        <v>16.309999999999999</v>
      </c>
    </row>
    <row r="415" spans="1:12" x14ac:dyDescent="0.25">
      <c r="A415" s="20">
        <v>1455</v>
      </c>
      <c r="B415" s="20">
        <v>1802588002001</v>
      </c>
      <c r="C415" s="20" t="s">
        <v>57</v>
      </c>
      <c r="D415" s="22">
        <v>46045</v>
      </c>
      <c r="E415" s="20" t="s">
        <v>13</v>
      </c>
      <c r="F415" s="20">
        <v>3580</v>
      </c>
      <c r="G415" s="20">
        <v>65.25</v>
      </c>
      <c r="H415" s="20">
        <v>60</v>
      </c>
      <c r="I415" s="20">
        <v>0</v>
      </c>
      <c r="J415" s="20">
        <v>9</v>
      </c>
      <c r="K415" s="20">
        <v>3.75</v>
      </c>
      <c r="L415" s="20">
        <v>65.25</v>
      </c>
    </row>
    <row r="416" spans="1:12" x14ac:dyDescent="0.25">
      <c r="A416" s="20">
        <v>1455</v>
      </c>
      <c r="B416" s="20">
        <v>1802588002001</v>
      </c>
      <c r="C416" s="20" t="s">
        <v>57</v>
      </c>
      <c r="D416" s="22">
        <v>46045</v>
      </c>
      <c r="E416" s="20" t="s">
        <v>13</v>
      </c>
      <c r="F416" s="20">
        <v>3579</v>
      </c>
      <c r="G416" s="20">
        <v>65.25</v>
      </c>
      <c r="H416" s="20">
        <v>60</v>
      </c>
      <c r="I416" s="20">
        <v>0</v>
      </c>
      <c r="J416" s="20">
        <v>9</v>
      </c>
      <c r="K416" s="20">
        <v>3.75</v>
      </c>
      <c r="L416" s="20">
        <v>65.25</v>
      </c>
    </row>
    <row r="417" spans="1:12" x14ac:dyDescent="0.25">
      <c r="A417" s="20">
        <v>59</v>
      </c>
      <c r="B417" s="20">
        <v>1802676997001</v>
      </c>
      <c r="C417" s="20" t="s">
        <v>58</v>
      </c>
      <c r="D417" s="22">
        <v>46028</v>
      </c>
      <c r="E417" s="20" t="s">
        <v>13</v>
      </c>
      <c r="F417" s="20">
        <v>382</v>
      </c>
      <c r="G417" s="20">
        <v>836.05</v>
      </c>
      <c r="H417" s="20">
        <v>768.78</v>
      </c>
      <c r="I417" s="20">
        <v>0</v>
      </c>
      <c r="J417" s="20">
        <v>115.32</v>
      </c>
      <c r="K417" s="20">
        <v>48.05</v>
      </c>
      <c r="L417" s="20">
        <v>836.05</v>
      </c>
    </row>
    <row r="418" spans="1:12" x14ac:dyDescent="0.25">
      <c r="A418" s="20">
        <v>59</v>
      </c>
      <c r="B418" s="20">
        <v>1802676997001</v>
      </c>
      <c r="C418" s="20" t="s">
        <v>58</v>
      </c>
      <c r="D418" s="22">
        <v>46029</v>
      </c>
      <c r="E418" s="20" t="s">
        <v>13</v>
      </c>
      <c r="F418" s="20">
        <v>383</v>
      </c>
      <c r="G418" s="20">
        <v>460.4</v>
      </c>
      <c r="H418" s="20">
        <v>423.36</v>
      </c>
      <c r="I418" s="20">
        <v>0</v>
      </c>
      <c r="J418" s="20">
        <v>63.5</v>
      </c>
      <c r="K418" s="20">
        <v>26.46</v>
      </c>
      <c r="L418" s="20">
        <v>460.4</v>
      </c>
    </row>
    <row r="419" spans="1:12" x14ac:dyDescent="0.25">
      <c r="A419" s="20">
        <v>59</v>
      </c>
      <c r="B419" s="20">
        <v>1802676997001</v>
      </c>
      <c r="C419" s="20" t="s">
        <v>58</v>
      </c>
      <c r="D419" s="22">
        <v>46036</v>
      </c>
      <c r="E419" s="20" t="s">
        <v>13</v>
      </c>
      <c r="F419" s="20">
        <v>386</v>
      </c>
      <c r="G419" s="20">
        <v>839.2</v>
      </c>
      <c r="H419" s="20">
        <v>771.68</v>
      </c>
      <c r="I419" s="20">
        <v>0</v>
      </c>
      <c r="J419" s="20">
        <v>115.75</v>
      </c>
      <c r="K419" s="20">
        <v>48.23</v>
      </c>
      <c r="L419" s="20">
        <v>839.2</v>
      </c>
    </row>
    <row r="420" spans="1:12" x14ac:dyDescent="0.25">
      <c r="A420" s="20">
        <v>59</v>
      </c>
      <c r="B420" s="20">
        <v>1802676997001</v>
      </c>
      <c r="C420" s="20" t="s">
        <v>58</v>
      </c>
      <c r="D420" s="22">
        <v>46045</v>
      </c>
      <c r="E420" s="20" t="s">
        <v>13</v>
      </c>
      <c r="F420" s="20">
        <v>392</v>
      </c>
      <c r="G420" s="20">
        <v>533.80999999999995</v>
      </c>
      <c r="H420" s="20">
        <v>490.86</v>
      </c>
      <c r="I420" s="20">
        <v>0</v>
      </c>
      <c r="J420" s="20">
        <v>73.63</v>
      </c>
      <c r="K420" s="20">
        <v>30.68</v>
      </c>
      <c r="L420" s="20">
        <v>533.80999999999995</v>
      </c>
    </row>
    <row r="421" spans="1:12" x14ac:dyDescent="0.25">
      <c r="A421" s="20">
        <v>59</v>
      </c>
      <c r="B421" s="20">
        <v>1802676997001</v>
      </c>
      <c r="C421" s="20" t="s">
        <v>58</v>
      </c>
      <c r="D421" s="22">
        <v>46050</v>
      </c>
      <c r="E421" s="20" t="s">
        <v>13</v>
      </c>
      <c r="F421" s="20">
        <v>394</v>
      </c>
      <c r="G421" s="20">
        <v>885.59</v>
      </c>
      <c r="H421" s="20">
        <v>814.34</v>
      </c>
      <c r="I421" s="20">
        <v>0</v>
      </c>
      <c r="J421" s="20">
        <v>122.15</v>
      </c>
      <c r="K421" s="20">
        <v>50.9</v>
      </c>
      <c r="L421" s="20">
        <v>885.59</v>
      </c>
    </row>
    <row r="422" spans="1:12" x14ac:dyDescent="0.25">
      <c r="A422" s="20">
        <v>739</v>
      </c>
      <c r="B422" s="20">
        <v>1802740876001</v>
      </c>
      <c r="C422" s="20" t="s">
        <v>59</v>
      </c>
      <c r="D422" s="22">
        <v>46031</v>
      </c>
      <c r="E422" s="20" t="s">
        <v>13</v>
      </c>
      <c r="F422" s="20">
        <v>360</v>
      </c>
      <c r="G422" s="20">
        <v>58.8</v>
      </c>
      <c r="H422" s="20">
        <v>0</v>
      </c>
      <c r="I422" s="20">
        <v>60</v>
      </c>
      <c r="J422" s="20">
        <v>0</v>
      </c>
      <c r="K422" s="20">
        <v>1.2</v>
      </c>
      <c r="L422" s="20">
        <v>58.8</v>
      </c>
    </row>
    <row r="423" spans="1:12" x14ac:dyDescent="0.25">
      <c r="A423" s="20">
        <v>739</v>
      </c>
      <c r="B423" s="20">
        <v>1802740876001</v>
      </c>
      <c r="C423" s="20" t="s">
        <v>59</v>
      </c>
      <c r="D423" s="22">
        <v>46041</v>
      </c>
      <c r="E423" s="20" t="s">
        <v>13</v>
      </c>
      <c r="F423" s="20">
        <v>366</v>
      </c>
      <c r="G423" s="20">
        <v>43.12</v>
      </c>
      <c r="H423" s="20">
        <v>0</v>
      </c>
      <c r="I423" s="20">
        <v>44</v>
      </c>
      <c r="J423" s="20">
        <v>0</v>
      </c>
      <c r="K423" s="20">
        <v>0.88</v>
      </c>
      <c r="L423" s="20">
        <v>43.12</v>
      </c>
    </row>
    <row r="424" spans="1:12" x14ac:dyDescent="0.25">
      <c r="A424" s="20">
        <v>739</v>
      </c>
      <c r="B424" s="20">
        <v>1802740876001</v>
      </c>
      <c r="C424" s="20" t="s">
        <v>59</v>
      </c>
      <c r="D424" s="22">
        <v>46041</v>
      </c>
      <c r="E424" s="20" t="s">
        <v>13</v>
      </c>
      <c r="F424" s="20">
        <v>367</v>
      </c>
      <c r="G424" s="20">
        <v>23.52</v>
      </c>
      <c r="H424" s="20">
        <v>0</v>
      </c>
      <c r="I424" s="20">
        <v>24</v>
      </c>
      <c r="J424" s="20">
        <v>0</v>
      </c>
      <c r="K424" s="20">
        <v>0.48</v>
      </c>
      <c r="L424" s="20">
        <v>23.52</v>
      </c>
    </row>
    <row r="425" spans="1:12" x14ac:dyDescent="0.25">
      <c r="A425" s="20">
        <v>739</v>
      </c>
      <c r="B425" s="20">
        <v>1802740876001</v>
      </c>
      <c r="C425" s="20" t="s">
        <v>59</v>
      </c>
      <c r="D425" s="22">
        <v>46048</v>
      </c>
      <c r="E425" s="20" t="s">
        <v>13</v>
      </c>
      <c r="F425" s="20">
        <v>372</v>
      </c>
      <c r="G425" s="20">
        <v>23.52</v>
      </c>
      <c r="H425" s="20">
        <v>0</v>
      </c>
      <c r="I425" s="20">
        <v>24</v>
      </c>
      <c r="J425" s="20">
        <v>0</v>
      </c>
      <c r="K425" s="20">
        <v>0.48</v>
      </c>
      <c r="L425" s="20">
        <v>23.52</v>
      </c>
    </row>
    <row r="426" spans="1:12" x14ac:dyDescent="0.25">
      <c r="A426" s="20">
        <v>533</v>
      </c>
      <c r="B426" s="20">
        <v>1802955151001</v>
      </c>
      <c r="C426" s="20" t="s">
        <v>60</v>
      </c>
      <c r="D426" s="22">
        <v>46035</v>
      </c>
      <c r="E426" s="20" t="s">
        <v>13</v>
      </c>
      <c r="F426" s="20">
        <v>2759</v>
      </c>
      <c r="G426" s="21">
        <v>1618.72</v>
      </c>
      <c r="H426" s="21">
        <v>1488.48</v>
      </c>
      <c r="I426" s="20">
        <v>0</v>
      </c>
      <c r="J426" s="20">
        <v>223.27</v>
      </c>
      <c r="K426" s="20">
        <v>93.03</v>
      </c>
      <c r="L426" s="21">
        <v>1618.72</v>
      </c>
    </row>
    <row r="427" spans="1:12" x14ac:dyDescent="0.25">
      <c r="A427" s="20">
        <v>533</v>
      </c>
      <c r="B427" s="20">
        <v>1802955151001</v>
      </c>
      <c r="C427" s="20" t="s">
        <v>60</v>
      </c>
      <c r="D427" s="22">
        <v>46051</v>
      </c>
      <c r="E427" s="20" t="s">
        <v>13</v>
      </c>
      <c r="F427" s="20">
        <v>2810</v>
      </c>
      <c r="G427" s="20">
        <v>295.51</v>
      </c>
      <c r="H427" s="20">
        <v>271.74</v>
      </c>
      <c r="I427" s="20">
        <v>0</v>
      </c>
      <c r="J427" s="20">
        <v>40.76</v>
      </c>
      <c r="K427" s="20">
        <v>16.989999999999998</v>
      </c>
      <c r="L427" s="20">
        <v>295.51</v>
      </c>
    </row>
    <row r="428" spans="1:12" x14ac:dyDescent="0.25">
      <c r="A428" s="20">
        <v>533</v>
      </c>
      <c r="B428" s="20">
        <v>1802955151001</v>
      </c>
      <c r="C428" s="20" t="s">
        <v>60</v>
      </c>
      <c r="D428" s="22">
        <v>46052</v>
      </c>
      <c r="E428" s="20" t="s">
        <v>13</v>
      </c>
      <c r="F428" s="20">
        <v>2818</v>
      </c>
      <c r="G428" s="20">
        <v>522</v>
      </c>
      <c r="H428" s="20">
        <v>480</v>
      </c>
      <c r="I428" s="20">
        <v>0</v>
      </c>
      <c r="J428" s="20">
        <v>72</v>
      </c>
      <c r="K428" s="20">
        <v>30</v>
      </c>
      <c r="L428" s="20">
        <v>522</v>
      </c>
    </row>
    <row r="429" spans="1:12" x14ac:dyDescent="0.25">
      <c r="A429" s="20">
        <v>1110</v>
      </c>
      <c r="B429" s="20">
        <v>1803039534001</v>
      </c>
      <c r="C429" s="20" t="s">
        <v>61</v>
      </c>
      <c r="D429" s="22">
        <v>46027</v>
      </c>
      <c r="E429" s="20" t="s">
        <v>13</v>
      </c>
      <c r="F429" s="20">
        <v>6232</v>
      </c>
      <c r="G429" s="20">
        <v>42.56</v>
      </c>
      <c r="H429" s="20">
        <v>39.130000000000003</v>
      </c>
      <c r="I429" s="20">
        <v>0</v>
      </c>
      <c r="J429" s="20">
        <v>5.87</v>
      </c>
      <c r="K429" s="20">
        <v>2.44</v>
      </c>
      <c r="L429" s="20">
        <v>42.56</v>
      </c>
    </row>
    <row r="430" spans="1:12" x14ac:dyDescent="0.25">
      <c r="A430" s="20">
        <v>1110</v>
      </c>
      <c r="B430" s="20">
        <v>1803039534001</v>
      </c>
      <c r="C430" s="20" t="s">
        <v>61</v>
      </c>
      <c r="D430" s="22">
        <v>46028</v>
      </c>
      <c r="E430" s="20" t="s">
        <v>13</v>
      </c>
      <c r="F430" s="20">
        <v>6231</v>
      </c>
      <c r="G430" s="20">
        <v>26.74</v>
      </c>
      <c r="H430" s="20">
        <v>26.09</v>
      </c>
      <c r="I430" s="20">
        <v>0</v>
      </c>
      <c r="J430" s="20">
        <v>3.91</v>
      </c>
      <c r="K430" s="20">
        <v>3.26</v>
      </c>
      <c r="L430" s="20">
        <v>26.74</v>
      </c>
    </row>
    <row r="431" spans="1:12" x14ac:dyDescent="0.25">
      <c r="A431" s="20">
        <v>492</v>
      </c>
      <c r="B431" s="20">
        <v>1803339124001</v>
      </c>
      <c r="C431" s="20" t="s">
        <v>62</v>
      </c>
      <c r="D431" s="22">
        <v>46041</v>
      </c>
      <c r="E431" s="20" t="s">
        <v>13</v>
      </c>
      <c r="F431" s="20">
        <v>9674</v>
      </c>
      <c r="G431" s="20">
        <v>397.18</v>
      </c>
      <c r="H431" s="20">
        <v>365.22</v>
      </c>
      <c r="I431" s="20">
        <v>0</v>
      </c>
      <c r="J431" s="20">
        <v>54.78</v>
      </c>
      <c r="K431" s="20">
        <v>22.82</v>
      </c>
      <c r="L431" s="20">
        <v>397.18</v>
      </c>
    </row>
    <row r="432" spans="1:12" x14ac:dyDescent="0.25">
      <c r="A432" s="20">
        <v>1494</v>
      </c>
      <c r="B432" s="20">
        <v>1803347317001</v>
      </c>
      <c r="C432" s="20" t="s">
        <v>63</v>
      </c>
      <c r="D432" s="22">
        <v>46044</v>
      </c>
      <c r="E432" s="20" t="s">
        <v>13</v>
      </c>
      <c r="F432" s="20">
        <v>627</v>
      </c>
      <c r="G432" s="20">
        <v>199.04</v>
      </c>
      <c r="H432" s="20">
        <v>0</v>
      </c>
      <c r="I432" s="20">
        <v>201.05</v>
      </c>
      <c r="J432" s="20">
        <v>0</v>
      </c>
      <c r="K432" s="20">
        <v>2.0099999999999998</v>
      </c>
      <c r="L432" s="20">
        <v>199.04</v>
      </c>
    </row>
    <row r="433" spans="1:12" x14ac:dyDescent="0.25">
      <c r="A433" s="20">
        <v>1418</v>
      </c>
      <c r="B433" s="20">
        <v>1803450749001</v>
      </c>
      <c r="C433" s="20" t="s">
        <v>64</v>
      </c>
      <c r="D433" s="22">
        <v>46049</v>
      </c>
      <c r="E433" s="20" t="s">
        <v>13</v>
      </c>
      <c r="F433" s="20">
        <v>4714</v>
      </c>
      <c r="G433" s="20">
        <v>4.9000000000000004</v>
      </c>
      <c r="H433" s="20">
        <v>0</v>
      </c>
      <c r="I433" s="20">
        <v>5</v>
      </c>
      <c r="J433" s="20">
        <v>0</v>
      </c>
      <c r="K433" s="20">
        <v>0.1</v>
      </c>
      <c r="L433" s="20">
        <v>4.9000000000000004</v>
      </c>
    </row>
    <row r="434" spans="1:12" x14ac:dyDescent="0.25">
      <c r="A434" s="20">
        <v>794</v>
      </c>
      <c r="B434" s="20">
        <v>1803451952001</v>
      </c>
      <c r="C434" s="20" t="s">
        <v>65</v>
      </c>
      <c r="D434" s="22">
        <v>46036</v>
      </c>
      <c r="E434" s="20" t="s">
        <v>13</v>
      </c>
      <c r="F434" s="20">
        <v>1347</v>
      </c>
      <c r="G434" s="20">
        <v>103.31</v>
      </c>
      <c r="H434" s="20">
        <v>95</v>
      </c>
      <c r="I434" s="20">
        <v>0</v>
      </c>
      <c r="J434" s="20">
        <v>14.25</v>
      </c>
      <c r="K434" s="20">
        <v>5.94</v>
      </c>
      <c r="L434" s="20">
        <v>103.31</v>
      </c>
    </row>
    <row r="435" spans="1:12" x14ac:dyDescent="0.25">
      <c r="A435" s="20">
        <v>794</v>
      </c>
      <c r="B435" s="20">
        <v>1803451952001</v>
      </c>
      <c r="C435" s="20" t="s">
        <v>65</v>
      </c>
      <c r="D435" s="22">
        <v>46036</v>
      </c>
      <c r="E435" s="20" t="s">
        <v>13</v>
      </c>
      <c r="F435" s="20">
        <v>1346</v>
      </c>
      <c r="G435" s="20">
        <v>70.36</v>
      </c>
      <c r="H435" s="20">
        <v>68.64</v>
      </c>
      <c r="I435" s="20">
        <v>0</v>
      </c>
      <c r="J435" s="20">
        <v>10.3</v>
      </c>
      <c r="K435" s="20">
        <v>8.58</v>
      </c>
      <c r="L435" s="20">
        <v>70.36</v>
      </c>
    </row>
    <row r="436" spans="1:12" x14ac:dyDescent="0.25">
      <c r="A436" s="20">
        <v>794</v>
      </c>
      <c r="B436" s="20">
        <v>1803451952001</v>
      </c>
      <c r="C436" s="20" t="s">
        <v>65</v>
      </c>
      <c r="D436" s="22">
        <v>46036</v>
      </c>
      <c r="E436" s="20" t="s">
        <v>13</v>
      </c>
      <c r="F436" s="20">
        <v>1345</v>
      </c>
      <c r="G436" s="20">
        <v>196.3</v>
      </c>
      <c r="H436" s="20">
        <v>180.5</v>
      </c>
      <c r="I436" s="20">
        <v>0</v>
      </c>
      <c r="J436" s="20">
        <v>27.08</v>
      </c>
      <c r="K436" s="20">
        <v>11.28</v>
      </c>
      <c r="L436" s="20">
        <v>196.3</v>
      </c>
    </row>
    <row r="437" spans="1:12" x14ac:dyDescent="0.25">
      <c r="A437" s="20">
        <v>794</v>
      </c>
      <c r="B437" s="20">
        <v>1803451952001</v>
      </c>
      <c r="C437" s="20" t="s">
        <v>65</v>
      </c>
      <c r="D437" s="22">
        <v>46036</v>
      </c>
      <c r="E437" s="20" t="s">
        <v>13</v>
      </c>
      <c r="F437" s="20">
        <v>1344</v>
      </c>
      <c r="G437" s="20">
        <v>123.92</v>
      </c>
      <c r="H437" s="20">
        <v>120.9</v>
      </c>
      <c r="I437" s="20">
        <v>0</v>
      </c>
      <c r="J437" s="20">
        <v>18.14</v>
      </c>
      <c r="K437" s="20">
        <v>15.12</v>
      </c>
      <c r="L437" s="20">
        <v>123.92</v>
      </c>
    </row>
    <row r="438" spans="1:12" x14ac:dyDescent="0.25">
      <c r="A438" s="20">
        <v>794</v>
      </c>
      <c r="B438" s="20">
        <v>1803451952001</v>
      </c>
      <c r="C438" s="20" t="s">
        <v>65</v>
      </c>
      <c r="D438" s="22">
        <v>46037</v>
      </c>
      <c r="E438" s="20" t="s">
        <v>13</v>
      </c>
      <c r="F438" s="20">
        <v>1348</v>
      </c>
      <c r="G438" s="20">
        <v>55.97</v>
      </c>
      <c r="H438" s="20">
        <v>54.6</v>
      </c>
      <c r="I438" s="20">
        <v>0</v>
      </c>
      <c r="J438" s="20">
        <v>8.19</v>
      </c>
      <c r="K438" s="20">
        <v>6.82</v>
      </c>
      <c r="L438" s="20">
        <v>55.97</v>
      </c>
    </row>
    <row r="439" spans="1:12" x14ac:dyDescent="0.25">
      <c r="A439" s="20">
        <v>794</v>
      </c>
      <c r="B439" s="20">
        <v>1803451952001</v>
      </c>
      <c r="C439" s="20" t="s">
        <v>65</v>
      </c>
      <c r="D439" s="22">
        <v>46037</v>
      </c>
      <c r="E439" s="20" t="s">
        <v>13</v>
      </c>
      <c r="F439" s="20">
        <v>1349</v>
      </c>
      <c r="G439" s="20">
        <v>46.49</v>
      </c>
      <c r="H439" s="20">
        <v>42.75</v>
      </c>
      <c r="I439" s="20">
        <v>0</v>
      </c>
      <c r="J439" s="20">
        <v>6.41</v>
      </c>
      <c r="K439" s="20">
        <v>2.67</v>
      </c>
      <c r="L439" s="20">
        <v>46.49</v>
      </c>
    </row>
    <row r="440" spans="1:12" x14ac:dyDescent="0.25">
      <c r="A440" s="20">
        <v>1453</v>
      </c>
      <c r="B440" s="20">
        <v>1803467222001</v>
      </c>
      <c r="C440" s="20" t="s">
        <v>66</v>
      </c>
      <c r="D440" s="22">
        <v>46042</v>
      </c>
      <c r="E440" s="20" t="s">
        <v>13</v>
      </c>
      <c r="F440" s="20">
        <v>10399</v>
      </c>
      <c r="G440" s="20">
        <v>46.12</v>
      </c>
      <c r="H440" s="20">
        <v>45</v>
      </c>
      <c r="I440" s="20">
        <v>0</v>
      </c>
      <c r="J440" s="20">
        <v>6.75</v>
      </c>
      <c r="K440" s="20">
        <v>5.63</v>
      </c>
      <c r="L440" s="20">
        <v>46.12</v>
      </c>
    </row>
    <row r="441" spans="1:12" x14ac:dyDescent="0.25">
      <c r="A441" s="20">
        <v>1453</v>
      </c>
      <c r="B441" s="20">
        <v>1803467222001</v>
      </c>
      <c r="C441" s="20" t="s">
        <v>66</v>
      </c>
      <c r="D441" s="22">
        <v>46050</v>
      </c>
      <c r="E441" s="20" t="s">
        <v>13</v>
      </c>
      <c r="F441" s="20">
        <v>10475</v>
      </c>
      <c r="G441" s="20">
        <v>46.12</v>
      </c>
      <c r="H441" s="20">
        <v>45</v>
      </c>
      <c r="I441" s="20">
        <v>0</v>
      </c>
      <c r="J441" s="20">
        <v>6.75</v>
      </c>
      <c r="K441" s="20">
        <v>5.63</v>
      </c>
      <c r="L441" s="20">
        <v>46.12</v>
      </c>
    </row>
    <row r="442" spans="1:12" x14ac:dyDescent="0.25">
      <c r="A442" s="20">
        <v>1453</v>
      </c>
      <c r="B442" s="20">
        <v>1803467222001</v>
      </c>
      <c r="C442" s="20" t="s">
        <v>66</v>
      </c>
      <c r="D442" s="22">
        <v>46050</v>
      </c>
      <c r="E442" s="20" t="s">
        <v>13</v>
      </c>
      <c r="F442" s="20">
        <v>10474</v>
      </c>
      <c r="G442" s="20">
        <v>46.12</v>
      </c>
      <c r="H442" s="20">
        <v>45</v>
      </c>
      <c r="I442" s="20">
        <v>0</v>
      </c>
      <c r="J442" s="20">
        <v>6.75</v>
      </c>
      <c r="K442" s="20">
        <v>5.63</v>
      </c>
      <c r="L442" s="20">
        <v>46.12</v>
      </c>
    </row>
    <row r="443" spans="1:12" x14ac:dyDescent="0.25">
      <c r="A443" s="20">
        <v>1495</v>
      </c>
      <c r="B443" s="20">
        <v>1804234472001</v>
      </c>
      <c r="C443" s="20" t="s">
        <v>69</v>
      </c>
      <c r="D443" s="22">
        <v>46030</v>
      </c>
      <c r="E443" s="20" t="s">
        <v>13</v>
      </c>
      <c r="F443" s="20">
        <v>2087</v>
      </c>
      <c r="G443" s="20">
        <v>217.5</v>
      </c>
      <c r="H443" s="20">
        <v>200</v>
      </c>
      <c r="I443" s="20">
        <v>0</v>
      </c>
      <c r="J443" s="20">
        <v>30</v>
      </c>
      <c r="K443" s="20">
        <v>12.5</v>
      </c>
      <c r="L443" s="20">
        <v>217.5</v>
      </c>
    </row>
    <row r="444" spans="1:12" x14ac:dyDescent="0.25">
      <c r="A444" s="20">
        <v>1103</v>
      </c>
      <c r="B444" s="20">
        <v>1804236659001</v>
      </c>
      <c r="C444" s="20" t="s">
        <v>70</v>
      </c>
      <c r="D444" s="22">
        <v>46028</v>
      </c>
      <c r="E444" s="20" t="s">
        <v>13</v>
      </c>
      <c r="F444" s="20">
        <v>1555</v>
      </c>
      <c r="G444" s="20">
        <v>499.99</v>
      </c>
      <c r="H444" s="20">
        <v>555.54999999999995</v>
      </c>
      <c r="I444" s="20">
        <v>0</v>
      </c>
      <c r="J444" s="20">
        <v>83.33</v>
      </c>
      <c r="K444" s="20">
        <v>138.88999999999999</v>
      </c>
      <c r="L444" s="20">
        <v>499.99</v>
      </c>
    </row>
    <row r="445" spans="1:12" x14ac:dyDescent="0.25">
      <c r="A445" s="20">
        <v>1093</v>
      </c>
      <c r="B445" s="20">
        <v>1804347332001</v>
      </c>
      <c r="C445" s="20" t="s">
        <v>72</v>
      </c>
      <c r="D445" s="22">
        <v>46030</v>
      </c>
      <c r="E445" s="20" t="s">
        <v>13</v>
      </c>
      <c r="F445" s="20">
        <v>271</v>
      </c>
      <c r="G445" s="20">
        <v>333.71</v>
      </c>
      <c r="H445" s="20">
        <v>306.86</v>
      </c>
      <c r="I445" s="20">
        <v>0</v>
      </c>
      <c r="J445" s="20">
        <v>46.03</v>
      </c>
      <c r="K445" s="20">
        <v>19.18</v>
      </c>
      <c r="L445" s="20">
        <v>333.71</v>
      </c>
    </row>
    <row r="446" spans="1:12" x14ac:dyDescent="0.25">
      <c r="A446" s="20">
        <v>1093</v>
      </c>
      <c r="B446" s="20">
        <v>1804347332001</v>
      </c>
      <c r="C446" s="20" t="s">
        <v>72</v>
      </c>
      <c r="D446" s="22">
        <v>46030</v>
      </c>
      <c r="E446" s="20" t="s">
        <v>13</v>
      </c>
      <c r="F446" s="20">
        <v>268</v>
      </c>
      <c r="G446" s="20">
        <v>588.89</v>
      </c>
      <c r="H446" s="20">
        <v>541.51</v>
      </c>
      <c r="I446" s="20">
        <v>0</v>
      </c>
      <c r="J446" s="20">
        <v>81.23</v>
      </c>
      <c r="K446" s="20">
        <v>33.85</v>
      </c>
      <c r="L446" s="20">
        <v>588.89</v>
      </c>
    </row>
    <row r="447" spans="1:12" x14ac:dyDescent="0.25">
      <c r="A447" s="20">
        <v>1093</v>
      </c>
      <c r="B447" s="20">
        <v>1804347332001</v>
      </c>
      <c r="C447" s="20" t="s">
        <v>72</v>
      </c>
      <c r="D447" s="22">
        <v>46030</v>
      </c>
      <c r="E447" s="20" t="s">
        <v>13</v>
      </c>
      <c r="F447" s="20">
        <v>270</v>
      </c>
      <c r="G447" s="20">
        <v>73.39</v>
      </c>
      <c r="H447" s="20">
        <v>67.489999999999995</v>
      </c>
      <c r="I447" s="20">
        <v>0</v>
      </c>
      <c r="J447" s="20">
        <v>10.119999999999999</v>
      </c>
      <c r="K447" s="20">
        <v>4.22</v>
      </c>
      <c r="L447" s="20">
        <v>73.39</v>
      </c>
    </row>
    <row r="448" spans="1:12" x14ac:dyDescent="0.25">
      <c r="A448" s="20">
        <v>1093</v>
      </c>
      <c r="B448" s="20">
        <v>1804347332001</v>
      </c>
      <c r="C448" s="20" t="s">
        <v>72</v>
      </c>
      <c r="D448" s="22">
        <v>46030</v>
      </c>
      <c r="E448" s="20" t="s">
        <v>13</v>
      </c>
      <c r="F448" s="20">
        <v>269</v>
      </c>
      <c r="G448" s="20">
        <v>131.44999999999999</v>
      </c>
      <c r="H448" s="20">
        <v>120.88</v>
      </c>
      <c r="I448" s="20">
        <v>0</v>
      </c>
      <c r="J448" s="20">
        <v>18.13</v>
      </c>
      <c r="K448" s="20">
        <v>7.56</v>
      </c>
      <c r="L448" s="20">
        <v>131.44999999999999</v>
      </c>
    </row>
    <row r="449" spans="1:12" x14ac:dyDescent="0.25">
      <c r="A449" s="20">
        <v>1093</v>
      </c>
      <c r="B449" s="20">
        <v>1804347332001</v>
      </c>
      <c r="C449" s="20" t="s">
        <v>72</v>
      </c>
      <c r="D449" s="22">
        <v>46036</v>
      </c>
      <c r="E449" s="20" t="s">
        <v>13</v>
      </c>
      <c r="F449" s="20">
        <v>267</v>
      </c>
      <c r="G449" s="21">
        <v>2051.83</v>
      </c>
      <c r="H449" s="21">
        <v>1886.74</v>
      </c>
      <c r="I449" s="20">
        <v>0</v>
      </c>
      <c r="J449" s="20">
        <v>283.01</v>
      </c>
      <c r="K449" s="20">
        <v>117.92</v>
      </c>
      <c r="L449" s="21">
        <v>2051.83</v>
      </c>
    </row>
    <row r="450" spans="1:12" x14ac:dyDescent="0.25">
      <c r="A450" s="20">
        <v>1836</v>
      </c>
      <c r="B450" s="20">
        <v>1804848115001</v>
      </c>
      <c r="C450" s="20" t="s">
        <v>74</v>
      </c>
      <c r="D450" s="22">
        <v>46041</v>
      </c>
      <c r="E450" s="20" t="s">
        <v>13</v>
      </c>
      <c r="F450" s="20">
        <v>104</v>
      </c>
      <c r="G450" s="20">
        <v>43.5</v>
      </c>
      <c r="H450" s="20">
        <v>40</v>
      </c>
      <c r="I450" s="20">
        <v>0</v>
      </c>
      <c r="J450" s="20">
        <v>6</v>
      </c>
      <c r="K450" s="20">
        <v>2.5</v>
      </c>
      <c r="L450" s="20">
        <v>43.5</v>
      </c>
    </row>
    <row r="451" spans="1:12" x14ac:dyDescent="0.25">
      <c r="A451" s="20">
        <v>1836</v>
      </c>
      <c r="B451" s="20">
        <v>1804848115001</v>
      </c>
      <c r="C451" s="20" t="s">
        <v>74</v>
      </c>
      <c r="D451" s="22">
        <v>46051</v>
      </c>
      <c r="E451" s="20" t="s">
        <v>13</v>
      </c>
      <c r="F451" s="20">
        <v>113</v>
      </c>
      <c r="G451" s="20">
        <v>174</v>
      </c>
      <c r="H451" s="20">
        <v>160</v>
      </c>
      <c r="I451" s="20">
        <v>0</v>
      </c>
      <c r="J451" s="20">
        <v>24</v>
      </c>
      <c r="K451" s="20">
        <v>10</v>
      </c>
      <c r="L451" s="20">
        <v>174</v>
      </c>
    </row>
    <row r="452" spans="1:12" x14ac:dyDescent="0.25">
      <c r="A452" s="20">
        <v>1836</v>
      </c>
      <c r="B452" s="20">
        <v>1804848115001</v>
      </c>
      <c r="C452" s="20" t="s">
        <v>74</v>
      </c>
      <c r="D452" s="22">
        <v>46051</v>
      </c>
      <c r="E452" s="20" t="s">
        <v>13</v>
      </c>
      <c r="F452" s="20">
        <v>114</v>
      </c>
      <c r="G452" s="20">
        <v>43.5</v>
      </c>
      <c r="H452" s="20">
        <v>40</v>
      </c>
      <c r="I452" s="20">
        <v>0</v>
      </c>
      <c r="J452" s="20">
        <v>6</v>
      </c>
      <c r="K452" s="20">
        <v>2.5</v>
      </c>
      <c r="L452" s="20">
        <v>43.5</v>
      </c>
    </row>
    <row r="453" spans="1:12" x14ac:dyDescent="0.25">
      <c r="A453" s="20">
        <v>1809</v>
      </c>
      <c r="B453" s="20">
        <v>1805135306001</v>
      </c>
      <c r="C453" s="20" t="s">
        <v>75</v>
      </c>
      <c r="D453" s="22">
        <v>46042</v>
      </c>
      <c r="E453" s="20" t="s">
        <v>13</v>
      </c>
      <c r="F453" s="20">
        <v>29</v>
      </c>
      <c r="G453" s="20">
        <v>180</v>
      </c>
      <c r="H453" s="20">
        <v>0</v>
      </c>
      <c r="I453" s="20">
        <v>180</v>
      </c>
      <c r="J453" s="20">
        <v>0</v>
      </c>
      <c r="K453" s="20">
        <v>0</v>
      </c>
      <c r="L453" s="20">
        <v>180</v>
      </c>
    </row>
    <row r="454" spans="1:12" x14ac:dyDescent="0.25">
      <c r="A454" s="20">
        <v>1816</v>
      </c>
      <c r="B454" s="20">
        <v>1805237821001</v>
      </c>
      <c r="C454" s="20" t="s">
        <v>77</v>
      </c>
      <c r="D454" s="22">
        <v>46050</v>
      </c>
      <c r="E454" s="20" t="s">
        <v>13</v>
      </c>
      <c r="F454" s="20">
        <v>82</v>
      </c>
      <c r="G454" s="20">
        <v>25.62</v>
      </c>
      <c r="H454" s="20">
        <v>25</v>
      </c>
      <c r="I454" s="20">
        <v>0</v>
      </c>
      <c r="J454" s="20">
        <v>3.75</v>
      </c>
      <c r="K454" s="20">
        <v>3.13</v>
      </c>
      <c r="L454" s="20">
        <v>25.62</v>
      </c>
    </row>
    <row r="455" spans="1:12" x14ac:dyDescent="0.25">
      <c r="A455" s="20">
        <v>485</v>
      </c>
      <c r="B455" s="20">
        <v>1865030070001</v>
      </c>
      <c r="C455" s="20" t="s">
        <v>81</v>
      </c>
      <c r="D455" s="22">
        <v>46041</v>
      </c>
      <c r="E455" s="20" t="s">
        <v>13</v>
      </c>
      <c r="F455" s="20">
        <v>4268438</v>
      </c>
      <c r="G455" s="20">
        <v>76.61</v>
      </c>
      <c r="H455" s="20">
        <v>0</v>
      </c>
      <c r="I455" s="20">
        <v>76.61</v>
      </c>
      <c r="J455" s="20">
        <v>0</v>
      </c>
      <c r="K455" s="20">
        <v>0</v>
      </c>
      <c r="L455" s="20">
        <v>0</v>
      </c>
    </row>
    <row r="456" spans="1:12" x14ac:dyDescent="0.25">
      <c r="A456" s="20">
        <v>1351</v>
      </c>
      <c r="B456" s="20">
        <v>1865033840001</v>
      </c>
      <c r="C456" s="20" t="s">
        <v>82</v>
      </c>
      <c r="D456" s="22">
        <v>46048</v>
      </c>
      <c r="E456" s="20" t="s">
        <v>13</v>
      </c>
      <c r="F456" s="20">
        <v>142458</v>
      </c>
      <c r="G456" s="20">
        <v>12.85</v>
      </c>
      <c r="H456" s="20">
        <v>0</v>
      </c>
      <c r="I456" s="20">
        <v>12.85</v>
      </c>
      <c r="J456" s="20">
        <v>0</v>
      </c>
      <c r="K456" s="20">
        <v>0</v>
      </c>
      <c r="L456" s="20">
        <v>0</v>
      </c>
    </row>
    <row r="457" spans="1:12" x14ac:dyDescent="0.25">
      <c r="A457" s="20">
        <v>484</v>
      </c>
      <c r="B457" s="20">
        <v>1890001439001</v>
      </c>
      <c r="C457" s="20" t="s">
        <v>83</v>
      </c>
      <c r="D457" s="22">
        <v>46034</v>
      </c>
      <c r="E457" s="20" t="s">
        <v>13</v>
      </c>
      <c r="F457" s="20">
        <v>12246187</v>
      </c>
      <c r="G457" s="20">
        <v>54.65</v>
      </c>
      <c r="H457" s="20">
        <v>0</v>
      </c>
      <c r="I457" s="20">
        <v>54.65</v>
      </c>
      <c r="J457" s="20">
        <v>0</v>
      </c>
      <c r="K457" s="20">
        <v>0</v>
      </c>
      <c r="L457" s="20">
        <v>0</v>
      </c>
    </row>
    <row r="458" spans="1:12" x14ac:dyDescent="0.25">
      <c r="A458" s="20">
        <v>484</v>
      </c>
      <c r="B458" s="20">
        <v>1890001439001</v>
      </c>
      <c r="C458" s="20" t="s">
        <v>83</v>
      </c>
      <c r="D458" s="22">
        <v>46034</v>
      </c>
      <c r="E458" s="20" t="s">
        <v>13</v>
      </c>
      <c r="F458" s="20">
        <v>12252332</v>
      </c>
      <c r="G458" s="20">
        <v>892.73</v>
      </c>
      <c r="H458" s="20">
        <v>0</v>
      </c>
      <c r="I458" s="20">
        <v>892.73</v>
      </c>
      <c r="J458" s="20">
        <v>0</v>
      </c>
      <c r="K458" s="20">
        <v>0</v>
      </c>
      <c r="L458" s="20">
        <v>0</v>
      </c>
    </row>
    <row r="459" spans="1:12" x14ac:dyDescent="0.25">
      <c r="A459" s="20">
        <v>222</v>
      </c>
      <c r="B459" s="20">
        <v>1890019184001</v>
      </c>
      <c r="C459" s="20" t="s">
        <v>84</v>
      </c>
      <c r="D459" s="22">
        <v>46034</v>
      </c>
      <c r="E459" s="20" t="s">
        <v>13</v>
      </c>
      <c r="F459" s="20">
        <v>35294</v>
      </c>
      <c r="G459" s="20">
        <v>363.13</v>
      </c>
      <c r="H459" s="20">
        <v>333.91</v>
      </c>
      <c r="I459" s="20">
        <v>0</v>
      </c>
      <c r="J459" s="20">
        <v>50.09</v>
      </c>
      <c r="K459" s="20">
        <v>20.87</v>
      </c>
      <c r="L459" s="20">
        <v>363.13</v>
      </c>
    </row>
    <row r="460" spans="1:12" x14ac:dyDescent="0.25">
      <c r="A460" s="20">
        <v>1548</v>
      </c>
      <c r="B460" s="20">
        <v>1890113423001</v>
      </c>
      <c r="C460" s="20" t="s">
        <v>85</v>
      </c>
      <c r="D460" s="22">
        <v>46037</v>
      </c>
      <c r="E460" s="20" t="s">
        <v>13</v>
      </c>
      <c r="F460" s="20">
        <v>20594</v>
      </c>
      <c r="G460" s="20">
        <v>170.38</v>
      </c>
      <c r="H460" s="20">
        <v>163.04</v>
      </c>
      <c r="I460" s="20">
        <v>0</v>
      </c>
      <c r="J460" s="20">
        <v>24.46</v>
      </c>
      <c r="K460" s="20">
        <v>17.12</v>
      </c>
      <c r="L460" s="20">
        <v>0</v>
      </c>
    </row>
    <row r="461" spans="1:12" x14ac:dyDescent="0.25">
      <c r="A461" s="20">
        <v>239</v>
      </c>
      <c r="B461" s="20">
        <v>1890152917001</v>
      </c>
      <c r="C461" s="20" t="s">
        <v>86</v>
      </c>
      <c r="D461" s="22">
        <v>46027</v>
      </c>
      <c r="E461" s="20" t="s">
        <v>13</v>
      </c>
      <c r="F461" s="20">
        <v>70816</v>
      </c>
      <c r="G461" s="20">
        <v>86.4</v>
      </c>
      <c r="H461" s="20">
        <v>79.45</v>
      </c>
      <c r="I461" s="20">
        <v>0</v>
      </c>
      <c r="J461" s="20">
        <v>11.92</v>
      </c>
      <c r="K461" s="20">
        <v>4.97</v>
      </c>
      <c r="L461" s="20">
        <v>86.4</v>
      </c>
    </row>
    <row r="462" spans="1:12" x14ac:dyDescent="0.25">
      <c r="A462" s="20">
        <v>239</v>
      </c>
      <c r="B462" s="20">
        <v>1890152917001</v>
      </c>
      <c r="C462" s="20" t="s">
        <v>86</v>
      </c>
      <c r="D462" s="22">
        <v>46029</v>
      </c>
      <c r="E462" s="20" t="s">
        <v>13</v>
      </c>
      <c r="F462" s="20">
        <v>62845</v>
      </c>
      <c r="G462" s="20">
        <v>124.1</v>
      </c>
      <c r="H462" s="20">
        <v>114.12</v>
      </c>
      <c r="I462" s="20">
        <v>0</v>
      </c>
      <c r="J462" s="20">
        <v>17.12</v>
      </c>
      <c r="K462" s="20">
        <v>7.14</v>
      </c>
      <c r="L462" s="20">
        <v>124.1</v>
      </c>
    </row>
    <row r="463" spans="1:12" x14ac:dyDescent="0.25">
      <c r="A463" s="20">
        <v>239</v>
      </c>
      <c r="B463" s="20">
        <v>1890152917001</v>
      </c>
      <c r="C463" s="20" t="s">
        <v>86</v>
      </c>
      <c r="D463" s="22">
        <v>46037</v>
      </c>
      <c r="E463" s="20" t="s">
        <v>13</v>
      </c>
      <c r="F463" s="20">
        <v>62991</v>
      </c>
      <c r="G463" s="20">
        <v>93.88</v>
      </c>
      <c r="H463" s="20">
        <v>86.33</v>
      </c>
      <c r="I463" s="20">
        <v>0</v>
      </c>
      <c r="J463" s="20">
        <v>12.95</v>
      </c>
      <c r="K463" s="20">
        <v>5.4</v>
      </c>
      <c r="L463" s="20">
        <v>93.88</v>
      </c>
    </row>
    <row r="464" spans="1:12" x14ac:dyDescent="0.25">
      <c r="A464" s="20">
        <v>973</v>
      </c>
      <c r="B464" s="20">
        <v>1891706509001</v>
      </c>
      <c r="C464" s="20" t="s">
        <v>87</v>
      </c>
      <c r="D464" s="22">
        <v>46041</v>
      </c>
      <c r="E464" s="20" t="s">
        <v>13</v>
      </c>
      <c r="F464" s="20">
        <v>1429</v>
      </c>
      <c r="G464" s="20">
        <v>27.18</v>
      </c>
      <c r="H464" s="20">
        <v>25</v>
      </c>
      <c r="I464" s="20">
        <v>0</v>
      </c>
      <c r="J464" s="20">
        <v>3.75</v>
      </c>
      <c r="K464" s="20">
        <v>1.57</v>
      </c>
      <c r="L464" s="20">
        <v>27.18</v>
      </c>
    </row>
    <row r="465" spans="1:12" x14ac:dyDescent="0.25">
      <c r="A465" s="20">
        <v>760</v>
      </c>
      <c r="B465" s="20">
        <v>1891746209001</v>
      </c>
      <c r="C465" s="20" t="s">
        <v>88</v>
      </c>
      <c r="D465" s="22">
        <v>46045</v>
      </c>
      <c r="E465" s="20" t="s">
        <v>13</v>
      </c>
      <c r="F465" s="20">
        <v>164842</v>
      </c>
      <c r="G465" s="20">
        <v>128.18</v>
      </c>
      <c r="H465" s="20">
        <v>117.86</v>
      </c>
      <c r="I465" s="20">
        <v>0</v>
      </c>
      <c r="J465" s="20">
        <v>17.68</v>
      </c>
      <c r="K465" s="20">
        <v>7.36</v>
      </c>
      <c r="L465" s="20">
        <v>128.18</v>
      </c>
    </row>
    <row r="466" spans="1:12" x14ac:dyDescent="0.25">
      <c r="A466" s="20">
        <v>1465</v>
      </c>
      <c r="B466" s="20">
        <v>1891752098001</v>
      </c>
      <c r="C466" s="20" t="s">
        <v>89</v>
      </c>
      <c r="D466" s="22">
        <v>46031</v>
      </c>
      <c r="E466" s="20" t="s">
        <v>13</v>
      </c>
      <c r="F466" s="20">
        <v>8168</v>
      </c>
      <c r="G466" s="20">
        <v>97.96</v>
      </c>
      <c r="H466" s="20">
        <v>90.08</v>
      </c>
      <c r="I466" s="20">
        <v>0</v>
      </c>
      <c r="J466" s="20">
        <v>13.51</v>
      </c>
      <c r="K466" s="20">
        <v>5.63</v>
      </c>
      <c r="L466" s="20">
        <v>97.96</v>
      </c>
    </row>
    <row r="467" spans="1:12" x14ac:dyDescent="0.25">
      <c r="A467" s="20">
        <v>1465</v>
      </c>
      <c r="B467" s="20">
        <v>1891752098001</v>
      </c>
      <c r="C467" s="20" t="s">
        <v>89</v>
      </c>
      <c r="D467" s="22">
        <v>46051</v>
      </c>
      <c r="E467" s="20" t="s">
        <v>13</v>
      </c>
      <c r="F467" s="20">
        <v>8230</v>
      </c>
      <c r="G467" s="21">
        <v>1815.2</v>
      </c>
      <c r="H467" s="21">
        <v>1669.15</v>
      </c>
      <c r="I467" s="20">
        <v>0</v>
      </c>
      <c r="J467" s="20">
        <v>250.37</v>
      </c>
      <c r="K467" s="20">
        <v>104.32</v>
      </c>
      <c r="L467" s="21">
        <v>1815.2</v>
      </c>
    </row>
    <row r="468" spans="1:12" x14ac:dyDescent="0.25">
      <c r="A468" s="20">
        <v>1246</v>
      </c>
      <c r="B468" s="20">
        <v>1891786383001</v>
      </c>
      <c r="C468" s="20" t="s">
        <v>90</v>
      </c>
      <c r="D468" s="22">
        <v>46027</v>
      </c>
      <c r="E468" s="20" t="s">
        <v>13</v>
      </c>
      <c r="F468" s="20">
        <v>438</v>
      </c>
      <c r="G468" s="21">
        <v>10150</v>
      </c>
      <c r="H468" s="21">
        <v>10000</v>
      </c>
      <c r="I468" s="20">
        <v>0</v>
      </c>
      <c r="J468" s="21">
        <v>1500</v>
      </c>
      <c r="K468" s="21">
        <v>1350</v>
      </c>
      <c r="L468" s="20">
        <v>0</v>
      </c>
    </row>
    <row r="469" spans="1:12" x14ac:dyDescent="0.25">
      <c r="A469" s="20">
        <v>1246</v>
      </c>
      <c r="B469" s="20">
        <v>1891786383001</v>
      </c>
      <c r="C469" s="20" t="s">
        <v>90</v>
      </c>
      <c r="D469" s="22">
        <v>46039</v>
      </c>
      <c r="E469" s="20" t="s">
        <v>13</v>
      </c>
      <c r="F469" s="20">
        <v>445</v>
      </c>
      <c r="G469" s="20">
        <v>240.42</v>
      </c>
      <c r="H469" s="20">
        <v>236.87</v>
      </c>
      <c r="I469" s="20">
        <v>0</v>
      </c>
      <c r="J469" s="20">
        <v>35.53</v>
      </c>
      <c r="K469" s="20">
        <v>31.98</v>
      </c>
      <c r="L469" s="20">
        <v>0</v>
      </c>
    </row>
    <row r="470" spans="1:12" x14ac:dyDescent="0.25">
      <c r="A470" s="20">
        <v>1246</v>
      </c>
      <c r="B470" s="20">
        <v>1891786383001</v>
      </c>
      <c r="C470" s="20" t="s">
        <v>90</v>
      </c>
      <c r="D470" s="22">
        <v>46039</v>
      </c>
      <c r="E470" s="20" t="s">
        <v>13</v>
      </c>
      <c r="F470" s="20">
        <v>443</v>
      </c>
      <c r="G470" s="20">
        <v>460.47</v>
      </c>
      <c r="H470" s="20">
        <v>453.67</v>
      </c>
      <c r="I470" s="20">
        <v>0</v>
      </c>
      <c r="J470" s="20">
        <v>68.05</v>
      </c>
      <c r="K470" s="20">
        <v>61.25</v>
      </c>
      <c r="L470" s="20">
        <v>0</v>
      </c>
    </row>
    <row r="471" spans="1:12" x14ac:dyDescent="0.25">
      <c r="A471" s="20">
        <v>1246</v>
      </c>
      <c r="B471" s="20">
        <v>1891786383001</v>
      </c>
      <c r="C471" s="20" t="s">
        <v>90</v>
      </c>
      <c r="D471" s="22">
        <v>46039</v>
      </c>
      <c r="E471" s="20" t="s">
        <v>13</v>
      </c>
      <c r="F471" s="20">
        <v>441</v>
      </c>
      <c r="G471" s="20">
        <v>156.11000000000001</v>
      </c>
      <c r="H471" s="20">
        <v>153.80000000000001</v>
      </c>
      <c r="I471" s="20">
        <v>0</v>
      </c>
      <c r="J471" s="20">
        <v>23.07</v>
      </c>
      <c r="K471" s="20">
        <v>20.76</v>
      </c>
      <c r="L471" s="20">
        <v>0</v>
      </c>
    </row>
    <row r="472" spans="1:12" x14ac:dyDescent="0.25">
      <c r="A472" s="20">
        <v>1270</v>
      </c>
      <c r="B472" s="20">
        <v>1891796176001</v>
      </c>
      <c r="C472" s="20" t="s">
        <v>91</v>
      </c>
      <c r="D472" s="22">
        <v>46037</v>
      </c>
      <c r="E472" s="20" t="s">
        <v>13</v>
      </c>
      <c r="F472" s="20">
        <v>1183246</v>
      </c>
      <c r="G472" s="20">
        <v>2</v>
      </c>
      <c r="H472" s="20">
        <v>1.74</v>
      </c>
      <c r="I472" s="20">
        <v>0</v>
      </c>
      <c r="J472" s="20">
        <v>0.26</v>
      </c>
      <c r="K472" s="20">
        <v>0</v>
      </c>
      <c r="L472" s="20">
        <v>2</v>
      </c>
    </row>
    <row r="473" spans="1:12" x14ac:dyDescent="0.25">
      <c r="A473" s="20">
        <v>1270</v>
      </c>
      <c r="B473" s="20">
        <v>1891796176001</v>
      </c>
      <c r="C473" s="20" t="s">
        <v>91</v>
      </c>
      <c r="D473" s="22">
        <v>46037</v>
      </c>
      <c r="E473" s="20" t="s">
        <v>13</v>
      </c>
      <c r="F473" s="20">
        <v>1187274</v>
      </c>
      <c r="G473" s="20">
        <v>14</v>
      </c>
      <c r="H473" s="20">
        <v>12.17</v>
      </c>
      <c r="I473" s="20">
        <v>0</v>
      </c>
      <c r="J473" s="20">
        <v>1.83</v>
      </c>
      <c r="K473" s="20">
        <v>0</v>
      </c>
      <c r="L473" s="20">
        <v>14</v>
      </c>
    </row>
    <row r="474" spans="1:12" x14ac:dyDescent="0.25">
      <c r="A474" s="20">
        <v>1270</v>
      </c>
      <c r="B474" s="20">
        <v>1891796176001</v>
      </c>
      <c r="C474" s="20" t="s">
        <v>91</v>
      </c>
      <c r="D474" s="22">
        <v>46037</v>
      </c>
      <c r="E474" s="20" t="s">
        <v>13</v>
      </c>
      <c r="F474" s="20">
        <v>1187275</v>
      </c>
      <c r="G474" s="20">
        <v>14</v>
      </c>
      <c r="H474" s="20">
        <v>12.17</v>
      </c>
      <c r="I474" s="20">
        <v>0</v>
      </c>
      <c r="J474" s="20">
        <v>1.83</v>
      </c>
      <c r="K474" s="20">
        <v>0</v>
      </c>
      <c r="L474" s="20">
        <v>14</v>
      </c>
    </row>
    <row r="475" spans="1:12" x14ac:dyDescent="0.25">
      <c r="A475" s="20">
        <v>1270</v>
      </c>
      <c r="B475" s="20">
        <v>1891796176001</v>
      </c>
      <c r="C475" s="20" t="s">
        <v>91</v>
      </c>
      <c r="D475" s="22">
        <v>46037</v>
      </c>
      <c r="E475" s="20" t="s">
        <v>13</v>
      </c>
      <c r="F475" s="20">
        <v>1183096</v>
      </c>
      <c r="G475" s="20">
        <v>14</v>
      </c>
      <c r="H475" s="20">
        <v>12.17</v>
      </c>
      <c r="I475" s="20">
        <v>0</v>
      </c>
      <c r="J475" s="20">
        <v>1.83</v>
      </c>
      <c r="K475" s="20">
        <v>0</v>
      </c>
      <c r="L475" s="20">
        <v>14</v>
      </c>
    </row>
    <row r="476" spans="1:12" x14ac:dyDescent="0.25">
      <c r="A476" s="20">
        <v>1270</v>
      </c>
      <c r="B476" s="20">
        <v>1891796176001</v>
      </c>
      <c r="C476" s="20" t="s">
        <v>91</v>
      </c>
      <c r="D476" s="22">
        <v>46037</v>
      </c>
      <c r="E476" s="20" t="s">
        <v>13</v>
      </c>
      <c r="F476" s="20">
        <v>1183095</v>
      </c>
      <c r="G476" s="20">
        <v>14</v>
      </c>
      <c r="H476" s="20">
        <v>12.17</v>
      </c>
      <c r="I476" s="20">
        <v>0</v>
      </c>
      <c r="J476" s="20">
        <v>1.83</v>
      </c>
      <c r="K476" s="20">
        <v>0</v>
      </c>
      <c r="L476" s="20">
        <v>14</v>
      </c>
    </row>
    <row r="477" spans="1:12" x14ac:dyDescent="0.25">
      <c r="A477" s="20">
        <v>1270</v>
      </c>
      <c r="B477" s="20">
        <v>1891796176001</v>
      </c>
      <c r="C477" s="20" t="s">
        <v>91</v>
      </c>
      <c r="D477" s="22">
        <v>46045</v>
      </c>
      <c r="E477" s="20" t="s">
        <v>13</v>
      </c>
      <c r="F477" s="20">
        <v>1187832</v>
      </c>
      <c r="G477" s="20">
        <v>14</v>
      </c>
      <c r="H477" s="20">
        <v>12.17</v>
      </c>
      <c r="I477" s="20">
        <v>0</v>
      </c>
      <c r="J477" s="20">
        <v>1.83</v>
      </c>
      <c r="K477" s="20">
        <v>0</v>
      </c>
      <c r="L477" s="20">
        <v>14</v>
      </c>
    </row>
    <row r="478" spans="1:12" x14ac:dyDescent="0.25">
      <c r="A478" s="20">
        <v>1270</v>
      </c>
      <c r="B478" s="20">
        <v>1891796176001</v>
      </c>
      <c r="C478" s="20" t="s">
        <v>91</v>
      </c>
      <c r="D478" s="22">
        <v>46045</v>
      </c>
      <c r="E478" s="20" t="s">
        <v>13</v>
      </c>
      <c r="F478" s="20">
        <v>1187831</v>
      </c>
      <c r="G478" s="20">
        <v>14</v>
      </c>
      <c r="H478" s="20">
        <v>12.17</v>
      </c>
      <c r="I478" s="20">
        <v>0</v>
      </c>
      <c r="J478" s="20">
        <v>1.83</v>
      </c>
      <c r="K478" s="20">
        <v>0</v>
      </c>
      <c r="L478" s="20">
        <v>14</v>
      </c>
    </row>
    <row r="479" spans="1:12" x14ac:dyDescent="0.25">
      <c r="A479" s="20">
        <v>1270</v>
      </c>
      <c r="B479" s="20">
        <v>1891796176001</v>
      </c>
      <c r="C479" s="20" t="s">
        <v>91</v>
      </c>
      <c r="D479" s="22">
        <v>46045</v>
      </c>
      <c r="E479" s="20" t="s">
        <v>13</v>
      </c>
      <c r="F479" s="20">
        <v>1187857</v>
      </c>
      <c r="G479" s="20">
        <v>14</v>
      </c>
      <c r="H479" s="20">
        <v>12.17</v>
      </c>
      <c r="I479" s="20">
        <v>0</v>
      </c>
      <c r="J479" s="20">
        <v>1.83</v>
      </c>
      <c r="K479" s="20">
        <v>0</v>
      </c>
      <c r="L479" s="20">
        <v>14</v>
      </c>
    </row>
    <row r="480" spans="1:12" x14ac:dyDescent="0.25">
      <c r="A480" s="20">
        <v>1270</v>
      </c>
      <c r="B480" s="20">
        <v>1891796176001</v>
      </c>
      <c r="C480" s="20" t="s">
        <v>91</v>
      </c>
      <c r="D480" s="22">
        <v>46045</v>
      </c>
      <c r="E480" s="20" t="s">
        <v>13</v>
      </c>
      <c r="F480" s="20">
        <v>1187829</v>
      </c>
      <c r="G480" s="20">
        <v>20</v>
      </c>
      <c r="H480" s="20">
        <v>17.39</v>
      </c>
      <c r="I480" s="20">
        <v>0</v>
      </c>
      <c r="J480" s="20">
        <v>2.61</v>
      </c>
      <c r="K480" s="20">
        <v>0</v>
      </c>
      <c r="L480" s="20">
        <v>20</v>
      </c>
    </row>
    <row r="481" spans="1:12" x14ac:dyDescent="0.25">
      <c r="A481" s="20">
        <v>1270</v>
      </c>
      <c r="B481" s="20">
        <v>1891796176001</v>
      </c>
      <c r="C481" s="20" t="s">
        <v>91</v>
      </c>
      <c r="D481" s="22">
        <v>46045</v>
      </c>
      <c r="E481" s="20" t="s">
        <v>13</v>
      </c>
      <c r="F481" s="20">
        <v>1187860</v>
      </c>
      <c r="G481" s="20">
        <v>14</v>
      </c>
      <c r="H481" s="20">
        <v>12.17</v>
      </c>
      <c r="I481" s="20">
        <v>0</v>
      </c>
      <c r="J481" s="20">
        <v>1.83</v>
      </c>
      <c r="K481" s="20">
        <v>0</v>
      </c>
      <c r="L481" s="20">
        <v>14</v>
      </c>
    </row>
    <row r="482" spans="1:12" x14ac:dyDescent="0.25">
      <c r="A482" s="20">
        <v>1270</v>
      </c>
      <c r="B482" s="20">
        <v>1891796176001</v>
      </c>
      <c r="C482" s="20" t="s">
        <v>91</v>
      </c>
      <c r="D482" s="22">
        <v>46053</v>
      </c>
      <c r="E482" s="20" t="s">
        <v>13</v>
      </c>
      <c r="F482" s="20">
        <v>1193916</v>
      </c>
      <c r="G482" s="20">
        <v>3</v>
      </c>
      <c r="H482" s="20">
        <v>2.61</v>
      </c>
      <c r="I482" s="20">
        <v>0</v>
      </c>
      <c r="J482" s="20">
        <v>0.39</v>
      </c>
      <c r="K482" s="20">
        <v>0</v>
      </c>
      <c r="L482" s="20">
        <v>3</v>
      </c>
    </row>
    <row r="483" spans="1:12" x14ac:dyDescent="0.25">
      <c r="A483" s="20">
        <v>1270</v>
      </c>
      <c r="B483" s="20">
        <v>1891796176001</v>
      </c>
      <c r="C483" s="20" t="s">
        <v>91</v>
      </c>
      <c r="D483" s="22">
        <v>46053</v>
      </c>
      <c r="E483" s="20" t="s">
        <v>13</v>
      </c>
      <c r="F483" s="20">
        <v>1593475</v>
      </c>
      <c r="G483" s="20">
        <v>15</v>
      </c>
      <c r="H483" s="20">
        <v>13.04</v>
      </c>
      <c r="I483" s="20">
        <v>0</v>
      </c>
      <c r="J483" s="20">
        <v>1.96</v>
      </c>
      <c r="K483" s="20">
        <v>0</v>
      </c>
      <c r="L483" s="20">
        <v>15</v>
      </c>
    </row>
    <row r="484" spans="1:12" x14ac:dyDescent="0.25">
      <c r="A484" s="20">
        <v>1270</v>
      </c>
      <c r="B484" s="20">
        <v>1891796176001</v>
      </c>
      <c r="C484" s="20" t="s">
        <v>91</v>
      </c>
      <c r="D484" s="22">
        <v>46053</v>
      </c>
      <c r="E484" s="20" t="s">
        <v>13</v>
      </c>
      <c r="F484" s="20">
        <v>1193633</v>
      </c>
      <c r="G484" s="20">
        <v>14</v>
      </c>
      <c r="H484" s="20">
        <v>12.17</v>
      </c>
      <c r="I484" s="20">
        <v>0</v>
      </c>
      <c r="J484" s="20">
        <v>1.83</v>
      </c>
      <c r="K484" s="20">
        <v>0</v>
      </c>
      <c r="L484" s="20">
        <v>14</v>
      </c>
    </row>
    <row r="485" spans="1:12" x14ac:dyDescent="0.25">
      <c r="A485" s="20">
        <v>1270</v>
      </c>
      <c r="B485" s="20">
        <v>1891796176001</v>
      </c>
      <c r="C485" s="20" t="s">
        <v>91</v>
      </c>
      <c r="D485" s="22">
        <v>46053</v>
      </c>
      <c r="E485" s="20" t="s">
        <v>13</v>
      </c>
      <c r="F485" s="20">
        <v>1193631</v>
      </c>
      <c r="G485" s="20">
        <v>14</v>
      </c>
      <c r="H485" s="20">
        <v>12.17</v>
      </c>
      <c r="I485" s="20">
        <v>0</v>
      </c>
      <c r="J485" s="20">
        <v>1.83</v>
      </c>
      <c r="K485" s="20">
        <v>0</v>
      </c>
      <c r="L485" s="20">
        <v>14</v>
      </c>
    </row>
    <row r="486" spans="1:12" x14ac:dyDescent="0.25">
      <c r="A486" s="20">
        <v>1497</v>
      </c>
      <c r="B486" s="20">
        <v>1891804802001</v>
      </c>
      <c r="C486" s="20" t="s">
        <v>92</v>
      </c>
      <c r="D486" s="22">
        <v>46027</v>
      </c>
      <c r="E486" s="20" t="s">
        <v>13</v>
      </c>
      <c r="F486" s="20">
        <v>192</v>
      </c>
      <c r="G486" s="21">
        <v>7881.49</v>
      </c>
      <c r="H486" s="21">
        <v>8340.2000000000007</v>
      </c>
      <c r="I486" s="20">
        <v>0</v>
      </c>
      <c r="J486" s="21">
        <v>1251.03</v>
      </c>
      <c r="K486" s="21">
        <v>1709.74</v>
      </c>
      <c r="L486" s="21">
        <v>7881.49</v>
      </c>
    </row>
    <row r="487" spans="1:12" x14ac:dyDescent="0.25">
      <c r="A487" s="20">
        <v>1497</v>
      </c>
      <c r="B487" s="20">
        <v>1891804802001</v>
      </c>
      <c r="C487" s="20" t="s">
        <v>92</v>
      </c>
      <c r="D487" s="22">
        <v>46027</v>
      </c>
      <c r="E487" s="20" t="s">
        <v>13</v>
      </c>
      <c r="F487" s="20">
        <v>193</v>
      </c>
      <c r="G487" s="21">
        <v>4978.1099999999997</v>
      </c>
      <c r="H487" s="21">
        <v>5267.84</v>
      </c>
      <c r="I487" s="20">
        <v>0</v>
      </c>
      <c r="J487" s="20">
        <v>790.18</v>
      </c>
      <c r="K487" s="21">
        <v>1079.9100000000001</v>
      </c>
      <c r="L487" s="21">
        <v>4978.1099999999997</v>
      </c>
    </row>
    <row r="488" spans="1:12" x14ac:dyDescent="0.25">
      <c r="A488" s="20">
        <v>1493</v>
      </c>
      <c r="B488" s="20">
        <v>1891809571001</v>
      </c>
      <c r="C488" s="20" t="s">
        <v>93</v>
      </c>
      <c r="D488" s="22">
        <v>46041</v>
      </c>
      <c r="E488" s="20" t="s">
        <v>13</v>
      </c>
      <c r="F488" s="20">
        <v>2987</v>
      </c>
      <c r="G488" s="20">
        <v>31.78</v>
      </c>
      <c r="H488" s="20">
        <v>29.22</v>
      </c>
      <c r="I488" s="20">
        <v>0</v>
      </c>
      <c r="J488" s="20">
        <v>4.38</v>
      </c>
      <c r="K488" s="20">
        <v>1.82</v>
      </c>
      <c r="L488" s="20">
        <v>31.78</v>
      </c>
    </row>
    <row r="489" spans="1:12" x14ac:dyDescent="0.25">
      <c r="A489" s="20">
        <v>1747</v>
      </c>
      <c r="B489" s="20">
        <v>1891812015001</v>
      </c>
      <c r="C489" s="20" t="s">
        <v>94</v>
      </c>
      <c r="D489" s="22">
        <v>46027</v>
      </c>
      <c r="E489" s="20" t="s">
        <v>13</v>
      </c>
      <c r="F489" s="20">
        <v>47</v>
      </c>
      <c r="G489" s="20">
        <v>908.89</v>
      </c>
      <c r="H489" s="20">
        <v>895.45</v>
      </c>
      <c r="I489" s="20">
        <v>0</v>
      </c>
      <c r="J489" s="20">
        <v>134.32</v>
      </c>
      <c r="K489" s="20">
        <v>120.88</v>
      </c>
      <c r="L489" s="20">
        <v>0</v>
      </c>
    </row>
    <row r="490" spans="1:12" x14ac:dyDescent="0.25">
      <c r="A490" s="20">
        <v>1597</v>
      </c>
      <c r="B490" s="20">
        <v>603128299</v>
      </c>
      <c r="C490" s="20" t="s">
        <v>20</v>
      </c>
      <c r="D490" s="22">
        <v>46045</v>
      </c>
      <c r="E490" s="20" t="s">
        <v>21</v>
      </c>
      <c r="F490" s="20">
        <v>231</v>
      </c>
      <c r="G490" s="20">
        <v>36.72</v>
      </c>
      <c r="H490" s="20">
        <v>27.58</v>
      </c>
      <c r="I490" s="20">
        <v>5</v>
      </c>
      <c r="J490" s="20">
        <v>4.1399999999999997</v>
      </c>
      <c r="K490" s="20">
        <v>0</v>
      </c>
      <c r="L490" s="20">
        <v>0</v>
      </c>
    </row>
    <row r="491" spans="1:12" x14ac:dyDescent="0.25">
      <c r="A491" s="20">
        <v>1597</v>
      </c>
      <c r="B491" s="20">
        <v>603128299</v>
      </c>
      <c r="C491" s="20" t="s">
        <v>20</v>
      </c>
      <c r="D491" s="22">
        <v>46051</v>
      </c>
      <c r="E491" s="20" t="s">
        <v>21</v>
      </c>
      <c r="F491" s="20">
        <v>234</v>
      </c>
      <c r="G491" s="20">
        <v>15.15</v>
      </c>
      <c r="H491" s="20">
        <v>9.01</v>
      </c>
      <c r="I491" s="20">
        <v>4.8</v>
      </c>
      <c r="J491" s="20">
        <v>1.34</v>
      </c>
      <c r="K491" s="20">
        <v>0</v>
      </c>
      <c r="L491" s="20">
        <v>15.15</v>
      </c>
    </row>
    <row r="492" spans="1:12" x14ac:dyDescent="0.25">
      <c r="A492" s="20">
        <v>1394</v>
      </c>
      <c r="B492" s="20">
        <v>1804621686</v>
      </c>
      <c r="C492" s="20" t="s">
        <v>73</v>
      </c>
      <c r="D492" s="22">
        <v>46051</v>
      </c>
      <c r="E492" s="20" t="s">
        <v>21</v>
      </c>
      <c r="F492" s="20">
        <v>232</v>
      </c>
      <c r="G492" s="20">
        <v>36</v>
      </c>
      <c r="H492" s="20">
        <v>0</v>
      </c>
      <c r="I492" s="20">
        <v>36</v>
      </c>
      <c r="J492" s="20">
        <v>0</v>
      </c>
      <c r="K492" s="20">
        <v>0</v>
      </c>
      <c r="L492" s="20">
        <v>36</v>
      </c>
    </row>
    <row r="493" spans="1:12" x14ac:dyDescent="0.25">
      <c r="A493" s="20">
        <v>1394</v>
      </c>
      <c r="B493" s="20">
        <v>1804621686</v>
      </c>
      <c r="C493" s="20" t="s">
        <v>73</v>
      </c>
      <c r="D493" s="22">
        <v>46051</v>
      </c>
      <c r="E493" s="20" t="s">
        <v>21</v>
      </c>
      <c r="F493" s="20">
        <v>235</v>
      </c>
      <c r="G493" s="20">
        <v>29.69</v>
      </c>
      <c r="H493" s="20">
        <v>24.07</v>
      </c>
      <c r="I493" s="20">
        <v>2</v>
      </c>
      <c r="J493" s="20">
        <v>3.62</v>
      </c>
      <c r="K493" s="20">
        <v>0</v>
      </c>
      <c r="L493" s="20">
        <v>29.69</v>
      </c>
    </row>
    <row r="494" spans="1:12" x14ac:dyDescent="0.25">
      <c r="A494" s="20">
        <v>1549</v>
      </c>
      <c r="B494" s="20">
        <v>1805448196</v>
      </c>
      <c r="C494" s="20" t="s">
        <v>78</v>
      </c>
      <c r="D494" s="22">
        <v>46051</v>
      </c>
      <c r="E494" s="20" t="s">
        <v>21</v>
      </c>
      <c r="F494" s="20">
        <v>233</v>
      </c>
      <c r="G494" s="20">
        <v>39.14</v>
      </c>
      <c r="H494" s="20">
        <v>23.6</v>
      </c>
      <c r="I494" s="20">
        <v>12</v>
      </c>
      <c r="J494" s="20">
        <v>3.54</v>
      </c>
      <c r="K494" s="20">
        <v>0</v>
      </c>
      <c r="L494" s="20">
        <v>39.14</v>
      </c>
    </row>
    <row r="495" spans="1:12" x14ac:dyDescent="0.25">
      <c r="A495" s="20">
        <v>518</v>
      </c>
      <c r="B495" s="20">
        <v>1860000210001</v>
      </c>
      <c r="C495" s="20" t="s">
        <v>79</v>
      </c>
      <c r="D495" s="22">
        <v>46036</v>
      </c>
      <c r="E495" s="20" t="s">
        <v>80</v>
      </c>
      <c r="F495" s="20">
        <v>9135700</v>
      </c>
      <c r="G495" s="20">
        <v>118.68</v>
      </c>
      <c r="H495" s="20">
        <v>0</v>
      </c>
      <c r="I495" s="20">
        <v>118.68</v>
      </c>
      <c r="J495" s="20">
        <v>0</v>
      </c>
      <c r="K495" s="20">
        <v>0</v>
      </c>
      <c r="L495" s="20">
        <v>0</v>
      </c>
    </row>
    <row r="496" spans="1:12" x14ac:dyDescent="0.25">
      <c r="A496" s="20">
        <v>518</v>
      </c>
      <c r="B496" s="20">
        <v>1860000210001</v>
      </c>
      <c r="C496" s="20" t="s">
        <v>79</v>
      </c>
      <c r="D496" s="22">
        <v>46036</v>
      </c>
      <c r="E496" s="20" t="s">
        <v>80</v>
      </c>
      <c r="F496" s="20">
        <v>9135701</v>
      </c>
      <c r="G496" s="20">
        <v>136.03</v>
      </c>
      <c r="H496" s="20">
        <v>0</v>
      </c>
      <c r="I496" s="20">
        <v>136.03</v>
      </c>
      <c r="J496" s="20">
        <v>0</v>
      </c>
      <c r="K496" s="20">
        <v>0</v>
      </c>
      <c r="L496" s="20">
        <v>0</v>
      </c>
    </row>
    <row r="497" spans="1:12" x14ac:dyDescent="0.25">
      <c r="A497" s="20">
        <v>518</v>
      </c>
      <c r="B497" s="20">
        <v>1860000210001</v>
      </c>
      <c r="C497" s="20" t="s">
        <v>79</v>
      </c>
      <c r="D497" s="22">
        <v>46036</v>
      </c>
      <c r="E497" s="20" t="s">
        <v>80</v>
      </c>
      <c r="F497" s="20">
        <v>9135702</v>
      </c>
      <c r="G497" s="20">
        <v>251.41</v>
      </c>
      <c r="H497" s="20">
        <v>0</v>
      </c>
      <c r="I497" s="20">
        <v>251.41</v>
      </c>
      <c r="J497" s="20">
        <v>0</v>
      </c>
      <c r="K497" s="20">
        <v>0</v>
      </c>
      <c r="L497" s="20">
        <v>0</v>
      </c>
    </row>
    <row r="498" spans="1:12" x14ac:dyDescent="0.25">
      <c r="A498" s="20">
        <v>518</v>
      </c>
      <c r="B498" s="20">
        <v>1860000210001</v>
      </c>
      <c r="C498" s="20" t="s">
        <v>79</v>
      </c>
      <c r="D498" s="22">
        <v>46036</v>
      </c>
      <c r="E498" s="20" t="s">
        <v>80</v>
      </c>
      <c r="F498" s="20">
        <v>9135703</v>
      </c>
      <c r="G498" s="20">
        <v>128.77000000000001</v>
      </c>
      <c r="H498" s="20">
        <v>0</v>
      </c>
      <c r="I498" s="20">
        <v>128.77000000000001</v>
      </c>
      <c r="J498" s="20">
        <v>0</v>
      </c>
      <c r="K498" s="20">
        <v>0</v>
      </c>
      <c r="L498" s="20">
        <v>0</v>
      </c>
    </row>
    <row r="499" spans="1:12" x14ac:dyDescent="0.25">
      <c r="A499" s="20">
        <v>518</v>
      </c>
      <c r="B499" s="20">
        <v>1860000210001</v>
      </c>
      <c r="C499" s="20" t="s">
        <v>79</v>
      </c>
      <c r="D499" s="22">
        <v>46036</v>
      </c>
      <c r="E499" s="20" t="s">
        <v>80</v>
      </c>
      <c r="F499" s="20">
        <v>9135704</v>
      </c>
      <c r="G499" s="20">
        <v>237.87</v>
      </c>
      <c r="H499" s="20">
        <v>0</v>
      </c>
      <c r="I499" s="20">
        <v>237.87</v>
      </c>
      <c r="J499" s="20">
        <v>0</v>
      </c>
      <c r="K499" s="20">
        <v>0</v>
      </c>
      <c r="L499" s="20">
        <v>0</v>
      </c>
    </row>
    <row r="500" spans="1:12" x14ac:dyDescent="0.25">
      <c r="A500" s="20">
        <v>518</v>
      </c>
      <c r="B500" s="20">
        <v>1860000210001</v>
      </c>
      <c r="C500" s="20" t="s">
        <v>79</v>
      </c>
      <c r="D500" s="22">
        <v>46036</v>
      </c>
      <c r="E500" s="20" t="s">
        <v>80</v>
      </c>
      <c r="F500" s="20">
        <v>9135705</v>
      </c>
      <c r="G500" s="20">
        <v>4.0199999999999996</v>
      </c>
      <c r="H500" s="20">
        <v>0</v>
      </c>
      <c r="I500" s="20">
        <v>4.0199999999999996</v>
      </c>
      <c r="J500" s="20">
        <v>0</v>
      </c>
      <c r="K500" s="20">
        <v>0</v>
      </c>
      <c r="L500" s="20">
        <v>0</v>
      </c>
    </row>
    <row r="501" spans="1:12" x14ac:dyDescent="0.25">
      <c r="A501" s="20">
        <v>518</v>
      </c>
      <c r="B501" s="20">
        <v>1860000210001</v>
      </c>
      <c r="C501" s="20" t="s">
        <v>79</v>
      </c>
      <c r="D501" s="22">
        <v>46036</v>
      </c>
      <c r="E501" s="20" t="s">
        <v>80</v>
      </c>
      <c r="F501" s="20">
        <v>9135706</v>
      </c>
      <c r="G501" s="20">
        <v>4.9000000000000004</v>
      </c>
      <c r="H501" s="20">
        <v>0</v>
      </c>
      <c r="I501" s="20">
        <v>4.9000000000000004</v>
      </c>
      <c r="J501" s="20">
        <v>0</v>
      </c>
      <c r="K501" s="20">
        <v>0</v>
      </c>
      <c r="L501" s="20">
        <v>0</v>
      </c>
    </row>
    <row r="502" spans="1:12" x14ac:dyDescent="0.25">
      <c r="H502" s="24">
        <f>SUM(H2:H501)</f>
        <v>176166.69000000006</v>
      </c>
      <c r="I502" s="24">
        <f>SUM(I2:I501)</f>
        <v>7231.3300000000008</v>
      </c>
      <c r="J502" s="24">
        <f>SUM(J2:J501)</f>
        <v>26425.110000000052</v>
      </c>
    </row>
    <row r="503" spans="1:12" x14ac:dyDescent="0.25">
      <c r="K503" s="26" t="s">
        <v>1086</v>
      </c>
    </row>
    <row r="504" spans="1:12" x14ac:dyDescent="0.25">
      <c r="H504" s="25">
        <f>+H502</f>
        <v>176166.69000000006</v>
      </c>
      <c r="I504" s="25">
        <f>+I502-I508+I693</f>
        <v>9174.2000000000007</v>
      </c>
      <c r="J504" s="25">
        <f>+J502-J508</f>
        <v>26425.110000000052</v>
      </c>
      <c r="K504" s="17">
        <f>+'MAYOR IVA'!K306</f>
        <v>26425.110000000008</v>
      </c>
      <c r="L504" s="18">
        <f>+J504-K504</f>
        <v>4.3655745685100555E-11</v>
      </c>
    </row>
    <row r="506" spans="1:12" ht="18.75" x14ac:dyDescent="0.3">
      <c r="A506" s="5" t="s">
        <v>1084</v>
      </c>
    </row>
    <row r="507" spans="1:12" x14ac:dyDescent="0.25">
      <c r="A507" s="23" t="s">
        <v>0</v>
      </c>
      <c r="B507" s="23" t="s">
        <v>1</v>
      </c>
      <c r="C507" s="23" t="s">
        <v>2</v>
      </c>
      <c r="D507" s="23" t="s">
        <v>3</v>
      </c>
      <c r="E507" s="23" t="s">
        <v>4</v>
      </c>
      <c r="F507" s="23"/>
      <c r="G507" s="23"/>
      <c r="H507" s="23"/>
      <c r="I507" s="23"/>
      <c r="J507" s="23"/>
      <c r="K507" s="23"/>
      <c r="L507" s="23"/>
    </row>
    <row r="508" spans="1:12" x14ac:dyDescent="0.25">
      <c r="A508" s="20">
        <v>5</v>
      </c>
      <c r="B508" s="20">
        <v>1790009459001</v>
      </c>
      <c r="C508" s="20" t="s">
        <v>32</v>
      </c>
      <c r="D508" s="22">
        <v>46051</v>
      </c>
      <c r="E508" s="20" t="s">
        <v>33</v>
      </c>
      <c r="F508" s="20">
        <v>2577</v>
      </c>
      <c r="G508" s="21">
        <v>1543.39</v>
      </c>
      <c r="H508" s="20">
        <v>0</v>
      </c>
      <c r="I508" s="21">
        <v>1543.39</v>
      </c>
      <c r="J508" s="20">
        <v>0</v>
      </c>
      <c r="K508" s="20">
        <v>0</v>
      </c>
      <c r="L508" s="20">
        <v>0</v>
      </c>
    </row>
    <row r="511" spans="1:12" ht="18.75" x14ac:dyDescent="0.3">
      <c r="A511" s="5" t="s">
        <v>1085</v>
      </c>
    </row>
    <row r="512" spans="1:12" x14ac:dyDescent="0.25">
      <c r="A512" s="23" t="s">
        <v>0</v>
      </c>
      <c r="B512" s="23" t="s">
        <v>1</v>
      </c>
      <c r="C512" s="23" t="s">
        <v>2</v>
      </c>
      <c r="D512" s="23" t="s">
        <v>3</v>
      </c>
      <c r="E512" s="23" t="s">
        <v>4</v>
      </c>
      <c r="F512" s="23" t="s">
        <v>10</v>
      </c>
      <c r="G512" s="23" t="s">
        <v>11</v>
      </c>
      <c r="H512" s="23" t="s">
        <v>5</v>
      </c>
      <c r="I512" s="23" t="s">
        <v>6</v>
      </c>
      <c r="J512" s="23" t="s">
        <v>7</v>
      </c>
      <c r="K512" s="23" t="s">
        <v>8</v>
      </c>
      <c r="L512" s="23" t="s">
        <v>9</v>
      </c>
    </row>
    <row r="513" spans="1:12" x14ac:dyDescent="0.25">
      <c r="A513" s="20">
        <v>1794</v>
      </c>
      <c r="B513" s="20">
        <v>602001810001</v>
      </c>
      <c r="C513" s="20" t="s">
        <v>16</v>
      </c>
      <c r="D513" s="22">
        <v>46028</v>
      </c>
      <c r="E513" s="20" t="s">
        <v>17</v>
      </c>
      <c r="F513" s="20">
        <v>612</v>
      </c>
      <c r="G513" s="21">
        <v>10</v>
      </c>
      <c r="H513" s="20">
        <v>0</v>
      </c>
      <c r="I513" s="21">
        <v>10</v>
      </c>
      <c r="J513" s="20">
        <v>0</v>
      </c>
      <c r="K513" s="20">
        <v>0</v>
      </c>
      <c r="L513" s="20">
        <v>10</v>
      </c>
    </row>
    <row r="514" spans="1:12" x14ac:dyDescent="0.25">
      <c r="A514" s="20">
        <v>1794</v>
      </c>
      <c r="B514" s="20">
        <v>602001810001</v>
      </c>
      <c r="C514" s="20" t="s">
        <v>16</v>
      </c>
      <c r="D514" s="22">
        <v>46029</v>
      </c>
      <c r="E514" s="20" t="s">
        <v>17</v>
      </c>
      <c r="F514" s="20">
        <v>613</v>
      </c>
      <c r="G514" s="20">
        <v>10</v>
      </c>
      <c r="H514" s="20">
        <v>0</v>
      </c>
      <c r="I514" s="20">
        <v>10</v>
      </c>
      <c r="J514" s="20">
        <v>0</v>
      </c>
      <c r="K514" s="20">
        <v>0</v>
      </c>
      <c r="L514" s="20">
        <v>10</v>
      </c>
    </row>
    <row r="515" spans="1:12" x14ac:dyDescent="0.25">
      <c r="A515" s="20">
        <v>1794</v>
      </c>
      <c r="B515" s="20">
        <v>602001810001</v>
      </c>
      <c r="C515" s="20" t="s">
        <v>16</v>
      </c>
      <c r="D515" s="22">
        <v>46030</v>
      </c>
      <c r="E515" s="20" t="s">
        <v>17</v>
      </c>
      <c r="F515" s="20">
        <v>614</v>
      </c>
      <c r="G515" s="20">
        <v>10</v>
      </c>
      <c r="H515" s="20">
        <v>0</v>
      </c>
      <c r="I515" s="20">
        <v>10</v>
      </c>
      <c r="J515" s="20">
        <v>0</v>
      </c>
      <c r="K515" s="20">
        <v>0</v>
      </c>
      <c r="L515" s="20">
        <v>10</v>
      </c>
    </row>
    <row r="516" spans="1:12" x14ac:dyDescent="0.25">
      <c r="A516" s="20">
        <v>1794</v>
      </c>
      <c r="B516" s="20">
        <v>602001810001</v>
      </c>
      <c r="C516" s="20" t="s">
        <v>16</v>
      </c>
      <c r="D516" s="22">
        <v>46030</v>
      </c>
      <c r="E516" s="20" t="s">
        <v>17</v>
      </c>
      <c r="F516" s="20">
        <v>615</v>
      </c>
      <c r="G516" s="20">
        <v>10</v>
      </c>
      <c r="H516" s="20">
        <v>0</v>
      </c>
      <c r="I516" s="20">
        <v>10</v>
      </c>
      <c r="J516" s="20">
        <v>0</v>
      </c>
      <c r="K516" s="20">
        <v>0</v>
      </c>
      <c r="L516" s="20">
        <v>10</v>
      </c>
    </row>
    <row r="517" spans="1:12" x14ac:dyDescent="0.25">
      <c r="A517" s="20">
        <v>1794</v>
      </c>
      <c r="B517" s="20">
        <v>602001810001</v>
      </c>
      <c r="C517" s="20" t="s">
        <v>16</v>
      </c>
      <c r="D517" s="22">
        <v>46032</v>
      </c>
      <c r="E517" s="20" t="s">
        <v>17</v>
      </c>
      <c r="F517" s="20">
        <v>617</v>
      </c>
      <c r="G517" s="20">
        <v>10</v>
      </c>
      <c r="H517" s="20">
        <v>0</v>
      </c>
      <c r="I517" s="20">
        <v>10</v>
      </c>
      <c r="J517" s="20">
        <v>0</v>
      </c>
      <c r="K517" s="20">
        <v>0</v>
      </c>
      <c r="L517" s="20">
        <v>10</v>
      </c>
    </row>
    <row r="518" spans="1:12" x14ac:dyDescent="0.25">
      <c r="A518" s="20">
        <v>1794</v>
      </c>
      <c r="B518" s="20">
        <v>602001810001</v>
      </c>
      <c r="C518" s="20" t="s">
        <v>16</v>
      </c>
      <c r="D518" s="22">
        <v>46032</v>
      </c>
      <c r="E518" s="20" t="s">
        <v>17</v>
      </c>
      <c r="F518" s="20">
        <v>618</v>
      </c>
      <c r="G518" s="20">
        <v>10</v>
      </c>
      <c r="H518" s="20">
        <v>0</v>
      </c>
      <c r="I518" s="20">
        <v>10</v>
      </c>
      <c r="J518" s="20">
        <v>0</v>
      </c>
      <c r="K518" s="20">
        <v>0</v>
      </c>
      <c r="L518" s="20">
        <v>10</v>
      </c>
    </row>
    <row r="519" spans="1:12" x14ac:dyDescent="0.25">
      <c r="A519" s="20">
        <v>1794</v>
      </c>
      <c r="B519" s="20">
        <v>602001810001</v>
      </c>
      <c r="C519" s="20" t="s">
        <v>16</v>
      </c>
      <c r="D519" s="22">
        <v>46037</v>
      </c>
      <c r="E519" s="20" t="s">
        <v>17</v>
      </c>
      <c r="F519" s="20">
        <v>620</v>
      </c>
      <c r="G519" s="20">
        <v>10</v>
      </c>
      <c r="H519" s="20">
        <v>0</v>
      </c>
      <c r="I519" s="20">
        <v>10</v>
      </c>
      <c r="J519" s="20">
        <v>0</v>
      </c>
      <c r="K519" s="20">
        <v>0</v>
      </c>
      <c r="L519" s="20">
        <v>10</v>
      </c>
    </row>
    <row r="520" spans="1:12" x14ac:dyDescent="0.25">
      <c r="A520" s="20">
        <v>1794</v>
      </c>
      <c r="B520" s="20">
        <v>602001810001</v>
      </c>
      <c r="C520" s="20" t="s">
        <v>16</v>
      </c>
      <c r="D520" s="22">
        <v>46038</v>
      </c>
      <c r="E520" s="20" t="s">
        <v>17</v>
      </c>
      <c r="F520" s="20">
        <v>621</v>
      </c>
      <c r="G520" s="20">
        <v>10</v>
      </c>
      <c r="H520" s="20">
        <v>0</v>
      </c>
      <c r="I520" s="20">
        <v>10</v>
      </c>
      <c r="J520" s="20">
        <v>0</v>
      </c>
      <c r="K520" s="20">
        <v>0</v>
      </c>
      <c r="L520" s="20">
        <v>10</v>
      </c>
    </row>
    <row r="521" spans="1:12" x14ac:dyDescent="0.25">
      <c r="A521" s="20">
        <v>1794</v>
      </c>
      <c r="B521" s="20">
        <v>602001810001</v>
      </c>
      <c r="C521" s="20" t="s">
        <v>16</v>
      </c>
      <c r="D521" s="22">
        <v>46039</v>
      </c>
      <c r="E521" s="20" t="s">
        <v>17</v>
      </c>
      <c r="F521" s="20">
        <v>622</v>
      </c>
      <c r="G521" s="20">
        <v>10</v>
      </c>
      <c r="H521" s="20">
        <v>0</v>
      </c>
      <c r="I521" s="20">
        <v>10</v>
      </c>
      <c r="J521" s="20">
        <v>0</v>
      </c>
      <c r="K521" s="20">
        <v>0</v>
      </c>
      <c r="L521" s="20">
        <v>10</v>
      </c>
    </row>
    <row r="522" spans="1:12" x14ac:dyDescent="0.25">
      <c r="A522" s="20">
        <v>1794</v>
      </c>
      <c r="B522" s="20">
        <v>602001810001</v>
      </c>
      <c r="C522" s="20" t="s">
        <v>16</v>
      </c>
      <c r="D522" s="22">
        <v>46041</v>
      </c>
      <c r="E522" s="20" t="s">
        <v>17</v>
      </c>
      <c r="F522" s="20">
        <v>624</v>
      </c>
      <c r="G522" s="20">
        <v>10</v>
      </c>
      <c r="H522" s="20">
        <v>0</v>
      </c>
      <c r="I522" s="20">
        <v>10</v>
      </c>
      <c r="J522" s="20">
        <v>0</v>
      </c>
      <c r="K522" s="20">
        <v>0</v>
      </c>
      <c r="L522" s="20">
        <v>10</v>
      </c>
    </row>
    <row r="523" spans="1:12" x14ac:dyDescent="0.25">
      <c r="A523" s="20">
        <v>1794</v>
      </c>
      <c r="B523" s="20">
        <v>602001810001</v>
      </c>
      <c r="C523" s="20" t="s">
        <v>16</v>
      </c>
      <c r="D523" s="22">
        <v>46041</v>
      </c>
      <c r="E523" s="20" t="s">
        <v>17</v>
      </c>
      <c r="F523" s="20">
        <v>625</v>
      </c>
      <c r="G523" s="20">
        <v>10</v>
      </c>
      <c r="H523" s="20">
        <v>0</v>
      </c>
      <c r="I523" s="20">
        <v>10</v>
      </c>
      <c r="J523" s="20">
        <v>0</v>
      </c>
      <c r="K523" s="20">
        <v>0</v>
      </c>
      <c r="L523" s="20">
        <v>10</v>
      </c>
    </row>
    <row r="524" spans="1:12" x14ac:dyDescent="0.25">
      <c r="A524" s="20">
        <v>1794</v>
      </c>
      <c r="B524" s="20">
        <v>602001810001</v>
      </c>
      <c r="C524" s="20" t="s">
        <v>16</v>
      </c>
      <c r="D524" s="22">
        <v>46042</v>
      </c>
      <c r="E524" s="20" t="s">
        <v>17</v>
      </c>
      <c r="F524" s="20">
        <v>626</v>
      </c>
      <c r="G524" s="20">
        <v>10</v>
      </c>
      <c r="H524" s="20">
        <v>0</v>
      </c>
      <c r="I524" s="20">
        <v>10</v>
      </c>
      <c r="J524" s="20">
        <v>0</v>
      </c>
      <c r="K524" s="20">
        <v>0</v>
      </c>
      <c r="L524" s="20">
        <v>10</v>
      </c>
    </row>
    <row r="525" spans="1:12" x14ac:dyDescent="0.25">
      <c r="A525" s="20">
        <v>1794</v>
      </c>
      <c r="B525" s="20">
        <v>602001810001</v>
      </c>
      <c r="C525" s="20" t="s">
        <v>16</v>
      </c>
      <c r="D525" s="22">
        <v>46044</v>
      </c>
      <c r="E525" s="20" t="s">
        <v>17</v>
      </c>
      <c r="F525" s="20">
        <v>627</v>
      </c>
      <c r="G525" s="20">
        <v>10</v>
      </c>
      <c r="H525" s="20">
        <v>0</v>
      </c>
      <c r="I525" s="20">
        <v>10</v>
      </c>
      <c r="J525" s="20">
        <v>0</v>
      </c>
      <c r="K525" s="20">
        <v>0</v>
      </c>
      <c r="L525" s="20">
        <v>10</v>
      </c>
    </row>
    <row r="526" spans="1:12" x14ac:dyDescent="0.25">
      <c r="A526" s="20">
        <v>1794</v>
      </c>
      <c r="B526" s="20">
        <v>602001810001</v>
      </c>
      <c r="C526" s="20" t="s">
        <v>16</v>
      </c>
      <c r="D526" s="22">
        <v>46044</v>
      </c>
      <c r="E526" s="20" t="s">
        <v>17</v>
      </c>
      <c r="F526" s="20">
        <v>629</v>
      </c>
      <c r="G526" s="20">
        <v>10</v>
      </c>
      <c r="H526" s="20">
        <v>0</v>
      </c>
      <c r="I526" s="20">
        <v>10</v>
      </c>
      <c r="J526" s="20">
        <v>0</v>
      </c>
      <c r="K526" s="20">
        <v>0</v>
      </c>
      <c r="L526" s="20">
        <v>10</v>
      </c>
    </row>
    <row r="527" spans="1:12" x14ac:dyDescent="0.25">
      <c r="A527" s="20">
        <v>1794</v>
      </c>
      <c r="B527" s="20">
        <v>602001810001</v>
      </c>
      <c r="C527" s="20" t="s">
        <v>16</v>
      </c>
      <c r="D527" s="22">
        <v>46048</v>
      </c>
      <c r="E527" s="20" t="s">
        <v>17</v>
      </c>
      <c r="F527" s="20">
        <v>631</v>
      </c>
      <c r="G527" s="20">
        <v>12</v>
      </c>
      <c r="H527" s="20">
        <v>0</v>
      </c>
      <c r="I527" s="20">
        <v>12</v>
      </c>
      <c r="J527" s="20">
        <v>0</v>
      </c>
      <c r="K527" s="20">
        <v>0</v>
      </c>
      <c r="L527" s="20">
        <v>12</v>
      </c>
    </row>
    <row r="528" spans="1:12" x14ac:dyDescent="0.25">
      <c r="A528" s="20">
        <v>1794</v>
      </c>
      <c r="B528" s="20">
        <v>602001810001</v>
      </c>
      <c r="C528" s="20" t="s">
        <v>16</v>
      </c>
      <c r="D528" s="22">
        <v>46051</v>
      </c>
      <c r="E528" s="20" t="s">
        <v>17</v>
      </c>
      <c r="F528" s="20">
        <v>632</v>
      </c>
      <c r="G528" s="20">
        <v>10</v>
      </c>
      <c r="H528" s="20">
        <v>0</v>
      </c>
      <c r="I528" s="20">
        <v>10</v>
      </c>
      <c r="J528" s="20">
        <v>0</v>
      </c>
      <c r="K528" s="20">
        <v>0</v>
      </c>
      <c r="L528" s="20">
        <v>10</v>
      </c>
    </row>
    <row r="529" spans="1:12" x14ac:dyDescent="0.25">
      <c r="A529" s="20">
        <v>1746</v>
      </c>
      <c r="B529" s="20">
        <v>956298442001</v>
      </c>
      <c r="C529" s="20" t="s">
        <v>25</v>
      </c>
      <c r="D529" s="22">
        <v>46038</v>
      </c>
      <c r="E529" s="20" t="s">
        <v>17</v>
      </c>
      <c r="F529" s="20">
        <v>140</v>
      </c>
      <c r="G529" s="20">
        <v>160</v>
      </c>
      <c r="H529" s="20">
        <v>0</v>
      </c>
      <c r="I529" s="20">
        <v>160</v>
      </c>
      <c r="J529" s="20">
        <v>0</v>
      </c>
      <c r="K529" s="20">
        <v>0</v>
      </c>
      <c r="L529" s="20">
        <v>160</v>
      </c>
    </row>
    <row r="530" spans="1:12" x14ac:dyDescent="0.25">
      <c r="A530" s="20">
        <v>1052</v>
      </c>
      <c r="B530" s="20">
        <v>1801216225001</v>
      </c>
      <c r="C530" s="20" t="s">
        <v>49</v>
      </c>
      <c r="D530" s="22">
        <v>46045</v>
      </c>
      <c r="E530" s="20" t="s">
        <v>17</v>
      </c>
      <c r="F530" s="20">
        <v>203</v>
      </c>
      <c r="G530" s="20">
        <v>93.26</v>
      </c>
      <c r="H530" s="20">
        <v>0</v>
      </c>
      <c r="I530" s="20">
        <v>93.26</v>
      </c>
      <c r="J530" s="20">
        <v>0</v>
      </c>
      <c r="K530" s="20">
        <v>0</v>
      </c>
      <c r="L530" s="20">
        <v>93.26</v>
      </c>
    </row>
    <row r="531" spans="1:12" x14ac:dyDescent="0.25">
      <c r="A531" s="20">
        <v>1666</v>
      </c>
      <c r="B531" s="20">
        <v>1801595156001</v>
      </c>
      <c r="C531" s="20" t="s">
        <v>51</v>
      </c>
      <c r="D531" s="22">
        <v>46042</v>
      </c>
      <c r="E531" s="20" t="s">
        <v>17</v>
      </c>
      <c r="F531" s="20">
        <v>246</v>
      </c>
      <c r="G531" s="20">
        <v>60</v>
      </c>
      <c r="H531" s="20">
        <v>0</v>
      </c>
      <c r="I531" s="20">
        <v>60</v>
      </c>
      <c r="J531" s="20">
        <v>0</v>
      </c>
      <c r="K531" s="20">
        <v>0</v>
      </c>
      <c r="L531" s="20">
        <v>60</v>
      </c>
    </row>
    <row r="532" spans="1:12" x14ac:dyDescent="0.25">
      <c r="A532" s="20">
        <v>1608</v>
      </c>
      <c r="B532" s="20">
        <v>1803848058001</v>
      </c>
      <c r="C532" s="20" t="s">
        <v>67</v>
      </c>
      <c r="D532" s="22">
        <v>46027</v>
      </c>
      <c r="E532" s="20" t="s">
        <v>17</v>
      </c>
      <c r="F532" s="20">
        <v>1686</v>
      </c>
      <c r="G532" s="20">
        <v>18</v>
      </c>
      <c r="H532" s="20">
        <v>0</v>
      </c>
      <c r="I532" s="20">
        <v>18</v>
      </c>
      <c r="J532" s="20">
        <v>0</v>
      </c>
      <c r="K532" s="20">
        <v>0</v>
      </c>
      <c r="L532" s="20">
        <v>18</v>
      </c>
    </row>
    <row r="533" spans="1:12" x14ac:dyDescent="0.25">
      <c r="A533" s="20">
        <v>1608</v>
      </c>
      <c r="B533" s="20">
        <v>1803848058001</v>
      </c>
      <c r="C533" s="20" t="s">
        <v>67</v>
      </c>
      <c r="D533" s="22">
        <v>46027</v>
      </c>
      <c r="E533" s="20" t="s">
        <v>17</v>
      </c>
      <c r="F533" s="20">
        <v>1690</v>
      </c>
      <c r="G533" s="20">
        <v>7</v>
      </c>
      <c r="H533" s="20">
        <v>0</v>
      </c>
      <c r="I533" s="20">
        <v>7</v>
      </c>
      <c r="J533" s="20">
        <v>0</v>
      </c>
      <c r="K533" s="20">
        <v>0</v>
      </c>
      <c r="L533" s="20">
        <v>7</v>
      </c>
    </row>
    <row r="534" spans="1:12" x14ac:dyDescent="0.25">
      <c r="A534" s="20">
        <v>1608</v>
      </c>
      <c r="B534" s="20">
        <v>1803848058001</v>
      </c>
      <c r="C534" s="20" t="s">
        <v>67</v>
      </c>
      <c r="D534" s="22">
        <v>46027</v>
      </c>
      <c r="E534" s="20" t="s">
        <v>17</v>
      </c>
      <c r="F534" s="20">
        <v>1684</v>
      </c>
      <c r="G534" s="20">
        <v>18</v>
      </c>
      <c r="H534" s="20">
        <v>0</v>
      </c>
      <c r="I534" s="20">
        <v>18</v>
      </c>
      <c r="J534" s="20">
        <v>0</v>
      </c>
      <c r="K534" s="20">
        <v>0</v>
      </c>
      <c r="L534" s="20">
        <v>18</v>
      </c>
    </row>
    <row r="535" spans="1:12" x14ac:dyDescent="0.25">
      <c r="A535" s="20">
        <v>1608</v>
      </c>
      <c r="B535" s="20">
        <v>1803848058001</v>
      </c>
      <c r="C535" s="20" t="s">
        <v>67</v>
      </c>
      <c r="D535" s="22">
        <v>46027</v>
      </c>
      <c r="E535" s="20" t="s">
        <v>17</v>
      </c>
      <c r="F535" s="20">
        <v>1688</v>
      </c>
      <c r="G535" s="20">
        <v>8</v>
      </c>
      <c r="H535" s="20">
        <v>0</v>
      </c>
      <c r="I535" s="20">
        <v>8</v>
      </c>
      <c r="J535" s="20">
        <v>0</v>
      </c>
      <c r="K535" s="20">
        <v>0</v>
      </c>
      <c r="L535" s="20">
        <v>8</v>
      </c>
    </row>
    <row r="536" spans="1:12" x14ac:dyDescent="0.25">
      <c r="A536" s="20">
        <v>1608</v>
      </c>
      <c r="B536" s="20">
        <v>1803848058001</v>
      </c>
      <c r="C536" s="20" t="s">
        <v>67</v>
      </c>
      <c r="D536" s="22">
        <v>46028</v>
      </c>
      <c r="E536" s="20" t="s">
        <v>17</v>
      </c>
      <c r="F536" s="20">
        <v>1699</v>
      </c>
      <c r="G536" s="20">
        <v>8</v>
      </c>
      <c r="H536" s="20">
        <v>0</v>
      </c>
      <c r="I536" s="20">
        <v>8</v>
      </c>
      <c r="J536" s="20">
        <v>0</v>
      </c>
      <c r="K536" s="20">
        <v>0</v>
      </c>
      <c r="L536" s="20">
        <v>8</v>
      </c>
    </row>
    <row r="537" spans="1:12" x14ac:dyDescent="0.25">
      <c r="A537" s="20">
        <v>1608</v>
      </c>
      <c r="B537" s="20">
        <v>1803848058001</v>
      </c>
      <c r="C537" s="20" t="s">
        <v>67</v>
      </c>
      <c r="D537" s="22">
        <v>46028</v>
      </c>
      <c r="E537" s="20" t="s">
        <v>17</v>
      </c>
      <c r="F537" s="20">
        <v>1696</v>
      </c>
      <c r="G537" s="20">
        <v>10</v>
      </c>
      <c r="H537" s="20">
        <v>0</v>
      </c>
      <c r="I537" s="20">
        <v>10</v>
      </c>
      <c r="J537" s="20">
        <v>0</v>
      </c>
      <c r="K537" s="20">
        <v>0</v>
      </c>
      <c r="L537" s="20">
        <v>10</v>
      </c>
    </row>
    <row r="538" spans="1:12" x14ac:dyDescent="0.25">
      <c r="A538" s="20">
        <v>1608</v>
      </c>
      <c r="B538" s="20">
        <v>1803848058001</v>
      </c>
      <c r="C538" s="20" t="s">
        <v>67</v>
      </c>
      <c r="D538" s="22">
        <v>46028</v>
      </c>
      <c r="E538" s="20" t="s">
        <v>17</v>
      </c>
      <c r="F538" s="20">
        <v>1695</v>
      </c>
      <c r="G538" s="20">
        <v>18</v>
      </c>
      <c r="H538" s="20">
        <v>0</v>
      </c>
      <c r="I538" s="20">
        <v>18</v>
      </c>
      <c r="J538" s="20">
        <v>0</v>
      </c>
      <c r="K538" s="20">
        <v>0</v>
      </c>
      <c r="L538" s="20">
        <v>18</v>
      </c>
    </row>
    <row r="539" spans="1:12" x14ac:dyDescent="0.25">
      <c r="A539" s="20">
        <v>1608</v>
      </c>
      <c r="B539" s="20">
        <v>1803848058001</v>
      </c>
      <c r="C539" s="20" t="s">
        <v>67</v>
      </c>
      <c r="D539" s="22">
        <v>46028</v>
      </c>
      <c r="E539" s="20" t="s">
        <v>17</v>
      </c>
      <c r="F539" s="20">
        <v>1694</v>
      </c>
      <c r="G539" s="20">
        <v>18</v>
      </c>
      <c r="H539" s="20">
        <v>0</v>
      </c>
      <c r="I539" s="20">
        <v>18</v>
      </c>
      <c r="J539" s="20">
        <v>0</v>
      </c>
      <c r="K539" s="20">
        <v>0</v>
      </c>
      <c r="L539" s="20">
        <v>18</v>
      </c>
    </row>
    <row r="540" spans="1:12" x14ac:dyDescent="0.25">
      <c r="A540" s="20">
        <v>1608</v>
      </c>
      <c r="B540" s="20">
        <v>1803848058001</v>
      </c>
      <c r="C540" s="20" t="s">
        <v>67</v>
      </c>
      <c r="D540" s="22">
        <v>46028</v>
      </c>
      <c r="E540" s="20" t="s">
        <v>17</v>
      </c>
      <c r="F540" s="20">
        <v>1691</v>
      </c>
      <c r="G540" s="20">
        <v>8</v>
      </c>
      <c r="H540" s="20">
        <v>0</v>
      </c>
      <c r="I540" s="20">
        <v>8</v>
      </c>
      <c r="J540" s="20">
        <v>0</v>
      </c>
      <c r="K540" s="20">
        <v>0</v>
      </c>
      <c r="L540" s="20">
        <v>8</v>
      </c>
    </row>
    <row r="541" spans="1:12" x14ac:dyDescent="0.25">
      <c r="A541" s="20">
        <v>1608</v>
      </c>
      <c r="B541" s="20">
        <v>1803848058001</v>
      </c>
      <c r="C541" s="20" t="s">
        <v>67</v>
      </c>
      <c r="D541" s="22">
        <v>46028</v>
      </c>
      <c r="E541" s="20" t="s">
        <v>17</v>
      </c>
      <c r="F541" s="20">
        <v>1698</v>
      </c>
      <c r="G541" s="20">
        <v>18</v>
      </c>
      <c r="H541" s="20">
        <v>0</v>
      </c>
      <c r="I541" s="20">
        <v>18</v>
      </c>
      <c r="J541" s="20">
        <v>0</v>
      </c>
      <c r="K541" s="20">
        <v>0</v>
      </c>
      <c r="L541" s="20">
        <v>18</v>
      </c>
    </row>
    <row r="542" spans="1:12" x14ac:dyDescent="0.25">
      <c r="A542" s="20">
        <v>1608</v>
      </c>
      <c r="B542" s="20">
        <v>1803848058001</v>
      </c>
      <c r="C542" s="20" t="s">
        <v>67</v>
      </c>
      <c r="D542" s="22">
        <v>46028</v>
      </c>
      <c r="E542" s="20" t="s">
        <v>17</v>
      </c>
      <c r="F542" s="20">
        <v>1693</v>
      </c>
      <c r="G542" s="20">
        <v>7</v>
      </c>
      <c r="H542" s="20">
        <v>0</v>
      </c>
      <c r="I542" s="20">
        <v>7</v>
      </c>
      <c r="J542" s="20">
        <v>0</v>
      </c>
      <c r="K542" s="20">
        <v>0</v>
      </c>
      <c r="L542" s="20">
        <v>7</v>
      </c>
    </row>
    <row r="543" spans="1:12" x14ac:dyDescent="0.25">
      <c r="A543" s="20">
        <v>1608</v>
      </c>
      <c r="B543" s="20">
        <v>1803848058001</v>
      </c>
      <c r="C543" s="20" t="s">
        <v>67</v>
      </c>
      <c r="D543" s="22">
        <v>46028</v>
      </c>
      <c r="E543" s="20" t="s">
        <v>17</v>
      </c>
      <c r="F543" s="20">
        <v>1697</v>
      </c>
      <c r="G543" s="20">
        <v>18</v>
      </c>
      <c r="H543" s="20">
        <v>0</v>
      </c>
      <c r="I543" s="20">
        <v>18</v>
      </c>
      <c r="J543" s="20">
        <v>0</v>
      </c>
      <c r="K543" s="20">
        <v>0</v>
      </c>
      <c r="L543" s="20">
        <v>18</v>
      </c>
    </row>
    <row r="544" spans="1:12" x14ac:dyDescent="0.25">
      <c r="A544" s="20">
        <v>1608</v>
      </c>
      <c r="B544" s="20">
        <v>1803848058001</v>
      </c>
      <c r="C544" s="20" t="s">
        <v>67</v>
      </c>
      <c r="D544" s="22">
        <v>46029</v>
      </c>
      <c r="E544" s="20" t="s">
        <v>17</v>
      </c>
      <c r="F544" s="20">
        <v>1701</v>
      </c>
      <c r="G544" s="20">
        <v>7</v>
      </c>
      <c r="H544" s="20">
        <v>0</v>
      </c>
      <c r="I544" s="20">
        <v>7</v>
      </c>
      <c r="J544" s="20">
        <v>0</v>
      </c>
      <c r="K544" s="20">
        <v>0</v>
      </c>
      <c r="L544" s="20">
        <v>7</v>
      </c>
    </row>
    <row r="545" spans="1:12" x14ac:dyDescent="0.25">
      <c r="A545" s="20">
        <v>1608</v>
      </c>
      <c r="B545" s="20">
        <v>1803848058001</v>
      </c>
      <c r="C545" s="20" t="s">
        <v>67</v>
      </c>
      <c r="D545" s="22">
        <v>46029</v>
      </c>
      <c r="E545" s="20" t="s">
        <v>17</v>
      </c>
      <c r="F545" s="20">
        <v>1702</v>
      </c>
      <c r="G545" s="20">
        <v>7</v>
      </c>
      <c r="H545" s="20">
        <v>0</v>
      </c>
      <c r="I545" s="20">
        <v>7</v>
      </c>
      <c r="J545" s="20">
        <v>0</v>
      </c>
      <c r="K545" s="20">
        <v>0</v>
      </c>
      <c r="L545" s="20">
        <v>7</v>
      </c>
    </row>
    <row r="546" spans="1:12" x14ac:dyDescent="0.25">
      <c r="A546" s="20">
        <v>1608</v>
      </c>
      <c r="B546" s="20">
        <v>1803848058001</v>
      </c>
      <c r="C546" s="20" t="s">
        <v>67</v>
      </c>
      <c r="D546" s="22">
        <v>46029</v>
      </c>
      <c r="E546" s="20" t="s">
        <v>17</v>
      </c>
      <c r="F546" s="20">
        <v>1703</v>
      </c>
      <c r="G546" s="20">
        <v>7</v>
      </c>
      <c r="H546" s="20">
        <v>0</v>
      </c>
      <c r="I546" s="20">
        <v>7</v>
      </c>
      <c r="J546" s="20">
        <v>0</v>
      </c>
      <c r="K546" s="20">
        <v>0</v>
      </c>
      <c r="L546" s="20">
        <v>7</v>
      </c>
    </row>
    <row r="547" spans="1:12" x14ac:dyDescent="0.25">
      <c r="A547" s="20">
        <v>1608</v>
      </c>
      <c r="B547" s="20">
        <v>1803848058001</v>
      </c>
      <c r="C547" s="20" t="s">
        <v>67</v>
      </c>
      <c r="D547" s="22">
        <v>46029</v>
      </c>
      <c r="E547" s="20" t="s">
        <v>17</v>
      </c>
      <c r="F547" s="20">
        <v>1704</v>
      </c>
      <c r="G547" s="20">
        <v>7</v>
      </c>
      <c r="H547" s="20">
        <v>0</v>
      </c>
      <c r="I547" s="20">
        <v>7</v>
      </c>
      <c r="J547" s="20">
        <v>0</v>
      </c>
      <c r="K547" s="20">
        <v>0</v>
      </c>
      <c r="L547" s="20">
        <v>7</v>
      </c>
    </row>
    <row r="548" spans="1:12" x14ac:dyDescent="0.25">
      <c r="A548" s="20">
        <v>1608</v>
      </c>
      <c r="B548" s="20">
        <v>1803848058001</v>
      </c>
      <c r="C548" s="20" t="s">
        <v>67</v>
      </c>
      <c r="D548" s="22">
        <v>46029</v>
      </c>
      <c r="E548" s="20" t="s">
        <v>17</v>
      </c>
      <c r="F548" s="20">
        <v>1705</v>
      </c>
      <c r="G548" s="20">
        <v>18</v>
      </c>
      <c r="H548" s="20">
        <v>0</v>
      </c>
      <c r="I548" s="20">
        <v>18</v>
      </c>
      <c r="J548" s="20">
        <v>0</v>
      </c>
      <c r="K548" s="20">
        <v>0</v>
      </c>
      <c r="L548" s="20">
        <v>18</v>
      </c>
    </row>
    <row r="549" spans="1:12" x14ac:dyDescent="0.25">
      <c r="A549" s="20">
        <v>1608</v>
      </c>
      <c r="B549" s="20">
        <v>1803848058001</v>
      </c>
      <c r="C549" s="20" t="s">
        <v>67</v>
      </c>
      <c r="D549" s="22">
        <v>46030</v>
      </c>
      <c r="E549" s="20" t="s">
        <v>17</v>
      </c>
      <c r="F549" s="20">
        <v>1712</v>
      </c>
      <c r="G549" s="20">
        <v>42</v>
      </c>
      <c r="H549" s="20">
        <v>0</v>
      </c>
      <c r="I549" s="20">
        <v>42</v>
      </c>
      <c r="J549" s="20">
        <v>0</v>
      </c>
      <c r="K549" s="20">
        <v>0</v>
      </c>
      <c r="L549" s="20">
        <v>42</v>
      </c>
    </row>
    <row r="550" spans="1:12" x14ac:dyDescent="0.25">
      <c r="A550" s="20">
        <v>1608</v>
      </c>
      <c r="B550" s="20">
        <v>1803848058001</v>
      </c>
      <c r="C550" s="20" t="s">
        <v>67</v>
      </c>
      <c r="D550" s="22">
        <v>46030</v>
      </c>
      <c r="E550" s="20" t="s">
        <v>17</v>
      </c>
      <c r="F550" s="20">
        <v>1706</v>
      </c>
      <c r="G550" s="20">
        <v>18</v>
      </c>
      <c r="H550" s="20">
        <v>0</v>
      </c>
      <c r="I550" s="20">
        <v>18</v>
      </c>
      <c r="J550" s="20">
        <v>0</v>
      </c>
      <c r="K550" s="20">
        <v>0</v>
      </c>
      <c r="L550" s="20">
        <v>18</v>
      </c>
    </row>
    <row r="551" spans="1:12" x14ac:dyDescent="0.25">
      <c r="A551" s="20">
        <v>1608</v>
      </c>
      <c r="B551" s="20">
        <v>1803848058001</v>
      </c>
      <c r="C551" s="20" t="s">
        <v>67</v>
      </c>
      <c r="D551" s="22">
        <v>46030</v>
      </c>
      <c r="E551" s="20" t="s">
        <v>17</v>
      </c>
      <c r="F551" s="20">
        <v>1707</v>
      </c>
      <c r="G551" s="20">
        <v>40</v>
      </c>
      <c r="H551" s="20">
        <v>0</v>
      </c>
      <c r="I551" s="20">
        <v>40</v>
      </c>
      <c r="J551" s="20">
        <v>0</v>
      </c>
      <c r="K551" s="20">
        <v>0</v>
      </c>
      <c r="L551" s="20">
        <v>40</v>
      </c>
    </row>
    <row r="552" spans="1:12" x14ac:dyDescent="0.25">
      <c r="A552" s="20">
        <v>1608</v>
      </c>
      <c r="B552" s="20">
        <v>1803848058001</v>
      </c>
      <c r="C552" s="20" t="s">
        <v>67</v>
      </c>
      <c r="D552" s="22">
        <v>46030</v>
      </c>
      <c r="E552" s="20" t="s">
        <v>17</v>
      </c>
      <c r="F552" s="20">
        <v>1709</v>
      </c>
      <c r="G552" s="20">
        <v>18</v>
      </c>
      <c r="H552" s="20">
        <v>0</v>
      </c>
      <c r="I552" s="20">
        <v>18</v>
      </c>
      <c r="J552" s="20">
        <v>0</v>
      </c>
      <c r="K552" s="20">
        <v>0</v>
      </c>
      <c r="L552" s="20">
        <v>18</v>
      </c>
    </row>
    <row r="553" spans="1:12" x14ac:dyDescent="0.25">
      <c r="A553" s="20">
        <v>1608</v>
      </c>
      <c r="B553" s="20">
        <v>1803848058001</v>
      </c>
      <c r="C553" s="20" t="s">
        <v>67</v>
      </c>
      <c r="D553" s="22">
        <v>46030</v>
      </c>
      <c r="E553" s="20" t="s">
        <v>17</v>
      </c>
      <c r="F553" s="20">
        <v>1710</v>
      </c>
      <c r="G553" s="20">
        <v>18</v>
      </c>
      <c r="H553" s="20">
        <v>0</v>
      </c>
      <c r="I553" s="20">
        <v>18</v>
      </c>
      <c r="J553" s="20">
        <v>0</v>
      </c>
      <c r="K553" s="20">
        <v>0</v>
      </c>
      <c r="L553" s="20">
        <v>18</v>
      </c>
    </row>
    <row r="554" spans="1:12" x14ac:dyDescent="0.25">
      <c r="A554" s="20">
        <v>1608</v>
      </c>
      <c r="B554" s="20">
        <v>1803848058001</v>
      </c>
      <c r="C554" s="20" t="s">
        <v>67</v>
      </c>
      <c r="D554" s="22">
        <v>46030</v>
      </c>
      <c r="E554" s="20" t="s">
        <v>17</v>
      </c>
      <c r="F554" s="20">
        <v>1708</v>
      </c>
      <c r="G554" s="20">
        <v>8</v>
      </c>
      <c r="H554" s="20">
        <v>0</v>
      </c>
      <c r="I554" s="20">
        <v>8</v>
      </c>
      <c r="J554" s="20">
        <v>0</v>
      </c>
      <c r="K554" s="20">
        <v>0</v>
      </c>
      <c r="L554" s="20">
        <v>8</v>
      </c>
    </row>
    <row r="555" spans="1:12" x14ac:dyDescent="0.25">
      <c r="A555" s="20">
        <v>1608</v>
      </c>
      <c r="B555" s="20">
        <v>1803848058001</v>
      </c>
      <c r="C555" s="20" t="s">
        <v>67</v>
      </c>
      <c r="D555" s="22">
        <v>46031</v>
      </c>
      <c r="E555" s="20" t="s">
        <v>17</v>
      </c>
      <c r="F555" s="20">
        <v>1715</v>
      </c>
      <c r="G555" s="20">
        <v>18</v>
      </c>
      <c r="H555" s="20">
        <v>0</v>
      </c>
      <c r="I555" s="20">
        <v>18</v>
      </c>
      <c r="J555" s="20">
        <v>0</v>
      </c>
      <c r="K555" s="20">
        <v>0</v>
      </c>
      <c r="L555" s="20">
        <v>18</v>
      </c>
    </row>
    <row r="556" spans="1:12" x14ac:dyDescent="0.25">
      <c r="A556" s="20">
        <v>1608</v>
      </c>
      <c r="B556" s="20">
        <v>1803848058001</v>
      </c>
      <c r="C556" s="20" t="s">
        <v>67</v>
      </c>
      <c r="D556" s="22">
        <v>46032</v>
      </c>
      <c r="E556" s="20" t="s">
        <v>17</v>
      </c>
      <c r="F556" s="20">
        <v>1719</v>
      </c>
      <c r="G556" s="20">
        <v>7</v>
      </c>
      <c r="H556" s="20">
        <v>0</v>
      </c>
      <c r="I556" s="20">
        <v>7</v>
      </c>
      <c r="J556" s="20">
        <v>0</v>
      </c>
      <c r="K556" s="20">
        <v>0</v>
      </c>
      <c r="L556" s="20">
        <v>7</v>
      </c>
    </row>
    <row r="557" spans="1:12" x14ac:dyDescent="0.25">
      <c r="A557" s="20">
        <v>1608</v>
      </c>
      <c r="B557" s="20">
        <v>1803848058001</v>
      </c>
      <c r="C557" s="20" t="s">
        <v>67</v>
      </c>
      <c r="D557" s="22">
        <v>46032</v>
      </c>
      <c r="E557" s="20" t="s">
        <v>17</v>
      </c>
      <c r="F557" s="20">
        <v>1720</v>
      </c>
      <c r="G557" s="20">
        <v>7</v>
      </c>
      <c r="H557" s="20">
        <v>0</v>
      </c>
      <c r="I557" s="20">
        <v>7</v>
      </c>
      <c r="J557" s="20">
        <v>0</v>
      </c>
      <c r="K557" s="20">
        <v>0</v>
      </c>
      <c r="L557" s="20">
        <v>7</v>
      </c>
    </row>
    <row r="558" spans="1:12" x14ac:dyDescent="0.25">
      <c r="A558" s="20">
        <v>1608</v>
      </c>
      <c r="B558" s="20">
        <v>1803848058001</v>
      </c>
      <c r="C558" s="20" t="s">
        <v>67</v>
      </c>
      <c r="D558" s="22">
        <v>46032</v>
      </c>
      <c r="E558" s="20" t="s">
        <v>17</v>
      </c>
      <c r="F558" s="20">
        <v>1718</v>
      </c>
      <c r="G558" s="20">
        <v>7</v>
      </c>
      <c r="H558" s="20">
        <v>0</v>
      </c>
      <c r="I558" s="20">
        <v>7</v>
      </c>
      <c r="J558" s="20">
        <v>0</v>
      </c>
      <c r="K558" s="20">
        <v>0</v>
      </c>
      <c r="L558" s="20">
        <v>7</v>
      </c>
    </row>
    <row r="559" spans="1:12" x14ac:dyDescent="0.25">
      <c r="A559" s="20">
        <v>1608</v>
      </c>
      <c r="B559" s="20">
        <v>1803848058001</v>
      </c>
      <c r="C559" s="20" t="s">
        <v>67</v>
      </c>
      <c r="D559" s="22">
        <v>46034</v>
      </c>
      <c r="E559" s="20" t="s">
        <v>17</v>
      </c>
      <c r="F559" s="20">
        <v>1724</v>
      </c>
      <c r="G559" s="20">
        <v>23</v>
      </c>
      <c r="H559" s="20">
        <v>0</v>
      </c>
      <c r="I559" s="20">
        <v>23</v>
      </c>
      <c r="J559" s="20">
        <v>0</v>
      </c>
      <c r="K559" s="20">
        <v>0</v>
      </c>
      <c r="L559" s="20">
        <v>23</v>
      </c>
    </row>
    <row r="560" spans="1:12" x14ac:dyDescent="0.25">
      <c r="A560" s="20">
        <v>1608</v>
      </c>
      <c r="B560" s="20">
        <v>1803848058001</v>
      </c>
      <c r="C560" s="20" t="s">
        <v>67</v>
      </c>
      <c r="D560" s="22">
        <v>46034</v>
      </c>
      <c r="E560" s="20" t="s">
        <v>17</v>
      </c>
      <c r="F560" s="20">
        <v>1725</v>
      </c>
      <c r="G560" s="20">
        <v>40</v>
      </c>
      <c r="H560" s="20">
        <v>0</v>
      </c>
      <c r="I560" s="20">
        <v>40</v>
      </c>
      <c r="J560" s="20">
        <v>0</v>
      </c>
      <c r="K560" s="20">
        <v>0</v>
      </c>
      <c r="L560" s="20">
        <v>40</v>
      </c>
    </row>
    <row r="561" spans="1:12" x14ac:dyDescent="0.25">
      <c r="A561" s="20">
        <v>1608</v>
      </c>
      <c r="B561" s="20">
        <v>1803848058001</v>
      </c>
      <c r="C561" s="20" t="s">
        <v>67</v>
      </c>
      <c r="D561" s="22">
        <v>46034</v>
      </c>
      <c r="E561" s="20" t="s">
        <v>17</v>
      </c>
      <c r="F561" s="20">
        <v>1726</v>
      </c>
      <c r="G561" s="20">
        <v>7</v>
      </c>
      <c r="H561" s="20">
        <v>0</v>
      </c>
      <c r="I561" s="20">
        <v>7</v>
      </c>
      <c r="J561" s="20">
        <v>0</v>
      </c>
      <c r="K561" s="20">
        <v>0</v>
      </c>
      <c r="L561" s="20">
        <v>7</v>
      </c>
    </row>
    <row r="562" spans="1:12" x14ac:dyDescent="0.25">
      <c r="A562" s="20">
        <v>1608</v>
      </c>
      <c r="B562" s="20">
        <v>1803848058001</v>
      </c>
      <c r="C562" s="20" t="s">
        <v>67</v>
      </c>
      <c r="D562" s="22">
        <v>46035</v>
      </c>
      <c r="E562" s="20" t="s">
        <v>17</v>
      </c>
      <c r="F562" s="20">
        <v>1729</v>
      </c>
      <c r="G562" s="20">
        <v>8</v>
      </c>
      <c r="H562" s="20">
        <v>0</v>
      </c>
      <c r="I562" s="20">
        <v>8</v>
      </c>
      <c r="J562" s="20">
        <v>0</v>
      </c>
      <c r="K562" s="20">
        <v>0</v>
      </c>
      <c r="L562" s="20">
        <v>8</v>
      </c>
    </row>
    <row r="563" spans="1:12" x14ac:dyDescent="0.25">
      <c r="A563" s="20">
        <v>1608</v>
      </c>
      <c r="B563" s="20">
        <v>1803848058001</v>
      </c>
      <c r="C563" s="20" t="s">
        <v>67</v>
      </c>
      <c r="D563" s="22">
        <v>46035</v>
      </c>
      <c r="E563" s="20" t="s">
        <v>17</v>
      </c>
      <c r="F563" s="20">
        <v>1727</v>
      </c>
      <c r="G563" s="20">
        <v>8</v>
      </c>
      <c r="H563" s="20">
        <v>0</v>
      </c>
      <c r="I563" s="20">
        <v>8</v>
      </c>
      <c r="J563" s="20">
        <v>0</v>
      </c>
      <c r="K563" s="20">
        <v>0</v>
      </c>
      <c r="L563" s="20">
        <v>8</v>
      </c>
    </row>
    <row r="564" spans="1:12" x14ac:dyDescent="0.25">
      <c r="A564" s="20">
        <v>1608</v>
      </c>
      <c r="B564" s="20">
        <v>1803848058001</v>
      </c>
      <c r="C564" s="20" t="s">
        <v>67</v>
      </c>
      <c r="D564" s="22">
        <v>46035</v>
      </c>
      <c r="E564" s="20" t="s">
        <v>17</v>
      </c>
      <c r="F564" s="20">
        <v>1728</v>
      </c>
      <c r="G564" s="20">
        <v>18</v>
      </c>
      <c r="H564" s="20">
        <v>0</v>
      </c>
      <c r="I564" s="20">
        <v>18</v>
      </c>
      <c r="J564" s="20">
        <v>0</v>
      </c>
      <c r="K564" s="20">
        <v>0</v>
      </c>
      <c r="L564" s="20">
        <v>18</v>
      </c>
    </row>
    <row r="565" spans="1:12" x14ac:dyDescent="0.25">
      <c r="A565" s="20">
        <v>1608</v>
      </c>
      <c r="B565" s="20">
        <v>1803848058001</v>
      </c>
      <c r="C565" s="20" t="s">
        <v>67</v>
      </c>
      <c r="D565" s="22">
        <v>46036</v>
      </c>
      <c r="E565" s="20" t="s">
        <v>17</v>
      </c>
      <c r="F565" s="20">
        <v>1730</v>
      </c>
      <c r="G565" s="20">
        <v>8</v>
      </c>
      <c r="H565" s="20">
        <v>0</v>
      </c>
      <c r="I565" s="20">
        <v>8</v>
      </c>
      <c r="J565" s="20">
        <v>0</v>
      </c>
      <c r="K565" s="20">
        <v>0</v>
      </c>
      <c r="L565" s="20">
        <v>8</v>
      </c>
    </row>
    <row r="566" spans="1:12" x14ac:dyDescent="0.25">
      <c r="A566" s="20">
        <v>1608</v>
      </c>
      <c r="B566" s="20">
        <v>1803848058001</v>
      </c>
      <c r="C566" s="20" t="s">
        <v>67</v>
      </c>
      <c r="D566" s="22">
        <v>46036</v>
      </c>
      <c r="E566" s="20" t="s">
        <v>17</v>
      </c>
      <c r="F566" s="20">
        <v>1732</v>
      </c>
      <c r="G566" s="20">
        <v>33</v>
      </c>
      <c r="H566" s="20">
        <v>0</v>
      </c>
      <c r="I566" s="20">
        <v>33</v>
      </c>
      <c r="J566" s="20">
        <v>0</v>
      </c>
      <c r="K566" s="20">
        <v>0</v>
      </c>
      <c r="L566" s="20">
        <v>33</v>
      </c>
    </row>
    <row r="567" spans="1:12" x14ac:dyDescent="0.25">
      <c r="A567" s="20">
        <v>1608</v>
      </c>
      <c r="B567" s="20">
        <v>1803848058001</v>
      </c>
      <c r="C567" s="20" t="s">
        <v>67</v>
      </c>
      <c r="D567" s="22">
        <v>46036</v>
      </c>
      <c r="E567" s="20" t="s">
        <v>17</v>
      </c>
      <c r="F567" s="20">
        <v>1733</v>
      </c>
      <c r="G567" s="20">
        <v>8</v>
      </c>
      <c r="H567" s="20">
        <v>0</v>
      </c>
      <c r="I567" s="20">
        <v>8</v>
      </c>
      <c r="J567" s="20">
        <v>0</v>
      </c>
      <c r="K567" s="20">
        <v>0</v>
      </c>
      <c r="L567" s="20">
        <v>8</v>
      </c>
    </row>
    <row r="568" spans="1:12" x14ac:dyDescent="0.25">
      <c r="A568" s="20">
        <v>1608</v>
      </c>
      <c r="B568" s="20">
        <v>1803848058001</v>
      </c>
      <c r="C568" s="20" t="s">
        <v>67</v>
      </c>
      <c r="D568" s="22">
        <v>46037</v>
      </c>
      <c r="E568" s="20" t="s">
        <v>17</v>
      </c>
      <c r="F568" s="20">
        <v>1736</v>
      </c>
      <c r="G568" s="20">
        <v>18</v>
      </c>
      <c r="H568" s="20">
        <v>0</v>
      </c>
      <c r="I568" s="20">
        <v>18</v>
      </c>
      <c r="J568" s="20">
        <v>0</v>
      </c>
      <c r="K568" s="20">
        <v>0</v>
      </c>
      <c r="L568" s="20">
        <v>18</v>
      </c>
    </row>
    <row r="569" spans="1:12" x14ac:dyDescent="0.25">
      <c r="A569" s="20">
        <v>1608</v>
      </c>
      <c r="B569" s="20">
        <v>1803848058001</v>
      </c>
      <c r="C569" s="20" t="s">
        <v>67</v>
      </c>
      <c r="D569" s="22">
        <v>46038</v>
      </c>
      <c r="E569" s="20" t="s">
        <v>17</v>
      </c>
      <c r="F569" s="20">
        <v>1743</v>
      </c>
      <c r="G569" s="20">
        <v>18</v>
      </c>
      <c r="H569" s="20">
        <v>0</v>
      </c>
      <c r="I569" s="20">
        <v>18</v>
      </c>
      <c r="J569" s="20">
        <v>0</v>
      </c>
      <c r="K569" s="20">
        <v>0</v>
      </c>
      <c r="L569" s="20">
        <v>18</v>
      </c>
    </row>
    <row r="570" spans="1:12" x14ac:dyDescent="0.25">
      <c r="A570" s="20">
        <v>1608</v>
      </c>
      <c r="B570" s="20">
        <v>1803848058001</v>
      </c>
      <c r="C570" s="20" t="s">
        <v>67</v>
      </c>
      <c r="D570" s="22">
        <v>46038</v>
      </c>
      <c r="E570" s="20" t="s">
        <v>17</v>
      </c>
      <c r="F570" s="20">
        <v>1742</v>
      </c>
      <c r="G570" s="20">
        <v>18</v>
      </c>
      <c r="H570" s="20">
        <v>0</v>
      </c>
      <c r="I570" s="20">
        <v>18</v>
      </c>
      <c r="J570" s="20">
        <v>0</v>
      </c>
      <c r="K570" s="20">
        <v>0</v>
      </c>
      <c r="L570" s="20">
        <v>18</v>
      </c>
    </row>
    <row r="571" spans="1:12" x14ac:dyDescent="0.25">
      <c r="A571" s="20">
        <v>1608</v>
      </c>
      <c r="B571" s="20">
        <v>1803848058001</v>
      </c>
      <c r="C571" s="20" t="s">
        <v>67</v>
      </c>
      <c r="D571" s="22">
        <v>46038</v>
      </c>
      <c r="E571" s="20" t="s">
        <v>17</v>
      </c>
      <c r="F571" s="20">
        <v>1740</v>
      </c>
      <c r="G571" s="20">
        <v>40</v>
      </c>
      <c r="H571" s="20">
        <v>0</v>
      </c>
      <c r="I571" s="20">
        <v>40</v>
      </c>
      <c r="J571" s="20">
        <v>0</v>
      </c>
      <c r="K571" s="20">
        <v>0</v>
      </c>
      <c r="L571" s="20">
        <v>40</v>
      </c>
    </row>
    <row r="572" spans="1:12" x14ac:dyDescent="0.25">
      <c r="A572" s="20">
        <v>1608</v>
      </c>
      <c r="B572" s="20">
        <v>1803848058001</v>
      </c>
      <c r="C572" s="20" t="s">
        <v>67</v>
      </c>
      <c r="D572" s="22">
        <v>46038</v>
      </c>
      <c r="E572" s="20" t="s">
        <v>17</v>
      </c>
      <c r="F572" s="20">
        <v>1741</v>
      </c>
      <c r="G572" s="20">
        <v>28</v>
      </c>
      <c r="H572" s="20">
        <v>0</v>
      </c>
      <c r="I572" s="20">
        <v>28</v>
      </c>
      <c r="J572" s="20">
        <v>0</v>
      </c>
      <c r="K572" s="20">
        <v>0</v>
      </c>
      <c r="L572" s="20">
        <v>28</v>
      </c>
    </row>
    <row r="573" spans="1:12" x14ac:dyDescent="0.25">
      <c r="A573" s="20">
        <v>1608</v>
      </c>
      <c r="B573" s="20">
        <v>1803848058001</v>
      </c>
      <c r="C573" s="20" t="s">
        <v>67</v>
      </c>
      <c r="D573" s="22">
        <v>46042</v>
      </c>
      <c r="E573" s="20" t="s">
        <v>17</v>
      </c>
      <c r="F573" s="20">
        <v>1746</v>
      </c>
      <c r="G573" s="20">
        <v>18</v>
      </c>
      <c r="H573" s="20">
        <v>0</v>
      </c>
      <c r="I573" s="20">
        <v>18</v>
      </c>
      <c r="J573" s="20">
        <v>0</v>
      </c>
      <c r="K573" s="20">
        <v>0</v>
      </c>
      <c r="L573" s="20">
        <v>18</v>
      </c>
    </row>
    <row r="574" spans="1:12" x14ac:dyDescent="0.25">
      <c r="A574" s="20">
        <v>1608</v>
      </c>
      <c r="B574" s="20">
        <v>1803848058001</v>
      </c>
      <c r="C574" s="20" t="s">
        <v>67</v>
      </c>
      <c r="D574" s="22">
        <v>46043</v>
      </c>
      <c r="E574" s="20" t="s">
        <v>17</v>
      </c>
      <c r="F574" s="20">
        <v>1752</v>
      </c>
      <c r="G574" s="20">
        <v>18</v>
      </c>
      <c r="H574" s="20">
        <v>0</v>
      </c>
      <c r="I574" s="20">
        <v>18</v>
      </c>
      <c r="J574" s="20">
        <v>0</v>
      </c>
      <c r="K574" s="20">
        <v>0</v>
      </c>
      <c r="L574" s="20">
        <v>18</v>
      </c>
    </row>
    <row r="575" spans="1:12" x14ac:dyDescent="0.25">
      <c r="A575" s="20">
        <v>1608</v>
      </c>
      <c r="B575" s="20">
        <v>1803848058001</v>
      </c>
      <c r="C575" s="20" t="s">
        <v>67</v>
      </c>
      <c r="D575" s="22">
        <v>46043</v>
      </c>
      <c r="E575" s="20" t="s">
        <v>17</v>
      </c>
      <c r="F575" s="20">
        <v>1753</v>
      </c>
      <c r="G575" s="20">
        <v>18</v>
      </c>
      <c r="H575" s="20">
        <v>0</v>
      </c>
      <c r="I575" s="20">
        <v>18</v>
      </c>
      <c r="J575" s="20">
        <v>0</v>
      </c>
      <c r="K575" s="20">
        <v>0</v>
      </c>
      <c r="L575" s="20">
        <v>18</v>
      </c>
    </row>
    <row r="576" spans="1:12" x14ac:dyDescent="0.25">
      <c r="A576" s="20">
        <v>1608</v>
      </c>
      <c r="B576" s="20">
        <v>1803848058001</v>
      </c>
      <c r="C576" s="20" t="s">
        <v>67</v>
      </c>
      <c r="D576" s="22">
        <v>46043</v>
      </c>
      <c r="E576" s="20" t="s">
        <v>17</v>
      </c>
      <c r="F576" s="20">
        <v>1748</v>
      </c>
      <c r="G576" s="20">
        <v>28</v>
      </c>
      <c r="H576" s="20">
        <v>0</v>
      </c>
      <c r="I576" s="20">
        <v>28</v>
      </c>
      <c r="J576" s="20">
        <v>0</v>
      </c>
      <c r="K576" s="20">
        <v>0</v>
      </c>
      <c r="L576" s="20">
        <v>28</v>
      </c>
    </row>
    <row r="577" spans="1:12" x14ac:dyDescent="0.25">
      <c r="A577" s="20">
        <v>1608</v>
      </c>
      <c r="B577" s="20">
        <v>1803848058001</v>
      </c>
      <c r="C577" s="20" t="s">
        <v>67</v>
      </c>
      <c r="D577" s="22">
        <v>46043</v>
      </c>
      <c r="E577" s="20" t="s">
        <v>17</v>
      </c>
      <c r="F577" s="20">
        <v>1751</v>
      </c>
      <c r="G577" s="20">
        <v>18</v>
      </c>
      <c r="H577" s="20">
        <v>0</v>
      </c>
      <c r="I577" s="20">
        <v>18</v>
      </c>
      <c r="J577" s="20">
        <v>0</v>
      </c>
      <c r="K577" s="20">
        <v>0</v>
      </c>
      <c r="L577" s="20">
        <v>18</v>
      </c>
    </row>
    <row r="578" spans="1:12" x14ac:dyDescent="0.25">
      <c r="A578" s="20">
        <v>1608</v>
      </c>
      <c r="B578" s="20">
        <v>1803848058001</v>
      </c>
      <c r="C578" s="20" t="s">
        <v>67</v>
      </c>
      <c r="D578" s="22">
        <v>46045</v>
      </c>
      <c r="E578" s="20" t="s">
        <v>17</v>
      </c>
      <c r="F578" s="20">
        <v>1755</v>
      </c>
      <c r="G578" s="20">
        <v>7</v>
      </c>
      <c r="H578" s="20">
        <v>0</v>
      </c>
      <c r="I578" s="20">
        <v>7</v>
      </c>
      <c r="J578" s="20">
        <v>0</v>
      </c>
      <c r="K578" s="20">
        <v>0</v>
      </c>
      <c r="L578" s="20">
        <v>7</v>
      </c>
    </row>
    <row r="579" spans="1:12" x14ac:dyDescent="0.25">
      <c r="A579" s="20">
        <v>1608</v>
      </c>
      <c r="B579" s="20">
        <v>1803848058001</v>
      </c>
      <c r="C579" s="20" t="s">
        <v>67</v>
      </c>
      <c r="D579" s="22">
        <v>46045</v>
      </c>
      <c r="E579" s="20" t="s">
        <v>17</v>
      </c>
      <c r="F579" s="20">
        <v>1756</v>
      </c>
      <c r="G579" s="20">
        <v>18</v>
      </c>
      <c r="H579" s="20">
        <v>0</v>
      </c>
      <c r="I579" s="20">
        <v>18</v>
      </c>
      <c r="J579" s="20">
        <v>0</v>
      </c>
      <c r="K579" s="20">
        <v>0</v>
      </c>
      <c r="L579" s="20">
        <v>18</v>
      </c>
    </row>
    <row r="580" spans="1:12" x14ac:dyDescent="0.25">
      <c r="A580" s="20">
        <v>1608</v>
      </c>
      <c r="B580" s="20">
        <v>1803848058001</v>
      </c>
      <c r="C580" s="20" t="s">
        <v>67</v>
      </c>
      <c r="D580" s="22">
        <v>46048</v>
      </c>
      <c r="E580" s="20" t="s">
        <v>17</v>
      </c>
      <c r="F580" s="20">
        <v>1762</v>
      </c>
      <c r="G580" s="20">
        <v>18</v>
      </c>
      <c r="H580" s="20">
        <v>0</v>
      </c>
      <c r="I580" s="20">
        <v>18</v>
      </c>
      <c r="J580" s="20">
        <v>0</v>
      </c>
      <c r="K580" s="20">
        <v>0</v>
      </c>
      <c r="L580" s="20">
        <v>18</v>
      </c>
    </row>
    <row r="581" spans="1:12" x14ac:dyDescent="0.25">
      <c r="A581" s="20">
        <v>1608</v>
      </c>
      <c r="B581" s="20">
        <v>1803848058001</v>
      </c>
      <c r="C581" s="20" t="s">
        <v>67</v>
      </c>
      <c r="D581" s="22">
        <v>46048</v>
      </c>
      <c r="E581" s="20" t="s">
        <v>17</v>
      </c>
      <c r="F581" s="20">
        <v>1764</v>
      </c>
      <c r="G581" s="20">
        <v>18</v>
      </c>
      <c r="H581" s="20">
        <v>0</v>
      </c>
      <c r="I581" s="20">
        <v>18</v>
      </c>
      <c r="J581" s="20">
        <v>0</v>
      </c>
      <c r="K581" s="20">
        <v>0</v>
      </c>
      <c r="L581" s="20">
        <v>18</v>
      </c>
    </row>
    <row r="582" spans="1:12" x14ac:dyDescent="0.25">
      <c r="A582" s="20">
        <v>1608</v>
      </c>
      <c r="B582" s="20">
        <v>1803848058001</v>
      </c>
      <c r="C582" s="20" t="s">
        <v>67</v>
      </c>
      <c r="D582" s="22">
        <v>46048</v>
      </c>
      <c r="E582" s="20" t="s">
        <v>17</v>
      </c>
      <c r="F582" s="20">
        <v>1765</v>
      </c>
      <c r="G582" s="20">
        <v>150</v>
      </c>
      <c r="H582" s="20">
        <v>0</v>
      </c>
      <c r="I582" s="20">
        <v>150</v>
      </c>
      <c r="J582" s="20">
        <v>0</v>
      </c>
      <c r="K582" s="20">
        <v>0</v>
      </c>
      <c r="L582" s="20">
        <v>150</v>
      </c>
    </row>
    <row r="583" spans="1:12" x14ac:dyDescent="0.25">
      <c r="A583" s="20">
        <v>1608</v>
      </c>
      <c r="B583" s="20">
        <v>1803848058001</v>
      </c>
      <c r="C583" s="20" t="s">
        <v>67</v>
      </c>
      <c r="D583" s="22">
        <v>46048</v>
      </c>
      <c r="E583" s="20" t="s">
        <v>17</v>
      </c>
      <c r="F583" s="20">
        <v>1767</v>
      </c>
      <c r="G583" s="20">
        <v>75</v>
      </c>
      <c r="H583" s="20">
        <v>0</v>
      </c>
      <c r="I583" s="20">
        <v>75</v>
      </c>
      <c r="J583" s="20">
        <v>0</v>
      </c>
      <c r="K583" s="20">
        <v>0</v>
      </c>
      <c r="L583" s="20">
        <v>75</v>
      </c>
    </row>
    <row r="584" spans="1:12" x14ac:dyDescent="0.25">
      <c r="A584" s="20">
        <v>1608</v>
      </c>
      <c r="B584" s="20">
        <v>1803848058001</v>
      </c>
      <c r="C584" s="20" t="s">
        <v>67</v>
      </c>
      <c r="D584" s="22">
        <v>46048</v>
      </c>
      <c r="E584" s="20" t="s">
        <v>17</v>
      </c>
      <c r="F584" s="20">
        <v>1768</v>
      </c>
      <c r="G584" s="20">
        <v>8</v>
      </c>
      <c r="H584" s="20">
        <v>0</v>
      </c>
      <c r="I584" s="20">
        <v>8</v>
      </c>
      <c r="J584" s="20">
        <v>0</v>
      </c>
      <c r="K584" s="20">
        <v>0</v>
      </c>
      <c r="L584" s="20">
        <v>8</v>
      </c>
    </row>
    <row r="585" spans="1:12" x14ac:dyDescent="0.25">
      <c r="A585" s="20">
        <v>1608</v>
      </c>
      <c r="B585" s="20">
        <v>1803848058001</v>
      </c>
      <c r="C585" s="20" t="s">
        <v>67</v>
      </c>
      <c r="D585" s="22">
        <v>46048</v>
      </c>
      <c r="E585" s="20" t="s">
        <v>17</v>
      </c>
      <c r="F585" s="20">
        <v>1763</v>
      </c>
      <c r="G585" s="20">
        <v>24</v>
      </c>
      <c r="H585" s="20">
        <v>0</v>
      </c>
      <c r="I585" s="20">
        <v>24</v>
      </c>
      <c r="J585" s="20">
        <v>0</v>
      </c>
      <c r="K585" s="20">
        <v>0</v>
      </c>
      <c r="L585" s="20">
        <v>24</v>
      </c>
    </row>
    <row r="586" spans="1:12" x14ac:dyDescent="0.25">
      <c r="A586" s="20">
        <v>1608</v>
      </c>
      <c r="B586" s="20">
        <v>1803848058001</v>
      </c>
      <c r="C586" s="20" t="s">
        <v>67</v>
      </c>
      <c r="D586" s="22">
        <v>46049</v>
      </c>
      <c r="E586" s="20" t="s">
        <v>17</v>
      </c>
      <c r="F586" s="20">
        <v>1769</v>
      </c>
      <c r="G586" s="20">
        <v>18</v>
      </c>
      <c r="H586" s="20">
        <v>0</v>
      </c>
      <c r="I586" s="20">
        <v>18</v>
      </c>
      <c r="J586" s="20">
        <v>0</v>
      </c>
      <c r="K586" s="20">
        <v>0</v>
      </c>
      <c r="L586" s="20">
        <v>18</v>
      </c>
    </row>
    <row r="587" spans="1:12" x14ac:dyDescent="0.25">
      <c r="A587" s="20">
        <v>1608</v>
      </c>
      <c r="B587" s="20">
        <v>1803848058001</v>
      </c>
      <c r="C587" s="20" t="s">
        <v>67</v>
      </c>
      <c r="D587" s="22">
        <v>46050</v>
      </c>
      <c r="E587" s="20" t="s">
        <v>17</v>
      </c>
      <c r="F587" s="20">
        <v>1770</v>
      </c>
      <c r="G587" s="20">
        <v>18</v>
      </c>
      <c r="H587" s="20">
        <v>0</v>
      </c>
      <c r="I587" s="20">
        <v>18</v>
      </c>
      <c r="J587" s="20">
        <v>0</v>
      </c>
      <c r="K587" s="20">
        <v>0</v>
      </c>
      <c r="L587" s="20">
        <v>18</v>
      </c>
    </row>
    <row r="588" spans="1:12" x14ac:dyDescent="0.25">
      <c r="A588" s="20">
        <v>1608</v>
      </c>
      <c r="B588" s="20">
        <v>1803848058001</v>
      </c>
      <c r="C588" s="20" t="s">
        <v>67</v>
      </c>
      <c r="D588" s="22">
        <v>46051</v>
      </c>
      <c r="E588" s="20" t="s">
        <v>17</v>
      </c>
      <c r="F588" s="20">
        <v>1775</v>
      </c>
      <c r="G588" s="20">
        <v>8</v>
      </c>
      <c r="H588" s="20">
        <v>0</v>
      </c>
      <c r="I588" s="20">
        <v>8</v>
      </c>
      <c r="J588" s="20">
        <v>0</v>
      </c>
      <c r="K588" s="20">
        <v>0</v>
      </c>
      <c r="L588" s="20">
        <v>8</v>
      </c>
    </row>
    <row r="589" spans="1:12" x14ac:dyDescent="0.25">
      <c r="A589" s="20">
        <v>1608</v>
      </c>
      <c r="B589" s="20">
        <v>1803848058001</v>
      </c>
      <c r="C589" s="20" t="s">
        <v>67</v>
      </c>
      <c r="D589" s="22">
        <v>46051</v>
      </c>
      <c r="E589" s="20" t="s">
        <v>17</v>
      </c>
      <c r="F589" s="20">
        <v>1774</v>
      </c>
      <c r="G589" s="20">
        <v>8</v>
      </c>
      <c r="H589" s="20">
        <v>0</v>
      </c>
      <c r="I589" s="20">
        <v>8</v>
      </c>
      <c r="J589" s="20">
        <v>0</v>
      </c>
      <c r="K589" s="20">
        <v>0</v>
      </c>
      <c r="L589" s="20">
        <v>8</v>
      </c>
    </row>
    <row r="590" spans="1:12" x14ac:dyDescent="0.25">
      <c r="A590" s="20">
        <v>1608</v>
      </c>
      <c r="B590" s="20">
        <v>1803848058001</v>
      </c>
      <c r="C590" s="20" t="s">
        <v>67</v>
      </c>
      <c r="D590" s="22">
        <v>46051</v>
      </c>
      <c r="E590" s="20" t="s">
        <v>17</v>
      </c>
      <c r="F590" s="20">
        <v>1771</v>
      </c>
      <c r="G590" s="20">
        <v>18</v>
      </c>
      <c r="H590" s="20">
        <v>0</v>
      </c>
      <c r="I590" s="20">
        <v>18</v>
      </c>
      <c r="J590" s="20">
        <v>0</v>
      </c>
      <c r="K590" s="20">
        <v>0</v>
      </c>
      <c r="L590" s="20">
        <v>18</v>
      </c>
    </row>
    <row r="591" spans="1:12" x14ac:dyDescent="0.25">
      <c r="A591" s="20">
        <v>1608</v>
      </c>
      <c r="B591" s="20">
        <v>1803848058001</v>
      </c>
      <c r="C591" s="20" t="s">
        <v>67</v>
      </c>
      <c r="D591" s="22">
        <v>46051</v>
      </c>
      <c r="E591" s="20" t="s">
        <v>17</v>
      </c>
      <c r="F591" s="20">
        <v>1772</v>
      </c>
      <c r="G591" s="20">
        <v>7</v>
      </c>
      <c r="H591" s="20">
        <v>0</v>
      </c>
      <c r="I591" s="20">
        <v>7</v>
      </c>
      <c r="J591" s="20">
        <v>0</v>
      </c>
      <c r="K591" s="20">
        <v>0</v>
      </c>
      <c r="L591" s="20">
        <v>7</v>
      </c>
    </row>
    <row r="592" spans="1:12" x14ac:dyDescent="0.25">
      <c r="A592" s="20">
        <v>1608</v>
      </c>
      <c r="B592" s="20">
        <v>1803848058001</v>
      </c>
      <c r="C592" s="20" t="s">
        <v>67</v>
      </c>
      <c r="D592" s="22">
        <v>46052</v>
      </c>
      <c r="E592" s="20" t="s">
        <v>17</v>
      </c>
      <c r="F592" s="20">
        <v>1776</v>
      </c>
      <c r="G592" s="20">
        <v>7</v>
      </c>
      <c r="H592" s="20">
        <v>0</v>
      </c>
      <c r="I592" s="20">
        <v>7</v>
      </c>
      <c r="J592" s="20">
        <v>0</v>
      </c>
      <c r="K592" s="20">
        <v>0</v>
      </c>
      <c r="L592" s="20">
        <v>7</v>
      </c>
    </row>
    <row r="593" spans="1:12" x14ac:dyDescent="0.25">
      <c r="A593" s="20">
        <v>1608</v>
      </c>
      <c r="B593" s="20">
        <v>1803848058001</v>
      </c>
      <c r="C593" s="20" t="s">
        <v>67</v>
      </c>
      <c r="D593" s="22">
        <v>46052</v>
      </c>
      <c r="E593" s="20" t="s">
        <v>17</v>
      </c>
      <c r="F593" s="20">
        <v>1780</v>
      </c>
      <c r="G593" s="20">
        <v>18</v>
      </c>
      <c r="H593" s="20">
        <v>0</v>
      </c>
      <c r="I593" s="20">
        <v>18</v>
      </c>
      <c r="J593" s="20">
        <v>0</v>
      </c>
      <c r="K593" s="20">
        <v>0</v>
      </c>
      <c r="L593" s="20">
        <v>18</v>
      </c>
    </row>
    <row r="594" spans="1:12" x14ac:dyDescent="0.25">
      <c r="A594" s="20">
        <v>1608</v>
      </c>
      <c r="B594" s="20">
        <v>1803848058001</v>
      </c>
      <c r="C594" s="20" t="s">
        <v>67</v>
      </c>
      <c r="D594" s="22">
        <v>46052</v>
      </c>
      <c r="E594" s="20" t="s">
        <v>17</v>
      </c>
      <c r="F594" s="20">
        <v>1779</v>
      </c>
      <c r="G594" s="20">
        <v>7</v>
      </c>
      <c r="H594" s="20">
        <v>0</v>
      </c>
      <c r="I594" s="20">
        <v>7</v>
      </c>
      <c r="J594" s="20">
        <v>0</v>
      </c>
      <c r="K594" s="20">
        <v>0</v>
      </c>
      <c r="L594" s="20">
        <v>7</v>
      </c>
    </row>
    <row r="595" spans="1:12" x14ac:dyDescent="0.25">
      <c r="A595" s="20">
        <v>1608</v>
      </c>
      <c r="B595" s="20">
        <v>1803848058001</v>
      </c>
      <c r="C595" s="20" t="s">
        <v>67</v>
      </c>
      <c r="D595" s="22">
        <v>46052</v>
      </c>
      <c r="E595" s="20" t="s">
        <v>17</v>
      </c>
      <c r="F595" s="20">
        <v>1778</v>
      </c>
      <c r="G595" s="20">
        <v>18</v>
      </c>
      <c r="H595" s="20">
        <v>0</v>
      </c>
      <c r="I595" s="20">
        <v>18</v>
      </c>
      <c r="J595" s="20">
        <v>0</v>
      </c>
      <c r="K595" s="20">
        <v>0</v>
      </c>
      <c r="L595" s="20">
        <v>18</v>
      </c>
    </row>
    <row r="596" spans="1:12" x14ac:dyDescent="0.25">
      <c r="A596" s="20">
        <v>1608</v>
      </c>
      <c r="B596" s="20">
        <v>1803848058001</v>
      </c>
      <c r="C596" s="20" t="s">
        <v>67</v>
      </c>
      <c r="D596" s="22">
        <v>46052</v>
      </c>
      <c r="E596" s="20" t="s">
        <v>17</v>
      </c>
      <c r="F596" s="20">
        <v>1777</v>
      </c>
      <c r="G596" s="20">
        <v>7</v>
      </c>
      <c r="H596" s="20">
        <v>0</v>
      </c>
      <c r="I596" s="20">
        <v>7</v>
      </c>
      <c r="J596" s="20">
        <v>0</v>
      </c>
      <c r="K596" s="20">
        <v>0</v>
      </c>
      <c r="L596" s="20">
        <v>7</v>
      </c>
    </row>
    <row r="597" spans="1:12" x14ac:dyDescent="0.25">
      <c r="A597" s="20">
        <v>1608</v>
      </c>
      <c r="B597" s="20">
        <v>1803848058001</v>
      </c>
      <c r="C597" s="20" t="s">
        <v>67</v>
      </c>
      <c r="D597" s="22">
        <v>46053</v>
      </c>
      <c r="E597" s="20" t="s">
        <v>17</v>
      </c>
      <c r="F597" s="20">
        <v>1781</v>
      </c>
      <c r="G597" s="20">
        <v>7</v>
      </c>
      <c r="H597" s="20">
        <v>0</v>
      </c>
      <c r="I597" s="20">
        <v>7</v>
      </c>
      <c r="J597" s="20">
        <v>0</v>
      </c>
      <c r="K597" s="20">
        <v>0</v>
      </c>
      <c r="L597" s="20">
        <v>7</v>
      </c>
    </row>
    <row r="598" spans="1:12" x14ac:dyDescent="0.25">
      <c r="A598" s="20">
        <v>1601</v>
      </c>
      <c r="B598" s="20">
        <v>1803940533001</v>
      </c>
      <c r="C598" s="20" t="s">
        <v>68</v>
      </c>
      <c r="D598" s="22">
        <v>46027</v>
      </c>
      <c r="E598" s="20" t="s">
        <v>17</v>
      </c>
      <c r="F598" s="20">
        <v>1190</v>
      </c>
      <c r="G598" s="20">
        <v>37</v>
      </c>
      <c r="H598" s="20">
        <v>0</v>
      </c>
      <c r="I598" s="20">
        <v>37</v>
      </c>
      <c r="J598" s="20">
        <v>0</v>
      </c>
      <c r="K598" s="20">
        <v>0</v>
      </c>
      <c r="L598" s="20">
        <v>37</v>
      </c>
    </row>
    <row r="599" spans="1:12" x14ac:dyDescent="0.25">
      <c r="A599" s="20">
        <v>1601</v>
      </c>
      <c r="B599" s="20">
        <v>1803940533001</v>
      </c>
      <c r="C599" s="20" t="s">
        <v>68</v>
      </c>
      <c r="D599" s="22">
        <v>46028</v>
      </c>
      <c r="E599" s="20" t="s">
        <v>17</v>
      </c>
      <c r="F599" s="20">
        <v>1191</v>
      </c>
      <c r="G599" s="20">
        <v>20</v>
      </c>
      <c r="H599" s="20">
        <v>0</v>
      </c>
      <c r="I599" s="20">
        <v>20</v>
      </c>
      <c r="J599" s="20">
        <v>0</v>
      </c>
      <c r="K599" s="20">
        <v>0</v>
      </c>
      <c r="L599" s="20">
        <v>20</v>
      </c>
    </row>
    <row r="600" spans="1:12" x14ac:dyDescent="0.25">
      <c r="A600" s="20">
        <v>1601</v>
      </c>
      <c r="B600" s="20">
        <v>1803940533001</v>
      </c>
      <c r="C600" s="20" t="s">
        <v>68</v>
      </c>
      <c r="D600" s="22">
        <v>46028</v>
      </c>
      <c r="E600" s="20" t="s">
        <v>17</v>
      </c>
      <c r="F600" s="20">
        <v>1193</v>
      </c>
      <c r="G600" s="20">
        <v>30</v>
      </c>
      <c r="H600" s="20">
        <v>0</v>
      </c>
      <c r="I600" s="20">
        <v>30</v>
      </c>
      <c r="J600" s="20">
        <v>0</v>
      </c>
      <c r="K600" s="20">
        <v>0</v>
      </c>
      <c r="L600" s="20">
        <v>30</v>
      </c>
    </row>
    <row r="601" spans="1:12" x14ac:dyDescent="0.25">
      <c r="A601" s="20">
        <v>1601</v>
      </c>
      <c r="B601" s="20">
        <v>1803940533001</v>
      </c>
      <c r="C601" s="20" t="s">
        <v>68</v>
      </c>
      <c r="D601" s="22">
        <v>46028</v>
      </c>
      <c r="E601" s="20" t="s">
        <v>17</v>
      </c>
      <c r="F601" s="20">
        <v>1194</v>
      </c>
      <c r="G601" s="20">
        <v>20</v>
      </c>
      <c r="H601" s="20">
        <v>0</v>
      </c>
      <c r="I601" s="20">
        <v>20</v>
      </c>
      <c r="J601" s="20">
        <v>0</v>
      </c>
      <c r="K601" s="20">
        <v>0</v>
      </c>
      <c r="L601" s="20">
        <v>20</v>
      </c>
    </row>
    <row r="602" spans="1:12" x14ac:dyDescent="0.25">
      <c r="A602" s="20">
        <v>1601</v>
      </c>
      <c r="B602" s="20">
        <v>1803940533001</v>
      </c>
      <c r="C602" s="20" t="s">
        <v>68</v>
      </c>
      <c r="D602" s="22">
        <v>46028</v>
      </c>
      <c r="E602" s="20" t="s">
        <v>17</v>
      </c>
      <c r="F602" s="20">
        <v>1192</v>
      </c>
      <c r="G602" s="20">
        <v>11</v>
      </c>
      <c r="H602" s="20">
        <v>0</v>
      </c>
      <c r="I602" s="20">
        <v>11</v>
      </c>
      <c r="J602" s="20">
        <v>0</v>
      </c>
      <c r="K602" s="20">
        <v>0</v>
      </c>
      <c r="L602" s="20">
        <v>11</v>
      </c>
    </row>
    <row r="603" spans="1:12" x14ac:dyDescent="0.25">
      <c r="A603" s="20">
        <v>1601</v>
      </c>
      <c r="B603" s="20">
        <v>1803940533001</v>
      </c>
      <c r="C603" s="20" t="s">
        <v>68</v>
      </c>
      <c r="D603" s="22">
        <v>46028</v>
      </c>
      <c r="E603" s="20" t="s">
        <v>17</v>
      </c>
      <c r="F603" s="20">
        <v>1195</v>
      </c>
      <c r="G603" s="20">
        <v>20</v>
      </c>
      <c r="H603" s="20">
        <v>0</v>
      </c>
      <c r="I603" s="20">
        <v>20</v>
      </c>
      <c r="J603" s="20">
        <v>0</v>
      </c>
      <c r="K603" s="20">
        <v>0</v>
      </c>
      <c r="L603" s="20">
        <v>20</v>
      </c>
    </row>
    <row r="604" spans="1:12" x14ac:dyDescent="0.25">
      <c r="A604" s="20">
        <v>1601</v>
      </c>
      <c r="B604" s="20">
        <v>1803940533001</v>
      </c>
      <c r="C604" s="20" t="s">
        <v>68</v>
      </c>
      <c r="D604" s="22">
        <v>46028</v>
      </c>
      <c r="E604" s="20" t="s">
        <v>17</v>
      </c>
      <c r="F604" s="20">
        <v>1196</v>
      </c>
      <c r="G604" s="20">
        <v>20</v>
      </c>
      <c r="H604" s="20">
        <v>0</v>
      </c>
      <c r="I604" s="20">
        <v>20</v>
      </c>
      <c r="J604" s="20">
        <v>0</v>
      </c>
      <c r="K604" s="20">
        <v>0</v>
      </c>
      <c r="L604" s="20">
        <v>20</v>
      </c>
    </row>
    <row r="605" spans="1:12" x14ac:dyDescent="0.25">
      <c r="A605" s="20">
        <v>1601</v>
      </c>
      <c r="B605" s="20">
        <v>1803940533001</v>
      </c>
      <c r="C605" s="20" t="s">
        <v>68</v>
      </c>
      <c r="D605" s="22">
        <v>46029</v>
      </c>
      <c r="E605" s="20" t="s">
        <v>17</v>
      </c>
      <c r="F605" s="20">
        <v>1206</v>
      </c>
      <c r="G605" s="20">
        <v>8</v>
      </c>
      <c r="H605" s="20">
        <v>0</v>
      </c>
      <c r="I605" s="20">
        <v>8</v>
      </c>
      <c r="J605" s="20">
        <v>0</v>
      </c>
      <c r="K605" s="20">
        <v>0</v>
      </c>
      <c r="L605" s="20">
        <v>8</v>
      </c>
    </row>
    <row r="606" spans="1:12" x14ac:dyDescent="0.25">
      <c r="A606" s="20">
        <v>1601</v>
      </c>
      <c r="B606" s="20">
        <v>1803940533001</v>
      </c>
      <c r="C606" s="20" t="s">
        <v>68</v>
      </c>
      <c r="D606" s="22">
        <v>46029</v>
      </c>
      <c r="E606" s="20" t="s">
        <v>17</v>
      </c>
      <c r="F606" s="20">
        <v>1202</v>
      </c>
      <c r="G606" s="20">
        <v>6</v>
      </c>
      <c r="H606" s="20">
        <v>0</v>
      </c>
      <c r="I606" s="20">
        <v>6</v>
      </c>
      <c r="J606" s="20">
        <v>0</v>
      </c>
      <c r="K606" s="20">
        <v>0</v>
      </c>
      <c r="L606" s="20">
        <v>6</v>
      </c>
    </row>
    <row r="607" spans="1:12" x14ac:dyDescent="0.25">
      <c r="A607" s="20">
        <v>1601</v>
      </c>
      <c r="B607" s="20">
        <v>1803940533001</v>
      </c>
      <c r="C607" s="20" t="s">
        <v>68</v>
      </c>
      <c r="D607" s="22">
        <v>46029</v>
      </c>
      <c r="E607" s="20" t="s">
        <v>17</v>
      </c>
      <c r="F607" s="20">
        <v>1204</v>
      </c>
      <c r="G607" s="20">
        <v>44</v>
      </c>
      <c r="H607" s="20">
        <v>0</v>
      </c>
      <c r="I607" s="20">
        <v>44</v>
      </c>
      <c r="J607" s="20">
        <v>0</v>
      </c>
      <c r="K607" s="20">
        <v>0</v>
      </c>
      <c r="L607" s="20">
        <v>44</v>
      </c>
    </row>
    <row r="608" spans="1:12" x14ac:dyDescent="0.25">
      <c r="A608" s="20">
        <v>1601</v>
      </c>
      <c r="B608" s="20">
        <v>1803940533001</v>
      </c>
      <c r="C608" s="20" t="s">
        <v>68</v>
      </c>
      <c r="D608" s="22">
        <v>46029</v>
      </c>
      <c r="E608" s="20" t="s">
        <v>17</v>
      </c>
      <c r="F608" s="20">
        <v>1201</v>
      </c>
      <c r="G608" s="20">
        <v>20</v>
      </c>
      <c r="H608" s="20">
        <v>0</v>
      </c>
      <c r="I608" s="20">
        <v>20</v>
      </c>
      <c r="J608" s="20">
        <v>0</v>
      </c>
      <c r="K608" s="20">
        <v>0</v>
      </c>
      <c r="L608" s="20">
        <v>20</v>
      </c>
    </row>
    <row r="609" spans="1:12" x14ac:dyDescent="0.25">
      <c r="A609" s="20">
        <v>1601</v>
      </c>
      <c r="B609" s="20">
        <v>1803940533001</v>
      </c>
      <c r="C609" s="20" t="s">
        <v>68</v>
      </c>
      <c r="D609" s="22">
        <v>46030</v>
      </c>
      <c r="E609" s="20" t="s">
        <v>17</v>
      </c>
      <c r="F609" s="20">
        <v>1214</v>
      </c>
      <c r="G609" s="20">
        <v>10</v>
      </c>
      <c r="H609" s="20">
        <v>0</v>
      </c>
      <c r="I609" s="20">
        <v>10</v>
      </c>
      <c r="J609" s="20">
        <v>0</v>
      </c>
      <c r="K609" s="20">
        <v>0</v>
      </c>
      <c r="L609" s="20">
        <v>10</v>
      </c>
    </row>
    <row r="610" spans="1:12" x14ac:dyDescent="0.25">
      <c r="A610" s="20">
        <v>1601</v>
      </c>
      <c r="B610" s="20">
        <v>1803940533001</v>
      </c>
      <c r="C610" s="20" t="s">
        <v>68</v>
      </c>
      <c r="D610" s="22">
        <v>46030</v>
      </c>
      <c r="E610" s="20" t="s">
        <v>17</v>
      </c>
      <c r="F610" s="20">
        <v>1207</v>
      </c>
      <c r="G610" s="20">
        <v>20</v>
      </c>
      <c r="H610" s="20">
        <v>0</v>
      </c>
      <c r="I610" s="20">
        <v>20</v>
      </c>
      <c r="J610" s="20">
        <v>0</v>
      </c>
      <c r="K610" s="20">
        <v>0</v>
      </c>
      <c r="L610" s="20">
        <v>20</v>
      </c>
    </row>
    <row r="611" spans="1:12" x14ac:dyDescent="0.25">
      <c r="A611" s="20">
        <v>1601</v>
      </c>
      <c r="B611" s="20">
        <v>1803940533001</v>
      </c>
      <c r="C611" s="20" t="s">
        <v>68</v>
      </c>
      <c r="D611" s="22">
        <v>46030</v>
      </c>
      <c r="E611" s="20" t="s">
        <v>17</v>
      </c>
      <c r="F611" s="20">
        <v>1208</v>
      </c>
      <c r="G611" s="20">
        <v>11</v>
      </c>
      <c r="H611" s="20">
        <v>0</v>
      </c>
      <c r="I611" s="20">
        <v>11</v>
      </c>
      <c r="J611" s="20">
        <v>0</v>
      </c>
      <c r="K611" s="20">
        <v>0</v>
      </c>
      <c r="L611" s="20">
        <v>11</v>
      </c>
    </row>
    <row r="612" spans="1:12" x14ac:dyDescent="0.25">
      <c r="A612" s="20">
        <v>1601</v>
      </c>
      <c r="B612" s="20">
        <v>1803940533001</v>
      </c>
      <c r="C612" s="20" t="s">
        <v>68</v>
      </c>
      <c r="D612" s="22">
        <v>46030</v>
      </c>
      <c r="E612" s="20" t="s">
        <v>17</v>
      </c>
      <c r="F612" s="20">
        <v>1209</v>
      </c>
      <c r="G612" s="20">
        <v>11</v>
      </c>
      <c r="H612" s="20">
        <v>0</v>
      </c>
      <c r="I612" s="20">
        <v>11</v>
      </c>
      <c r="J612" s="20">
        <v>0</v>
      </c>
      <c r="K612" s="20">
        <v>0</v>
      </c>
      <c r="L612" s="20">
        <v>11</v>
      </c>
    </row>
    <row r="613" spans="1:12" x14ac:dyDescent="0.25">
      <c r="A613" s="20">
        <v>1601</v>
      </c>
      <c r="B613" s="20">
        <v>1803940533001</v>
      </c>
      <c r="C613" s="20" t="s">
        <v>68</v>
      </c>
      <c r="D613" s="22">
        <v>46030</v>
      </c>
      <c r="E613" s="20" t="s">
        <v>17</v>
      </c>
      <c r="F613" s="20">
        <v>1211</v>
      </c>
      <c r="G613" s="20">
        <v>20</v>
      </c>
      <c r="H613" s="20">
        <v>0</v>
      </c>
      <c r="I613" s="20">
        <v>20</v>
      </c>
      <c r="J613" s="20">
        <v>0</v>
      </c>
      <c r="K613" s="20">
        <v>0</v>
      </c>
      <c r="L613" s="20">
        <v>20</v>
      </c>
    </row>
    <row r="614" spans="1:12" x14ac:dyDescent="0.25">
      <c r="A614" s="20">
        <v>1601</v>
      </c>
      <c r="B614" s="20">
        <v>1803940533001</v>
      </c>
      <c r="C614" s="20" t="s">
        <v>68</v>
      </c>
      <c r="D614" s="22">
        <v>46030</v>
      </c>
      <c r="E614" s="20" t="s">
        <v>17</v>
      </c>
      <c r="F614" s="20">
        <v>1210</v>
      </c>
      <c r="G614" s="20">
        <v>11</v>
      </c>
      <c r="H614" s="20">
        <v>0</v>
      </c>
      <c r="I614" s="20">
        <v>11</v>
      </c>
      <c r="J614" s="20">
        <v>0</v>
      </c>
      <c r="K614" s="20">
        <v>0</v>
      </c>
      <c r="L614" s="20">
        <v>11</v>
      </c>
    </row>
    <row r="615" spans="1:12" x14ac:dyDescent="0.25">
      <c r="A615" s="20">
        <v>1601</v>
      </c>
      <c r="B615" s="20">
        <v>1803940533001</v>
      </c>
      <c r="C615" s="20" t="s">
        <v>68</v>
      </c>
      <c r="D615" s="22">
        <v>46030</v>
      </c>
      <c r="E615" s="20" t="s">
        <v>17</v>
      </c>
      <c r="F615" s="20">
        <v>1212</v>
      </c>
      <c r="G615" s="20">
        <v>6</v>
      </c>
      <c r="H615" s="20">
        <v>0</v>
      </c>
      <c r="I615" s="20">
        <v>6</v>
      </c>
      <c r="J615" s="20">
        <v>0</v>
      </c>
      <c r="K615" s="20">
        <v>0</v>
      </c>
      <c r="L615" s="20">
        <v>6</v>
      </c>
    </row>
    <row r="616" spans="1:12" x14ac:dyDescent="0.25">
      <c r="A616" s="20">
        <v>1601</v>
      </c>
      <c r="B616" s="20">
        <v>1803940533001</v>
      </c>
      <c r="C616" s="20" t="s">
        <v>68</v>
      </c>
      <c r="D616" s="22">
        <v>46031</v>
      </c>
      <c r="E616" s="20" t="s">
        <v>17</v>
      </c>
      <c r="F616" s="20">
        <v>1216</v>
      </c>
      <c r="G616" s="20">
        <v>11</v>
      </c>
      <c r="H616" s="20">
        <v>0</v>
      </c>
      <c r="I616" s="20">
        <v>11</v>
      </c>
      <c r="J616" s="20">
        <v>0</v>
      </c>
      <c r="K616" s="20">
        <v>0</v>
      </c>
      <c r="L616" s="20">
        <v>11</v>
      </c>
    </row>
    <row r="617" spans="1:12" x14ac:dyDescent="0.25">
      <c r="A617" s="20">
        <v>1601</v>
      </c>
      <c r="B617" s="20">
        <v>1803940533001</v>
      </c>
      <c r="C617" s="20" t="s">
        <v>68</v>
      </c>
      <c r="D617" s="22">
        <v>46031</v>
      </c>
      <c r="E617" s="20" t="s">
        <v>17</v>
      </c>
      <c r="F617" s="20">
        <v>1217</v>
      </c>
      <c r="G617" s="20">
        <v>20</v>
      </c>
      <c r="H617" s="20">
        <v>0</v>
      </c>
      <c r="I617" s="20">
        <v>20</v>
      </c>
      <c r="J617" s="20">
        <v>0</v>
      </c>
      <c r="K617" s="20">
        <v>0</v>
      </c>
      <c r="L617" s="20">
        <v>20</v>
      </c>
    </row>
    <row r="618" spans="1:12" x14ac:dyDescent="0.25">
      <c r="A618" s="20">
        <v>1601</v>
      </c>
      <c r="B618" s="20">
        <v>1803940533001</v>
      </c>
      <c r="C618" s="20" t="s">
        <v>68</v>
      </c>
      <c r="D618" s="22">
        <v>46031</v>
      </c>
      <c r="E618" s="20" t="s">
        <v>17</v>
      </c>
      <c r="F618" s="20">
        <v>1218</v>
      </c>
      <c r="G618" s="20">
        <v>20</v>
      </c>
      <c r="H618" s="20">
        <v>0</v>
      </c>
      <c r="I618" s="20">
        <v>20</v>
      </c>
      <c r="J618" s="20">
        <v>0</v>
      </c>
      <c r="K618" s="20">
        <v>0</v>
      </c>
      <c r="L618" s="20">
        <v>20</v>
      </c>
    </row>
    <row r="619" spans="1:12" x14ac:dyDescent="0.25">
      <c r="A619" s="20">
        <v>1601</v>
      </c>
      <c r="B619" s="20">
        <v>1803940533001</v>
      </c>
      <c r="C619" s="20" t="s">
        <v>68</v>
      </c>
      <c r="D619" s="22">
        <v>46031</v>
      </c>
      <c r="E619" s="20" t="s">
        <v>17</v>
      </c>
      <c r="F619" s="20">
        <v>1219</v>
      </c>
      <c r="G619" s="20">
        <v>11</v>
      </c>
      <c r="H619" s="20">
        <v>0</v>
      </c>
      <c r="I619" s="20">
        <v>11</v>
      </c>
      <c r="J619" s="20">
        <v>0</v>
      </c>
      <c r="K619" s="20">
        <v>0</v>
      </c>
      <c r="L619" s="20">
        <v>11</v>
      </c>
    </row>
    <row r="620" spans="1:12" x14ac:dyDescent="0.25">
      <c r="A620" s="20">
        <v>1601</v>
      </c>
      <c r="B620" s="20">
        <v>1803940533001</v>
      </c>
      <c r="C620" s="20" t="s">
        <v>68</v>
      </c>
      <c r="D620" s="22">
        <v>46031</v>
      </c>
      <c r="E620" s="20" t="s">
        <v>17</v>
      </c>
      <c r="F620" s="20">
        <v>1220</v>
      </c>
      <c r="G620" s="20">
        <v>30</v>
      </c>
      <c r="H620" s="20">
        <v>0</v>
      </c>
      <c r="I620" s="20">
        <v>30</v>
      </c>
      <c r="J620" s="20">
        <v>0</v>
      </c>
      <c r="K620" s="20">
        <v>0</v>
      </c>
      <c r="L620" s="20">
        <v>30</v>
      </c>
    </row>
    <row r="621" spans="1:12" x14ac:dyDescent="0.25">
      <c r="A621" s="20">
        <v>1601</v>
      </c>
      <c r="B621" s="20">
        <v>1803940533001</v>
      </c>
      <c r="C621" s="20" t="s">
        <v>68</v>
      </c>
      <c r="D621" s="22">
        <v>46031</v>
      </c>
      <c r="E621" s="20" t="s">
        <v>17</v>
      </c>
      <c r="F621" s="20">
        <v>1221</v>
      </c>
      <c r="G621" s="20">
        <v>7</v>
      </c>
      <c r="H621" s="20">
        <v>0</v>
      </c>
      <c r="I621" s="20">
        <v>7</v>
      </c>
      <c r="J621" s="20">
        <v>0</v>
      </c>
      <c r="K621" s="20">
        <v>0</v>
      </c>
      <c r="L621" s="20">
        <v>7</v>
      </c>
    </row>
    <row r="622" spans="1:12" x14ac:dyDescent="0.25">
      <c r="A622" s="20">
        <v>1601</v>
      </c>
      <c r="B622" s="20">
        <v>1803940533001</v>
      </c>
      <c r="C622" s="20" t="s">
        <v>68</v>
      </c>
      <c r="D622" s="22">
        <v>46031</v>
      </c>
      <c r="E622" s="20" t="s">
        <v>17</v>
      </c>
      <c r="F622" s="20">
        <v>1222</v>
      </c>
      <c r="G622" s="20">
        <v>7</v>
      </c>
      <c r="H622" s="20">
        <v>0</v>
      </c>
      <c r="I622" s="20">
        <v>7</v>
      </c>
      <c r="J622" s="20">
        <v>0</v>
      </c>
      <c r="K622" s="20">
        <v>0</v>
      </c>
      <c r="L622" s="20">
        <v>7</v>
      </c>
    </row>
    <row r="623" spans="1:12" x14ac:dyDescent="0.25">
      <c r="A623" s="20">
        <v>1601</v>
      </c>
      <c r="B623" s="20">
        <v>1803940533001</v>
      </c>
      <c r="C623" s="20" t="s">
        <v>68</v>
      </c>
      <c r="D623" s="22">
        <v>46035</v>
      </c>
      <c r="E623" s="20" t="s">
        <v>17</v>
      </c>
      <c r="F623" s="20">
        <v>1224</v>
      </c>
      <c r="G623" s="20">
        <v>6</v>
      </c>
      <c r="H623" s="20">
        <v>0</v>
      </c>
      <c r="I623" s="20">
        <v>6</v>
      </c>
      <c r="J623" s="20">
        <v>0</v>
      </c>
      <c r="K623" s="20">
        <v>0</v>
      </c>
      <c r="L623" s="20">
        <v>6</v>
      </c>
    </row>
    <row r="624" spans="1:12" x14ac:dyDescent="0.25">
      <c r="A624" s="20">
        <v>1601</v>
      </c>
      <c r="B624" s="20">
        <v>1803940533001</v>
      </c>
      <c r="C624" s="20" t="s">
        <v>68</v>
      </c>
      <c r="D624" s="22">
        <v>46035</v>
      </c>
      <c r="E624" s="20" t="s">
        <v>17</v>
      </c>
      <c r="F624" s="20">
        <v>1227</v>
      </c>
      <c r="G624" s="20">
        <v>56</v>
      </c>
      <c r="H624" s="20">
        <v>0</v>
      </c>
      <c r="I624" s="20">
        <v>56</v>
      </c>
      <c r="J624" s="20">
        <v>0</v>
      </c>
      <c r="K624" s="20">
        <v>0</v>
      </c>
      <c r="L624" s="20">
        <v>56</v>
      </c>
    </row>
    <row r="625" spans="1:12" x14ac:dyDescent="0.25">
      <c r="A625" s="20">
        <v>1601</v>
      </c>
      <c r="B625" s="20">
        <v>1803940533001</v>
      </c>
      <c r="C625" s="20" t="s">
        <v>68</v>
      </c>
      <c r="D625" s="22">
        <v>46035</v>
      </c>
      <c r="E625" s="20" t="s">
        <v>17</v>
      </c>
      <c r="F625" s="20">
        <v>1226</v>
      </c>
      <c r="G625" s="20">
        <v>20</v>
      </c>
      <c r="H625" s="20">
        <v>0</v>
      </c>
      <c r="I625" s="20">
        <v>20</v>
      </c>
      <c r="J625" s="20">
        <v>0</v>
      </c>
      <c r="K625" s="20">
        <v>0</v>
      </c>
      <c r="L625" s="20">
        <v>20</v>
      </c>
    </row>
    <row r="626" spans="1:12" x14ac:dyDescent="0.25">
      <c r="A626" s="20">
        <v>1601</v>
      </c>
      <c r="B626" s="20">
        <v>1803940533001</v>
      </c>
      <c r="C626" s="20" t="s">
        <v>68</v>
      </c>
      <c r="D626" s="22">
        <v>46035</v>
      </c>
      <c r="E626" s="20" t="s">
        <v>17</v>
      </c>
      <c r="F626" s="20">
        <v>1225</v>
      </c>
      <c r="G626" s="20">
        <v>20</v>
      </c>
      <c r="H626" s="20">
        <v>0</v>
      </c>
      <c r="I626" s="20">
        <v>20</v>
      </c>
      <c r="J626" s="20">
        <v>0</v>
      </c>
      <c r="K626" s="20">
        <v>0</v>
      </c>
      <c r="L626" s="20">
        <v>20</v>
      </c>
    </row>
    <row r="627" spans="1:12" x14ac:dyDescent="0.25">
      <c r="A627" s="20">
        <v>1601</v>
      </c>
      <c r="B627" s="20">
        <v>1803940533001</v>
      </c>
      <c r="C627" s="20" t="s">
        <v>68</v>
      </c>
      <c r="D627" s="22">
        <v>46036</v>
      </c>
      <c r="E627" s="20" t="s">
        <v>17</v>
      </c>
      <c r="F627" s="20">
        <v>1229</v>
      </c>
      <c r="G627" s="20">
        <v>20</v>
      </c>
      <c r="H627" s="20">
        <v>0</v>
      </c>
      <c r="I627" s="20">
        <v>20</v>
      </c>
      <c r="J627" s="20">
        <v>0</v>
      </c>
      <c r="K627" s="20">
        <v>0</v>
      </c>
      <c r="L627" s="20">
        <v>20</v>
      </c>
    </row>
    <row r="628" spans="1:12" x14ac:dyDescent="0.25">
      <c r="A628" s="20">
        <v>1601</v>
      </c>
      <c r="B628" s="20">
        <v>1803940533001</v>
      </c>
      <c r="C628" s="20" t="s">
        <v>68</v>
      </c>
      <c r="D628" s="22">
        <v>46036</v>
      </c>
      <c r="E628" s="20" t="s">
        <v>17</v>
      </c>
      <c r="F628" s="20">
        <v>1230</v>
      </c>
      <c r="G628" s="20">
        <v>6</v>
      </c>
      <c r="H628" s="20">
        <v>0</v>
      </c>
      <c r="I628" s="20">
        <v>6</v>
      </c>
      <c r="J628" s="20">
        <v>0</v>
      </c>
      <c r="K628" s="20">
        <v>0</v>
      </c>
      <c r="L628" s="20">
        <v>6</v>
      </c>
    </row>
    <row r="629" spans="1:12" x14ac:dyDescent="0.25">
      <c r="A629" s="20">
        <v>1601</v>
      </c>
      <c r="B629" s="20">
        <v>1803940533001</v>
      </c>
      <c r="C629" s="20" t="s">
        <v>68</v>
      </c>
      <c r="D629" s="22">
        <v>46036</v>
      </c>
      <c r="E629" s="20" t="s">
        <v>17</v>
      </c>
      <c r="F629" s="20">
        <v>1234</v>
      </c>
      <c r="G629" s="20">
        <v>11</v>
      </c>
      <c r="H629" s="20">
        <v>0</v>
      </c>
      <c r="I629" s="20">
        <v>11</v>
      </c>
      <c r="J629" s="20">
        <v>0</v>
      </c>
      <c r="K629" s="20">
        <v>0</v>
      </c>
      <c r="L629" s="20">
        <v>11</v>
      </c>
    </row>
    <row r="630" spans="1:12" x14ac:dyDescent="0.25">
      <c r="A630" s="20">
        <v>1601</v>
      </c>
      <c r="B630" s="20">
        <v>1803940533001</v>
      </c>
      <c r="C630" s="20" t="s">
        <v>68</v>
      </c>
      <c r="D630" s="22">
        <v>46036</v>
      </c>
      <c r="E630" s="20" t="s">
        <v>17</v>
      </c>
      <c r="F630" s="20">
        <v>1232</v>
      </c>
      <c r="G630" s="20">
        <v>20</v>
      </c>
      <c r="H630" s="20">
        <v>0</v>
      </c>
      <c r="I630" s="20">
        <v>20</v>
      </c>
      <c r="J630" s="20">
        <v>0</v>
      </c>
      <c r="K630" s="20">
        <v>0</v>
      </c>
      <c r="L630" s="20">
        <v>20</v>
      </c>
    </row>
    <row r="631" spans="1:12" x14ac:dyDescent="0.25">
      <c r="A631" s="20">
        <v>1601</v>
      </c>
      <c r="B631" s="20">
        <v>1803940533001</v>
      </c>
      <c r="C631" s="20" t="s">
        <v>68</v>
      </c>
      <c r="D631" s="22">
        <v>46036</v>
      </c>
      <c r="E631" s="20" t="s">
        <v>17</v>
      </c>
      <c r="F631" s="20">
        <v>1231</v>
      </c>
      <c r="G631" s="20">
        <v>20</v>
      </c>
      <c r="H631" s="20">
        <v>0</v>
      </c>
      <c r="I631" s="20">
        <v>20</v>
      </c>
      <c r="J631" s="20">
        <v>0</v>
      </c>
      <c r="K631" s="20">
        <v>0</v>
      </c>
      <c r="L631" s="20">
        <v>20</v>
      </c>
    </row>
    <row r="632" spans="1:12" x14ac:dyDescent="0.25">
      <c r="A632" s="20">
        <v>1601</v>
      </c>
      <c r="B632" s="20">
        <v>1803940533001</v>
      </c>
      <c r="C632" s="20" t="s">
        <v>68</v>
      </c>
      <c r="D632" s="22">
        <v>46037</v>
      </c>
      <c r="E632" s="20" t="s">
        <v>17</v>
      </c>
      <c r="F632" s="20">
        <v>1238</v>
      </c>
      <c r="G632" s="20">
        <v>22</v>
      </c>
      <c r="H632" s="20">
        <v>0</v>
      </c>
      <c r="I632" s="20">
        <v>22</v>
      </c>
      <c r="J632" s="20">
        <v>0</v>
      </c>
      <c r="K632" s="20">
        <v>0</v>
      </c>
      <c r="L632" s="20">
        <v>22</v>
      </c>
    </row>
    <row r="633" spans="1:12" x14ac:dyDescent="0.25">
      <c r="A633" s="20">
        <v>1601</v>
      </c>
      <c r="B633" s="20">
        <v>1803940533001</v>
      </c>
      <c r="C633" s="20" t="s">
        <v>68</v>
      </c>
      <c r="D633" s="22">
        <v>46037</v>
      </c>
      <c r="E633" s="20" t="s">
        <v>17</v>
      </c>
      <c r="F633" s="20">
        <v>1239</v>
      </c>
      <c r="G633" s="20">
        <v>15</v>
      </c>
      <c r="H633" s="20">
        <v>0</v>
      </c>
      <c r="I633" s="20">
        <v>15</v>
      </c>
      <c r="J633" s="20">
        <v>0</v>
      </c>
      <c r="K633" s="20">
        <v>0</v>
      </c>
      <c r="L633" s="20">
        <v>15</v>
      </c>
    </row>
    <row r="634" spans="1:12" x14ac:dyDescent="0.25">
      <c r="A634" s="20">
        <v>1601</v>
      </c>
      <c r="B634" s="20">
        <v>1803940533001</v>
      </c>
      <c r="C634" s="20" t="s">
        <v>68</v>
      </c>
      <c r="D634" s="22">
        <v>46037</v>
      </c>
      <c r="E634" s="20" t="s">
        <v>17</v>
      </c>
      <c r="F634" s="20">
        <v>1241</v>
      </c>
      <c r="G634" s="20">
        <v>20</v>
      </c>
      <c r="H634" s="20">
        <v>0</v>
      </c>
      <c r="I634" s="20">
        <v>20</v>
      </c>
      <c r="J634" s="20">
        <v>0</v>
      </c>
      <c r="K634" s="20">
        <v>0</v>
      </c>
      <c r="L634" s="20">
        <v>20</v>
      </c>
    </row>
    <row r="635" spans="1:12" x14ac:dyDescent="0.25">
      <c r="A635" s="20">
        <v>1601</v>
      </c>
      <c r="B635" s="20">
        <v>1803940533001</v>
      </c>
      <c r="C635" s="20" t="s">
        <v>68</v>
      </c>
      <c r="D635" s="22">
        <v>46037</v>
      </c>
      <c r="E635" s="20" t="s">
        <v>17</v>
      </c>
      <c r="F635" s="20">
        <v>1237</v>
      </c>
      <c r="G635" s="20">
        <v>6</v>
      </c>
      <c r="H635" s="20">
        <v>0</v>
      </c>
      <c r="I635" s="20">
        <v>6</v>
      </c>
      <c r="J635" s="20">
        <v>0</v>
      </c>
      <c r="K635" s="20">
        <v>0</v>
      </c>
      <c r="L635" s="20">
        <v>6</v>
      </c>
    </row>
    <row r="636" spans="1:12" x14ac:dyDescent="0.25">
      <c r="A636" s="20">
        <v>1601</v>
      </c>
      <c r="B636" s="20">
        <v>1803940533001</v>
      </c>
      <c r="C636" s="20" t="s">
        <v>68</v>
      </c>
      <c r="D636" s="22">
        <v>46037</v>
      </c>
      <c r="E636" s="20" t="s">
        <v>17</v>
      </c>
      <c r="F636" s="20">
        <v>1240</v>
      </c>
      <c r="G636" s="20">
        <v>11</v>
      </c>
      <c r="H636" s="20">
        <v>0</v>
      </c>
      <c r="I636" s="20">
        <v>11</v>
      </c>
      <c r="J636" s="20">
        <v>0</v>
      </c>
      <c r="K636" s="20">
        <v>0</v>
      </c>
      <c r="L636" s="20">
        <v>11</v>
      </c>
    </row>
    <row r="637" spans="1:12" x14ac:dyDescent="0.25">
      <c r="A637" s="20">
        <v>1601</v>
      </c>
      <c r="B637" s="20">
        <v>1803940533001</v>
      </c>
      <c r="C637" s="20" t="s">
        <v>68</v>
      </c>
      <c r="D637" s="22">
        <v>46037</v>
      </c>
      <c r="E637" s="20" t="s">
        <v>17</v>
      </c>
      <c r="F637" s="20">
        <v>1236</v>
      </c>
      <c r="G637" s="20">
        <v>20</v>
      </c>
      <c r="H637" s="20">
        <v>0</v>
      </c>
      <c r="I637" s="20">
        <v>20</v>
      </c>
      <c r="J637" s="20">
        <v>0</v>
      </c>
      <c r="K637" s="20">
        <v>0</v>
      </c>
      <c r="L637" s="20">
        <v>20</v>
      </c>
    </row>
    <row r="638" spans="1:12" x14ac:dyDescent="0.25">
      <c r="A638" s="20">
        <v>1601</v>
      </c>
      <c r="B638" s="20">
        <v>1803940533001</v>
      </c>
      <c r="C638" s="20" t="s">
        <v>68</v>
      </c>
      <c r="D638" s="22">
        <v>46038</v>
      </c>
      <c r="E638" s="20" t="s">
        <v>17</v>
      </c>
      <c r="F638" s="20">
        <v>1243</v>
      </c>
      <c r="G638" s="20">
        <v>20</v>
      </c>
      <c r="H638" s="20">
        <v>0</v>
      </c>
      <c r="I638" s="20">
        <v>20</v>
      </c>
      <c r="J638" s="20">
        <v>0</v>
      </c>
      <c r="K638" s="20">
        <v>0</v>
      </c>
      <c r="L638" s="20">
        <v>20</v>
      </c>
    </row>
    <row r="639" spans="1:12" x14ac:dyDescent="0.25">
      <c r="A639" s="20">
        <v>1601</v>
      </c>
      <c r="B639" s="20">
        <v>1803940533001</v>
      </c>
      <c r="C639" s="20" t="s">
        <v>68</v>
      </c>
      <c r="D639" s="22">
        <v>46038</v>
      </c>
      <c r="E639" s="20" t="s">
        <v>17</v>
      </c>
      <c r="F639" s="20">
        <v>1245</v>
      </c>
      <c r="G639" s="20">
        <v>20</v>
      </c>
      <c r="H639" s="20">
        <v>0</v>
      </c>
      <c r="I639" s="20">
        <v>20</v>
      </c>
      <c r="J639" s="20">
        <v>0</v>
      </c>
      <c r="K639" s="20">
        <v>0</v>
      </c>
      <c r="L639" s="20">
        <v>20</v>
      </c>
    </row>
    <row r="640" spans="1:12" x14ac:dyDescent="0.25">
      <c r="A640" s="20">
        <v>1601</v>
      </c>
      <c r="B640" s="20">
        <v>1803940533001</v>
      </c>
      <c r="C640" s="20" t="s">
        <v>68</v>
      </c>
      <c r="D640" s="22">
        <v>46038</v>
      </c>
      <c r="E640" s="20" t="s">
        <v>17</v>
      </c>
      <c r="F640" s="20">
        <v>1244</v>
      </c>
      <c r="G640" s="20">
        <v>6</v>
      </c>
      <c r="H640" s="20">
        <v>0</v>
      </c>
      <c r="I640" s="20">
        <v>6</v>
      </c>
      <c r="J640" s="20">
        <v>0</v>
      </c>
      <c r="K640" s="20">
        <v>0</v>
      </c>
      <c r="L640" s="20">
        <v>6</v>
      </c>
    </row>
    <row r="641" spans="1:12" x14ac:dyDescent="0.25">
      <c r="A641" s="20">
        <v>1601</v>
      </c>
      <c r="B641" s="20">
        <v>1803940533001</v>
      </c>
      <c r="C641" s="20" t="s">
        <v>68</v>
      </c>
      <c r="D641" s="22">
        <v>46039</v>
      </c>
      <c r="E641" s="20" t="s">
        <v>17</v>
      </c>
      <c r="F641" s="20">
        <v>1246</v>
      </c>
      <c r="G641" s="20">
        <v>37</v>
      </c>
      <c r="H641" s="20">
        <v>0</v>
      </c>
      <c r="I641" s="20">
        <v>37</v>
      </c>
      <c r="J641" s="20">
        <v>0</v>
      </c>
      <c r="K641" s="20">
        <v>0</v>
      </c>
      <c r="L641" s="20">
        <v>37</v>
      </c>
    </row>
    <row r="642" spans="1:12" x14ac:dyDescent="0.25">
      <c r="A642" s="20">
        <v>1601</v>
      </c>
      <c r="B642" s="20">
        <v>1803940533001</v>
      </c>
      <c r="C642" s="20" t="s">
        <v>68</v>
      </c>
      <c r="D642" s="22">
        <v>46039</v>
      </c>
      <c r="E642" s="20" t="s">
        <v>17</v>
      </c>
      <c r="F642" s="20">
        <v>1248</v>
      </c>
      <c r="G642" s="20">
        <v>30</v>
      </c>
      <c r="H642" s="20">
        <v>0</v>
      </c>
      <c r="I642" s="20">
        <v>30</v>
      </c>
      <c r="J642" s="20">
        <v>0</v>
      </c>
      <c r="K642" s="20">
        <v>0</v>
      </c>
      <c r="L642" s="20">
        <v>30</v>
      </c>
    </row>
    <row r="643" spans="1:12" x14ac:dyDescent="0.25">
      <c r="A643" s="20">
        <v>1601</v>
      </c>
      <c r="B643" s="20">
        <v>1803940533001</v>
      </c>
      <c r="C643" s="20" t="s">
        <v>68</v>
      </c>
      <c r="D643" s="22">
        <v>46039</v>
      </c>
      <c r="E643" s="20" t="s">
        <v>17</v>
      </c>
      <c r="F643" s="20">
        <v>1247</v>
      </c>
      <c r="G643" s="20">
        <v>30</v>
      </c>
      <c r="H643" s="20">
        <v>0</v>
      </c>
      <c r="I643" s="20">
        <v>30</v>
      </c>
      <c r="J643" s="20">
        <v>0</v>
      </c>
      <c r="K643" s="20">
        <v>0</v>
      </c>
      <c r="L643" s="20">
        <v>30</v>
      </c>
    </row>
    <row r="644" spans="1:12" x14ac:dyDescent="0.25">
      <c r="A644" s="20">
        <v>1601</v>
      </c>
      <c r="B644" s="20">
        <v>1803940533001</v>
      </c>
      <c r="C644" s="20" t="s">
        <v>68</v>
      </c>
      <c r="D644" s="22">
        <v>46041</v>
      </c>
      <c r="E644" s="20" t="s">
        <v>17</v>
      </c>
      <c r="F644" s="20">
        <v>1250</v>
      </c>
      <c r="G644" s="20">
        <v>30</v>
      </c>
      <c r="H644" s="20">
        <v>0</v>
      </c>
      <c r="I644" s="20">
        <v>30</v>
      </c>
      <c r="J644" s="20">
        <v>0</v>
      </c>
      <c r="K644" s="20">
        <v>0</v>
      </c>
      <c r="L644" s="20">
        <v>30</v>
      </c>
    </row>
    <row r="645" spans="1:12" x14ac:dyDescent="0.25">
      <c r="A645" s="20">
        <v>1601</v>
      </c>
      <c r="B645" s="20">
        <v>1803940533001</v>
      </c>
      <c r="C645" s="20" t="s">
        <v>68</v>
      </c>
      <c r="D645" s="22">
        <v>46041</v>
      </c>
      <c r="E645" s="20" t="s">
        <v>17</v>
      </c>
      <c r="F645" s="20">
        <v>1251</v>
      </c>
      <c r="G645" s="20">
        <v>22</v>
      </c>
      <c r="H645" s="20">
        <v>0</v>
      </c>
      <c r="I645" s="20">
        <v>22</v>
      </c>
      <c r="J645" s="20">
        <v>0</v>
      </c>
      <c r="K645" s="20">
        <v>0</v>
      </c>
      <c r="L645" s="20">
        <v>22</v>
      </c>
    </row>
    <row r="646" spans="1:12" x14ac:dyDescent="0.25">
      <c r="A646" s="20">
        <v>1601</v>
      </c>
      <c r="B646" s="20">
        <v>1803940533001</v>
      </c>
      <c r="C646" s="20" t="s">
        <v>68</v>
      </c>
      <c r="D646" s="22">
        <v>46041</v>
      </c>
      <c r="E646" s="20" t="s">
        <v>17</v>
      </c>
      <c r="F646" s="20">
        <v>1252</v>
      </c>
      <c r="G646" s="20">
        <v>20</v>
      </c>
      <c r="H646" s="20">
        <v>0</v>
      </c>
      <c r="I646" s="20">
        <v>20</v>
      </c>
      <c r="J646" s="20">
        <v>0</v>
      </c>
      <c r="K646" s="20">
        <v>0</v>
      </c>
      <c r="L646" s="20">
        <v>20</v>
      </c>
    </row>
    <row r="647" spans="1:12" x14ac:dyDescent="0.25">
      <c r="A647" s="20">
        <v>1601</v>
      </c>
      <c r="B647" s="20">
        <v>1803940533001</v>
      </c>
      <c r="C647" s="20" t="s">
        <v>68</v>
      </c>
      <c r="D647" s="22">
        <v>46041</v>
      </c>
      <c r="E647" s="20" t="s">
        <v>17</v>
      </c>
      <c r="F647" s="20">
        <v>1253</v>
      </c>
      <c r="G647" s="20">
        <v>22</v>
      </c>
      <c r="H647" s="20">
        <v>0</v>
      </c>
      <c r="I647" s="20">
        <v>22</v>
      </c>
      <c r="J647" s="20">
        <v>0</v>
      </c>
      <c r="K647" s="20">
        <v>0</v>
      </c>
      <c r="L647" s="20">
        <v>22</v>
      </c>
    </row>
    <row r="648" spans="1:12" x14ac:dyDescent="0.25">
      <c r="A648" s="20">
        <v>1601</v>
      </c>
      <c r="B648" s="20">
        <v>1803940533001</v>
      </c>
      <c r="C648" s="20" t="s">
        <v>68</v>
      </c>
      <c r="D648" s="22">
        <v>46041</v>
      </c>
      <c r="E648" s="20" t="s">
        <v>17</v>
      </c>
      <c r="F648" s="20">
        <v>1257</v>
      </c>
      <c r="G648" s="20">
        <v>6</v>
      </c>
      <c r="H648" s="20">
        <v>0</v>
      </c>
      <c r="I648" s="20">
        <v>6</v>
      </c>
      <c r="J648" s="20">
        <v>0</v>
      </c>
      <c r="K648" s="20">
        <v>0</v>
      </c>
      <c r="L648" s="20">
        <v>6</v>
      </c>
    </row>
    <row r="649" spans="1:12" x14ac:dyDescent="0.25">
      <c r="A649" s="20">
        <v>1601</v>
      </c>
      <c r="B649" s="20">
        <v>1803940533001</v>
      </c>
      <c r="C649" s="20" t="s">
        <v>68</v>
      </c>
      <c r="D649" s="22">
        <v>46041</v>
      </c>
      <c r="E649" s="20" t="s">
        <v>17</v>
      </c>
      <c r="F649" s="20">
        <v>1254</v>
      </c>
      <c r="G649" s="20">
        <v>11</v>
      </c>
      <c r="H649" s="20">
        <v>0</v>
      </c>
      <c r="I649" s="20">
        <v>11</v>
      </c>
      <c r="J649" s="20">
        <v>0</v>
      </c>
      <c r="K649" s="20">
        <v>0</v>
      </c>
      <c r="L649" s="20">
        <v>11</v>
      </c>
    </row>
    <row r="650" spans="1:12" x14ac:dyDescent="0.25">
      <c r="A650" s="20">
        <v>1601</v>
      </c>
      <c r="B650" s="20">
        <v>1803940533001</v>
      </c>
      <c r="C650" s="20" t="s">
        <v>68</v>
      </c>
      <c r="D650" s="22">
        <v>46041</v>
      </c>
      <c r="E650" s="20" t="s">
        <v>17</v>
      </c>
      <c r="F650" s="20">
        <v>1255</v>
      </c>
      <c r="G650" s="20">
        <v>20</v>
      </c>
      <c r="H650" s="20">
        <v>0</v>
      </c>
      <c r="I650" s="20">
        <v>20</v>
      </c>
      <c r="J650" s="20">
        <v>0</v>
      </c>
      <c r="K650" s="20">
        <v>0</v>
      </c>
      <c r="L650" s="20">
        <v>20</v>
      </c>
    </row>
    <row r="651" spans="1:12" x14ac:dyDescent="0.25">
      <c r="A651" s="20">
        <v>1601</v>
      </c>
      <c r="B651" s="20">
        <v>1803940533001</v>
      </c>
      <c r="C651" s="20" t="s">
        <v>68</v>
      </c>
      <c r="D651" s="22">
        <v>46041</v>
      </c>
      <c r="E651" s="20" t="s">
        <v>17</v>
      </c>
      <c r="F651" s="20">
        <v>1256</v>
      </c>
      <c r="G651" s="20">
        <v>20</v>
      </c>
      <c r="H651" s="20">
        <v>0</v>
      </c>
      <c r="I651" s="20">
        <v>20</v>
      </c>
      <c r="J651" s="20">
        <v>0</v>
      </c>
      <c r="K651" s="20">
        <v>0</v>
      </c>
      <c r="L651" s="20">
        <v>20</v>
      </c>
    </row>
    <row r="652" spans="1:12" x14ac:dyDescent="0.25">
      <c r="A652" s="20">
        <v>1601</v>
      </c>
      <c r="B652" s="20">
        <v>1803940533001</v>
      </c>
      <c r="C652" s="20" t="s">
        <v>68</v>
      </c>
      <c r="D652" s="22">
        <v>46041</v>
      </c>
      <c r="E652" s="20" t="s">
        <v>17</v>
      </c>
      <c r="F652" s="20">
        <v>1249</v>
      </c>
      <c r="G652" s="20">
        <v>20</v>
      </c>
      <c r="H652" s="20">
        <v>0</v>
      </c>
      <c r="I652" s="20">
        <v>20</v>
      </c>
      <c r="J652" s="20">
        <v>0</v>
      </c>
      <c r="K652" s="20">
        <v>0</v>
      </c>
      <c r="L652" s="20">
        <v>20</v>
      </c>
    </row>
    <row r="653" spans="1:12" x14ac:dyDescent="0.25">
      <c r="A653" s="20">
        <v>1601</v>
      </c>
      <c r="B653" s="20">
        <v>1803940533001</v>
      </c>
      <c r="C653" s="20" t="s">
        <v>68</v>
      </c>
      <c r="D653" s="22">
        <v>46042</v>
      </c>
      <c r="E653" s="20" t="s">
        <v>17</v>
      </c>
      <c r="F653" s="20">
        <v>1260</v>
      </c>
      <c r="G653" s="20">
        <v>11</v>
      </c>
      <c r="H653" s="20">
        <v>0</v>
      </c>
      <c r="I653" s="20">
        <v>11</v>
      </c>
      <c r="J653" s="20">
        <v>0</v>
      </c>
      <c r="K653" s="20">
        <v>0</v>
      </c>
      <c r="L653" s="20">
        <v>11</v>
      </c>
    </row>
    <row r="654" spans="1:12" x14ac:dyDescent="0.25">
      <c r="A654" s="20">
        <v>1601</v>
      </c>
      <c r="B654" s="20">
        <v>1803940533001</v>
      </c>
      <c r="C654" s="20" t="s">
        <v>68</v>
      </c>
      <c r="D654" s="22">
        <v>46042</v>
      </c>
      <c r="E654" s="20" t="s">
        <v>17</v>
      </c>
      <c r="F654" s="20">
        <v>1261</v>
      </c>
      <c r="G654" s="20">
        <v>20</v>
      </c>
      <c r="H654" s="20">
        <v>0</v>
      </c>
      <c r="I654" s="20">
        <v>20</v>
      </c>
      <c r="J654" s="20">
        <v>0</v>
      </c>
      <c r="K654" s="20">
        <v>0</v>
      </c>
      <c r="L654" s="20">
        <v>20</v>
      </c>
    </row>
    <row r="655" spans="1:12" x14ac:dyDescent="0.25">
      <c r="A655" s="20">
        <v>1601</v>
      </c>
      <c r="B655" s="20">
        <v>1803940533001</v>
      </c>
      <c r="C655" s="20" t="s">
        <v>68</v>
      </c>
      <c r="D655" s="22">
        <v>46042</v>
      </c>
      <c r="E655" s="20" t="s">
        <v>17</v>
      </c>
      <c r="F655" s="20">
        <v>1262</v>
      </c>
      <c r="G655" s="20">
        <v>20</v>
      </c>
      <c r="H655" s="20">
        <v>0</v>
      </c>
      <c r="I655" s="20">
        <v>20</v>
      </c>
      <c r="J655" s="20">
        <v>0</v>
      </c>
      <c r="K655" s="20">
        <v>0</v>
      </c>
      <c r="L655" s="20">
        <v>20</v>
      </c>
    </row>
    <row r="656" spans="1:12" x14ac:dyDescent="0.25">
      <c r="A656" s="20">
        <v>1601</v>
      </c>
      <c r="B656" s="20">
        <v>1803940533001</v>
      </c>
      <c r="C656" s="20" t="s">
        <v>68</v>
      </c>
      <c r="D656" s="22">
        <v>46042</v>
      </c>
      <c r="E656" s="20" t="s">
        <v>17</v>
      </c>
      <c r="F656" s="20">
        <v>1269</v>
      </c>
      <c r="G656" s="20">
        <v>20</v>
      </c>
      <c r="H656" s="20">
        <v>0</v>
      </c>
      <c r="I656" s="20">
        <v>20</v>
      </c>
      <c r="J656" s="20">
        <v>0</v>
      </c>
      <c r="K656" s="20">
        <v>0</v>
      </c>
      <c r="L656" s="20">
        <v>20</v>
      </c>
    </row>
    <row r="657" spans="1:12" x14ac:dyDescent="0.25">
      <c r="A657" s="20">
        <v>1601</v>
      </c>
      <c r="B657" s="20">
        <v>1803940533001</v>
      </c>
      <c r="C657" s="20" t="s">
        <v>68</v>
      </c>
      <c r="D657" s="22">
        <v>46042</v>
      </c>
      <c r="E657" s="20" t="s">
        <v>17</v>
      </c>
      <c r="F657" s="20">
        <v>1264</v>
      </c>
      <c r="G657" s="20">
        <v>6</v>
      </c>
      <c r="H657" s="20">
        <v>0</v>
      </c>
      <c r="I657" s="20">
        <v>6</v>
      </c>
      <c r="J657" s="20">
        <v>0</v>
      </c>
      <c r="K657" s="20">
        <v>0</v>
      </c>
      <c r="L657" s="20">
        <v>6</v>
      </c>
    </row>
    <row r="658" spans="1:12" x14ac:dyDescent="0.25">
      <c r="A658" s="20">
        <v>1601</v>
      </c>
      <c r="B658" s="20">
        <v>1803940533001</v>
      </c>
      <c r="C658" s="20" t="s">
        <v>68</v>
      </c>
      <c r="D658" s="22">
        <v>46042</v>
      </c>
      <c r="E658" s="20" t="s">
        <v>17</v>
      </c>
      <c r="F658" s="20">
        <v>1268</v>
      </c>
      <c r="G658" s="20">
        <v>6</v>
      </c>
      <c r="H658" s="20">
        <v>0</v>
      </c>
      <c r="I658" s="20">
        <v>6</v>
      </c>
      <c r="J658" s="20">
        <v>0</v>
      </c>
      <c r="K658" s="20">
        <v>0</v>
      </c>
      <c r="L658" s="20">
        <v>6</v>
      </c>
    </row>
    <row r="659" spans="1:12" x14ac:dyDescent="0.25">
      <c r="A659" s="20">
        <v>1601</v>
      </c>
      <c r="B659" s="20">
        <v>1803940533001</v>
      </c>
      <c r="C659" s="20" t="s">
        <v>68</v>
      </c>
      <c r="D659" s="22">
        <v>46042</v>
      </c>
      <c r="E659" s="20" t="s">
        <v>17</v>
      </c>
      <c r="F659" s="20">
        <v>1263</v>
      </c>
      <c r="G659" s="20">
        <v>20</v>
      </c>
      <c r="H659" s="20">
        <v>0</v>
      </c>
      <c r="I659" s="20">
        <v>20</v>
      </c>
      <c r="J659" s="20">
        <v>0</v>
      </c>
      <c r="K659" s="20">
        <v>0</v>
      </c>
      <c r="L659" s="20">
        <v>20</v>
      </c>
    </row>
    <row r="660" spans="1:12" x14ac:dyDescent="0.25">
      <c r="A660" s="20">
        <v>1601</v>
      </c>
      <c r="B660" s="20">
        <v>1803940533001</v>
      </c>
      <c r="C660" s="20" t="s">
        <v>68</v>
      </c>
      <c r="D660" s="22">
        <v>46043</v>
      </c>
      <c r="E660" s="20" t="s">
        <v>17</v>
      </c>
      <c r="F660" s="20">
        <v>1270</v>
      </c>
      <c r="G660" s="20">
        <v>11</v>
      </c>
      <c r="H660" s="20">
        <v>0</v>
      </c>
      <c r="I660" s="20">
        <v>11</v>
      </c>
      <c r="J660" s="20">
        <v>0</v>
      </c>
      <c r="K660" s="20">
        <v>0</v>
      </c>
      <c r="L660" s="20">
        <v>11</v>
      </c>
    </row>
    <row r="661" spans="1:12" x14ac:dyDescent="0.25">
      <c r="A661" s="20">
        <v>1601</v>
      </c>
      <c r="B661" s="20">
        <v>1803940533001</v>
      </c>
      <c r="C661" s="20" t="s">
        <v>68</v>
      </c>
      <c r="D661" s="22">
        <v>46043</v>
      </c>
      <c r="E661" s="20" t="s">
        <v>17</v>
      </c>
      <c r="F661" s="20">
        <v>1271</v>
      </c>
      <c r="G661" s="20">
        <v>11</v>
      </c>
      <c r="H661" s="20">
        <v>0</v>
      </c>
      <c r="I661" s="20">
        <v>11</v>
      </c>
      <c r="J661" s="20">
        <v>0</v>
      </c>
      <c r="K661" s="20">
        <v>0</v>
      </c>
      <c r="L661" s="20">
        <v>11</v>
      </c>
    </row>
    <row r="662" spans="1:12" x14ac:dyDescent="0.25">
      <c r="A662" s="20">
        <v>1601</v>
      </c>
      <c r="B662" s="20">
        <v>1803940533001</v>
      </c>
      <c r="C662" s="20" t="s">
        <v>68</v>
      </c>
      <c r="D662" s="22">
        <v>46043</v>
      </c>
      <c r="E662" s="20" t="s">
        <v>17</v>
      </c>
      <c r="F662" s="20">
        <v>1274</v>
      </c>
      <c r="G662" s="20">
        <v>6</v>
      </c>
      <c r="H662" s="20">
        <v>0</v>
      </c>
      <c r="I662" s="20">
        <v>6</v>
      </c>
      <c r="J662" s="20">
        <v>0</v>
      </c>
      <c r="K662" s="20">
        <v>0</v>
      </c>
      <c r="L662" s="20">
        <v>6</v>
      </c>
    </row>
    <row r="663" spans="1:12" x14ac:dyDescent="0.25">
      <c r="A663" s="20">
        <v>1601</v>
      </c>
      <c r="B663" s="20">
        <v>1803940533001</v>
      </c>
      <c r="C663" s="20" t="s">
        <v>68</v>
      </c>
      <c r="D663" s="22">
        <v>46043</v>
      </c>
      <c r="E663" s="20" t="s">
        <v>17</v>
      </c>
      <c r="F663" s="20">
        <v>1273</v>
      </c>
      <c r="G663" s="20">
        <v>20</v>
      </c>
      <c r="H663" s="20">
        <v>0</v>
      </c>
      <c r="I663" s="20">
        <v>20</v>
      </c>
      <c r="J663" s="20">
        <v>0</v>
      </c>
      <c r="K663" s="20">
        <v>0</v>
      </c>
      <c r="L663" s="20">
        <v>20</v>
      </c>
    </row>
    <row r="664" spans="1:12" x14ac:dyDescent="0.25">
      <c r="A664" s="20">
        <v>1601</v>
      </c>
      <c r="B664" s="20">
        <v>1803940533001</v>
      </c>
      <c r="C664" s="20" t="s">
        <v>68</v>
      </c>
      <c r="D664" s="22">
        <v>46043</v>
      </c>
      <c r="E664" s="20" t="s">
        <v>17</v>
      </c>
      <c r="F664" s="20">
        <v>1272</v>
      </c>
      <c r="G664" s="20">
        <v>6</v>
      </c>
      <c r="H664" s="20">
        <v>0</v>
      </c>
      <c r="I664" s="20">
        <v>6</v>
      </c>
      <c r="J664" s="20">
        <v>0</v>
      </c>
      <c r="K664" s="20">
        <v>0</v>
      </c>
      <c r="L664" s="20">
        <v>6</v>
      </c>
    </row>
    <row r="665" spans="1:12" x14ac:dyDescent="0.25">
      <c r="A665" s="20">
        <v>1601</v>
      </c>
      <c r="B665" s="20">
        <v>1803940533001</v>
      </c>
      <c r="C665" s="20" t="s">
        <v>68</v>
      </c>
      <c r="D665" s="22">
        <v>46044</v>
      </c>
      <c r="E665" s="20" t="s">
        <v>17</v>
      </c>
      <c r="F665" s="20">
        <v>1275</v>
      </c>
      <c r="G665" s="20">
        <v>20</v>
      </c>
      <c r="H665" s="20">
        <v>0</v>
      </c>
      <c r="I665" s="20">
        <v>20</v>
      </c>
      <c r="J665" s="20">
        <v>0</v>
      </c>
      <c r="K665" s="20">
        <v>0</v>
      </c>
      <c r="L665" s="20">
        <v>20</v>
      </c>
    </row>
    <row r="666" spans="1:12" x14ac:dyDescent="0.25">
      <c r="A666" s="20">
        <v>1601</v>
      </c>
      <c r="B666" s="20">
        <v>1803940533001</v>
      </c>
      <c r="C666" s="20" t="s">
        <v>68</v>
      </c>
      <c r="D666" s="22">
        <v>46044</v>
      </c>
      <c r="E666" s="20" t="s">
        <v>17</v>
      </c>
      <c r="F666" s="20">
        <v>1276</v>
      </c>
      <c r="G666" s="20">
        <v>28</v>
      </c>
      <c r="H666" s="20">
        <v>0</v>
      </c>
      <c r="I666" s="20">
        <v>28</v>
      </c>
      <c r="J666" s="20">
        <v>0</v>
      </c>
      <c r="K666" s="20">
        <v>0</v>
      </c>
      <c r="L666" s="20">
        <v>28</v>
      </c>
    </row>
    <row r="667" spans="1:12" x14ac:dyDescent="0.25">
      <c r="A667" s="20">
        <v>1601</v>
      </c>
      <c r="B667" s="20">
        <v>1803940533001</v>
      </c>
      <c r="C667" s="20" t="s">
        <v>68</v>
      </c>
      <c r="D667" s="22">
        <v>46045</v>
      </c>
      <c r="E667" s="20" t="s">
        <v>17</v>
      </c>
      <c r="F667" s="20">
        <v>1277</v>
      </c>
      <c r="G667" s="20">
        <v>20</v>
      </c>
      <c r="H667" s="20">
        <v>0</v>
      </c>
      <c r="I667" s="20">
        <v>20</v>
      </c>
      <c r="J667" s="20">
        <v>0</v>
      </c>
      <c r="K667" s="20">
        <v>0</v>
      </c>
      <c r="L667" s="20">
        <v>20</v>
      </c>
    </row>
    <row r="668" spans="1:12" x14ac:dyDescent="0.25">
      <c r="A668" s="20">
        <v>1601</v>
      </c>
      <c r="B668" s="20">
        <v>1803940533001</v>
      </c>
      <c r="C668" s="20" t="s">
        <v>68</v>
      </c>
      <c r="D668" s="22">
        <v>46045</v>
      </c>
      <c r="E668" s="20" t="s">
        <v>17</v>
      </c>
      <c r="F668" s="20">
        <v>1278</v>
      </c>
      <c r="G668" s="20">
        <v>6</v>
      </c>
      <c r="H668" s="20">
        <v>0</v>
      </c>
      <c r="I668" s="20">
        <v>6</v>
      </c>
      <c r="J668" s="20">
        <v>0</v>
      </c>
      <c r="K668" s="20">
        <v>0</v>
      </c>
      <c r="L668" s="20">
        <v>6</v>
      </c>
    </row>
    <row r="669" spans="1:12" x14ac:dyDescent="0.25">
      <c r="A669" s="20">
        <v>1601</v>
      </c>
      <c r="B669" s="20">
        <v>1803940533001</v>
      </c>
      <c r="C669" s="20" t="s">
        <v>68</v>
      </c>
      <c r="D669" s="22">
        <v>46045</v>
      </c>
      <c r="E669" s="20" t="s">
        <v>17</v>
      </c>
      <c r="F669" s="20">
        <v>1281</v>
      </c>
      <c r="G669" s="20">
        <v>20</v>
      </c>
      <c r="H669" s="20">
        <v>0</v>
      </c>
      <c r="I669" s="20">
        <v>20</v>
      </c>
      <c r="J669" s="20">
        <v>0</v>
      </c>
      <c r="K669" s="20">
        <v>0</v>
      </c>
      <c r="L669" s="20">
        <v>20</v>
      </c>
    </row>
    <row r="670" spans="1:12" x14ac:dyDescent="0.25">
      <c r="A670" s="20">
        <v>1601</v>
      </c>
      <c r="B670" s="20">
        <v>1803940533001</v>
      </c>
      <c r="C670" s="20" t="s">
        <v>68</v>
      </c>
      <c r="D670" s="22">
        <v>46045</v>
      </c>
      <c r="E670" s="20" t="s">
        <v>17</v>
      </c>
      <c r="F670" s="20">
        <v>1280</v>
      </c>
      <c r="G670" s="20">
        <v>20</v>
      </c>
      <c r="H670" s="20">
        <v>0</v>
      </c>
      <c r="I670" s="20">
        <v>20</v>
      </c>
      <c r="J670" s="20">
        <v>0</v>
      </c>
      <c r="K670" s="20">
        <v>0</v>
      </c>
      <c r="L670" s="20">
        <v>20</v>
      </c>
    </row>
    <row r="671" spans="1:12" x14ac:dyDescent="0.25">
      <c r="A671" s="20">
        <v>1601</v>
      </c>
      <c r="B671" s="20">
        <v>1803940533001</v>
      </c>
      <c r="C671" s="20" t="s">
        <v>68</v>
      </c>
      <c r="D671" s="22">
        <v>46045</v>
      </c>
      <c r="E671" s="20" t="s">
        <v>17</v>
      </c>
      <c r="F671" s="20">
        <v>1279</v>
      </c>
      <c r="G671" s="20">
        <v>20</v>
      </c>
      <c r="H671" s="20">
        <v>0</v>
      </c>
      <c r="I671" s="20">
        <v>20</v>
      </c>
      <c r="J671" s="20">
        <v>0</v>
      </c>
      <c r="K671" s="20">
        <v>0</v>
      </c>
      <c r="L671" s="20">
        <v>20</v>
      </c>
    </row>
    <row r="672" spans="1:12" x14ac:dyDescent="0.25">
      <c r="A672" s="20">
        <v>1601</v>
      </c>
      <c r="B672" s="20">
        <v>1803940533001</v>
      </c>
      <c r="C672" s="20" t="s">
        <v>68</v>
      </c>
      <c r="D672" s="22">
        <v>46046</v>
      </c>
      <c r="E672" s="20" t="s">
        <v>17</v>
      </c>
      <c r="F672" s="20">
        <v>1283</v>
      </c>
      <c r="G672" s="20">
        <v>11</v>
      </c>
      <c r="H672" s="20">
        <v>0</v>
      </c>
      <c r="I672" s="20">
        <v>11</v>
      </c>
      <c r="J672" s="20">
        <v>0</v>
      </c>
      <c r="K672" s="20">
        <v>0</v>
      </c>
      <c r="L672" s="20">
        <v>11</v>
      </c>
    </row>
    <row r="673" spans="1:12" x14ac:dyDescent="0.25">
      <c r="A673" s="20">
        <v>1601</v>
      </c>
      <c r="B673" s="20">
        <v>1803940533001</v>
      </c>
      <c r="C673" s="20" t="s">
        <v>68</v>
      </c>
      <c r="D673" s="22">
        <v>46046</v>
      </c>
      <c r="E673" s="20" t="s">
        <v>17</v>
      </c>
      <c r="F673" s="20">
        <v>1285</v>
      </c>
      <c r="G673" s="20">
        <v>20</v>
      </c>
      <c r="H673" s="20">
        <v>0</v>
      </c>
      <c r="I673" s="20">
        <v>20</v>
      </c>
      <c r="J673" s="20">
        <v>0</v>
      </c>
      <c r="K673" s="20">
        <v>0</v>
      </c>
      <c r="L673" s="20">
        <v>20</v>
      </c>
    </row>
    <row r="674" spans="1:12" x14ac:dyDescent="0.25">
      <c r="A674" s="20">
        <v>1601</v>
      </c>
      <c r="B674" s="20">
        <v>1803940533001</v>
      </c>
      <c r="C674" s="20" t="s">
        <v>68</v>
      </c>
      <c r="D674" s="22">
        <v>46046</v>
      </c>
      <c r="E674" s="20" t="s">
        <v>17</v>
      </c>
      <c r="F674" s="20">
        <v>1284</v>
      </c>
      <c r="G674" s="20">
        <v>20</v>
      </c>
      <c r="H674" s="20">
        <v>0</v>
      </c>
      <c r="I674" s="20">
        <v>20</v>
      </c>
      <c r="J674" s="20">
        <v>0</v>
      </c>
      <c r="K674" s="20">
        <v>0</v>
      </c>
      <c r="L674" s="20">
        <v>20</v>
      </c>
    </row>
    <row r="675" spans="1:12" x14ac:dyDescent="0.25">
      <c r="A675" s="20">
        <v>1601</v>
      </c>
      <c r="B675" s="20">
        <v>1803940533001</v>
      </c>
      <c r="C675" s="20" t="s">
        <v>68</v>
      </c>
      <c r="D675" s="22">
        <v>46048</v>
      </c>
      <c r="E675" s="20" t="s">
        <v>17</v>
      </c>
      <c r="F675" s="20">
        <v>1286</v>
      </c>
      <c r="G675" s="20">
        <v>20</v>
      </c>
      <c r="H675" s="20">
        <v>0</v>
      </c>
      <c r="I675" s="20">
        <v>20</v>
      </c>
      <c r="J675" s="20">
        <v>0</v>
      </c>
      <c r="K675" s="20">
        <v>0</v>
      </c>
      <c r="L675" s="20">
        <v>20</v>
      </c>
    </row>
    <row r="676" spans="1:12" x14ac:dyDescent="0.25">
      <c r="A676" s="20">
        <v>1601</v>
      </c>
      <c r="B676" s="20">
        <v>1803940533001</v>
      </c>
      <c r="C676" s="20" t="s">
        <v>68</v>
      </c>
      <c r="D676" s="22">
        <v>46049</v>
      </c>
      <c r="E676" s="20" t="s">
        <v>17</v>
      </c>
      <c r="F676" s="20">
        <v>1288</v>
      </c>
      <c r="G676" s="20">
        <v>20</v>
      </c>
      <c r="H676" s="20">
        <v>0</v>
      </c>
      <c r="I676" s="20">
        <v>20</v>
      </c>
      <c r="J676" s="20">
        <v>0</v>
      </c>
      <c r="K676" s="20">
        <v>0</v>
      </c>
      <c r="L676" s="20">
        <v>20</v>
      </c>
    </row>
    <row r="677" spans="1:12" x14ac:dyDescent="0.25">
      <c r="A677" s="20">
        <v>1601</v>
      </c>
      <c r="B677" s="20">
        <v>1803940533001</v>
      </c>
      <c r="C677" s="20" t="s">
        <v>68</v>
      </c>
      <c r="D677" s="22">
        <v>46049</v>
      </c>
      <c r="E677" s="20" t="s">
        <v>17</v>
      </c>
      <c r="F677" s="20">
        <v>1289</v>
      </c>
      <c r="G677" s="20">
        <v>40</v>
      </c>
      <c r="H677" s="20">
        <v>0</v>
      </c>
      <c r="I677" s="20">
        <v>40</v>
      </c>
      <c r="J677" s="20">
        <v>0</v>
      </c>
      <c r="K677" s="20">
        <v>0</v>
      </c>
      <c r="L677" s="20">
        <v>40</v>
      </c>
    </row>
    <row r="678" spans="1:12" x14ac:dyDescent="0.25">
      <c r="A678" s="20">
        <v>1601</v>
      </c>
      <c r="B678" s="20">
        <v>1803940533001</v>
      </c>
      <c r="C678" s="20" t="s">
        <v>68</v>
      </c>
      <c r="D678" s="22">
        <v>46050</v>
      </c>
      <c r="E678" s="20" t="s">
        <v>17</v>
      </c>
      <c r="F678" s="20">
        <v>1293</v>
      </c>
      <c r="G678" s="20">
        <v>37</v>
      </c>
      <c r="H678" s="20">
        <v>0</v>
      </c>
      <c r="I678" s="20">
        <v>37</v>
      </c>
      <c r="J678" s="20">
        <v>0</v>
      </c>
      <c r="K678" s="20">
        <v>0</v>
      </c>
      <c r="L678" s="20">
        <v>37</v>
      </c>
    </row>
    <row r="679" spans="1:12" x14ac:dyDescent="0.25">
      <c r="A679" s="20">
        <v>1601</v>
      </c>
      <c r="B679" s="20">
        <v>1803940533001</v>
      </c>
      <c r="C679" s="20" t="s">
        <v>68</v>
      </c>
      <c r="D679" s="22">
        <v>46050</v>
      </c>
      <c r="E679" s="20" t="s">
        <v>17</v>
      </c>
      <c r="F679" s="20">
        <v>1290</v>
      </c>
      <c r="G679" s="20">
        <v>20</v>
      </c>
      <c r="H679" s="20">
        <v>0</v>
      </c>
      <c r="I679" s="20">
        <v>20</v>
      </c>
      <c r="J679" s="20">
        <v>0</v>
      </c>
      <c r="K679" s="20">
        <v>0</v>
      </c>
      <c r="L679" s="20">
        <v>20</v>
      </c>
    </row>
    <row r="680" spans="1:12" x14ac:dyDescent="0.25">
      <c r="A680" s="20">
        <v>1601</v>
      </c>
      <c r="B680" s="20">
        <v>1803940533001</v>
      </c>
      <c r="C680" s="20" t="s">
        <v>68</v>
      </c>
      <c r="D680" s="22">
        <v>46050</v>
      </c>
      <c r="E680" s="20" t="s">
        <v>17</v>
      </c>
      <c r="F680" s="20">
        <v>1294</v>
      </c>
      <c r="G680" s="20">
        <v>20</v>
      </c>
      <c r="H680" s="20">
        <v>0</v>
      </c>
      <c r="I680" s="20">
        <v>20</v>
      </c>
      <c r="J680" s="20">
        <v>0</v>
      </c>
      <c r="K680" s="20">
        <v>0</v>
      </c>
      <c r="L680" s="20">
        <v>20</v>
      </c>
    </row>
    <row r="681" spans="1:12" x14ac:dyDescent="0.25">
      <c r="A681" s="20">
        <v>1601</v>
      </c>
      <c r="B681" s="20">
        <v>1803940533001</v>
      </c>
      <c r="C681" s="20" t="s">
        <v>68</v>
      </c>
      <c r="D681" s="22">
        <v>46050</v>
      </c>
      <c r="E681" s="20" t="s">
        <v>17</v>
      </c>
      <c r="F681" s="20">
        <v>1292</v>
      </c>
      <c r="G681" s="20">
        <v>20</v>
      </c>
      <c r="H681" s="20">
        <v>0</v>
      </c>
      <c r="I681" s="20">
        <v>20</v>
      </c>
      <c r="J681" s="20">
        <v>0</v>
      </c>
      <c r="K681" s="20">
        <v>0</v>
      </c>
      <c r="L681" s="20">
        <v>20</v>
      </c>
    </row>
    <row r="682" spans="1:12" x14ac:dyDescent="0.25">
      <c r="A682" s="20">
        <v>1601</v>
      </c>
      <c r="B682" s="20">
        <v>1803940533001</v>
      </c>
      <c r="C682" s="20" t="s">
        <v>68</v>
      </c>
      <c r="D682" s="22">
        <v>46050</v>
      </c>
      <c r="E682" s="20" t="s">
        <v>17</v>
      </c>
      <c r="F682" s="20">
        <v>1291</v>
      </c>
      <c r="G682" s="20">
        <v>6</v>
      </c>
      <c r="H682" s="20">
        <v>0</v>
      </c>
      <c r="I682" s="20">
        <v>6</v>
      </c>
      <c r="J682" s="20">
        <v>0</v>
      </c>
      <c r="K682" s="20">
        <v>0</v>
      </c>
      <c r="L682" s="20">
        <v>6</v>
      </c>
    </row>
    <row r="683" spans="1:12" x14ac:dyDescent="0.25">
      <c r="A683" s="20">
        <v>1601</v>
      </c>
      <c r="B683" s="20">
        <v>1803940533001</v>
      </c>
      <c r="C683" s="20" t="s">
        <v>68</v>
      </c>
      <c r="D683" s="22">
        <v>46051</v>
      </c>
      <c r="E683" s="20" t="s">
        <v>17</v>
      </c>
      <c r="F683" s="20">
        <v>1295</v>
      </c>
      <c r="G683" s="20">
        <v>20</v>
      </c>
      <c r="H683" s="20">
        <v>0</v>
      </c>
      <c r="I683" s="20">
        <v>20</v>
      </c>
      <c r="J683" s="20">
        <v>0</v>
      </c>
      <c r="K683" s="20">
        <v>0</v>
      </c>
      <c r="L683" s="20">
        <v>20</v>
      </c>
    </row>
    <row r="684" spans="1:12" x14ac:dyDescent="0.25">
      <c r="A684" s="20">
        <v>1601</v>
      </c>
      <c r="B684" s="20">
        <v>1803940533001</v>
      </c>
      <c r="C684" s="20" t="s">
        <v>68</v>
      </c>
      <c r="D684" s="22">
        <v>46051</v>
      </c>
      <c r="E684" s="20" t="s">
        <v>17</v>
      </c>
      <c r="F684" s="20">
        <v>1296</v>
      </c>
      <c r="G684" s="20">
        <v>20</v>
      </c>
      <c r="H684" s="20">
        <v>0</v>
      </c>
      <c r="I684" s="20">
        <v>20</v>
      </c>
      <c r="J684" s="20">
        <v>0</v>
      </c>
      <c r="K684" s="20">
        <v>0</v>
      </c>
      <c r="L684" s="20">
        <v>20</v>
      </c>
    </row>
    <row r="685" spans="1:12" x14ac:dyDescent="0.25">
      <c r="A685" s="20">
        <v>1601</v>
      </c>
      <c r="B685" s="20">
        <v>1803940533001</v>
      </c>
      <c r="C685" s="20" t="s">
        <v>68</v>
      </c>
      <c r="D685" s="22">
        <v>46052</v>
      </c>
      <c r="E685" s="20" t="s">
        <v>17</v>
      </c>
      <c r="F685" s="20">
        <v>1302</v>
      </c>
      <c r="G685" s="20">
        <v>20</v>
      </c>
      <c r="H685" s="20">
        <v>0</v>
      </c>
      <c r="I685" s="20">
        <v>20</v>
      </c>
      <c r="J685" s="20">
        <v>0</v>
      </c>
      <c r="K685" s="20">
        <v>0</v>
      </c>
      <c r="L685" s="20">
        <v>20</v>
      </c>
    </row>
    <row r="686" spans="1:12" x14ac:dyDescent="0.25">
      <c r="A686" s="20">
        <v>1601</v>
      </c>
      <c r="B686" s="20">
        <v>1803940533001</v>
      </c>
      <c r="C686" s="20" t="s">
        <v>68</v>
      </c>
      <c r="D686" s="22">
        <v>46052</v>
      </c>
      <c r="E686" s="20" t="s">
        <v>17</v>
      </c>
      <c r="F686" s="20">
        <v>1301</v>
      </c>
      <c r="G686" s="20">
        <v>20</v>
      </c>
      <c r="H686" s="20">
        <v>0</v>
      </c>
      <c r="I686" s="20">
        <v>20</v>
      </c>
      <c r="J686" s="20">
        <v>0</v>
      </c>
      <c r="K686" s="20">
        <v>0</v>
      </c>
      <c r="L686" s="20">
        <v>20</v>
      </c>
    </row>
    <row r="687" spans="1:12" x14ac:dyDescent="0.25">
      <c r="A687" s="20">
        <v>1601</v>
      </c>
      <c r="B687" s="20">
        <v>1803940533001</v>
      </c>
      <c r="C687" s="20" t="s">
        <v>68</v>
      </c>
      <c r="D687" s="22">
        <v>46053</v>
      </c>
      <c r="E687" s="20" t="s">
        <v>17</v>
      </c>
      <c r="F687" s="20">
        <v>1306</v>
      </c>
      <c r="G687" s="20">
        <v>37</v>
      </c>
      <c r="H687" s="20">
        <v>0</v>
      </c>
      <c r="I687" s="20">
        <v>37</v>
      </c>
      <c r="J687" s="20">
        <v>0</v>
      </c>
      <c r="K687" s="20">
        <v>0</v>
      </c>
      <c r="L687" s="20">
        <v>37</v>
      </c>
    </row>
    <row r="688" spans="1:12" x14ac:dyDescent="0.25">
      <c r="A688" s="20">
        <v>1601</v>
      </c>
      <c r="B688" s="20">
        <v>1803940533001</v>
      </c>
      <c r="C688" s="20" t="s">
        <v>68</v>
      </c>
      <c r="D688" s="22">
        <v>46053</v>
      </c>
      <c r="E688" s="20" t="s">
        <v>17</v>
      </c>
      <c r="F688" s="20">
        <v>1305</v>
      </c>
      <c r="G688" s="20">
        <v>11</v>
      </c>
      <c r="H688" s="20">
        <v>0</v>
      </c>
      <c r="I688" s="20">
        <v>11</v>
      </c>
      <c r="J688" s="20">
        <v>0</v>
      </c>
      <c r="K688" s="20">
        <v>0</v>
      </c>
      <c r="L688" s="20">
        <v>11</v>
      </c>
    </row>
    <row r="689" spans="1:12" x14ac:dyDescent="0.25">
      <c r="A689" s="20">
        <v>1601</v>
      </c>
      <c r="B689" s="20">
        <v>1803940533001</v>
      </c>
      <c r="C689" s="20" t="s">
        <v>68</v>
      </c>
      <c r="D689" s="22">
        <v>46053</v>
      </c>
      <c r="E689" s="20" t="s">
        <v>17</v>
      </c>
      <c r="F689" s="20">
        <v>1304</v>
      </c>
      <c r="G689" s="20">
        <v>20</v>
      </c>
      <c r="H689" s="20">
        <v>0</v>
      </c>
      <c r="I689" s="20">
        <v>20</v>
      </c>
      <c r="J689" s="20">
        <v>0</v>
      </c>
      <c r="K689" s="20">
        <v>0</v>
      </c>
      <c r="L689" s="20">
        <v>20</v>
      </c>
    </row>
    <row r="690" spans="1:12" x14ac:dyDescent="0.25">
      <c r="A690" s="20">
        <v>1601</v>
      </c>
      <c r="B690" s="20">
        <v>1803940533001</v>
      </c>
      <c r="C690" s="20" t="s">
        <v>68</v>
      </c>
      <c r="D690" s="22">
        <v>46053</v>
      </c>
      <c r="E690" s="20" t="s">
        <v>17</v>
      </c>
      <c r="F690" s="20">
        <v>1303</v>
      </c>
      <c r="G690" s="20">
        <v>6</v>
      </c>
      <c r="H690" s="20">
        <v>0</v>
      </c>
      <c r="I690" s="20">
        <v>6</v>
      </c>
      <c r="J690" s="20">
        <v>0</v>
      </c>
      <c r="K690" s="20">
        <v>0</v>
      </c>
      <c r="L690" s="20">
        <v>6</v>
      </c>
    </row>
    <row r="691" spans="1:12" x14ac:dyDescent="0.25">
      <c r="A691" s="20">
        <v>1734</v>
      </c>
      <c r="B691" s="20">
        <v>1804345385001</v>
      </c>
      <c r="C691" s="20" t="s">
        <v>71</v>
      </c>
      <c r="D691" s="22">
        <v>46030</v>
      </c>
      <c r="E691" s="20" t="s">
        <v>17</v>
      </c>
      <c r="F691" s="20">
        <v>309</v>
      </c>
      <c r="G691" s="20">
        <v>50</v>
      </c>
      <c r="H691" s="20">
        <v>0</v>
      </c>
      <c r="I691" s="20">
        <v>50</v>
      </c>
      <c r="J691" s="20">
        <v>0</v>
      </c>
      <c r="K691" s="20">
        <v>0</v>
      </c>
      <c r="L691" s="20">
        <v>50</v>
      </c>
    </row>
    <row r="692" spans="1:12" x14ac:dyDescent="0.25">
      <c r="A692" s="20">
        <v>1734</v>
      </c>
      <c r="B692" s="20">
        <v>1804345385001</v>
      </c>
      <c r="C692" s="20" t="s">
        <v>71</v>
      </c>
      <c r="D692" s="22">
        <v>46036</v>
      </c>
      <c r="E692" s="20" t="s">
        <v>17</v>
      </c>
      <c r="F692" s="20">
        <v>312</v>
      </c>
      <c r="G692" s="20">
        <v>45</v>
      </c>
      <c r="H692" s="20">
        <v>0</v>
      </c>
      <c r="I692" s="20">
        <v>45</v>
      </c>
      <c r="J692" s="20">
        <v>0</v>
      </c>
      <c r="K692" s="20">
        <v>0</v>
      </c>
      <c r="L692" s="20">
        <v>45</v>
      </c>
    </row>
    <row r="693" spans="1:12" x14ac:dyDescent="0.25">
      <c r="H693">
        <f>SUM(H513:H692)</f>
        <v>0</v>
      </c>
      <c r="I693" s="4">
        <f>SUM(I513:I692)</f>
        <v>3486.26</v>
      </c>
    </row>
    <row r="696" spans="1:12" ht="18.75" x14ac:dyDescent="0.3">
      <c r="A696" s="5" t="s">
        <v>719</v>
      </c>
    </row>
    <row r="697" spans="1:12" x14ac:dyDescent="0.25">
      <c r="A697" s="23" t="s">
        <v>0</v>
      </c>
      <c r="B697" s="23" t="s">
        <v>1</v>
      </c>
      <c r="C697" s="23" t="s">
        <v>2</v>
      </c>
      <c r="D697" s="23" t="s">
        <v>3</v>
      </c>
      <c r="E697" s="23" t="s">
        <v>4</v>
      </c>
      <c r="F697" s="23" t="s">
        <v>5</v>
      </c>
      <c r="G697" s="23" t="s">
        <v>6</v>
      </c>
      <c r="H697" s="23" t="s">
        <v>7</v>
      </c>
      <c r="I697" s="23" t="s">
        <v>8</v>
      </c>
      <c r="J697" s="23" t="s">
        <v>9</v>
      </c>
      <c r="K697" s="23" t="s">
        <v>10</v>
      </c>
      <c r="L697" s="23" t="s">
        <v>11</v>
      </c>
    </row>
    <row r="698" spans="1:12" x14ac:dyDescent="0.25">
      <c r="A698" s="20">
        <v>355</v>
      </c>
      <c r="B698" s="20">
        <v>1768152560001</v>
      </c>
      <c r="C698" s="20" t="s">
        <v>30</v>
      </c>
      <c r="D698" s="22">
        <v>46041</v>
      </c>
      <c r="E698" s="20" t="s">
        <v>31</v>
      </c>
      <c r="F698" s="20">
        <v>900293039</v>
      </c>
      <c r="G698" s="21">
        <v>7.13</v>
      </c>
      <c r="H698" s="20">
        <v>0</v>
      </c>
      <c r="I698" s="21">
        <v>7.13</v>
      </c>
      <c r="J698" s="20">
        <v>0</v>
      </c>
      <c r="K698" s="20">
        <v>0</v>
      </c>
      <c r="L698" s="20">
        <v>0</v>
      </c>
    </row>
    <row r="699" spans="1:12" x14ac:dyDescent="0.25">
      <c r="A699" s="20">
        <v>355</v>
      </c>
      <c r="B699" s="20">
        <v>1768152560001</v>
      </c>
      <c r="C699" s="20" t="s">
        <v>30</v>
      </c>
      <c r="D699" s="22">
        <v>46041</v>
      </c>
      <c r="E699" s="20" t="s">
        <v>31</v>
      </c>
      <c r="F699" s="20">
        <v>900293033</v>
      </c>
      <c r="G699" s="20">
        <v>13.8</v>
      </c>
      <c r="H699" s="20">
        <v>0</v>
      </c>
      <c r="I699" s="20">
        <v>13.8</v>
      </c>
      <c r="J699" s="20">
        <v>0</v>
      </c>
      <c r="K699" s="20">
        <v>0</v>
      </c>
      <c r="L699" s="20">
        <v>0</v>
      </c>
    </row>
    <row r="700" spans="1:12" x14ac:dyDescent="0.25">
      <c r="A700" s="20">
        <v>800</v>
      </c>
      <c r="B700" s="20">
        <v>1791256115001</v>
      </c>
      <c r="C700" s="20" t="s">
        <v>35</v>
      </c>
      <c r="D700" s="22">
        <v>46041</v>
      </c>
      <c r="E700" s="20" t="s">
        <v>31</v>
      </c>
      <c r="F700" s="20">
        <v>902556998</v>
      </c>
      <c r="G700" s="20">
        <v>57.5</v>
      </c>
      <c r="H700" s="20">
        <v>0</v>
      </c>
      <c r="I700" s="20">
        <v>57.5</v>
      </c>
      <c r="J700" s="20">
        <v>0</v>
      </c>
      <c r="K700" s="20">
        <v>0</v>
      </c>
      <c r="L700" s="20">
        <v>0</v>
      </c>
    </row>
    <row r="701" spans="1:12" x14ac:dyDescent="0.25">
      <c r="A701" s="20">
        <v>339</v>
      </c>
      <c r="B701" s="20">
        <v>1791310063001</v>
      </c>
      <c r="C701" s="20" t="s">
        <v>36</v>
      </c>
      <c r="D701" s="22">
        <v>46042</v>
      </c>
      <c r="E701" s="20" t="s">
        <v>31</v>
      </c>
      <c r="F701" s="20">
        <v>901453160</v>
      </c>
      <c r="G701" s="20">
        <v>60.09</v>
      </c>
      <c r="H701" s="20">
        <v>0</v>
      </c>
      <c r="I701" s="20">
        <v>60.09</v>
      </c>
      <c r="J701" s="20">
        <v>0</v>
      </c>
      <c r="K701" s="20">
        <v>0</v>
      </c>
      <c r="L701" s="20">
        <v>0</v>
      </c>
    </row>
    <row r="702" spans="1:12" x14ac:dyDescent="0.25">
      <c r="A702" s="20">
        <v>1522</v>
      </c>
      <c r="B702" s="20">
        <v>1792967724001</v>
      </c>
      <c r="C702" s="20" t="s">
        <v>40</v>
      </c>
      <c r="D702" s="22">
        <v>46053</v>
      </c>
      <c r="E702" s="20" t="s">
        <v>31</v>
      </c>
      <c r="F702" s="20">
        <v>1751</v>
      </c>
      <c r="G702" s="20">
        <v>21.75</v>
      </c>
      <c r="H702" s="20">
        <v>21.75</v>
      </c>
      <c r="I702" s="20">
        <v>0</v>
      </c>
      <c r="J702" s="20">
        <v>0</v>
      </c>
      <c r="K702" s="20">
        <v>0</v>
      </c>
      <c r="L702" s="20">
        <v>0</v>
      </c>
    </row>
    <row r="703" spans="1:12" x14ac:dyDescent="0.25">
      <c r="A703" s="20">
        <v>1410</v>
      </c>
      <c r="B703" s="20">
        <v>1793107958001</v>
      </c>
      <c r="C703" s="20" t="s">
        <v>43</v>
      </c>
      <c r="D703" s="22">
        <v>46034</v>
      </c>
      <c r="E703" s="20" t="s">
        <v>31</v>
      </c>
      <c r="F703" s="20">
        <v>900007724</v>
      </c>
      <c r="G703" s="20">
        <v>48.3</v>
      </c>
      <c r="H703" s="20">
        <v>48.3</v>
      </c>
      <c r="I703" s="20">
        <v>0</v>
      </c>
      <c r="J703" s="20">
        <v>0</v>
      </c>
      <c r="K703" s="20">
        <v>0</v>
      </c>
      <c r="L703" s="20">
        <v>0</v>
      </c>
    </row>
    <row r="704" spans="1:12" x14ac:dyDescent="0.25">
      <c r="A704" s="20">
        <v>1809</v>
      </c>
      <c r="B704" s="20">
        <v>1805135306001</v>
      </c>
      <c r="C704" s="20" t="s">
        <v>75</v>
      </c>
      <c r="D704" s="22">
        <v>46042</v>
      </c>
      <c r="E704" s="20" t="s">
        <v>31</v>
      </c>
      <c r="F704" s="20">
        <v>900000029</v>
      </c>
      <c r="G704" s="20">
        <v>180</v>
      </c>
      <c r="H704" s="20">
        <v>0</v>
      </c>
      <c r="I704" s="20">
        <v>180</v>
      </c>
      <c r="J704" s="20">
        <v>0</v>
      </c>
      <c r="K704" s="20">
        <v>0</v>
      </c>
      <c r="L704" s="20">
        <v>0</v>
      </c>
    </row>
    <row r="705" spans="1:12" x14ac:dyDescent="0.25">
      <c r="A705" s="20">
        <v>485</v>
      </c>
      <c r="B705" s="20">
        <v>1865030070001</v>
      </c>
      <c r="C705" s="20" t="s">
        <v>81</v>
      </c>
      <c r="D705" s="22">
        <v>46048</v>
      </c>
      <c r="E705" s="20" t="s">
        <v>31</v>
      </c>
      <c r="F705" s="20">
        <v>904268438</v>
      </c>
      <c r="G705" s="20">
        <v>76.61</v>
      </c>
      <c r="H705" s="20">
        <v>0</v>
      </c>
      <c r="I705" s="20">
        <v>76.61</v>
      </c>
      <c r="J705" s="20">
        <v>0</v>
      </c>
      <c r="K705" s="20">
        <v>0</v>
      </c>
      <c r="L705" s="20">
        <v>0</v>
      </c>
    </row>
    <row r="706" spans="1:12" x14ac:dyDescent="0.25">
      <c r="A706" s="20">
        <v>1351</v>
      </c>
      <c r="B706" s="20">
        <v>1865033840001</v>
      </c>
      <c r="C706" s="20" t="s">
        <v>82</v>
      </c>
      <c r="D706" s="22">
        <v>46048</v>
      </c>
      <c r="E706" s="20" t="s">
        <v>31</v>
      </c>
      <c r="F706" s="20">
        <v>900142458</v>
      </c>
      <c r="G706" s="20">
        <v>12.85</v>
      </c>
      <c r="H706" s="20">
        <v>0</v>
      </c>
      <c r="I706" s="20">
        <v>12.85</v>
      </c>
      <c r="J706" s="20">
        <v>0</v>
      </c>
      <c r="K706" s="20">
        <v>0</v>
      </c>
      <c r="L706" s="20">
        <v>0</v>
      </c>
    </row>
    <row r="707" spans="1:12" x14ac:dyDescent="0.25">
      <c r="A707" s="20">
        <v>484</v>
      </c>
      <c r="B707" s="20">
        <v>1890001439001</v>
      </c>
      <c r="C707" s="20" t="s">
        <v>83</v>
      </c>
      <c r="D707" s="22">
        <v>46041</v>
      </c>
      <c r="E707" s="20" t="s">
        <v>31</v>
      </c>
      <c r="F707" s="20">
        <v>900246187</v>
      </c>
      <c r="G707" s="20">
        <v>54.65</v>
      </c>
      <c r="H707" s="20">
        <v>0</v>
      </c>
      <c r="I707" s="20">
        <v>54.65</v>
      </c>
      <c r="J707" s="20">
        <v>0</v>
      </c>
      <c r="K707" s="20">
        <v>0</v>
      </c>
      <c r="L707" s="20">
        <v>0</v>
      </c>
    </row>
    <row r="708" spans="1:12" x14ac:dyDescent="0.25">
      <c r="A708" s="20">
        <v>484</v>
      </c>
      <c r="B708" s="20">
        <v>1890001439001</v>
      </c>
      <c r="C708" s="20" t="s">
        <v>83</v>
      </c>
      <c r="D708" s="22">
        <v>46041</v>
      </c>
      <c r="E708" s="20" t="s">
        <v>31</v>
      </c>
      <c r="F708" s="20">
        <v>900225233</v>
      </c>
      <c r="G708" s="20">
        <v>892.73</v>
      </c>
      <c r="H708" s="20">
        <v>0</v>
      </c>
      <c r="I708" s="20">
        <v>892.73</v>
      </c>
      <c r="J708" s="20">
        <v>0</v>
      </c>
      <c r="K708" s="20">
        <v>0</v>
      </c>
      <c r="L708" s="20">
        <v>0</v>
      </c>
    </row>
    <row r="709" spans="1:12" x14ac:dyDescent="0.25">
      <c r="A709" s="20">
        <v>1246</v>
      </c>
      <c r="B709" s="20">
        <v>1891786383001</v>
      </c>
      <c r="C709" s="20" t="s">
        <v>90</v>
      </c>
      <c r="D709" s="22">
        <v>46034</v>
      </c>
      <c r="E709" s="20" t="s">
        <v>31</v>
      </c>
      <c r="F709" s="20">
        <v>800000438</v>
      </c>
      <c r="G709" s="21">
        <v>6000</v>
      </c>
      <c r="H709" s="21">
        <v>6000</v>
      </c>
      <c r="I709" s="20">
        <v>0</v>
      </c>
      <c r="J709" s="20">
        <v>0</v>
      </c>
      <c r="K709" s="20">
        <v>0</v>
      </c>
      <c r="L709" s="20">
        <v>0</v>
      </c>
    </row>
    <row r="710" spans="1:12" x14ac:dyDescent="0.25">
      <c r="A710" s="20">
        <v>1497</v>
      </c>
      <c r="B710" s="20">
        <v>1891804802001</v>
      </c>
      <c r="C710" s="20" t="s">
        <v>92</v>
      </c>
      <c r="D710" s="22">
        <v>46043</v>
      </c>
      <c r="E710" s="20" t="s">
        <v>31</v>
      </c>
      <c r="F710" s="20">
        <v>800000180</v>
      </c>
      <c r="G710" s="21">
        <v>6000</v>
      </c>
      <c r="H710" s="21">
        <v>6000</v>
      </c>
      <c r="I710" s="20">
        <v>0</v>
      </c>
      <c r="J710" s="20">
        <v>0</v>
      </c>
      <c r="K710" s="20">
        <v>0</v>
      </c>
      <c r="L710" s="20">
        <v>0</v>
      </c>
    </row>
    <row r="711" spans="1:12" x14ac:dyDescent="0.25">
      <c r="A711" s="20">
        <v>1410</v>
      </c>
      <c r="B711" s="20">
        <v>1793107958001</v>
      </c>
      <c r="C711" s="20" t="s">
        <v>43</v>
      </c>
      <c r="D711" s="22">
        <v>46045</v>
      </c>
      <c r="E711" s="20" t="s">
        <v>45</v>
      </c>
      <c r="F711" s="20">
        <v>11605802</v>
      </c>
      <c r="G711" s="21">
        <v>41800.93</v>
      </c>
      <c r="H711" s="20">
        <v>0</v>
      </c>
      <c r="I711" s="20">
        <v>0</v>
      </c>
      <c r="J711" s="20">
        <v>0</v>
      </c>
      <c r="K711" s="20">
        <v>0</v>
      </c>
      <c r="L711" s="20">
        <v>0</v>
      </c>
    </row>
    <row r="712" spans="1:12" x14ac:dyDescent="0.25">
      <c r="A712" s="20">
        <v>1410</v>
      </c>
      <c r="B712" s="20">
        <v>1793107958001</v>
      </c>
      <c r="C712" s="20" t="s">
        <v>43</v>
      </c>
      <c r="D712" s="22">
        <v>46045</v>
      </c>
      <c r="E712" s="20" t="s">
        <v>45</v>
      </c>
      <c r="F712" s="20">
        <v>11605902</v>
      </c>
      <c r="G712" s="21">
        <v>2379.48</v>
      </c>
      <c r="H712" s="20">
        <v>0</v>
      </c>
      <c r="I712" s="20">
        <v>0</v>
      </c>
      <c r="J712" s="20">
        <v>0</v>
      </c>
      <c r="K712" s="20">
        <v>0</v>
      </c>
      <c r="L712" s="20">
        <v>0</v>
      </c>
    </row>
    <row r="713" spans="1:12" x14ac:dyDescent="0.25">
      <c r="A713" s="20">
        <v>1792</v>
      </c>
      <c r="B713" s="20">
        <v>1793162797001</v>
      </c>
      <c r="C713" s="20" t="s">
        <v>46</v>
      </c>
      <c r="D713" s="22">
        <v>46045</v>
      </c>
      <c r="E713" s="20" t="s">
        <v>45</v>
      </c>
      <c r="F713" s="20">
        <v>11606002</v>
      </c>
      <c r="G713" s="21">
        <v>12512.75</v>
      </c>
      <c r="H713" s="20">
        <v>0</v>
      </c>
      <c r="I713" s="20">
        <v>0</v>
      </c>
      <c r="J713" s="20">
        <v>0</v>
      </c>
      <c r="K713" s="20">
        <v>0</v>
      </c>
      <c r="L713" s="20">
        <v>0</v>
      </c>
    </row>
    <row r="714" spans="1:12" x14ac:dyDescent="0.25">
      <c r="A714" s="20">
        <v>1246</v>
      </c>
      <c r="B714" s="20">
        <v>1891786383001</v>
      </c>
      <c r="C714" s="20" t="s">
        <v>90</v>
      </c>
      <c r="D714" s="22">
        <v>46035</v>
      </c>
      <c r="E714" s="20" t="s">
        <v>45</v>
      </c>
      <c r="F714" s="20">
        <v>11569502</v>
      </c>
      <c r="G714" s="21">
        <v>4150</v>
      </c>
      <c r="H714" s="20">
        <v>0</v>
      </c>
      <c r="I714" s="20">
        <v>0</v>
      </c>
      <c r="J714" s="20">
        <v>0</v>
      </c>
      <c r="K714" s="20">
        <v>0</v>
      </c>
      <c r="L714" s="20">
        <v>0</v>
      </c>
    </row>
    <row r="715" spans="1:12" x14ac:dyDescent="0.25">
      <c r="A715" s="20">
        <v>1497</v>
      </c>
      <c r="B715" s="20">
        <v>1891804802001</v>
      </c>
      <c r="C715" s="20" t="s">
        <v>92</v>
      </c>
      <c r="D715" s="22">
        <v>46045</v>
      </c>
      <c r="E715" s="20" t="s">
        <v>45</v>
      </c>
      <c r="F715" s="20">
        <v>11605402</v>
      </c>
      <c r="G715" s="21">
        <v>3700</v>
      </c>
      <c r="H715" s="20">
        <v>0</v>
      </c>
      <c r="I715" s="20">
        <v>0</v>
      </c>
      <c r="J715" s="20">
        <v>0</v>
      </c>
      <c r="K715" s="20">
        <v>0</v>
      </c>
      <c r="L715" s="20">
        <v>0</v>
      </c>
    </row>
    <row r="716" spans="1:12" x14ac:dyDescent="0.25">
      <c r="A716" s="20">
        <v>1522</v>
      </c>
      <c r="B716" s="20">
        <v>1792967724001</v>
      </c>
      <c r="C716" s="20" t="s">
        <v>40</v>
      </c>
      <c r="D716" s="22">
        <v>46052</v>
      </c>
      <c r="E716" s="20" t="s">
        <v>13</v>
      </c>
      <c r="F716" s="20" t="s">
        <v>41</v>
      </c>
      <c r="G716" s="20">
        <v>21.75</v>
      </c>
      <c r="H716" s="20">
        <v>20</v>
      </c>
      <c r="I716" s="20">
        <v>0</v>
      </c>
      <c r="J716" s="20">
        <v>3</v>
      </c>
      <c r="K716" s="20">
        <v>1.25</v>
      </c>
      <c r="L716" s="20">
        <v>0</v>
      </c>
    </row>
    <row r="717" spans="1:12" x14ac:dyDescent="0.25">
      <c r="A717" s="20">
        <v>1410</v>
      </c>
      <c r="B717" s="20">
        <v>1793107958001</v>
      </c>
      <c r="C717" s="20" t="s">
        <v>43</v>
      </c>
      <c r="D717" s="22">
        <v>46032</v>
      </c>
      <c r="E717" s="20" t="s">
        <v>13</v>
      </c>
      <c r="F717" s="20" t="s">
        <v>44</v>
      </c>
      <c r="G717" s="20">
        <v>48.3</v>
      </c>
      <c r="H717" s="20">
        <v>42</v>
      </c>
      <c r="I717" s="20">
        <v>0</v>
      </c>
      <c r="J717" s="20">
        <v>6.3</v>
      </c>
      <c r="K717" s="20">
        <v>0</v>
      </c>
      <c r="L717" s="20">
        <v>0</v>
      </c>
    </row>
    <row r="718" spans="1:12" x14ac:dyDescent="0.25">
      <c r="A718" s="20">
        <v>1809</v>
      </c>
      <c r="B718" s="20">
        <v>1805135306001</v>
      </c>
      <c r="C718" s="20" t="s">
        <v>75</v>
      </c>
      <c r="D718" s="22">
        <v>46029</v>
      </c>
      <c r="E718" s="20" t="s">
        <v>13</v>
      </c>
      <c r="F718" s="20" t="s">
        <v>76</v>
      </c>
      <c r="G718" s="20">
        <v>180</v>
      </c>
      <c r="H718" s="20">
        <v>0</v>
      </c>
      <c r="I718" s="20">
        <v>180</v>
      </c>
      <c r="J718" s="20">
        <v>0</v>
      </c>
      <c r="K718" s="20">
        <v>0</v>
      </c>
      <c r="L718" s="20">
        <v>0</v>
      </c>
    </row>
  </sheetData>
  <autoFilter ref="A1:L504" xr:uid="{78BB55D0-18F9-44D9-A3DF-F2E00B0B03A4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4A75-0290-4FAB-963A-17A04F0E3590}">
  <dimension ref="A1:O799"/>
  <sheetViews>
    <sheetView workbookViewId="0">
      <selection activeCell="C21" sqref="C21"/>
    </sheetView>
  </sheetViews>
  <sheetFormatPr baseColWidth="10" defaultRowHeight="15" x14ac:dyDescent="0.25"/>
  <cols>
    <col min="2" max="2" width="42.140625" bestFit="1" customWidth="1"/>
    <col min="12" max="12" width="17.85546875" bestFit="1" customWidth="1"/>
    <col min="13" max="13" width="13.7109375" bestFit="1" customWidth="1"/>
    <col min="14" max="14" width="21.85546875" bestFit="1" customWidth="1"/>
  </cols>
  <sheetData>
    <row r="1" spans="1:15" x14ac:dyDescent="0.25">
      <c r="A1" s="6" t="s">
        <v>724</v>
      </c>
      <c r="B1" s="7" t="s">
        <v>720</v>
      </c>
      <c r="C1" s="7" t="s">
        <v>3</v>
      </c>
      <c r="D1" s="7" t="s">
        <v>721</v>
      </c>
      <c r="E1" s="7" t="s">
        <v>4</v>
      </c>
      <c r="F1" s="7" t="s">
        <v>725</v>
      </c>
      <c r="G1" s="7" t="s">
        <v>726</v>
      </c>
      <c r="H1" s="7" t="s">
        <v>722</v>
      </c>
      <c r="I1" s="7" t="s">
        <v>727</v>
      </c>
      <c r="J1" s="7" t="s">
        <v>723</v>
      </c>
      <c r="L1" s="14" t="s">
        <v>754</v>
      </c>
      <c r="M1" t="s">
        <v>756</v>
      </c>
      <c r="N1" t="s">
        <v>757</v>
      </c>
    </row>
    <row r="2" spans="1:15" x14ac:dyDescent="0.25">
      <c r="A2" s="20">
        <v>32880</v>
      </c>
      <c r="B2" s="20" t="s">
        <v>57</v>
      </c>
      <c r="C2" s="22">
        <v>46027</v>
      </c>
      <c r="D2" s="22">
        <v>46027</v>
      </c>
      <c r="E2" s="22" t="s">
        <v>104</v>
      </c>
      <c r="F2" s="20">
        <v>312</v>
      </c>
      <c r="G2" s="20">
        <v>3553</v>
      </c>
      <c r="H2" s="20">
        <v>30</v>
      </c>
      <c r="I2" s="20">
        <v>0.75</v>
      </c>
      <c r="J2" s="20">
        <v>0.23</v>
      </c>
      <c r="L2" s="15" t="s">
        <v>104</v>
      </c>
      <c r="M2" s="27">
        <v>8994.1799999999985</v>
      </c>
      <c r="N2" s="27">
        <v>4700.2200000000166</v>
      </c>
    </row>
    <row r="3" spans="1:15" x14ac:dyDescent="0.25">
      <c r="A3" s="20">
        <v>32880</v>
      </c>
      <c r="B3" s="20" t="s">
        <v>57</v>
      </c>
      <c r="C3" s="22">
        <v>46027</v>
      </c>
      <c r="D3" s="22">
        <v>46027</v>
      </c>
      <c r="E3" s="22" t="s">
        <v>753</v>
      </c>
      <c r="F3" s="20">
        <v>312</v>
      </c>
      <c r="G3" s="20">
        <v>3553</v>
      </c>
      <c r="H3" s="20">
        <v>1.75</v>
      </c>
      <c r="I3" s="20">
        <v>5</v>
      </c>
      <c r="J3" s="20">
        <v>0.09</v>
      </c>
      <c r="L3" s="16">
        <v>30</v>
      </c>
      <c r="M3" s="27">
        <v>4277.3900000000003</v>
      </c>
      <c r="N3" s="27">
        <v>1283.26</v>
      </c>
      <c r="O3">
        <f>+GETPIVOTDATA("Suma de CREDITO",'MAYOR RET'!$M$14,"NOMBRE","10 % RETENCION FUENTE")</f>
        <v>1616.36</v>
      </c>
    </row>
    <row r="4" spans="1:15" x14ac:dyDescent="0.25">
      <c r="A4" s="20">
        <v>32881</v>
      </c>
      <c r="B4" s="20" t="s">
        <v>92</v>
      </c>
      <c r="C4" s="22">
        <v>46027</v>
      </c>
      <c r="D4" s="22">
        <v>46027</v>
      </c>
      <c r="E4" s="22" t="s">
        <v>104</v>
      </c>
      <c r="F4" s="20">
        <v>320</v>
      </c>
      <c r="G4" s="20">
        <v>192</v>
      </c>
      <c r="H4" s="20">
        <v>70</v>
      </c>
      <c r="I4" s="21">
        <v>1251.03</v>
      </c>
      <c r="J4" s="20">
        <v>875.72</v>
      </c>
      <c r="L4" s="16">
        <v>70</v>
      </c>
      <c r="M4" s="27">
        <v>4333.4599999999982</v>
      </c>
      <c r="N4" s="27">
        <v>3033.6300000000165</v>
      </c>
      <c r="O4">
        <f>+'MAYOR RET'!P21</f>
        <v>-1283.2599999999998</v>
      </c>
    </row>
    <row r="5" spans="1:15" x14ac:dyDescent="0.25">
      <c r="A5" s="20">
        <v>32881</v>
      </c>
      <c r="B5" s="20" t="s">
        <v>92</v>
      </c>
      <c r="C5" s="22">
        <v>46027</v>
      </c>
      <c r="D5" s="22">
        <v>46027</v>
      </c>
      <c r="E5" s="22" t="s">
        <v>753</v>
      </c>
      <c r="F5" s="20">
        <v>320</v>
      </c>
      <c r="G5" s="20">
        <v>192</v>
      </c>
      <c r="H5" s="20">
        <v>10</v>
      </c>
      <c r="I5" s="21">
        <v>8340.2000000000007</v>
      </c>
      <c r="J5" s="20">
        <v>834.02</v>
      </c>
      <c r="L5" s="16">
        <v>100</v>
      </c>
      <c r="M5" s="27">
        <v>383.33</v>
      </c>
      <c r="N5" s="27">
        <v>383.33</v>
      </c>
      <c r="O5">
        <f>+GETPIVOTDATA("Suma de CREDITO",'MAYOR RET'!$M$14,"NOMBRE","RETENCION 70% IVA - SERVICIOS")</f>
        <v>3033.6300000000024</v>
      </c>
    </row>
    <row r="6" spans="1:15" x14ac:dyDescent="0.25">
      <c r="A6" s="20">
        <v>32882</v>
      </c>
      <c r="B6" s="20" t="s">
        <v>90</v>
      </c>
      <c r="C6" s="22">
        <v>46027</v>
      </c>
      <c r="D6" s="22">
        <v>46027</v>
      </c>
      <c r="E6" s="22" t="s">
        <v>753</v>
      </c>
      <c r="F6" s="20">
        <v>303</v>
      </c>
      <c r="G6" s="20">
        <v>438</v>
      </c>
      <c r="H6" s="20">
        <v>3</v>
      </c>
      <c r="I6" s="21">
        <v>10000</v>
      </c>
      <c r="J6" s="20">
        <v>300</v>
      </c>
      <c r="L6" s="15" t="s">
        <v>753</v>
      </c>
      <c r="M6" s="27">
        <v>66506.69</v>
      </c>
      <c r="N6" s="27">
        <v>2599.79</v>
      </c>
      <c r="O6">
        <f>+GETPIVOTDATA("Suma de CREDITO",'MAYOR RET'!$M$14,"NOMBRE","100% RETENCION IVA")</f>
        <v>383.33</v>
      </c>
    </row>
    <row r="7" spans="1:15" x14ac:dyDescent="0.25">
      <c r="A7" s="20">
        <v>32882</v>
      </c>
      <c r="B7" s="20" t="s">
        <v>90</v>
      </c>
      <c r="C7" s="22">
        <v>46027</v>
      </c>
      <c r="D7" s="22">
        <v>46027</v>
      </c>
      <c r="E7" s="22" t="s">
        <v>104</v>
      </c>
      <c r="F7" s="20">
        <v>303</v>
      </c>
      <c r="G7" s="20">
        <v>438</v>
      </c>
      <c r="H7" s="20">
        <v>70</v>
      </c>
      <c r="I7" s="21">
        <v>1500</v>
      </c>
      <c r="J7" s="21">
        <v>1050</v>
      </c>
      <c r="L7" s="16">
        <v>0</v>
      </c>
      <c r="M7" s="27">
        <v>3486.26</v>
      </c>
      <c r="N7" s="27">
        <v>0</v>
      </c>
    </row>
    <row r="8" spans="1:15" x14ac:dyDescent="0.25">
      <c r="A8" s="20">
        <v>32883</v>
      </c>
      <c r="B8" s="20" t="s">
        <v>92</v>
      </c>
      <c r="C8" s="22">
        <v>46027</v>
      </c>
      <c r="D8" s="22">
        <v>46027</v>
      </c>
      <c r="E8" s="22" t="s">
        <v>104</v>
      </c>
      <c r="F8" s="20">
        <v>320</v>
      </c>
      <c r="G8" s="20">
        <v>193</v>
      </c>
      <c r="H8" s="20">
        <v>70</v>
      </c>
      <c r="I8" s="20">
        <v>790.18</v>
      </c>
      <c r="J8" s="20">
        <v>553.13</v>
      </c>
      <c r="L8" s="16">
        <v>1</v>
      </c>
      <c r="M8" s="27">
        <v>1576.29</v>
      </c>
      <c r="N8" s="27">
        <v>15.769999999999987</v>
      </c>
    </row>
    <row r="9" spans="1:15" x14ac:dyDescent="0.25">
      <c r="A9" s="20">
        <v>32883</v>
      </c>
      <c r="B9" s="20" t="s">
        <v>92</v>
      </c>
      <c r="C9" s="22">
        <v>46027</v>
      </c>
      <c r="D9" s="22">
        <v>46027</v>
      </c>
      <c r="E9" s="22" t="s">
        <v>753</v>
      </c>
      <c r="F9" s="20">
        <v>320</v>
      </c>
      <c r="G9" s="20">
        <v>193</v>
      </c>
      <c r="H9" s="20">
        <v>10</v>
      </c>
      <c r="I9" s="21">
        <v>5267.84</v>
      </c>
      <c r="J9" s="20">
        <v>526.78</v>
      </c>
      <c r="L9" s="16">
        <v>1.75</v>
      </c>
      <c r="M9" s="27">
        <v>28594.140000000003</v>
      </c>
      <c r="N9" s="27">
        <v>500.41999999999985</v>
      </c>
      <c r="O9">
        <f>+'MAYOR RET'!P15</f>
        <v>15.769999999999987</v>
      </c>
    </row>
    <row r="10" spans="1:15" x14ac:dyDescent="0.25">
      <c r="A10" s="20">
        <v>32884</v>
      </c>
      <c r="B10" s="20" t="s">
        <v>61</v>
      </c>
      <c r="C10" s="22">
        <v>46027</v>
      </c>
      <c r="D10" s="22">
        <v>46027</v>
      </c>
      <c r="E10" s="22" t="s">
        <v>753</v>
      </c>
      <c r="F10" s="20">
        <v>312</v>
      </c>
      <c r="G10" s="20">
        <v>6232</v>
      </c>
      <c r="H10" s="20">
        <v>1.75</v>
      </c>
      <c r="I10" s="20">
        <v>39.130000000000003</v>
      </c>
      <c r="J10" s="20">
        <v>0.68</v>
      </c>
      <c r="L10" s="16">
        <v>2</v>
      </c>
      <c r="M10" s="27">
        <v>3342.3299999999981</v>
      </c>
      <c r="N10" s="27">
        <v>66.920000000000044</v>
      </c>
      <c r="O10">
        <f>+'MAYOR RET'!P16</f>
        <v>-500.4199999999999</v>
      </c>
    </row>
    <row r="11" spans="1:15" x14ac:dyDescent="0.25">
      <c r="A11" s="20">
        <v>32884</v>
      </c>
      <c r="B11" s="20" t="s">
        <v>61</v>
      </c>
      <c r="C11" s="22">
        <v>46027</v>
      </c>
      <c r="D11" s="22">
        <v>46027</v>
      </c>
      <c r="E11" s="22" t="s">
        <v>104</v>
      </c>
      <c r="F11" s="20">
        <v>312</v>
      </c>
      <c r="G11" s="20">
        <v>6232</v>
      </c>
      <c r="H11" s="20">
        <v>30</v>
      </c>
      <c r="I11" s="20">
        <v>5.87</v>
      </c>
      <c r="J11" s="20">
        <v>1.76</v>
      </c>
      <c r="L11" s="16">
        <v>3</v>
      </c>
      <c r="M11" s="27">
        <v>13344.080000000002</v>
      </c>
      <c r="N11" s="27">
        <v>400.32000000000005</v>
      </c>
      <c r="O11">
        <f>+GETPIVOTDATA("Suma de CREDITO",'MAYOR RET'!$M$14,"NOMBRE","2 % RETENCION FUENTE")</f>
        <v>66.92</v>
      </c>
    </row>
    <row r="12" spans="1:15" x14ac:dyDescent="0.25">
      <c r="A12" s="20">
        <v>32885</v>
      </c>
      <c r="B12" s="20" t="s">
        <v>94</v>
      </c>
      <c r="C12" s="22">
        <v>46027</v>
      </c>
      <c r="D12" s="22">
        <v>46027</v>
      </c>
      <c r="E12" s="22" t="s">
        <v>753</v>
      </c>
      <c r="F12" s="20">
        <v>303</v>
      </c>
      <c r="G12" s="20">
        <v>47</v>
      </c>
      <c r="H12" s="20">
        <v>3</v>
      </c>
      <c r="I12" s="20">
        <v>895.45</v>
      </c>
      <c r="J12" s="20">
        <v>26.86</v>
      </c>
      <c r="L12" s="16">
        <v>10</v>
      </c>
      <c r="M12" s="27">
        <v>16163.59</v>
      </c>
      <c r="N12" s="27">
        <v>1616.36</v>
      </c>
      <c r="O12">
        <f>+GETPIVOTDATA("Suma de CREDITO",'MAYOR RET'!$M$14,"NOMBRE","3% RETENCION FUENTE")</f>
        <v>400.32</v>
      </c>
    </row>
    <row r="13" spans="1:15" x14ac:dyDescent="0.25">
      <c r="A13" s="20">
        <v>32885</v>
      </c>
      <c r="B13" s="20" t="s">
        <v>94</v>
      </c>
      <c r="C13" s="22">
        <v>46027</v>
      </c>
      <c r="D13" s="22">
        <v>46027</v>
      </c>
      <c r="E13" s="22" t="s">
        <v>104</v>
      </c>
      <c r="F13" s="20">
        <v>303</v>
      </c>
      <c r="G13" s="20">
        <v>47</v>
      </c>
      <c r="H13" s="20">
        <v>70</v>
      </c>
      <c r="I13" s="20">
        <v>134.32</v>
      </c>
      <c r="J13" s="20">
        <v>94.02</v>
      </c>
      <c r="L13" s="15" t="s">
        <v>755</v>
      </c>
      <c r="M13" s="27">
        <v>75500.87</v>
      </c>
      <c r="N13" s="27">
        <v>7300.0100000000166</v>
      </c>
    </row>
    <row r="14" spans="1:15" x14ac:dyDescent="0.25">
      <c r="A14" s="20">
        <v>32886</v>
      </c>
      <c r="B14" s="20" t="s">
        <v>86</v>
      </c>
      <c r="C14" s="22">
        <v>46027</v>
      </c>
      <c r="D14" s="22">
        <v>46027</v>
      </c>
      <c r="E14" s="22" t="s">
        <v>104</v>
      </c>
      <c r="F14" s="20">
        <v>312</v>
      </c>
      <c r="G14" s="20">
        <v>70816</v>
      </c>
      <c r="H14" s="20">
        <v>30</v>
      </c>
      <c r="I14" s="20">
        <v>11.92</v>
      </c>
      <c r="J14" s="20">
        <v>3.58</v>
      </c>
    </row>
    <row r="15" spans="1:15" x14ac:dyDescent="0.25">
      <c r="A15" s="20">
        <v>32886</v>
      </c>
      <c r="B15" s="20" t="s">
        <v>86</v>
      </c>
      <c r="C15" s="22">
        <v>46027</v>
      </c>
      <c r="D15" s="22">
        <v>46027</v>
      </c>
      <c r="E15" s="22" t="s">
        <v>753</v>
      </c>
      <c r="F15" s="20">
        <v>312</v>
      </c>
      <c r="G15" s="20">
        <v>70816</v>
      </c>
      <c r="H15" s="20">
        <v>1.75</v>
      </c>
      <c r="I15" s="20">
        <v>79.45</v>
      </c>
      <c r="J15" s="20">
        <v>1.39</v>
      </c>
    </row>
    <row r="16" spans="1:15" x14ac:dyDescent="0.25">
      <c r="A16" s="20">
        <v>32887</v>
      </c>
      <c r="B16" s="20" t="s">
        <v>56</v>
      </c>
      <c r="C16" s="22">
        <v>46027</v>
      </c>
      <c r="D16" s="22">
        <v>46027</v>
      </c>
      <c r="E16" s="22" t="s">
        <v>104</v>
      </c>
      <c r="F16" s="20">
        <v>307</v>
      </c>
      <c r="G16" s="20">
        <v>1422</v>
      </c>
      <c r="H16" s="20">
        <v>70</v>
      </c>
      <c r="I16" s="20">
        <v>1.5</v>
      </c>
      <c r="J16" s="20">
        <v>1.05</v>
      </c>
    </row>
    <row r="17" spans="1:10" x14ac:dyDescent="0.25">
      <c r="A17" s="20">
        <v>32887</v>
      </c>
      <c r="B17" s="20" t="s">
        <v>56</v>
      </c>
      <c r="C17" s="22">
        <v>46027</v>
      </c>
      <c r="D17" s="22">
        <v>46027</v>
      </c>
      <c r="E17" s="22" t="s">
        <v>753</v>
      </c>
      <c r="F17" s="20">
        <v>307</v>
      </c>
      <c r="G17" s="20">
        <v>1422</v>
      </c>
      <c r="H17" s="20">
        <v>2</v>
      </c>
      <c r="I17" s="20">
        <v>10</v>
      </c>
      <c r="J17" s="20">
        <v>0.2</v>
      </c>
    </row>
    <row r="18" spans="1:10" x14ac:dyDescent="0.25">
      <c r="A18" s="20">
        <v>32888</v>
      </c>
      <c r="B18" s="20" t="s">
        <v>56</v>
      </c>
      <c r="C18" s="22">
        <v>46027</v>
      </c>
      <c r="D18" s="22">
        <v>46027</v>
      </c>
      <c r="E18" s="22" t="s">
        <v>753</v>
      </c>
      <c r="F18" s="20">
        <v>307</v>
      </c>
      <c r="G18" s="20">
        <v>1423</v>
      </c>
      <c r="H18" s="20">
        <v>2</v>
      </c>
      <c r="I18" s="20">
        <v>6</v>
      </c>
      <c r="J18" s="20">
        <v>0.12</v>
      </c>
    </row>
    <row r="19" spans="1:10" x14ac:dyDescent="0.25">
      <c r="A19" s="20">
        <v>32888</v>
      </c>
      <c r="B19" s="20" t="s">
        <v>56</v>
      </c>
      <c r="C19" s="22">
        <v>46027</v>
      </c>
      <c r="D19" s="22">
        <v>46027</v>
      </c>
      <c r="E19" s="22" t="s">
        <v>104</v>
      </c>
      <c r="F19" s="20">
        <v>307</v>
      </c>
      <c r="G19" s="20">
        <v>1423</v>
      </c>
      <c r="H19" s="20">
        <v>70</v>
      </c>
      <c r="I19" s="20">
        <v>0.9</v>
      </c>
      <c r="J19" s="20">
        <v>0.63</v>
      </c>
    </row>
    <row r="20" spans="1:10" x14ac:dyDescent="0.25">
      <c r="A20" s="20">
        <v>32889</v>
      </c>
      <c r="B20" s="20" t="s">
        <v>23</v>
      </c>
      <c r="C20" s="22">
        <v>46027</v>
      </c>
      <c r="D20" s="22">
        <v>46027</v>
      </c>
      <c r="E20" s="22" t="s">
        <v>753</v>
      </c>
      <c r="F20" s="20">
        <v>307</v>
      </c>
      <c r="G20" s="20">
        <v>2513</v>
      </c>
      <c r="H20" s="20">
        <v>2</v>
      </c>
      <c r="I20" s="20">
        <v>17.87</v>
      </c>
      <c r="J20" s="20">
        <v>0.36</v>
      </c>
    </row>
    <row r="21" spans="1:10" x14ac:dyDescent="0.25">
      <c r="A21" s="20">
        <v>32889</v>
      </c>
      <c r="B21" s="20" t="s">
        <v>23</v>
      </c>
      <c r="C21" s="22">
        <v>46027</v>
      </c>
      <c r="D21" s="22">
        <v>46027</v>
      </c>
      <c r="E21" s="22" t="s">
        <v>104</v>
      </c>
      <c r="F21" s="20">
        <v>307</v>
      </c>
      <c r="G21" s="20">
        <v>2513</v>
      </c>
      <c r="H21" s="20">
        <v>70</v>
      </c>
      <c r="I21" s="20">
        <v>2.68</v>
      </c>
      <c r="J21" s="20">
        <v>1.88</v>
      </c>
    </row>
    <row r="22" spans="1:10" x14ac:dyDescent="0.25">
      <c r="A22" s="20">
        <v>32890</v>
      </c>
      <c r="B22" s="20" t="s">
        <v>56</v>
      </c>
      <c r="C22" s="22">
        <v>46027</v>
      </c>
      <c r="D22" s="22">
        <v>46027</v>
      </c>
      <c r="E22" s="22" t="s">
        <v>753</v>
      </c>
      <c r="F22" s="20">
        <v>307</v>
      </c>
      <c r="G22" s="20">
        <v>1424</v>
      </c>
      <c r="H22" s="20">
        <v>2</v>
      </c>
      <c r="I22" s="20">
        <v>8</v>
      </c>
      <c r="J22" s="20">
        <v>0.16</v>
      </c>
    </row>
    <row r="23" spans="1:10" x14ac:dyDescent="0.25">
      <c r="A23" s="20">
        <v>32890</v>
      </c>
      <c r="B23" s="20" t="s">
        <v>56</v>
      </c>
      <c r="C23" s="22">
        <v>46027</v>
      </c>
      <c r="D23" s="22">
        <v>46027</v>
      </c>
      <c r="E23" s="22" t="s">
        <v>104</v>
      </c>
      <c r="F23" s="20">
        <v>307</v>
      </c>
      <c r="G23" s="20">
        <v>1424</v>
      </c>
      <c r="H23" s="20">
        <v>70</v>
      </c>
      <c r="I23" s="20">
        <v>1.2</v>
      </c>
      <c r="J23" s="20">
        <v>0.84</v>
      </c>
    </row>
    <row r="24" spans="1:10" x14ac:dyDescent="0.25">
      <c r="A24" s="20">
        <v>32891</v>
      </c>
      <c r="B24" s="20" t="s">
        <v>56</v>
      </c>
      <c r="C24" s="22">
        <v>46027</v>
      </c>
      <c r="D24" s="22">
        <v>46027</v>
      </c>
      <c r="E24" s="22" t="s">
        <v>753</v>
      </c>
      <c r="F24" s="20">
        <v>307</v>
      </c>
      <c r="G24" s="20">
        <v>1420</v>
      </c>
      <c r="H24" s="20">
        <v>2</v>
      </c>
      <c r="I24" s="20">
        <v>10</v>
      </c>
      <c r="J24" s="20">
        <v>0.2</v>
      </c>
    </row>
    <row r="25" spans="1:10" x14ac:dyDescent="0.25">
      <c r="A25" s="20">
        <v>32891</v>
      </c>
      <c r="B25" s="20" t="s">
        <v>56</v>
      </c>
      <c r="C25" s="22">
        <v>46027</v>
      </c>
      <c r="D25" s="22">
        <v>46027</v>
      </c>
      <c r="E25" s="22" t="s">
        <v>104</v>
      </c>
      <c r="F25" s="20">
        <v>307</v>
      </c>
      <c r="G25" s="20">
        <v>1420</v>
      </c>
      <c r="H25" s="20">
        <v>70</v>
      </c>
      <c r="I25" s="20">
        <v>1.5</v>
      </c>
      <c r="J25" s="20">
        <v>1.05</v>
      </c>
    </row>
    <row r="26" spans="1:10" x14ac:dyDescent="0.25">
      <c r="A26" s="20">
        <v>32892</v>
      </c>
      <c r="B26" s="20" t="s">
        <v>67</v>
      </c>
      <c r="C26" s="22">
        <v>46027</v>
      </c>
      <c r="D26" s="22">
        <v>46027</v>
      </c>
      <c r="E26" s="22" t="s">
        <v>753</v>
      </c>
      <c r="F26" s="20">
        <v>332</v>
      </c>
      <c r="G26" s="20">
        <v>1686</v>
      </c>
      <c r="H26" s="20">
        <v>0</v>
      </c>
      <c r="I26" s="20">
        <v>18</v>
      </c>
      <c r="J26" s="20">
        <v>0</v>
      </c>
    </row>
    <row r="27" spans="1:10" x14ac:dyDescent="0.25">
      <c r="A27" s="20">
        <v>32893</v>
      </c>
      <c r="B27" s="20" t="s">
        <v>23</v>
      </c>
      <c r="C27" s="22">
        <v>46027</v>
      </c>
      <c r="D27" s="22">
        <v>46027</v>
      </c>
      <c r="E27" s="22" t="s">
        <v>753</v>
      </c>
      <c r="F27" s="20">
        <v>307</v>
      </c>
      <c r="G27" s="20">
        <v>2512</v>
      </c>
      <c r="H27" s="20">
        <v>2</v>
      </c>
      <c r="I27" s="20">
        <v>17.87</v>
      </c>
      <c r="J27" s="20">
        <v>0.36</v>
      </c>
    </row>
    <row r="28" spans="1:10" x14ac:dyDescent="0.25">
      <c r="A28" s="20">
        <v>32893</v>
      </c>
      <c r="B28" s="20" t="s">
        <v>23</v>
      </c>
      <c r="C28" s="22">
        <v>46027</v>
      </c>
      <c r="D28" s="22">
        <v>46027</v>
      </c>
      <c r="E28" s="22" t="s">
        <v>104</v>
      </c>
      <c r="F28" s="20">
        <v>307</v>
      </c>
      <c r="G28" s="20">
        <v>2512</v>
      </c>
      <c r="H28" s="20">
        <v>70</v>
      </c>
      <c r="I28" s="20">
        <v>2.68</v>
      </c>
      <c r="J28" s="20">
        <v>1.88</v>
      </c>
    </row>
    <row r="29" spans="1:10" x14ac:dyDescent="0.25">
      <c r="A29" s="20">
        <v>32894</v>
      </c>
      <c r="B29" s="20" t="s">
        <v>55</v>
      </c>
      <c r="C29" s="22">
        <v>46027</v>
      </c>
      <c r="D29" s="22">
        <v>46027</v>
      </c>
      <c r="E29" s="22" t="s">
        <v>753</v>
      </c>
      <c r="F29" s="20">
        <v>343</v>
      </c>
      <c r="G29" s="20">
        <v>667</v>
      </c>
      <c r="H29" s="20">
        <v>1</v>
      </c>
      <c r="I29" s="20">
        <v>20</v>
      </c>
      <c r="J29" s="20">
        <v>0.2</v>
      </c>
    </row>
    <row r="30" spans="1:10" x14ac:dyDescent="0.25">
      <c r="A30" s="20">
        <v>32894</v>
      </c>
      <c r="B30" s="20" t="s">
        <v>55</v>
      </c>
      <c r="C30" s="22">
        <v>46027</v>
      </c>
      <c r="D30" s="22">
        <v>46027</v>
      </c>
      <c r="E30" s="22" t="s">
        <v>104</v>
      </c>
      <c r="F30" s="20">
        <v>343</v>
      </c>
      <c r="G30" s="20">
        <v>667</v>
      </c>
      <c r="H30" s="20">
        <v>70</v>
      </c>
      <c r="I30" s="20">
        <v>3</v>
      </c>
      <c r="J30" s="20">
        <v>2.1</v>
      </c>
    </row>
    <row r="31" spans="1:10" x14ac:dyDescent="0.25">
      <c r="A31" s="20">
        <v>32895</v>
      </c>
      <c r="B31" s="20" t="s">
        <v>55</v>
      </c>
      <c r="C31" s="22">
        <v>46027</v>
      </c>
      <c r="D31" s="22">
        <v>46027</v>
      </c>
      <c r="E31" s="22" t="s">
        <v>104</v>
      </c>
      <c r="F31" s="20">
        <v>343</v>
      </c>
      <c r="G31" s="20">
        <v>670</v>
      </c>
      <c r="H31" s="20">
        <v>70</v>
      </c>
      <c r="I31" s="20">
        <v>1.73</v>
      </c>
      <c r="J31" s="20">
        <v>1.21</v>
      </c>
    </row>
    <row r="32" spans="1:10" x14ac:dyDescent="0.25">
      <c r="A32" s="20">
        <v>32895</v>
      </c>
      <c r="B32" s="20" t="s">
        <v>55</v>
      </c>
      <c r="C32" s="22">
        <v>46027</v>
      </c>
      <c r="D32" s="22">
        <v>46027</v>
      </c>
      <c r="E32" s="22" t="s">
        <v>753</v>
      </c>
      <c r="F32" s="20">
        <v>343</v>
      </c>
      <c r="G32" s="20">
        <v>670</v>
      </c>
      <c r="H32" s="20">
        <v>1</v>
      </c>
      <c r="I32" s="20">
        <v>11.5</v>
      </c>
      <c r="J32" s="20">
        <v>0.12</v>
      </c>
    </row>
    <row r="33" spans="1:10" x14ac:dyDescent="0.25">
      <c r="A33" s="20">
        <v>32896</v>
      </c>
      <c r="B33" s="20" t="s">
        <v>68</v>
      </c>
      <c r="C33" s="22">
        <v>46027</v>
      </c>
      <c r="D33" s="22">
        <v>46027</v>
      </c>
      <c r="E33" s="22" t="s">
        <v>753</v>
      </c>
      <c r="F33" s="20">
        <v>332</v>
      </c>
      <c r="G33" s="20">
        <v>1190</v>
      </c>
      <c r="H33" s="20">
        <v>0</v>
      </c>
      <c r="I33" s="20">
        <v>37</v>
      </c>
      <c r="J33" s="20">
        <v>0</v>
      </c>
    </row>
    <row r="34" spans="1:10" x14ac:dyDescent="0.25">
      <c r="A34" s="20">
        <v>32897</v>
      </c>
      <c r="B34" s="20" t="s">
        <v>56</v>
      </c>
      <c r="C34" s="22">
        <v>46027</v>
      </c>
      <c r="D34" s="22">
        <v>46027</v>
      </c>
      <c r="E34" s="22" t="s">
        <v>753</v>
      </c>
      <c r="F34" s="20">
        <v>307</v>
      </c>
      <c r="G34" s="20">
        <v>1421</v>
      </c>
      <c r="H34" s="20">
        <v>2</v>
      </c>
      <c r="I34" s="20">
        <v>15</v>
      </c>
      <c r="J34" s="20">
        <v>0.3</v>
      </c>
    </row>
    <row r="35" spans="1:10" x14ac:dyDescent="0.25">
      <c r="A35" s="20">
        <v>32897</v>
      </c>
      <c r="B35" s="20" t="s">
        <v>56</v>
      </c>
      <c r="C35" s="22">
        <v>46027</v>
      </c>
      <c r="D35" s="22">
        <v>46027</v>
      </c>
      <c r="E35" s="22" t="s">
        <v>104</v>
      </c>
      <c r="F35" s="20">
        <v>307</v>
      </c>
      <c r="G35" s="20">
        <v>1421</v>
      </c>
      <c r="H35" s="20">
        <v>70</v>
      </c>
      <c r="I35" s="20">
        <v>2.25</v>
      </c>
      <c r="J35" s="20">
        <v>1.58</v>
      </c>
    </row>
    <row r="36" spans="1:10" x14ac:dyDescent="0.25">
      <c r="A36" s="20">
        <v>32898</v>
      </c>
      <c r="B36" s="20" t="s">
        <v>67</v>
      </c>
      <c r="C36" s="22">
        <v>46027</v>
      </c>
      <c r="D36" s="22">
        <v>46027</v>
      </c>
      <c r="E36" s="22" t="s">
        <v>753</v>
      </c>
      <c r="F36" s="20">
        <v>332</v>
      </c>
      <c r="G36" s="20">
        <v>1690</v>
      </c>
      <c r="H36" s="20">
        <v>0</v>
      </c>
      <c r="I36" s="20">
        <v>7</v>
      </c>
      <c r="J36" s="20">
        <v>0</v>
      </c>
    </row>
    <row r="37" spans="1:10" x14ac:dyDescent="0.25">
      <c r="A37" s="20">
        <v>32899</v>
      </c>
      <c r="B37" s="20" t="s">
        <v>67</v>
      </c>
      <c r="C37" s="22">
        <v>46027</v>
      </c>
      <c r="D37" s="22">
        <v>46027</v>
      </c>
      <c r="E37" s="22" t="s">
        <v>753</v>
      </c>
      <c r="F37" s="20">
        <v>332</v>
      </c>
      <c r="G37" s="20">
        <v>1688</v>
      </c>
      <c r="H37" s="20">
        <v>0</v>
      </c>
      <c r="I37" s="20">
        <v>8</v>
      </c>
      <c r="J37" s="20">
        <v>0</v>
      </c>
    </row>
    <row r="38" spans="1:10" x14ac:dyDescent="0.25">
      <c r="A38" s="20">
        <v>32900</v>
      </c>
      <c r="B38" s="20" t="s">
        <v>55</v>
      </c>
      <c r="C38" s="22">
        <v>46027</v>
      </c>
      <c r="D38" s="22">
        <v>46027</v>
      </c>
      <c r="E38" s="22" t="s">
        <v>753</v>
      </c>
      <c r="F38" s="20">
        <v>343</v>
      </c>
      <c r="G38" s="20">
        <v>664</v>
      </c>
      <c r="H38" s="20">
        <v>1</v>
      </c>
      <c r="I38" s="20">
        <v>10</v>
      </c>
      <c r="J38" s="20">
        <v>0.1</v>
      </c>
    </row>
    <row r="39" spans="1:10" x14ac:dyDescent="0.25">
      <c r="A39" s="20">
        <v>32900</v>
      </c>
      <c r="B39" s="20" t="s">
        <v>55</v>
      </c>
      <c r="C39" s="22">
        <v>46027</v>
      </c>
      <c r="D39" s="22">
        <v>46027</v>
      </c>
      <c r="E39" s="22" t="s">
        <v>104</v>
      </c>
      <c r="F39" s="20">
        <v>343</v>
      </c>
      <c r="G39" s="20">
        <v>664</v>
      </c>
      <c r="H39" s="20">
        <v>70</v>
      </c>
      <c r="I39" s="20">
        <v>1.5</v>
      </c>
      <c r="J39" s="20">
        <v>1.05</v>
      </c>
    </row>
    <row r="40" spans="1:10" x14ac:dyDescent="0.25">
      <c r="A40" s="20">
        <v>32901</v>
      </c>
      <c r="B40" s="20" t="s">
        <v>55</v>
      </c>
      <c r="C40" s="22">
        <v>46027</v>
      </c>
      <c r="D40" s="22">
        <v>46027</v>
      </c>
      <c r="E40" s="22" t="s">
        <v>753</v>
      </c>
      <c r="F40" s="20">
        <v>343</v>
      </c>
      <c r="G40" s="20">
        <v>666</v>
      </c>
      <c r="H40" s="20">
        <v>1</v>
      </c>
      <c r="I40" s="20">
        <v>20</v>
      </c>
      <c r="J40" s="20">
        <v>0.2</v>
      </c>
    </row>
    <row r="41" spans="1:10" x14ac:dyDescent="0.25">
      <c r="A41" s="20">
        <v>32901</v>
      </c>
      <c r="B41" s="20" t="s">
        <v>55</v>
      </c>
      <c r="C41" s="22">
        <v>46027</v>
      </c>
      <c r="D41" s="22">
        <v>46027</v>
      </c>
      <c r="E41" s="22" t="s">
        <v>104</v>
      </c>
      <c r="F41" s="20">
        <v>343</v>
      </c>
      <c r="G41" s="20">
        <v>666</v>
      </c>
      <c r="H41" s="20">
        <v>70</v>
      </c>
      <c r="I41" s="20">
        <v>3</v>
      </c>
      <c r="J41" s="20">
        <v>2.1</v>
      </c>
    </row>
    <row r="42" spans="1:10" x14ac:dyDescent="0.25">
      <c r="A42" s="20">
        <v>32902</v>
      </c>
      <c r="B42" s="20" t="s">
        <v>23</v>
      </c>
      <c r="C42" s="22">
        <v>46027</v>
      </c>
      <c r="D42" s="22">
        <v>46027</v>
      </c>
      <c r="E42" s="22" t="s">
        <v>104</v>
      </c>
      <c r="F42" s="20">
        <v>307</v>
      </c>
      <c r="G42" s="20">
        <v>2514</v>
      </c>
      <c r="H42" s="20">
        <v>70</v>
      </c>
      <c r="I42" s="20">
        <v>2.68</v>
      </c>
      <c r="J42" s="20">
        <v>1.88</v>
      </c>
    </row>
    <row r="43" spans="1:10" x14ac:dyDescent="0.25">
      <c r="A43" s="20">
        <v>32902</v>
      </c>
      <c r="B43" s="20" t="s">
        <v>23</v>
      </c>
      <c r="C43" s="22">
        <v>46027</v>
      </c>
      <c r="D43" s="22">
        <v>46027</v>
      </c>
      <c r="E43" s="22" t="s">
        <v>753</v>
      </c>
      <c r="F43" s="20">
        <v>307</v>
      </c>
      <c r="G43" s="20">
        <v>2514</v>
      </c>
      <c r="H43" s="20">
        <v>2</v>
      </c>
      <c r="I43" s="20">
        <v>17.87</v>
      </c>
      <c r="J43" s="20">
        <v>0.36</v>
      </c>
    </row>
    <row r="44" spans="1:10" x14ac:dyDescent="0.25">
      <c r="A44" s="20">
        <v>32903</v>
      </c>
      <c r="B44" s="20" t="s">
        <v>67</v>
      </c>
      <c r="C44" s="22">
        <v>46027</v>
      </c>
      <c r="D44" s="22">
        <v>46027</v>
      </c>
      <c r="E44" s="22" t="s">
        <v>753</v>
      </c>
      <c r="F44" s="20">
        <v>332</v>
      </c>
      <c r="G44" s="20">
        <v>1684</v>
      </c>
      <c r="H44" s="20">
        <v>0</v>
      </c>
      <c r="I44" s="20">
        <v>18</v>
      </c>
      <c r="J44" s="20">
        <v>0</v>
      </c>
    </row>
    <row r="45" spans="1:10" x14ac:dyDescent="0.25">
      <c r="A45" s="20">
        <v>32904</v>
      </c>
      <c r="B45" s="20" t="s">
        <v>55</v>
      </c>
      <c r="C45" s="22">
        <v>46027</v>
      </c>
      <c r="D45" s="22">
        <v>46027</v>
      </c>
      <c r="E45" s="22" t="s">
        <v>104</v>
      </c>
      <c r="F45" s="20">
        <v>343</v>
      </c>
      <c r="G45" s="20">
        <v>663</v>
      </c>
      <c r="H45" s="20">
        <v>70</v>
      </c>
      <c r="I45" s="20">
        <v>3</v>
      </c>
      <c r="J45" s="20">
        <v>2.1</v>
      </c>
    </row>
    <row r="46" spans="1:10" x14ac:dyDescent="0.25">
      <c r="A46" s="20">
        <v>32904</v>
      </c>
      <c r="B46" s="20" t="s">
        <v>55</v>
      </c>
      <c r="C46" s="22">
        <v>46027</v>
      </c>
      <c r="D46" s="22">
        <v>46027</v>
      </c>
      <c r="E46" s="22" t="s">
        <v>753</v>
      </c>
      <c r="F46" s="20">
        <v>343</v>
      </c>
      <c r="G46" s="20">
        <v>663</v>
      </c>
      <c r="H46" s="20">
        <v>1</v>
      </c>
      <c r="I46" s="20">
        <v>20</v>
      </c>
      <c r="J46" s="20">
        <v>0.2</v>
      </c>
    </row>
    <row r="47" spans="1:10" x14ac:dyDescent="0.25">
      <c r="A47" s="20">
        <v>32905</v>
      </c>
      <c r="B47" s="20" t="s">
        <v>50</v>
      </c>
      <c r="C47" s="22">
        <v>46028</v>
      </c>
      <c r="D47" s="22">
        <v>46027</v>
      </c>
      <c r="E47" s="22" t="s">
        <v>753</v>
      </c>
      <c r="F47" s="20">
        <v>307</v>
      </c>
      <c r="G47" s="20">
        <v>161</v>
      </c>
      <c r="H47" s="20">
        <v>2</v>
      </c>
      <c r="I47" s="20">
        <v>32.43</v>
      </c>
      <c r="J47" s="20">
        <v>0.65</v>
      </c>
    </row>
    <row r="48" spans="1:10" x14ac:dyDescent="0.25">
      <c r="A48" s="20">
        <v>32905</v>
      </c>
      <c r="B48" s="20" t="s">
        <v>50</v>
      </c>
      <c r="C48" s="22">
        <v>46028</v>
      </c>
      <c r="D48" s="22">
        <v>46027</v>
      </c>
      <c r="E48" s="22" t="s">
        <v>104</v>
      </c>
      <c r="F48" s="20">
        <v>307</v>
      </c>
      <c r="G48" s="20">
        <v>161</v>
      </c>
      <c r="H48" s="20">
        <v>70</v>
      </c>
      <c r="I48" s="20">
        <v>4.8600000000000003</v>
      </c>
      <c r="J48" s="20">
        <v>3.4</v>
      </c>
    </row>
    <row r="49" spans="1:10" x14ac:dyDescent="0.25">
      <c r="A49" s="20">
        <v>32906</v>
      </c>
      <c r="B49" s="20" t="s">
        <v>53</v>
      </c>
      <c r="C49" s="22">
        <v>46028</v>
      </c>
      <c r="D49" s="22">
        <v>46028</v>
      </c>
      <c r="E49" s="22" t="s">
        <v>753</v>
      </c>
      <c r="F49" s="20">
        <v>312</v>
      </c>
      <c r="G49" s="20">
        <v>1037</v>
      </c>
      <c r="H49" s="20">
        <v>1.75</v>
      </c>
      <c r="I49" s="21">
        <v>1200</v>
      </c>
      <c r="J49" s="20">
        <v>21</v>
      </c>
    </row>
    <row r="50" spans="1:10" x14ac:dyDescent="0.25">
      <c r="A50" s="20">
        <v>32906</v>
      </c>
      <c r="B50" s="20" t="s">
        <v>53</v>
      </c>
      <c r="C50" s="22">
        <v>46028</v>
      </c>
      <c r="D50" s="22">
        <v>46028</v>
      </c>
      <c r="E50" s="22" t="s">
        <v>104</v>
      </c>
      <c r="F50" s="20">
        <v>312</v>
      </c>
      <c r="G50" s="20">
        <v>1037</v>
      </c>
      <c r="H50" s="20">
        <v>30</v>
      </c>
      <c r="I50" s="20">
        <v>180</v>
      </c>
      <c r="J50" s="20">
        <v>54</v>
      </c>
    </row>
    <row r="51" spans="1:10" x14ac:dyDescent="0.25">
      <c r="A51" s="20">
        <v>32907</v>
      </c>
      <c r="B51" s="20" t="s">
        <v>67</v>
      </c>
      <c r="C51" s="22">
        <v>46028</v>
      </c>
      <c r="D51" s="22">
        <v>46028</v>
      </c>
      <c r="E51" s="22" t="s">
        <v>753</v>
      </c>
      <c r="F51" s="20">
        <v>332</v>
      </c>
      <c r="G51" s="20">
        <v>1698</v>
      </c>
      <c r="H51" s="20">
        <v>0</v>
      </c>
      <c r="I51" s="20">
        <v>18</v>
      </c>
      <c r="J51" s="20">
        <v>0</v>
      </c>
    </row>
    <row r="52" spans="1:10" x14ac:dyDescent="0.25">
      <c r="A52" s="20">
        <v>32908</v>
      </c>
      <c r="B52" s="20" t="s">
        <v>67</v>
      </c>
      <c r="C52" s="22">
        <v>46028</v>
      </c>
      <c r="D52" s="22">
        <v>46028</v>
      </c>
      <c r="E52" s="22" t="s">
        <v>753</v>
      </c>
      <c r="F52" s="20">
        <v>332</v>
      </c>
      <c r="G52" s="20">
        <v>1691</v>
      </c>
      <c r="H52" s="20">
        <v>0</v>
      </c>
      <c r="I52" s="20">
        <v>8</v>
      </c>
      <c r="J52" s="20">
        <v>0</v>
      </c>
    </row>
    <row r="53" spans="1:10" x14ac:dyDescent="0.25">
      <c r="A53" s="20">
        <v>32909</v>
      </c>
      <c r="B53" s="20" t="s">
        <v>67</v>
      </c>
      <c r="C53" s="22">
        <v>46028</v>
      </c>
      <c r="D53" s="22">
        <v>46028</v>
      </c>
      <c r="E53" s="22" t="s">
        <v>753</v>
      </c>
      <c r="F53" s="20">
        <v>332</v>
      </c>
      <c r="G53" s="20">
        <v>1699</v>
      </c>
      <c r="H53" s="20">
        <v>0</v>
      </c>
      <c r="I53" s="20">
        <v>8</v>
      </c>
      <c r="J53" s="20">
        <v>0</v>
      </c>
    </row>
    <row r="54" spans="1:10" x14ac:dyDescent="0.25">
      <c r="A54" s="20">
        <v>32910</v>
      </c>
      <c r="B54" s="20" t="s">
        <v>55</v>
      </c>
      <c r="C54" s="22">
        <v>46028</v>
      </c>
      <c r="D54" s="22">
        <v>46028</v>
      </c>
      <c r="E54" s="22" t="s">
        <v>753</v>
      </c>
      <c r="F54" s="20">
        <v>343</v>
      </c>
      <c r="G54" s="20">
        <v>674</v>
      </c>
      <c r="H54" s="20">
        <v>1</v>
      </c>
      <c r="I54" s="20">
        <v>20</v>
      </c>
      <c r="J54" s="20">
        <v>0.2</v>
      </c>
    </row>
    <row r="55" spans="1:10" x14ac:dyDescent="0.25">
      <c r="A55" s="20">
        <v>32910</v>
      </c>
      <c r="B55" s="20" t="s">
        <v>55</v>
      </c>
      <c r="C55" s="22">
        <v>46028</v>
      </c>
      <c r="D55" s="22">
        <v>46028</v>
      </c>
      <c r="E55" s="22" t="s">
        <v>104</v>
      </c>
      <c r="F55" s="20">
        <v>343</v>
      </c>
      <c r="G55" s="20">
        <v>674</v>
      </c>
      <c r="H55" s="20">
        <v>70</v>
      </c>
      <c r="I55" s="20">
        <v>3</v>
      </c>
      <c r="J55" s="20">
        <v>2.1</v>
      </c>
    </row>
    <row r="56" spans="1:10" x14ac:dyDescent="0.25">
      <c r="A56" s="20">
        <v>32911</v>
      </c>
      <c r="B56" s="20" t="s">
        <v>56</v>
      </c>
      <c r="C56" s="22">
        <v>46028</v>
      </c>
      <c r="D56" s="22">
        <v>46028</v>
      </c>
      <c r="E56" s="22" t="s">
        <v>104</v>
      </c>
      <c r="F56" s="20">
        <v>307</v>
      </c>
      <c r="G56" s="20">
        <v>1429</v>
      </c>
      <c r="H56" s="20">
        <v>70</v>
      </c>
      <c r="I56" s="20">
        <v>0.9</v>
      </c>
      <c r="J56" s="20">
        <v>0.63</v>
      </c>
    </row>
    <row r="57" spans="1:10" x14ac:dyDescent="0.25">
      <c r="A57" s="20">
        <v>32911</v>
      </c>
      <c r="B57" s="20" t="s">
        <v>56</v>
      </c>
      <c r="C57" s="22">
        <v>46028</v>
      </c>
      <c r="D57" s="22">
        <v>46028</v>
      </c>
      <c r="E57" s="22" t="s">
        <v>753</v>
      </c>
      <c r="F57" s="20">
        <v>307</v>
      </c>
      <c r="G57" s="20">
        <v>1429</v>
      </c>
      <c r="H57" s="20">
        <v>2</v>
      </c>
      <c r="I57" s="20">
        <v>6</v>
      </c>
      <c r="J57" s="20">
        <v>0.12</v>
      </c>
    </row>
    <row r="58" spans="1:10" x14ac:dyDescent="0.25">
      <c r="A58" s="20">
        <v>32912</v>
      </c>
      <c r="B58" s="20" t="s">
        <v>23</v>
      </c>
      <c r="C58" s="22">
        <v>46028</v>
      </c>
      <c r="D58" s="22">
        <v>46028</v>
      </c>
      <c r="E58" s="22" t="s">
        <v>753</v>
      </c>
      <c r="F58" s="20">
        <v>307</v>
      </c>
      <c r="G58" s="20">
        <v>2519</v>
      </c>
      <c r="H58" s="20">
        <v>2</v>
      </c>
      <c r="I58" s="20">
        <v>17.87</v>
      </c>
      <c r="J58" s="20">
        <v>0.36</v>
      </c>
    </row>
    <row r="59" spans="1:10" x14ac:dyDescent="0.25">
      <c r="A59" s="20">
        <v>32912</v>
      </c>
      <c r="B59" s="20" t="s">
        <v>23</v>
      </c>
      <c r="C59" s="22">
        <v>46028</v>
      </c>
      <c r="D59" s="22">
        <v>46028</v>
      </c>
      <c r="E59" s="22" t="s">
        <v>104</v>
      </c>
      <c r="F59" s="20">
        <v>307</v>
      </c>
      <c r="G59" s="20">
        <v>2519</v>
      </c>
      <c r="H59" s="20">
        <v>70</v>
      </c>
      <c r="I59" s="20">
        <v>2.68</v>
      </c>
      <c r="J59" s="20">
        <v>1.88</v>
      </c>
    </row>
    <row r="60" spans="1:10" x14ac:dyDescent="0.25">
      <c r="A60" s="20">
        <v>32913</v>
      </c>
      <c r="B60" s="20" t="s">
        <v>58</v>
      </c>
      <c r="C60" s="22">
        <v>46028</v>
      </c>
      <c r="D60" s="22">
        <v>46028</v>
      </c>
      <c r="E60" s="22" t="s">
        <v>753</v>
      </c>
      <c r="F60" s="20">
        <v>312</v>
      </c>
      <c r="G60" s="20">
        <v>382</v>
      </c>
      <c r="H60" s="20">
        <v>1.75</v>
      </c>
      <c r="I60" s="20">
        <v>768.78</v>
      </c>
      <c r="J60" s="20">
        <v>13.45</v>
      </c>
    </row>
    <row r="61" spans="1:10" x14ac:dyDescent="0.25">
      <c r="A61" s="20">
        <v>32913</v>
      </c>
      <c r="B61" s="20" t="s">
        <v>58</v>
      </c>
      <c r="C61" s="22">
        <v>46028</v>
      </c>
      <c r="D61" s="22">
        <v>46028</v>
      </c>
      <c r="E61" s="22" t="s">
        <v>104</v>
      </c>
      <c r="F61" s="20">
        <v>312</v>
      </c>
      <c r="G61" s="20">
        <v>382</v>
      </c>
      <c r="H61" s="20">
        <v>30</v>
      </c>
      <c r="I61" s="20">
        <v>115.32</v>
      </c>
      <c r="J61" s="20">
        <v>34.6</v>
      </c>
    </row>
    <row r="62" spans="1:10" x14ac:dyDescent="0.25">
      <c r="A62" s="20">
        <v>32914</v>
      </c>
      <c r="B62" s="20" t="s">
        <v>55</v>
      </c>
      <c r="C62" s="22">
        <v>46028</v>
      </c>
      <c r="D62" s="22">
        <v>46028</v>
      </c>
      <c r="E62" s="22" t="s">
        <v>104</v>
      </c>
      <c r="F62" s="20">
        <v>343</v>
      </c>
      <c r="G62" s="20">
        <v>676</v>
      </c>
      <c r="H62" s="20">
        <v>70</v>
      </c>
      <c r="I62" s="20">
        <v>3</v>
      </c>
      <c r="J62" s="20">
        <v>2.1</v>
      </c>
    </row>
    <row r="63" spans="1:10" x14ac:dyDescent="0.25">
      <c r="A63" s="20">
        <v>32914</v>
      </c>
      <c r="B63" s="20" t="s">
        <v>55</v>
      </c>
      <c r="C63" s="22">
        <v>46028</v>
      </c>
      <c r="D63" s="22">
        <v>46028</v>
      </c>
      <c r="E63" s="22" t="s">
        <v>753</v>
      </c>
      <c r="F63" s="20">
        <v>343</v>
      </c>
      <c r="G63" s="20">
        <v>676</v>
      </c>
      <c r="H63" s="20">
        <v>1</v>
      </c>
      <c r="I63" s="20">
        <v>20</v>
      </c>
      <c r="J63" s="20">
        <v>0.2</v>
      </c>
    </row>
    <row r="64" spans="1:10" x14ac:dyDescent="0.25">
      <c r="A64" s="20">
        <v>32915</v>
      </c>
      <c r="B64" s="20" t="s">
        <v>55</v>
      </c>
      <c r="C64" s="22">
        <v>46028</v>
      </c>
      <c r="D64" s="22">
        <v>46028</v>
      </c>
      <c r="E64" s="22" t="s">
        <v>104</v>
      </c>
      <c r="F64" s="20">
        <v>343</v>
      </c>
      <c r="G64" s="20">
        <v>677</v>
      </c>
      <c r="H64" s="20">
        <v>70</v>
      </c>
      <c r="I64" s="20">
        <v>1.5</v>
      </c>
      <c r="J64" s="20">
        <v>1.05</v>
      </c>
    </row>
    <row r="65" spans="1:10" x14ac:dyDescent="0.25">
      <c r="A65" s="20">
        <v>32915</v>
      </c>
      <c r="B65" s="20" t="s">
        <v>55</v>
      </c>
      <c r="C65" s="22">
        <v>46028</v>
      </c>
      <c r="D65" s="22">
        <v>46028</v>
      </c>
      <c r="E65" s="22" t="s">
        <v>753</v>
      </c>
      <c r="F65" s="20">
        <v>343</v>
      </c>
      <c r="G65" s="20">
        <v>677</v>
      </c>
      <c r="H65" s="20">
        <v>1</v>
      </c>
      <c r="I65" s="20">
        <v>10</v>
      </c>
      <c r="J65" s="20">
        <v>0.1</v>
      </c>
    </row>
    <row r="66" spans="1:10" x14ac:dyDescent="0.25">
      <c r="A66" s="20">
        <v>32916</v>
      </c>
      <c r="B66" s="20" t="s">
        <v>56</v>
      </c>
      <c r="C66" s="22">
        <v>46028</v>
      </c>
      <c r="D66" s="22">
        <v>46028</v>
      </c>
      <c r="E66" s="22" t="s">
        <v>104</v>
      </c>
      <c r="F66" s="20">
        <v>307</v>
      </c>
      <c r="G66" s="20">
        <v>1428</v>
      </c>
      <c r="H66" s="20">
        <v>70</v>
      </c>
      <c r="I66" s="20">
        <v>2.25</v>
      </c>
      <c r="J66" s="20">
        <v>1.58</v>
      </c>
    </row>
    <row r="67" spans="1:10" x14ac:dyDescent="0.25">
      <c r="A67" s="20">
        <v>32916</v>
      </c>
      <c r="B67" s="20" t="s">
        <v>56</v>
      </c>
      <c r="C67" s="22">
        <v>46028</v>
      </c>
      <c r="D67" s="22">
        <v>46028</v>
      </c>
      <c r="E67" s="22" t="s">
        <v>753</v>
      </c>
      <c r="F67" s="20">
        <v>307</v>
      </c>
      <c r="G67" s="20">
        <v>1428</v>
      </c>
      <c r="H67" s="20">
        <v>2</v>
      </c>
      <c r="I67" s="20">
        <v>15</v>
      </c>
      <c r="J67" s="20">
        <v>0.3</v>
      </c>
    </row>
    <row r="68" spans="1:10" x14ac:dyDescent="0.25">
      <c r="A68" s="20">
        <v>32917</v>
      </c>
      <c r="B68" s="20" t="s">
        <v>68</v>
      </c>
      <c r="C68" s="22">
        <v>46028</v>
      </c>
      <c r="D68" s="22">
        <v>46028</v>
      </c>
      <c r="E68" s="22" t="s">
        <v>753</v>
      </c>
      <c r="F68" s="20">
        <v>332</v>
      </c>
      <c r="G68" s="20">
        <v>1193</v>
      </c>
      <c r="H68" s="20">
        <v>0</v>
      </c>
      <c r="I68" s="20">
        <v>30</v>
      </c>
      <c r="J68" s="20">
        <v>0</v>
      </c>
    </row>
    <row r="69" spans="1:10" x14ac:dyDescent="0.25">
      <c r="A69" s="20">
        <v>32918</v>
      </c>
      <c r="B69" s="20" t="s">
        <v>67</v>
      </c>
      <c r="C69" s="22">
        <v>46028</v>
      </c>
      <c r="D69" s="22">
        <v>46028</v>
      </c>
      <c r="E69" s="22" t="s">
        <v>753</v>
      </c>
      <c r="F69" s="20">
        <v>332</v>
      </c>
      <c r="G69" s="20">
        <v>1693</v>
      </c>
      <c r="H69" s="20">
        <v>0</v>
      </c>
      <c r="I69" s="20">
        <v>7</v>
      </c>
      <c r="J69" s="20">
        <v>0</v>
      </c>
    </row>
    <row r="70" spans="1:10" x14ac:dyDescent="0.25">
      <c r="A70" s="20">
        <v>32919</v>
      </c>
      <c r="B70" s="20" t="s">
        <v>61</v>
      </c>
      <c r="C70" s="22">
        <v>46028</v>
      </c>
      <c r="D70" s="22">
        <v>46028</v>
      </c>
      <c r="E70" s="22" t="s">
        <v>753</v>
      </c>
      <c r="F70" s="20">
        <v>307</v>
      </c>
      <c r="G70" s="20">
        <v>6231</v>
      </c>
      <c r="H70" s="20">
        <v>2</v>
      </c>
      <c r="I70" s="20">
        <v>26.09</v>
      </c>
      <c r="J70" s="20">
        <v>0.52</v>
      </c>
    </row>
    <row r="71" spans="1:10" x14ac:dyDescent="0.25">
      <c r="A71" s="20">
        <v>32919</v>
      </c>
      <c r="B71" s="20" t="s">
        <v>61</v>
      </c>
      <c r="C71" s="22">
        <v>46028</v>
      </c>
      <c r="D71" s="22">
        <v>46028</v>
      </c>
      <c r="E71" s="22" t="s">
        <v>104</v>
      </c>
      <c r="F71" s="20">
        <v>307</v>
      </c>
      <c r="G71" s="20">
        <v>6231</v>
      </c>
      <c r="H71" s="20">
        <v>70</v>
      </c>
      <c r="I71" s="20">
        <v>3.91</v>
      </c>
      <c r="J71" s="20">
        <v>2.74</v>
      </c>
    </row>
    <row r="72" spans="1:10" x14ac:dyDescent="0.25">
      <c r="A72" s="20">
        <v>32920</v>
      </c>
      <c r="B72" s="20" t="s">
        <v>55</v>
      </c>
      <c r="C72" s="22">
        <v>46028</v>
      </c>
      <c r="D72" s="22">
        <v>46028</v>
      </c>
      <c r="E72" s="22" t="s">
        <v>753</v>
      </c>
      <c r="F72" s="20">
        <v>343</v>
      </c>
      <c r="G72" s="20">
        <v>678</v>
      </c>
      <c r="H72" s="20">
        <v>1</v>
      </c>
      <c r="I72" s="20">
        <v>20</v>
      </c>
      <c r="J72" s="20">
        <v>0.2</v>
      </c>
    </row>
    <row r="73" spans="1:10" x14ac:dyDescent="0.25">
      <c r="A73" s="20">
        <v>32920</v>
      </c>
      <c r="B73" s="20" t="s">
        <v>55</v>
      </c>
      <c r="C73" s="22">
        <v>46028</v>
      </c>
      <c r="D73" s="22">
        <v>46028</v>
      </c>
      <c r="E73" s="22" t="s">
        <v>104</v>
      </c>
      <c r="F73" s="20">
        <v>343</v>
      </c>
      <c r="G73" s="20">
        <v>678</v>
      </c>
      <c r="H73" s="20">
        <v>70</v>
      </c>
      <c r="I73" s="20">
        <v>3</v>
      </c>
      <c r="J73" s="20">
        <v>2.1</v>
      </c>
    </row>
    <row r="74" spans="1:10" x14ac:dyDescent="0.25">
      <c r="A74" s="20">
        <v>32921</v>
      </c>
      <c r="B74" s="20" t="s">
        <v>55</v>
      </c>
      <c r="C74" s="22">
        <v>46028</v>
      </c>
      <c r="D74" s="22">
        <v>46028</v>
      </c>
      <c r="E74" s="22" t="s">
        <v>753</v>
      </c>
      <c r="F74" s="20">
        <v>343</v>
      </c>
      <c r="G74" s="20">
        <v>679</v>
      </c>
      <c r="H74" s="20">
        <v>1</v>
      </c>
      <c r="I74" s="20">
        <v>25</v>
      </c>
      <c r="J74" s="20">
        <v>0.25</v>
      </c>
    </row>
    <row r="75" spans="1:10" x14ac:dyDescent="0.25">
      <c r="A75" s="20">
        <v>32921</v>
      </c>
      <c r="B75" s="20" t="s">
        <v>55</v>
      </c>
      <c r="C75" s="22">
        <v>46028</v>
      </c>
      <c r="D75" s="22">
        <v>46028</v>
      </c>
      <c r="E75" s="22" t="s">
        <v>104</v>
      </c>
      <c r="F75" s="20">
        <v>343</v>
      </c>
      <c r="G75" s="20">
        <v>679</v>
      </c>
      <c r="H75" s="20">
        <v>70</v>
      </c>
      <c r="I75" s="20">
        <v>3.75</v>
      </c>
      <c r="J75" s="20">
        <v>2.63</v>
      </c>
    </row>
    <row r="76" spans="1:10" x14ac:dyDescent="0.25">
      <c r="A76" s="20">
        <v>32922</v>
      </c>
      <c r="B76" s="20" t="s">
        <v>68</v>
      </c>
      <c r="C76" s="22">
        <v>46028</v>
      </c>
      <c r="D76" s="22">
        <v>46028</v>
      </c>
      <c r="E76" s="22" t="s">
        <v>753</v>
      </c>
      <c r="F76" s="20">
        <v>332</v>
      </c>
      <c r="G76" s="20">
        <v>1191</v>
      </c>
      <c r="H76" s="20">
        <v>0</v>
      </c>
      <c r="I76" s="20">
        <v>20</v>
      </c>
      <c r="J76" s="20">
        <v>0</v>
      </c>
    </row>
    <row r="77" spans="1:10" x14ac:dyDescent="0.25">
      <c r="A77" s="20">
        <v>32923</v>
      </c>
      <c r="B77" s="20" t="s">
        <v>56</v>
      </c>
      <c r="C77" s="22">
        <v>46028</v>
      </c>
      <c r="D77" s="22">
        <v>46028</v>
      </c>
      <c r="E77" s="22" t="s">
        <v>104</v>
      </c>
      <c r="F77" s="20">
        <v>307</v>
      </c>
      <c r="G77" s="20">
        <v>1431</v>
      </c>
      <c r="H77" s="20">
        <v>70</v>
      </c>
      <c r="I77" s="20">
        <v>1.5</v>
      </c>
      <c r="J77" s="20">
        <v>1.05</v>
      </c>
    </row>
    <row r="78" spans="1:10" x14ac:dyDescent="0.25">
      <c r="A78" s="20">
        <v>32923</v>
      </c>
      <c r="B78" s="20" t="s">
        <v>56</v>
      </c>
      <c r="C78" s="22">
        <v>46028</v>
      </c>
      <c r="D78" s="22">
        <v>46028</v>
      </c>
      <c r="E78" s="22" t="s">
        <v>753</v>
      </c>
      <c r="F78" s="20">
        <v>307</v>
      </c>
      <c r="G78" s="20">
        <v>1431</v>
      </c>
      <c r="H78" s="20">
        <v>2</v>
      </c>
      <c r="I78" s="20">
        <v>10</v>
      </c>
      <c r="J78" s="20">
        <v>0.2</v>
      </c>
    </row>
    <row r="79" spans="1:10" x14ac:dyDescent="0.25">
      <c r="A79" s="20">
        <v>32924</v>
      </c>
      <c r="B79" s="20" t="s">
        <v>67</v>
      </c>
      <c r="C79" s="22">
        <v>46028</v>
      </c>
      <c r="D79" s="22">
        <v>46028</v>
      </c>
      <c r="E79" s="22" t="s">
        <v>753</v>
      </c>
      <c r="F79" s="20">
        <v>332</v>
      </c>
      <c r="G79" s="20">
        <v>1697</v>
      </c>
      <c r="H79" s="20">
        <v>0</v>
      </c>
      <c r="I79" s="20">
        <v>18</v>
      </c>
      <c r="J79" s="20">
        <v>0</v>
      </c>
    </row>
    <row r="80" spans="1:10" x14ac:dyDescent="0.25">
      <c r="A80" s="20">
        <v>32925</v>
      </c>
      <c r="B80" s="20" t="s">
        <v>67</v>
      </c>
      <c r="C80" s="22">
        <v>46028</v>
      </c>
      <c r="D80" s="22">
        <v>46028</v>
      </c>
      <c r="E80" s="22" t="s">
        <v>753</v>
      </c>
      <c r="F80" s="20">
        <v>332</v>
      </c>
      <c r="G80" s="20">
        <v>1696</v>
      </c>
      <c r="H80" s="20">
        <v>0</v>
      </c>
      <c r="I80" s="20">
        <v>10</v>
      </c>
      <c r="J80" s="20">
        <v>0</v>
      </c>
    </row>
    <row r="81" spans="1:10" x14ac:dyDescent="0.25">
      <c r="A81" s="20">
        <v>32926</v>
      </c>
      <c r="B81" s="20" t="s">
        <v>56</v>
      </c>
      <c r="C81" s="22">
        <v>46028</v>
      </c>
      <c r="D81" s="22">
        <v>46028</v>
      </c>
      <c r="E81" s="22" t="s">
        <v>753</v>
      </c>
      <c r="F81" s="20">
        <v>307</v>
      </c>
      <c r="G81" s="20">
        <v>1427</v>
      </c>
      <c r="H81" s="20">
        <v>2</v>
      </c>
      <c r="I81" s="20">
        <v>10</v>
      </c>
      <c r="J81" s="20">
        <v>0.2</v>
      </c>
    </row>
    <row r="82" spans="1:10" x14ac:dyDescent="0.25">
      <c r="A82" s="20">
        <v>32926</v>
      </c>
      <c r="B82" s="20" t="s">
        <v>56</v>
      </c>
      <c r="C82" s="22">
        <v>46028</v>
      </c>
      <c r="D82" s="22">
        <v>46028</v>
      </c>
      <c r="E82" s="22" t="s">
        <v>104</v>
      </c>
      <c r="F82" s="20">
        <v>307</v>
      </c>
      <c r="G82" s="20">
        <v>1427</v>
      </c>
      <c r="H82" s="20">
        <v>70</v>
      </c>
      <c r="I82" s="20">
        <v>1.5</v>
      </c>
      <c r="J82" s="20">
        <v>1.05</v>
      </c>
    </row>
    <row r="83" spans="1:10" x14ac:dyDescent="0.25">
      <c r="A83" s="20">
        <v>32927</v>
      </c>
      <c r="B83" s="20" t="s">
        <v>18</v>
      </c>
      <c r="C83" s="22">
        <v>46028</v>
      </c>
      <c r="D83" s="22">
        <v>46028</v>
      </c>
      <c r="E83" s="22" t="s">
        <v>753</v>
      </c>
      <c r="F83" s="20">
        <v>307</v>
      </c>
      <c r="G83" s="20">
        <v>250</v>
      </c>
      <c r="H83" s="20">
        <v>2</v>
      </c>
      <c r="I83" s="20">
        <v>269</v>
      </c>
      <c r="J83" s="20">
        <v>5.38</v>
      </c>
    </row>
    <row r="84" spans="1:10" x14ac:dyDescent="0.25">
      <c r="A84" s="20">
        <v>32928</v>
      </c>
      <c r="B84" s="20" t="s">
        <v>70</v>
      </c>
      <c r="C84" s="22">
        <v>46028</v>
      </c>
      <c r="D84" s="22">
        <v>46027</v>
      </c>
      <c r="E84" s="22" t="s">
        <v>104</v>
      </c>
      <c r="F84" s="20">
        <v>303</v>
      </c>
      <c r="G84" s="20">
        <v>1555</v>
      </c>
      <c r="H84" s="20">
        <v>100</v>
      </c>
      <c r="I84" s="20">
        <v>83.33</v>
      </c>
      <c r="J84" s="20">
        <v>83.33</v>
      </c>
    </row>
    <row r="85" spans="1:10" x14ac:dyDescent="0.25">
      <c r="A85" s="20">
        <v>32928</v>
      </c>
      <c r="B85" s="20" t="s">
        <v>70</v>
      </c>
      <c r="C85" s="22">
        <v>46028</v>
      </c>
      <c r="D85" s="22">
        <v>46027</v>
      </c>
      <c r="E85" s="22" t="s">
        <v>753</v>
      </c>
      <c r="F85" s="20">
        <v>303</v>
      </c>
      <c r="G85" s="20">
        <v>1555</v>
      </c>
      <c r="H85" s="20">
        <v>10</v>
      </c>
      <c r="I85" s="20">
        <v>555.54999999999995</v>
      </c>
      <c r="J85" s="20">
        <v>55.56</v>
      </c>
    </row>
    <row r="86" spans="1:10" x14ac:dyDescent="0.25">
      <c r="A86" s="20">
        <v>32929</v>
      </c>
      <c r="B86" s="20" t="s">
        <v>67</v>
      </c>
      <c r="C86" s="22">
        <v>46028</v>
      </c>
      <c r="D86" s="22">
        <v>46028</v>
      </c>
      <c r="E86" s="22" t="s">
        <v>753</v>
      </c>
      <c r="F86" s="20">
        <v>332</v>
      </c>
      <c r="G86" s="20">
        <v>1694</v>
      </c>
      <c r="H86" s="20">
        <v>0</v>
      </c>
      <c r="I86" s="20">
        <v>18</v>
      </c>
      <c r="J86" s="20">
        <v>0</v>
      </c>
    </row>
    <row r="87" spans="1:10" x14ac:dyDescent="0.25">
      <c r="A87" s="20">
        <v>32930</v>
      </c>
      <c r="B87" s="20" t="s">
        <v>55</v>
      </c>
      <c r="C87" s="22">
        <v>46028</v>
      </c>
      <c r="D87" s="22">
        <v>46028</v>
      </c>
      <c r="E87" s="22" t="s">
        <v>753</v>
      </c>
      <c r="F87" s="20">
        <v>343</v>
      </c>
      <c r="G87" s="20">
        <v>675</v>
      </c>
      <c r="H87" s="20">
        <v>1</v>
      </c>
      <c r="I87" s="20">
        <v>10</v>
      </c>
      <c r="J87" s="20">
        <v>0.1</v>
      </c>
    </row>
    <row r="88" spans="1:10" x14ac:dyDescent="0.25">
      <c r="A88" s="20">
        <v>32930</v>
      </c>
      <c r="B88" s="20" t="s">
        <v>55</v>
      </c>
      <c r="C88" s="22">
        <v>46028</v>
      </c>
      <c r="D88" s="22">
        <v>46028</v>
      </c>
      <c r="E88" s="22" t="s">
        <v>104</v>
      </c>
      <c r="F88" s="20">
        <v>343</v>
      </c>
      <c r="G88" s="20">
        <v>675</v>
      </c>
      <c r="H88" s="20">
        <v>70</v>
      </c>
      <c r="I88" s="20">
        <v>1.5</v>
      </c>
      <c r="J88" s="20">
        <v>1.05</v>
      </c>
    </row>
    <row r="89" spans="1:10" x14ac:dyDescent="0.25">
      <c r="A89" s="20">
        <v>32931</v>
      </c>
      <c r="B89" s="20" t="s">
        <v>56</v>
      </c>
      <c r="C89" s="22">
        <v>46028</v>
      </c>
      <c r="D89" s="22">
        <v>46028</v>
      </c>
      <c r="E89" s="22" t="s">
        <v>753</v>
      </c>
      <c r="F89" s="20">
        <v>307</v>
      </c>
      <c r="G89" s="20">
        <v>1434</v>
      </c>
      <c r="H89" s="20">
        <v>2</v>
      </c>
      <c r="I89" s="20">
        <v>10</v>
      </c>
      <c r="J89" s="20">
        <v>0.2</v>
      </c>
    </row>
    <row r="90" spans="1:10" x14ac:dyDescent="0.25">
      <c r="A90" s="20">
        <v>32931</v>
      </c>
      <c r="B90" s="20" t="s">
        <v>56</v>
      </c>
      <c r="C90" s="22">
        <v>46028</v>
      </c>
      <c r="D90" s="22">
        <v>46028</v>
      </c>
      <c r="E90" s="22" t="s">
        <v>104</v>
      </c>
      <c r="F90" s="20">
        <v>307</v>
      </c>
      <c r="G90" s="20">
        <v>1434</v>
      </c>
      <c r="H90" s="20">
        <v>70</v>
      </c>
      <c r="I90" s="20">
        <v>1.5</v>
      </c>
      <c r="J90" s="20">
        <v>1.05</v>
      </c>
    </row>
    <row r="91" spans="1:10" x14ac:dyDescent="0.25">
      <c r="A91" s="20">
        <v>32932</v>
      </c>
      <c r="B91" s="20" t="s">
        <v>16</v>
      </c>
      <c r="C91" s="22">
        <v>46028</v>
      </c>
      <c r="D91" s="22">
        <v>46028</v>
      </c>
      <c r="E91" s="22" t="s">
        <v>753</v>
      </c>
      <c r="F91" s="20">
        <v>332</v>
      </c>
      <c r="G91" s="20">
        <v>612</v>
      </c>
      <c r="H91" s="20">
        <v>0</v>
      </c>
      <c r="I91" s="20">
        <v>10</v>
      </c>
      <c r="J91" s="20">
        <v>0</v>
      </c>
    </row>
    <row r="92" spans="1:10" x14ac:dyDescent="0.25">
      <c r="A92" s="20">
        <v>32933</v>
      </c>
      <c r="B92" s="20" t="s">
        <v>52</v>
      </c>
      <c r="C92" s="22">
        <v>46028</v>
      </c>
      <c r="D92" s="22">
        <v>46028</v>
      </c>
      <c r="E92" s="22" t="s">
        <v>753</v>
      </c>
      <c r="F92" s="20">
        <v>312</v>
      </c>
      <c r="G92" s="20">
        <v>31473</v>
      </c>
      <c r="H92" s="20">
        <v>1.75</v>
      </c>
      <c r="I92" s="20">
        <v>960</v>
      </c>
      <c r="J92" s="20">
        <v>16.8</v>
      </c>
    </row>
    <row r="93" spans="1:10" x14ac:dyDescent="0.25">
      <c r="A93" s="20">
        <v>32933</v>
      </c>
      <c r="B93" s="20" t="s">
        <v>52</v>
      </c>
      <c r="C93" s="22">
        <v>46028</v>
      </c>
      <c r="D93" s="22">
        <v>46028</v>
      </c>
      <c r="E93" s="22" t="s">
        <v>104</v>
      </c>
      <c r="F93" s="20">
        <v>312</v>
      </c>
      <c r="G93" s="20">
        <v>31473</v>
      </c>
      <c r="H93" s="20">
        <v>30</v>
      </c>
      <c r="I93" s="20">
        <v>144</v>
      </c>
      <c r="J93" s="20">
        <v>43.2</v>
      </c>
    </row>
    <row r="94" spans="1:10" x14ac:dyDescent="0.25">
      <c r="A94" s="20">
        <v>32934</v>
      </c>
      <c r="B94" s="20" t="s">
        <v>67</v>
      </c>
      <c r="C94" s="22">
        <v>46028</v>
      </c>
      <c r="D94" s="22">
        <v>46028</v>
      </c>
      <c r="E94" s="22" t="s">
        <v>753</v>
      </c>
      <c r="F94" s="20">
        <v>332</v>
      </c>
      <c r="G94" s="20">
        <v>1695</v>
      </c>
      <c r="H94" s="20">
        <v>0</v>
      </c>
      <c r="I94" s="20">
        <v>18</v>
      </c>
      <c r="J94" s="20">
        <v>0</v>
      </c>
    </row>
    <row r="95" spans="1:10" x14ac:dyDescent="0.25">
      <c r="A95" s="20">
        <v>32935</v>
      </c>
      <c r="B95" s="20" t="s">
        <v>68</v>
      </c>
      <c r="C95" s="22">
        <v>46028</v>
      </c>
      <c r="D95" s="22">
        <v>46028</v>
      </c>
      <c r="E95" s="22" t="s">
        <v>753</v>
      </c>
      <c r="F95" s="20">
        <v>332</v>
      </c>
      <c r="G95" s="20">
        <v>1194</v>
      </c>
      <c r="H95" s="20">
        <v>0</v>
      </c>
      <c r="I95" s="20">
        <v>20</v>
      </c>
      <c r="J95" s="20">
        <v>0</v>
      </c>
    </row>
    <row r="96" spans="1:10" x14ac:dyDescent="0.25">
      <c r="A96" s="20">
        <v>32936</v>
      </c>
      <c r="B96" s="20" t="s">
        <v>68</v>
      </c>
      <c r="C96" s="22">
        <v>46028</v>
      </c>
      <c r="D96" s="22">
        <v>46028</v>
      </c>
      <c r="E96" s="22" t="s">
        <v>753</v>
      </c>
      <c r="F96" s="20">
        <v>332</v>
      </c>
      <c r="G96" s="20">
        <v>1196</v>
      </c>
      <c r="H96" s="20">
        <v>0</v>
      </c>
      <c r="I96" s="20">
        <v>20</v>
      </c>
      <c r="J96" s="20">
        <v>0</v>
      </c>
    </row>
    <row r="97" spans="1:10" x14ac:dyDescent="0.25">
      <c r="A97" s="20">
        <v>32937</v>
      </c>
      <c r="B97" s="20" t="s">
        <v>68</v>
      </c>
      <c r="C97" s="22">
        <v>46028</v>
      </c>
      <c r="D97" s="22">
        <v>46028</v>
      </c>
      <c r="E97" s="22" t="s">
        <v>753</v>
      </c>
      <c r="F97" s="20">
        <v>332</v>
      </c>
      <c r="G97" s="20">
        <v>1195</v>
      </c>
      <c r="H97" s="20">
        <v>0</v>
      </c>
      <c r="I97" s="20">
        <v>20</v>
      </c>
      <c r="J97" s="20">
        <v>0</v>
      </c>
    </row>
    <row r="98" spans="1:10" x14ac:dyDescent="0.25">
      <c r="A98" s="20">
        <v>32938</v>
      </c>
      <c r="B98" s="20" t="s">
        <v>56</v>
      </c>
      <c r="C98" s="22">
        <v>46028</v>
      </c>
      <c r="D98" s="22">
        <v>46028</v>
      </c>
      <c r="E98" s="22" t="s">
        <v>753</v>
      </c>
      <c r="F98" s="20">
        <v>307</v>
      </c>
      <c r="G98" s="20">
        <v>1432</v>
      </c>
      <c r="H98" s="20">
        <v>2</v>
      </c>
      <c r="I98" s="20">
        <v>6</v>
      </c>
      <c r="J98" s="20">
        <v>0.12</v>
      </c>
    </row>
    <row r="99" spans="1:10" x14ac:dyDescent="0.25">
      <c r="A99" s="20">
        <v>32938</v>
      </c>
      <c r="B99" s="20" t="s">
        <v>56</v>
      </c>
      <c r="C99" s="22">
        <v>46028</v>
      </c>
      <c r="D99" s="22">
        <v>46028</v>
      </c>
      <c r="E99" s="22" t="s">
        <v>104</v>
      </c>
      <c r="F99" s="20">
        <v>307</v>
      </c>
      <c r="G99" s="20">
        <v>1432</v>
      </c>
      <c r="H99" s="20">
        <v>70</v>
      </c>
      <c r="I99" s="20">
        <v>0.9</v>
      </c>
      <c r="J99" s="20">
        <v>0.63</v>
      </c>
    </row>
    <row r="100" spans="1:10" x14ac:dyDescent="0.25">
      <c r="A100" s="20">
        <v>32939</v>
      </c>
      <c r="B100" s="20" t="s">
        <v>56</v>
      </c>
      <c r="C100" s="22">
        <v>46028</v>
      </c>
      <c r="D100" s="22">
        <v>46028</v>
      </c>
      <c r="E100" s="22" t="s">
        <v>753</v>
      </c>
      <c r="F100" s="20">
        <v>307</v>
      </c>
      <c r="G100" s="20">
        <v>1433</v>
      </c>
      <c r="H100" s="20">
        <v>2</v>
      </c>
      <c r="I100" s="20">
        <v>10</v>
      </c>
      <c r="J100" s="20">
        <v>0.2</v>
      </c>
    </row>
    <row r="101" spans="1:10" x14ac:dyDescent="0.25">
      <c r="A101" s="20">
        <v>32939</v>
      </c>
      <c r="B101" s="20" t="s">
        <v>56</v>
      </c>
      <c r="C101" s="22">
        <v>46028</v>
      </c>
      <c r="D101" s="22">
        <v>46028</v>
      </c>
      <c r="E101" s="22" t="s">
        <v>104</v>
      </c>
      <c r="F101" s="20">
        <v>307</v>
      </c>
      <c r="G101" s="20">
        <v>1433</v>
      </c>
      <c r="H101" s="20">
        <v>70</v>
      </c>
      <c r="I101" s="20">
        <v>1.5</v>
      </c>
      <c r="J101" s="20">
        <v>1.05</v>
      </c>
    </row>
    <row r="102" spans="1:10" x14ac:dyDescent="0.25">
      <c r="A102" s="20">
        <v>32940</v>
      </c>
      <c r="B102" s="20" t="s">
        <v>18</v>
      </c>
      <c r="C102" s="22">
        <v>46028</v>
      </c>
      <c r="D102" s="22">
        <v>46028</v>
      </c>
      <c r="E102" s="22" t="s">
        <v>753</v>
      </c>
      <c r="F102" s="20">
        <v>307</v>
      </c>
      <c r="G102" s="20">
        <v>251</v>
      </c>
      <c r="H102" s="20">
        <v>2</v>
      </c>
      <c r="I102" s="20">
        <v>191</v>
      </c>
      <c r="J102" s="20">
        <v>3.82</v>
      </c>
    </row>
    <row r="103" spans="1:10" x14ac:dyDescent="0.25">
      <c r="A103" s="20">
        <v>32941</v>
      </c>
      <c r="B103" s="20" t="s">
        <v>29</v>
      </c>
      <c r="C103" s="22">
        <v>46028</v>
      </c>
      <c r="D103" s="22">
        <v>46028</v>
      </c>
      <c r="E103" s="22" t="s">
        <v>753</v>
      </c>
      <c r="F103" s="20">
        <v>312</v>
      </c>
      <c r="G103" s="20">
        <v>4556</v>
      </c>
      <c r="H103" s="20">
        <v>1.75</v>
      </c>
      <c r="I103" s="21">
        <v>1030</v>
      </c>
      <c r="J103" s="20">
        <v>18.03</v>
      </c>
    </row>
    <row r="104" spans="1:10" x14ac:dyDescent="0.25">
      <c r="A104" s="20">
        <v>32941</v>
      </c>
      <c r="B104" s="20" t="s">
        <v>29</v>
      </c>
      <c r="C104" s="22">
        <v>46028</v>
      </c>
      <c r="D104" s="22">
        <v>46028</v>
      </c>
      <c r="E104" s="22" t="s">
        <v>104</v>
      </c>
      <c r="F104" s="20">
        <v>312</v>
      </c>
      <c r="G104" s="20">
        <v>4556</v>
      </c>
      <c r="H104" s="20">
        <v>30</v>
      </c>
      <c r="I104" s="20">
        <v>154.5</v>
      </c>
      <c r="J104" s="20">
        <v>46.35</v>
      </c>
    </row>
    <row r="105" spans="1:10" x14ac:dyDescent="0.25">
      <c r="A105" s="20">
        <v>32942</v>
      </c>
      <c r="B105" s="20" t="s">
        <v>68</v>
      </c>
      <c r="C105" s="22">
        <v>46028</v>
      </c>
      <c r="D105" s="22">
        <v>46028</v>
      </c>
      <c r="E105" s="22" t="s">
        <v>753</v>
      </c>
      <c r="F105" s="20">
        <v>332</v>
      </c>
      <c r="G105" s="20">
        <v>1192</v>
      </c>
      <c r="H105" s="20">
        <v>0</v>
      </c>
      <c r="I105" s="20">
        <v>11</v>
      </c>
      <c r="J105" s="20">
        <v>0</v>
      </c>
    </row>
    <row r="106" spans="1:10" x14ac:dyDescent="0.25">
      <c r="A106" s="20">
        <v>32943</v>
      </c>
      <c r="B106" s="20" t="s">
        <v>55</v>
      </c>
      <c r="C106" s="22">
        <v>46029</v>
      </c>
      <c r="D106" s="22">
        <v>46029</v>
      </c>
      <c r="E106" s="22" t="s">
        <v>104</v>
      </c>
      <c r="F106" s="20">
        <v>343</v>
      </c>
      <c r="G106" s="20">
        <v>687</v>
      </c>
      <c r="H106" s="20">
        <v>70</v>
      </c>
      <c r="I106" s="20">
        <v>3.6</v>
      </c>
      <c r="J106" s="20">
        <v>2.52</v>
      </c>
    </row>
    <row r="107" spans="1:10" x14ac:dyDescent="0.25">
      <c r="A107" s="20">
        <v>32943</v>
      </c>
      <c r="B107" s="20" t="s">
        <v>55</v>
      </c>
      <c r="C107" s="22">
        <v>46029</v>
      </c>
      <c r="D107" s="22">
        <v>46029</v>
      </c>
      <c r="E107" s="22" t="s">
        <v>753</v>
      </c>
      <c r="F107" s="20">
        <v>343</v>
      </c>
      <c r="G107" s="20">
        <v>687</v>
      </c>
      <c r="H107" s="20">
        <v>1</v>
      </c>
      <c r="I107" s="20">
        <v>24</v>
      </c>
      <c r="J107" s="20">
        <v>0.24</v>
      </c>
    </row>
    <row r="108" spans="1:10" x14ac:dyDescent="0.25">
      <c r="A108" s="20">
        <v>32944</v>
      </c>
      <c r="B108" s="20" t="s">
        <v>56</v>
      </c>
      <c r="C108" s="22">
        <v>46029</v>
      </c>
      <c r="D108" s="22">
        <v>46029</v>
      </c>
      <c r="E108" s="22" t="s">
        <v>104</v>
      </c>
      <c r="F108" s="20">
        <v>307</v>
      </c>
      <c r="G108" s="20">
        <v>1435</v>
      </c>
      <c r="H108" s="20">
        <v>70</v>
      </c>
      <c r="I108" s="20">
        <v>0.9</v>
      </c>
      <c r="J108" s="20">
        <v>0.63</v>
      </c>
    </row>
    <row r="109" spans="1:10" x14ac:dyDescent="0.25">
      <c r="A109" s="20">
        <v>32944</v>
      </c>
      <c r="B109" s="20" t="s">
        <v>56</v>
      </c>
      <c r="C109" s="22">
        <v>46029</v>
      </c>
      <c r="D109" s="22">
        <v>46029</v>
      </c>
      <c r="E109" s="22" t="s">
        <v>753</v>
      </c>
      <c r="F109" s="20">
        <v>307</v>
      </c>
      <c r="G109" s="20">
        <v>1435</v>
      </c>
      <c r="H109" s="20">
        <v>2</v>
      </c>
      <c r="I109" s="20">
        <v>6</v>
      </c>
      <c r="J109" s="20">
        <v>0.12</v>
      </c>
    </row>
    <row r="110" spans="1:10" x14ac:dyDescent="0.25">
      <c r="A110" s="20">
        <v>32945</v>
      </c>
      <c r="B110" s="20" t="s">
        <v>56</v>
      </c>
      <c r="C110" s="22">
        <v>46029</v>
      </c>
      <c r="D110" s="22">
        <v>46029</v>
      </c>
      <c r="E110" s="22" t="s">
        <v>104</v>
      </c>
      <c r="F110" s="20">
        <v>307</v>
      </c>
      <c r="G110" s="20">
        <v>1437</v>
      </c>
      <c r="H110" s="20">
        <v>70</v>
      </c>
      <c r="I110" s="20">
        <v>2.7</v>
      </c>
      <c r="J110" s="20">
        <v>1.89</v>
      </c>
    </row>
    <row r="111" spans="1:10" x14ac:dyDescent="0.25">
      <c r="A111" s="20">
        <v>32945</v>
      </c>
      <c r="B111" s="20" t="s">
        <v>56</v>
      </c>
      <c r="C111" s="22">
        <v>46029</v>
      </c>
      <c r="D111" s="22">
        <v>46029</v>
      </c>
      <c r="E111" s="22" t="s">
        <v>753</v>
      </c>
      <c r="F111" s="20">
        <v>307</v>
      </c>
      <c r="G111" s="20">
        <v>1437</v>
      </c>
      <c r="H111" s="20">
        <v>2</v>
      </c>
      <c r="I111" s="20">
        <v>18</v>
      </c>
      <c r="J111" s="20">
        <v>0.36</v>
      </c>
    </row>
    <row r="112" spans="1:10" x14ac:dyDescent="0.25">
      <c r="A112" s="20">
        <v>32946</v>
      </c>
      <c r="B112" s="20" t="s">
        <v>23</v>
      </c>
      <c r="C112" s="22">
        <v>46029</v>
      </c>
      <c r="D112" s="22">
        <v>46029</v>
      </c>
      <c r="E112" s="22" t="s">
        <v>104</v>
      </c>
      <c r="F112" s="20">
        <v>307</v>
      </c>
      <c r="G112" s="20">
        <v>2532</v>
      </c>
      <c r="H112" s="20">
        <v>70</v>
      </c>
      <c r="I112" s="20">
        <v>2.68</v>
      </c>
      <c r="J112" s="20">
        <v>1.88</v>
      </c>
    </row>
    <row r="113" spans="1:10" x14ac:dyDescent="0.25">
      <c r="A113" s="20">
        <v>32946</v>
      </c>
      <c r="B113" s="20" t="s">
        <v>23</v>
      </c>
      <c r="C113" s="22">
        <v>46029</v>
      </c>
      <c r="D113" s="22">
        <v>46029</v>
      </c>
      <c r="E113" s="22" t="s">
        <v>753</v>
      </c>
      <c r="F113" s="20">
        <v>307</v>
      </c>
      <c r="G113" s="20">
        <v>2532</v>
      </c>
      <c r="H113" s="20">
        <v>2</v>
      </c>
      <c r="I113" s="20">
        <v>17.87</v>
      </c>
      <c r="J113" s="20">
        <v>0.36</v>
      </c>
    </row>
    <row r="114" spans="1:10" x14ac:dyDescent="0.25">
      <c r="A114" s="20">
        <v>32947</v>
      </c>
      <c r="B114" s="20" t="s">
        <v>19</v>
      </c>
      <c r="C114" s="22">
        <v>46029</v>
      </c>
      <c r="D114" s="22">
        <v>46029</v>
      </c>
      <c r="E114" s="22" t="s">
        <v>753</v>
      </c>
      <c r="F114" s="20">
        <v>312</v>
      </c>
      <c r="G114" s="20">
        <v>1841</v>
      </c>
      <c r="H114" s="20">
        <v>1.75</v>
      </c>
      <c r="I114" s="20">
        <v>22.61</v>
      </c>
      <c r="J114" s="20">
        <v>0.4</v>
      </c>
    </row>
    <row r="115" spans="1:10" x14ac:dyDescent="0.25">
      <c r="A115" s="20">
        <v>32947</v>
      </c>
      <c r="B115" s="20" t="s">
        <v>19</v>
      </c>
      <c r="C115" s="22">
        <v>46029</v>
      </c>
      <c r="D115" s="22">
        <v>46029</v>
      </c>
      <c r="E115" s="22" t="s">
        <v>104</v>
      </c>
      <c r="F115" s="20">
        <v>312</v>
      </c>
      <c r="G115" s="20">
        <v>1841</v>
      </c>
      <c r="H115" s="20">
        <v>30</v>
      </c>
      <c r="I115" s="20">
        <v>3.39</v>
      </c>
      <c r="J115" s="20">
        <v>1.02</v>
      </c>
    </row>
    <row r="116" spans="1:10" x14ac:dyDescent="0.25">
      <c r="A116" s="20">
        <v>32948</v>
      </c>
      <c r="B116" s="20" t="s">
        <v>67</v>
      </c>
      <c r="C116" s="22">
        <v>46029</v>
      </c>
      <c r="D116" s="22">
        <v>46029</v>
      </c>
      <c r="E116" s="22" t="s">
        <v>753</v>
      </c>
      <c r="F116" s="20">
        <v>332</v>
      </c>
      <c r="G116" s="20">
        <v>1703</v>
      </c>
      <c r="H116" s="20">
        <v>0</v>
      </c>
      <c r="I116" s="20">
        <v>7</v>
      </c>
      <c r="J116" s="20">
        <v>0</v>
      </c>
    </row>
    <row r="117" spans="1:10" x14ac:dyDescent="0.25">
      <c r="A117" s="20">
        <v>32949</v>
      </c>
      <c r="B117" s="20" t="s">
        <v>86</v>
      </c>
      <c r="C117" s="22">
        <v>46029</v>
      </c>
      <c r="D117" s="22">
        <v>46029</v>
      </c>
      <c r="E117" s="22" t="s">
        <v>753</v>
      </c>
      <c r="F117" s="20">
        <v>312</v>
      </c>
      <c r="G117" s="20">
        <v>62845</v>
      </c>
      <c r="H117" s="20">
        <v>1.75</v>
      </c>
      <c r="I117" s="20">
        <v>114.12</v>
      </c>
      <c r="J117" s="20">
        <v>2</v>
      </c>
    </row>
    <row r="118" spans="1:10" x14ac:dyDescent="0.25">
      <c r="A118" s="20">
        <v>32949</v>
      </c>
      <c r="B118" s="20" t="s">
        <v>86</v>
      </c>
      <c r="C118" s="22">
        <v>46029</v>
      </c>
      <c r="D118" s="22">
        <v>46029</v>
      </c>
      <c r="E118" s="22" t="s">
        <v>104</v>
      </c>
      <c r="F118" s="20">
        <v>312</v>
      </c>
      <c r="G118" s="20">
        <v>62845</v>
      </c>
      <c r="H118" s="20">
        <v>30</v>
      </c>
      <c r="I118" s="20">
        <v>17.12</v>
      </c>
      <c r="J118" s="20">
        <v>5.14</v>
      </c>
    </row>
    <row r="119" spans="1:10" x14ac:dyDescent="0.25">
      <c r="A119" s="20">
        <v>32950</v>
      </c>
      <c r="B119" s="20" t="s">
        <v>67</v>
      </c>
      <c r="C119" s="22">
        <v>46029</v>
      </c>
      <c r="D119" s="22">
        <v>46029</v>
      </c>
      <c r="E119" s="22" t="s">
        <v>753</v>
      </c>
      <c r="F119" s="20">
        <v>332</v>
      </c>
      <c r="G119" s="20">
        <v>1701</v>
      </c>
      <c r="H119" s="20">
        <v>0</v>
      </c>
      <c r="I119" s="20">
        <v>7</v>
      </c>
      <c r="J119" s="20">
        <v>0</v>
      </c>
    </row>
    <row r="120" spans="1:10" x14ac:dyDescent="0.25">
      <c r="A120" s="20">
        <v>32951</v>
      </c>
      <c r="B120" s="20" t="s">
        <v>67</v>
      </c>
      <c r="C120" s="22">
        <v>46029</v>
      </c>
      <c r="D120" s="22">
        <v>46029</v>
      </c>
      <c r="E120" s="22" t="s">
        <v>753</v>
      </c>
      <c r="F120" s="20">
        <v>332</v>
      </c>
      <c r="G120" s="20">
        <v>1704</v>
      </c>
      <c r="H120" s="20">
        <v>0</v>
      </c>
      <c r="I120" s="20">
        <v>7</v>
      </c>
      <c r="J120" s="20">
        <v>0</v>
      </c>
    </row>
    <row r="121" spans="1:10" x14ac:dyDescent="0.25">
      <c r="A121" s="20">
        <v>32952</v>
      </c>
      <c r="B121" s="20" t="s">
        <v>16</v>
      </c>
      <c r="C121" s="22">
        <v>46029</v>
      </c>
      <c r="D121" s="22">
        <v>46029</v>
      </c>
      <c r="E121" s="22" t="s">
        <v>753</v>
      </c>
      <c r="F121" s="20">
        <v>332</v>
      </c>
      <c r="G121" s="20">
        <v>613</v>
      </c>
      <c r="H121" s="20">
        <v>0</v>
      </c>
      <c r="I121" s="20">
        <v>10</v>
      </c>
      <c r="J121" s="20">
        <v>0</v>
      </c>
    </row>
    <row r="122" spans="1:10" x14ac:dyDescent="0.25">
      <c r="A122" s="20">
        <v>32953</v>
      </c>
      <c r="B122" s="20" t="s">
        <v>58</v>
      </c>
      <c r="C122" s="22">
        <v>46029</v>
      </c>
      <c r="D122" s="22">
        <v>46029</v>
      </c>
      <c r="E122" s="22" t="s">
        <v>753</v>
      </c>
      <c r="F122" s="20">
        <v>312</v>
      </c>
      <c r="G122" s="20">
        <v>383</v>
      </c>
      <c r="H122" s="20">
        <v>1.75</v>
      </c>
      <c r="I122" s="20">
        <v>423.36</v>
      </c>
      <c r="J122" s="20">
        <v>7.41</v>
      </c>
    </row>
    <row r="123" spans="1:10" x14ac:dyDescent="0.25">
      <c r="A123" s="20">
        <v>32953</v>
      </c>
      <c r="B123" s="20" t="s">
        <v>58</v>
      </c>
      <c r="C123" s="22">
        <v>46029</v>
      </c>
      <c r="D123" s="22">
        <v>46029</v>
      </c>
      <c r="E123" s="22" t="s">
        <v>104</v>
      </c>
      <c r="F123" s="20">
        <v>312</v>
      </c>
      <c r="G123" s="20">
        <v>383</v>
      </c>
      <c r="H123" s="20">
        <v>30</v>
      </c>
      <c r="I123" s="20">
        <v>63.5</v>
      </c>
      <c r="J123" s="20">
        <v>19.05</v>
      </c>
    </row>
    <row r="124" spans="1:10" x14ac:dyDescent="0.25">
      <c r="A124" s="20">
        <v>32954</v>
      </c>
      <c r="B124" s="20" t="s">
        <v>68</v>
      </c>
      <c r="C124" s="22">
        <v>46029</v>
      </c>
      <c r="D124" s="22">
        <v>46029</v>
      </c>
      <c r="E124" s="22" t="s">
        <v>753</v>
      </c>
      <c r="F124" s="20">
        <v>332</v>
      </c>
      <c r="G124" s="20">
        <v>1204</v>
      </c>
      <c r="H124" s="20">
        <v>0</v>
      </c>
      <c r="I124" s="20">
        <v>44</v>
      </c>
      <c r="J124" s="20">
        <v>0</v>
      </c>
    </row>
    <row r="125" spans="1:10" x14ac:dyDescent="0.25">
      <c r="A125" s="20">
        <v>32955</v>
      </c>
      <c r="B125" s="20" t="s">
        <v>68</v>
      </c>
      <c r="C125" s="22">
        <v>46029</v>
      </c>
      <c r="D125" s="22">
        <v>46029</v>
      </c>
      <c r="E125" s="22" t="s">
        <v>753</v>
      </c>
      <c r="F125" s="20">
        <v>332</v>
      </c>
      <c r="G125" s="20">
        <v>1201</v>
      </c>
      <c r="H125" s="20">
        <v>0</v>
      </c>
      <c r="I125" s="20">
        <v>20</v>
      </c>
      <c r="J125" s="20">
        <v>0</v>
      </c>
    </row>
    <row r="126" spans="1:10" x14ac:dyDescent="0.25">
      <c r="A126" s="20">
        <v>32956</v>
      </c>
      <c r="B126" s="20" t="s">
        <v>68</v>
      </c>
      <c r="C126" s="22">
        <v>46029</v>
      </c>
      <c r="D126" s="22">
        <v>46029</v>
      </c>
      <c r="E126" s="22" t="s">
        <v>753</v>
      </c>
      <c r="F126" s="20">
        <v>332</v>
      </c>
      <c r="G126" s="20">
        <v>1202</v>
      </c>
      <c r="H126" s="20">
        <v>0</v>
      </c>
      <c r="I126" s="20">
        <v>6</v>
      </c>
      <c r="J126" s="20">
        <v>0</v>
      </c>
    </row>
    <row r="127" spans="1:10" x14ac:dyDescent="0.25">
      <c r="A127" s="20">
        <v>32957</v>
      </c>
      <c r="B127" s="20" t="s">
        <v>23</v>
      </c>
      <c r="C127" s="22">
        <v>46029</v>
      </c>
      <c r="D127" s="22">
        <v>46029</v>
      </c>
      <c r="E127" s="22" t="s">
        <v>753</v>
      </c>
      <c r="F127" s="20">
        <v>307</v>
      </c>
      <c r="G127" s="20">
        <v>2533</v>
      </c>
      <c r="H127" s="20">
        <v>2</v>
      </c>
      <c r="I127" s="20">
        <v>3</v>
      </c>
      <c r="J127" s="20">
        <v>0.06</v>
      </c>
    </row>
    <row r="128" spans="1:10" x14ac:dyDescent="0.25">
      <c r="A128" s="20">
        <v>32957</v>
      </c>
      <c r="B128" s="20" t="s">
        <v>23</v>
      </c>
      <c r="C128" s="22">
        <v>46029</v>
      </c>
      <c r="D128" s="22">
        <v>46029</v>
      </c>
      <c r="E128" s="22" t="s">
        <v>104</v>
      </c>
      <c r="F128" s="20">
        <v>307</v>
      </c>
      <c r="G128" s="20">
        <v>2533</v>
      </c>
      <c r="H128" s="20">
        <v>70</v>
      </c>
      <c r="I128" s="20">
        <v>0.45</v>
      </c>
      <c r="J128" s="20">
        <v>0.32</v>
      </c>
    </row>
    <row r="129" spans="1:10" x14ac:dyDescent="0.25">
      <c r="A129" s="20">
        <v>32958</v>
      </c>
      <c r="B129" s="20" t="s">
        <v>67</v>
      </c>
      <c r="C129" s="22">
        <v>46029</v>
      </c>
      <c r="D129" s="22">
        <v>46029</v>
      </c>
      <c r="E129" s="22" t="s">
        <v>753</v>
      </c>
      <c r="F129" s="20">
        <v>332</v>
      </c>
      <c r="G129" s="20">
        <v>1705</v>
      </c>
      <c r="H129" s="20">
        <v>0</v>
      </c>
      <c r="I129" s="20">
        <v>18</v>
      </c>
      <c r="J129" s="20">
        <v>0</v>
      </c>
    </row>
    <row r="130" spans="1:10" x14ac:dyDescent="0.25">
      <c r="A130" s="20">
        <v>32959</v>
      </c>
      <c r="B130" s="20" t="s">
        <v>55</v>
      </c>
      <c r="C130" s="22">
        <v>46029</v>
      </c>
      <c r="D130" s="22">
        <v>46029</v>
      </c>
      <c r="E130" s="22" t="s">
        <v>753</v>
      </c>
      <c r="F130" s="20">
        <v>343</v>
      </c>
      <c r="G130" s="20">
        <v>685</v>
      </c>
      <c r="H130" s="20">
        <v>1</v>
      </c>
      <c r="I130" s="20">
        <v>20</v>
      </c>
      <c r="J130" s="20">
        <v>0.2</v>
      </c>
    </row>
    <row r="131" spans="1:10" x14ac:dyDescent="0.25">
      <c r="A131" s="20">
        <v>32959</v>
      </c>
      <c r="B131" s="20" t="s">
        <v>55</v>
      </c>
      <c r="C131" s="22">
        <v>46029</v>
      </c>
      <c r="D131" s="22">
        <v>46029</v>
      </c>
      <c r="E131" s="22" t="s">
        <v>104</v>
      </c>
      <c r="F131" s="20">
        <v>343</v>
      </c>
      <c r="G131" s="20">
        <v>685</v>
      </c>
      <c r="H131" s="20">
        <v>70</v>
      </c>
      <c r="I131" s="20">
        <v>3</v>
      </c>
      <c r="J131" s="20">
        <v>2.1</v>
      </c>
    </row>
    <row r="132" spans="1:10" x14ac:dyDescent="0.25">
      <c r="A132" s="20">
        <v>32960</v>
      </c>
      <c r="B132" s="20" t="s">
        <v>55</v>
      </c>
      <c r="C132" s="22">
        <v>46029</v>
      </c>
      <c r="D132" s="22">
        <v>46029</v>
      </c>
      <c r="E132" s="22" t="s">
        <v>104</v>
      </c>
      <c r="F132" s="20">
        <v>343</v>
      </c>
      <c r="G132" s="20">
        <v>686</v>
      </c>
      <c r="H132" s="20">
        <v>70</v>
      </c>
      <c r="I132" s="20">
        <v>1.5</v>
      </c>
      <c r="J132" s="20">
        <v>1.05</v>
      </c>
    </row>
    <row r="133" spans="1:10" x14ac:dyDescent="0.25">
      <c r="A133" s="20">
        <v>32960</v>
      </c>
      <c r="B133" s="20" t="s">
        <v>55</v>
      </c>
      <c r="C133" s="22">
        <v>46029</v>
      </c>
      <c r="D133" s="22">
        <v>46029</v>
      </c>
      <c r="E133" s="22" t="s">
        <v>753</v>
      </c>
      <c r="F133" s="20">
        <v>343</v>
      </c>
      <c r="G133" s="20">
        <v>686</v>
      </c>
      <c r="H133" s="20">
        <v>1</v>
      </c>
      <c r="I133" s="20">
        <v>10</v>
      </c>
      <c r="J133" s="20">
        <v>0.1</v>
      </c>
    </row>
    <row r="134" spans="1:10" x14ac:dyDescent="0.25">
      <c r="A134" s="20">
        <v>32961</v>
      </c>
      <c r="B134" s="20" t="s">
        <v>23</v>
      </c>
      <c r="C134" s="22">
        <v>46029</v>
      </c>
      <c r="D134" s="22">
        <v>46029</v>
      </c>
      <c r="E134" s="22" t="s">
        <v>753</v>
      </c>
      <c r="F134" s="20">
        <v>307</v>
      </c>
      <c r="G134" s="20">
        <v>2537</v>
      </c>
      <c r="H134" s="20">
        <v>2</v>
      </c>
      <c r="I134" s="20">
        <v>17.87</v>
      </c>
      <c r="J134" s="20">
        <v>0.36</v>
      </c>
    </row>
    <row r="135" spans="1:10" x14ac:dyDescent="0.25">
      <c r="A135" s="20">
        <v>32961</v>
      </c>
      <c r="B135" s="20" t="s">
        <v>23</v>
      </c>
      <c r="C135" s="22">
        <v>46029</v>
      </c>
      <c r="D135" s="22">
        <v>46029</v>
      </c>
      <c r="E135" s="22" t="s">
        <v>104</v>
      </c>
      <c r="F135" s="20">
        <v>307</v>
      </c>
      <c r="G135" s="20">
        <v>2537</v>
      </c>
      <c r="H135" s="20">
        <v>70</v>
      </c>
      <c r="I135" s="20">
        <v>2.68</v>
      </c>
      <c r="J135" s="20">
        <v>1.88</v>
      </c>
    </row>
    <row r="136" spans="1:10" x14ac:dyDescent="0.25">
      <c r="A136" s="20">
        <v>32962</v>
      </c>
      <c r="B136" s="20" t="s">
        <v>56</v>
      </c>
      <c r="C136" s="22">
        <v>46029</v>
      </c>
      <c r="D136" s="22">
        <v>46029</v>
      </c>
      <c r="E136" s="22" t="s">
        <v>753</v>
      </c>
      <c r="F136" s="20">
        <v>307</v>
      </c>
      <c r="G136" s="20">
        <v>1436</v>
      </c>
      <c r="H136" s="20">
        <v>2</v>
      </c>
      <c r="I136" s="20">
        <v>6</v>
      </c>
      <c r="J136" s="20">
        <v>0.12</v>
      </c>
    </row>
    <row r="137" spans="1:10" x14ac:dyDescent="0.25">
      <c r="A137" s="20">
        <v>32962</v>
      </c>
      <c r="B137" s="20" t="s">
        <v>56</v>
      </c>
      <c r="C137" s="22">
        <v>46029</v>
      </c>
      <c r="D137" s="22">
        <v>46029</v>
      </c>
      <c r="E137" s="22" t="s">
        <v>104</v>
      </c>
      <c r="F137" s="20">
        <v>307</v>
      </c>
      <c r="G137" s="20">
        <v>1436</v>
      </c>
      <c r="H137" s="20">
        <v>70</v>
      </c>
      <c r="I137" s="20">
        <v>0.9</v>
      </c>
      <c r="J137" s="20">
        <v>0.63</v>
      </c>
    </row>
    <row r="138" spans="1:10" x14ac:dyDescent="0.25">
      <c r="A138" s="20">
        <v>32963</v>
      </c>
      <c r="B138" s="20" t="s">
        <v>23</v>
      </c>
      <c r="C138" s="22">
        <v>46029</v>
      </c>
      <c r="D138" s="22">
        <v>46029</v>
      </c>
      <c r="E138" s="22" t="s">
        <v>104</v>
      </c>
      <c r="F138" s="20">
        <v>307</v>
      </c>
      <c r="G138" s="20">
        <v>2528</v>
      </c>
      <c r="H138" s="20">
        <v>70</v>
      </c>
      <c r="I138" s="20">
        <v>2.68</v>
      </c>
      <c r="J138" s="20">
        <v>1.88</v>
      </c>
    </row>
    <row r="139" spans="1:10" x14ac:dyDescent="0.25">
      <c r="A139" s="20">
        <v>32963</v>
      </c>
      <c r="B139" s="20" t="s">
        <v>23</v>
      </c>
      <c r="C139" s="22">
        <v>46029</v>
      </c>
      <c r="D139" s="22">
        <v>46029</v>
      </c>
      <c r="E139" s="22" t="s">
        <v>753</v>
      </c>
      <c r="F139" s="20">
        <v>307</v>
      </c>
      <c r="G139" s="20">
        <v>2528</v>
      </c>
      <c r="H139" s="20">
        <v>2</v>
      </c>
      <c r="I139" s="20">
        <v>17.87</v>
      </c>
      <c r="J139" s="20">
        <v>0.36</v>
      </c>
    </row>
    <row r="140" spans="1:10" x14ac:dyDescent="0.25">
      <c r="A140" s="20">
        <v>32965</v>
      </c>
      <c r="B140" s="20" t="s">
        <v>67</v>
      </c>
      <c r="C140" s="22">
        <v>46029</v>
      </c>
      <c r="D140" s="22">
        <v>46029</v>
      </c>
      <c r="E140" s="22" t="s">
        <v>753</v>
      </c>
      <c r="F140" s="20">
        <v>332</v>
      </c>
      <c r="G140" s="20">
        <v>1702</v>
      </c>
      <c r="H140" s="20">
        <v>0</v>
      </c>
      <c r="I140" s="20">
        <v>7</v>
      </c>
      <c r="J140" s="20">
        <v>0</v>
      </c>
    </row>
    <row r="141" spans="1:10" x14ac:dyDescent="0.25">
      <c r="A141" s="20">
        <v>32966</v>
      </c>
      <c r="B141" s="20" t="s">
        <v>68</v>
      </c>
      <c r="C141" s="22">
        <v>46029</v>
      </c>
      <c r="D141" s="22">
        <v>46029</v>
      </c>
      <c r="E141" s="22" t="s">
        <v>753</v>
      </c>
      <c r="F141" s="20">
        <v>332</v>
      </c>
      <c r="G141" s="20">
        <v>1206</v>
      </c>
      <c r="H141" s="20">
        <v>0</v>
      </c>
      <c r="I141" s="20">
        <v>8</v>
      </c>
      <c r="J141" s="20">
        <v>0</v>
      </c>
    </row>
    <row r="142" spans="1:10" x14ac:dyDescent="0.25">
      <c r="A142" s="20">
        <v>32967</v>
      </c>
      <c r="B142" s="20" t="s">
        <v>23</v>
      </c>
      <c r="C142" s="22">
        <v>46029</v>
      </c>
      <c r="D142" s="22">
        <v>46029</v>
      </c>
      <c r="E142" s="22" t="s">
        <v>753</v>
      </c>
      <c r="F142" s="20">
        <v>307</v>
      </c>
      <c r="G142" s="20">
        <v>2534</v>
      </c>
      <c r="H142" s="20">
        <v>2</v>
      </c>
      <c r="I142" s="20">
        <v>17.87</v>
      </c>
      <c r="J142" s="20">
        <v>0.36</v>
      </c>
    </row>
    <row r="143" spans="1:10" x14ac:dyDescent="0.25">
      <c r="A143" s="20">
        <v>32967</v>
      </c>
      <c r="B143" s="20" t="s">
        <v>23</v>
      </c>
      <c r="C143" s="22">
        <v>46029</v>
      </c>
      <c r="D143" s="22">
        <v>46029</v>
      </c>
      <c r="E143" s="22" t="s">
        <v>104</v>
      </c>
      <c r="F143" s="20">
        <v>307</v>
      </c>
      <c r="G143" s="20">
        <v>2534</v>
      </c>
      <c r="H143" s="20">
        <v>70</v>
      </c>
      <c r="I143" s="20">
        <v>2.68</v>
      </c>
      <c r="J143" s="20">
        <v>1.88</v>
      </c>
    </row>
    <row r="144" spans="1:10" x14ac:dyDescent="0.25">
      <c r="A144" s="20">
        <v>32968</v>
      </c>
      <c r="B144" s="20" t="s">
        <v>72</v>
      </c>
      <c r="C144" s="22">
        <v>46030</v>
      </c>
      <c r="D144" s="22">
        <v>46030</v>
      </c>
      <c r="E144" s="22" t="s">
        <v>104</v>
      </c>
      <c r="F144" s="20">
        <v>312</v>
      </c>
      <c r="G144" s="20">
        <v>270</v>
      </c>
      <c r="H144" s="20">
        <v>30</v>
      </c>
      <c r="I144" s="20">
        <v>10.119999999999999</v>
      </c>
      <c r="J144" s="20">
        <v>3.04</v>
      </c>
    </row>
    <row r="145" spans="1:10" x14ac:dyDescent="0.25">
      <c r="A145" s="20">
        <v>32968</v>
      </c>
      <c r="B145" s="20" t="s">
        <v>72</v>
      </c>
      <c r="C145" s="22">
        <v>46030</v>
      </c>
      <c r="D145" s="22">
        <v>46030</v>
      </c>
      <c r="E145" s="22" t="s">
        <v>753</v>
      </c>
      <c r="F145" s="20">
        <v>312</v>
      </c>
      <c r="G145" s="20">
        <v>270</v>
      </c>
      <c r="H145" s="20">
        <v>1.75</v>
      </c>
      <c r="I145" s="20">
        <v>67.489999999999995</v>
      </c>
      <c r="J145" s="20">
        <v>1.18</v>
      </c>
    </row>
    <row r="146" spans="1:10" x14ac:dyDescent="0.25">
      <c r="A146" s="20">
        <v>32969</v>
      </c>
      <c r="B146" s="20" t="s">
        <v>72</v>
      </c>
      <c r="C146" s="22">
        <v>46030</v>
      </c>
      <c r="D146" s="22">
        <v>46030</v>
      </c>
      <c r="E146" s="22" t="s">
        <v>753</v>
      </c>
      <c r="F146" s="20">
        <v>312</v>
      </c>
      <c r="G146" s="20">
        <v>269</v>
      </c>
      <c r="H146" s="20">
        <v>1.75</v>
      </c>
      <c r="I146" s="20">
        <v>120.88</v>
      </c>
      <c r="J146" s="20">
        <v>2.12</v>
      </c>
    </row>
    <row r="147" spans="1:10" x14ac:dyDescent="0.25">
      <c r="A147" s="20">
        <v>32969</v>
      </c>
      <c r="B147" s="20" t="s">
        <v>72</v>
      </c>
      <c r="C147" s="22">
        <v>46030</v>
      </c>
      <c r="D147" s="22">
        <v>46030</v>
      </c>
      <c r="E147" s="22" t="s">
        <v>104</v>
      </c>
      <c r="F147" s="20">
        <v>312</v>
      </c>
      <c r="G147" s="20">
        <v>269</v>
      </c>
      <c r="H147" s="20">
        <v>30</v>
      </c>
      <c r="I147" s="20">
        <v>18.13</v>
      </c>
      <c r="J147" s="20">
        <v>5.44</v>
      </c>
    </row>
    <row r="148" spans="1:10" x14ac:dyDescent="0.25">
      <c r="A148" s="20">
        <v>32970</v>
      </c>
      <c r="B148" s="20" t="s">
        <v>72</v>
      </c>
      <c r="C148" s="22">
        <v>46030</v>
      </c>
      <c r="D148" s="22">
        <v>46030</v>
      </c>
      <c r="E148" s="22" t="s">
        <v>104</v>
      </c>
      <c r="F148" s="20">
        <v>312</v>
      </c>
      <c r="G148" s="20">
        <v>268</v>
      </c>
      <c r="H148" s="20">
        <v>30</v>
      </c>
      <c r="I148" s="20">
        <v>81.23</v>
      </c>
      <c r="J148" s="20">
        <v>24.37</v>
      </c>
    </row>
    <row r="149" spans="1:10" x14ac:dyDescent="0.25">
      <c r="A149" s="20">
        <v>32970</v>
      </c>
      <c r="B149" s="20" t="s">
        <v>72</v>
      </c>
      <c r="C149" s="22">
        <v>46030</v>
      </c>
      <c r="D149" s="22">
        <v>46030</v>
      </c>
      <c r="E149" s="22" t="s">
        <v>753</v>
      </c>
      <c r="F149" s="20">
        <v>312</v>
      </c>
      <c r="G149" s="20">
        <v>268</v>
      </c>
      <c r="H149" s="20">
        <v>1.75</v>
      </c>
      <c r="I149" s="20">
        <v>541.51</v>
      </c>
      <c r="J149" s="20">
        <v>9.48</v>
      </c>
    </row>
    <row r="150" spans="1:10" x14ac:dyDescent="0.25">
      <c r="A150" s="20">
        <v>32971</v>
      </c>
      <c r="B150" s="20" t="s">
        <v>48</v>
      </c>
      <c r="C150" s="22">
        <v>46030</v>
      </c>
      <c r="D150" s="22">
        <v>46029</v>
      </c>
      <c r="E150" s="22" t="s">
        <v>104</v>
      </c>
      <c r="F150" s="20">
        <v>320</v>
      </c>
      <c r="G150" s="20">
        <v>77</v>
      </c>
      <c r="H150" s="20">
        <v>100</v>
      </c>
      <c r="I150" s="20">
        <v>270</v>
      </c>
      <c r="J150" s="20">
        <v>270</v>
      </c>
    </row>
    <row r="151" spans="1:10" x14ac:dyDescent="0.25">
      <c r="A151" s="20">
        <v>32971</v>
      </c>
      <c r="B151" s="20" t="s">
        <v>48</v>
      </c>
      <c r="C151" s="22">
        <v>46030</v>
      </c>
      <c r="D151" s="22">
        <v>46029</v>
      </c>
      <c r="E151" s="22" t="s">
        <v>753</v>
      </c>
      <c r="F151" s="20">
        <v>320</v>
      </c>
      <c r="G151" s="20">
        <v>77</v>
      </c>
      <c r="H151" s="20">
        <v>10</v>
      </c>
      <c r="I151" s="21">
        <v>1800</v>
      </c>
      <c r="J151" s="20">
        <v>180</v>
      </c>
    </row>
    <row r="152" spans="1:10" x14ac:dyDescent="0.25">
      <c r="A152" s="20">
        <v>32972</v>
      </c>
      <c r="B152" s="20" t="s">
        <v>72</v>
      </c>
      <c r="C152" s="22">
        <v>46030</v>
      </c>
      <c r="D152" s="22">
        <v>46030</v>
      </c>
      <c r="E152" s="22" t="s">
        <v>753</v>
      </c>
      <c r="F152" s="20">
        <v>312</v>
      </c>
      <c r="G152" s="20">
        <v>271</v>
      </c>
      <c r="H152" s="20">
        <v>1.75</v>
      </c>
      <c r="I152" s="20">
        <v>306.86</v>
      </c>
      <c r="J152" s="20">
        <v>5.37</v>
      </c>
    </row>
    <row r="153" spans="1:10" x14ac:dyDescent="0.25">
      <c r="A153" s="20">
        <v>32972</v>
      </c>
      <c r="B153" s="20" t="s">
        <v>72</v>
      </c>
      <c r="C153" s="22">
        <v>46030</v>
      </c>
      <c r="D153" s="22">
        <v>46030</v>
      </c>
      <c r="E153" s="22" t="s">
        <v>104</v>
      </c>
      <c r="F153" s="20">
        <v>312</v>
      </c>
      <c r="G153" s="20">
        <v>271</v>
      </c>
      <c r="H153" s="20">
        <v>30</v>
      </c>
      <c r="I153" s="20">
        <v>46.03</v>
      </c>
      <c r="J153" s="20">
        <v>13.81</v>
      </c>
    </row>
    <row r="154" spans="1:10" x14ac:dyDescent="0.25">
      <c r="A154" s="20">
        <v>32973</v>
      </c>
      <c r="B154" s="20" t="s">
        <v>15</v>
      </c>
      <c r="C154" s="22">
        <v>46030</v>
      </c>
      <c r="D154" s="22">
        <v>46027</v>
      </c>
      <c r="E154" s="22" t="s">
        <v>104</v>
      </c>
      <c r="F154" s="20">
        <v>320</v>
      </c>
      <c r="G154" s="20">
        <v>2</v>
      </c>
      <c r="H154" s="20">
        <v>100</v>
      </c>
      <c r="I154" s="20">
        <v>30</v>
      </c>
      <c r="J154" s="20">
        <v>30</v>
      </c>
    </row>
    <row r="155" spans="1:10" x14ac:dyDescent="0.25">
      <c r="A155" s="20">
        <v>32973</v>
      </c>
      <c r="B155" s="20" t="s">
        <v>15</v>
      </c>
      <c r="C155" s="22">
        <v>46030</v>
      </c>
      <c r="D155" s="22">
        <v>46027</v>
      </c>
      <c r="E155" s="22" t="s">
        <v>753</v>
      </c>
      <c r="F155" s="20">
        <v>320</v>
      </c>
      <c r="G155" s="20">
        <v>2</v>
      </c>
      <c r="H155" s="20">
        <v>10</v>
      </c>
      <c r="I155" s="20">
        <v>200</v>
      </c>
      <c r="J155" s="20">
        <v>20</v>
      </c>
    </row>
    <row r="156" spans="1:10" x14ac:dyDescent="0.25">
      <c r="A156" s="20">
        <v>32974</v>
      </c>
      <c r="B156" s="20" t="s">
        <v>69</v>
      </c>
      <c r="C156" s="22">
        <v>46030</v>
      </c>
      <c r="D156" s="22">
        <v>46030</v>
      </c>
      <c r="E156" s="22" t="s">
        <v>104</v>
      </c>
      <c r="F156" s="20">
        <v>312</v>
      </c>
      <c r="G156" s="20">
        <v>2087</v>
      </c>
      <c r="H156" s="20">
        <v>30</v>
      </c>
      <c r="I156" s="20">
        <v>30</v>
      </c>
      <c r="J156" s="20">
        <v>9</v>
      </c>
    </row>
    <row r="157" spans="1:10" x14ac:dyDescent="0.25">
      <c r="A157" s="20">
        <v>32974</v>
      </c>
      <c r="B157" s="20" t="s">
        <v>69</v>
      </c>
      <c r="C157" s="22">
        <v>46030</v>
      </c>
      <c r="D157" s="22">
        <v>46030</v>
      </c>
      <c r="E157" s="22" t="s">
        <v>753</v>
      </c>
      <c r="F157" s="20">
        <v>312</v>
      </c>
      <c r="G157" s="20">
        <v>2087</v>
      </c>
      <c r="H157" s="20">
        <v>1.75</v>
      </c>
      <c r="I157" s="20">
        <v>200</v>
      </c>
      <c r="J157" s="20">
        <v>3.5</v>
      </c>
    </row>
    <row r="158" spans="1:10" x14ac:dyDescent="0.25">
      <c r="A158" s="20">
        <v>32975</v>
      </c>
      <c r="B158" s="20" t="s">
        <v>67</v>
      </c>
      <c r="C158" s="22">
        <v>46030</v>
      </c>
      <c r="D158" s="22">
        <v>46030</v>
      </c>
      <c r="E158" s="22" t="s">
        <v>753</v>
      </c>
      <c r="F158" s="20">
        <v>332</v>
      </c>
      <c r="G158" s="20">
        <v>1712</v>
      </c>
      <c r="H158" s="20">
        <v>0</v>
      </c>
      <c r="I158" s="20">
        <v>42</v>
      </c>
      <c r="J158" s="20">
        <v>0</v>
      </c>
    </row>
    <row r="159" spans="1:10" x14ac:dyDescent="0.25">
      <c r="A159" s="20">
        <v>32976</v>
      </c>
      <c r="B159" s="20" t="s">
        <v>46</v>
      </c>
      <c r="C159" s="22">
        <v>46030</v>
      </c>
      <c r="D159" s="22">
        <v>46030</v>
      </c>
      <c r="E159" s="22" t="s">
        <v>104</v>
      </c>
      <c r="F159" s="20">
        <v>312</v>
      </c>
      <c r="G159" s="20">
        <v>509</v>
      </c>
      <c r="H159" s="20">
        <v>30</v>
      </c>
      <c r="I159" s="20">
        <v>31.39</v>
      </c>
      <c r="J159" s="20">
        <v>9.42</v>
      </c>
    </row>
    <row r="160" spans="1:10" x14ac:dyDescent="0.25">
      <c r="A160" s="20">
        <v>32976</v>
      </c>
      <c r="B160" s="20" t="s">
        <v>46</v>
      </c>
      <c r="C160" s="22">
        <v>46030</v>
      </c>
      <c r="D160" s="22">
        <v>46030</v>
      </c>
      <c r="E160" s="22" t="s">
        <v>753</v>
      </c>
      <c r="F160" s="20">
        <v>312</v>
      </c>
      <c r="G160" s="20">
        <v>509</v>
      </c>
      <c r="H160" s="20">
        <v>1.75</v>
      </c>
      <c r="I160" s="20">
        <v>209.26</v>
      </c>
      <c r="J160" s="20">
        <v>3.66</v>
      </c>
    </row>
    <row r="161" spans="1:10" x14ac:dyDescent="0.25">
      <c r="A161" s="20">
        <v>32977</v>
      </c>
      <c r="B161" s="20" t="s">
        <v>46</v>
      </c>
      <c r="C161" s="22">
        <v>46030</v>
      </c>
      <c r="D161" s="22">
        <v>46030</v>
      </c>
      <c r="E161" s="22" t="s">
        <v>753</v>
      </c>
      <c r="F161" s="20">
        <v>312</v>
      </c>
      <c r="G161" s="20">
        <v>508</v>
      </c>
      <c r="H161" s="20">
        <v>1.75</v>
      </c>
      <c r="I161" s="20">
        <v>143.49</v>
      </c>
      <c r="J161" s="20">
        <v>2.5099999999999998</v>
      </c>
    </row>
    <row r="162" spans="1:10" x14ac:dyDescent="0.25">
      <c r="A162" s="20">
        <v>32977</v>
      </c>
      <c r="B162" s="20" t="s">
        <v>46</v>
      </c>
      <c r="C162" s="22">
        <v>46030</v>
      </c>
      <c r="D162" s="22">
        <v>46030</v>
      </c>
      <c r="E162" s="22" t="s">
        <v>104</v>
      </c>
      <c r="F162" s="20">
        <v>312</v>
      </c>
      <c r="G162" s="20">
        <v>508</v>
      </c>
      <c r="H162" s="20">
        <v>30</v>
      </c>
      <c r="I162" s="20">
        <v>21.52</v>
      </c>
      <c r="J162" s="20">
        <v>6.46</v>
      </c>
    </row>
    <row r="163" spans="1:10" x14ac:dyDescent="0.25">
      <c r="A163" s="20">
        <v>32978</v>
      </c>
      <c r="B163" s="20" t="s">
        <v>67</v>
      </c>
      <c r="C163" s="22">
        <v>46030</v>
      </c>
      <c r="D163" s="22">
        <v>46030</v>
      </c>
      <c r="E163" s="22" t="s">
        <v>753</v>
      </c>
      <c r="F163" s="20">
        <v>332</v>
      </c>
      <c r="G163" s="20">
        <v>1707</v>
      </c>
      <c r="H163" s="20">
        <v>0</v>
      </c>
      <c r="I163" s="20">
        <v>40</v>
      </c>
      <c r="J163" s="20">
        <v>0</v>
      </c>
    </row>
    <row r="164" spans="1:10" x14ac:dyDescent="0.25">
      <c r="A164" s="20">
        <v>32979</v>
      </c>
      <c r="B164" s="20" t="s">
        <v>67</v>
      </c>
      <c r="C164" s="22">
        <v>46030</v>
      </c>
      <c r="D164" s="22">
        <v>46030</v>
      </c>
      <c r="E164" s="22" t="s">
        <v>753</v>
      </c>
      <c r="F164" s="20">
        <v>332</v>
      </c>
      <c r="G164" s="20">
        <v>1708</v>
      </c>
      <c r="H164" s="20">
        <v>0</v>
      </c>
      <c r="I164" s="20">
        <v>8</v>
      </c>
      <c r="J164" s="20">
        <v>0</v>
      </c>
    </row>
    <row r="165" spans="1:10" x14ac:dyDescent="0.25">
      <c r="A165" s="20">
        <v>32980</v>
      </c>
      <c r="B165" s="20" t="s">
        <v>68</v>
      </c>
      <c r="C165" s="22">
        <v>46030</v>
      </c>
      <c r="D165" s="22">
        <v>46030</v>
      </c>
      <c r="E165" s="22" t="s">
        <v>753</v>
      </c>
      <c r="F165" s="20">
        <v>332</v>
      </c>
      <c r="G165" s="20">
        <v>1207</v>
      </c>
      <c r="H165" s="20">
        <v>0</v>
      </c>
      <c r="I165" s="20">
        <v>20</v>
      </c>
      <c r="J165" s="20">
        <v>0</v>
      </c>
    </row>
    <row r="166" spans="1:10" x14ac:dyDescent="0.25">
      <c r="A166" s="20">
        <v>32981</v>
      </c>
      <c r="B166" s="20" t="s">
        <v>56</v>
      </c>
      <c r="C166" s="22">
        <v>46030</v>
      </c>
      <c r="D166" s="22">
        <v>46030</v>
      </c>
      <c r="E166" s="22" t="s">
        <v>104</v>
      </c>
      <c r="F166" s="20">
        <v>307</v>
      </c>
      <c r="G166" s="20">
        <v>1438</v>
      </c>
      <c r="H166" s="20">
        <v>70</v>
      </c>
      <c r="I166" s="20">
        <v>0.9</v>
      </c>
      <c r="J166" s="20">
        <v>0.63</v>
      </c>
    </row>
    <row r="167" spans="1:10" x14ac:dyDescent="0.25">
      <c r="A167" s="20">
        <v>32981</v>
      </c>
      <c r="B167" s="20" t="s">
        <v>56</v>
      </c>
      <c r="C167" s="22">
        <v>46030</v>
      </c>
      <c r="D167" s="22">
        <v>46030</v>
      </c>
      <c r="E167" s="22" t="s">
        <v>753</v>
      </c>
      <c r="F167" s="20">
        <v>307</v>
      </c>
      <c r="G167" s="20">
        <v>1438</v>
      </c>
      <c r="H167" s="20">
        <v>2</v>
      </c>
      <c r="I167" s="20">
        <v>6</v>
      </c>
      <c r="J167" s="20">
        <v>0.12</v>
      </c>
    </row>
    <row r="168" spans="1:10" x14ac:dyDescent="0.25">
      <c r="A168" s="20">
        <v>32982</v>
      </c>
      <c r="B168" s="20" t="s">
        <v>56</v>
      </c>
      <c r="C168" s="22">
        <v>46030</v>
      </c>
      <c r="D168" s="22">
        <v>46030</v>
      </c>
      <c r="E168" s="22" t="s">
        <v>104</v>
      </c>
      <c r="F168" s="20">
        <v>307</v>
      </c>
      <c r="G168" s="20">
        <v>1444</v>
      </c>
      <c r="H168" s="20">
        <v>70</v>
      </c>
      <c r="I168" s="20">
        <v>0.9</v>
      </c>
      <c r="J168" s="20">
        <v>0.63</v>
      </c>
    </row>
    <row r="169" spans="1:10" x14ac:dyDescent="0.25">
      <c r="A169" s="20">
        <v>32982</v>
      </c>
      <c r="B169" s="20" t="s">
        <v>56</v>
      </c>
      <c r="C169" s="22">
        <v>46030</v>
      </c>
      <c r="D169" s="22">
        <v>46030</v>
      </c>
      <c r="E169" s="22" t="s">
        <v>753</v>
      </c>
      <c r="F169" s="20">
        <v>307</v>
      </c>
      <c r="G169" s="20">
        <v>1444</v>
      </c>
      <c r="H169" s="20">
        <v>2</v>
      </c>
      <c r="I169" s="20">
        <v>6</v>
      </c>
      <c r="J169" s="20">
        <v>0.12</v>
      </c>
    </row>
    <row r="170" spans="1:10" x14ac:dyDescent="0.25">
      <c r="A170" s="20">
        <v>32983</v>
      </c>
      <c r="B170" s="20" t="s">
        <v>56</v>
      </c>
      <c r="C170" s="22">
        <v>46030</v>
      </c>
      <c r="D170" s="22">
        <v>46030</v>
      </c>
      <c r="E170" s="22" t="s">
        <v>753</v>
      </c>
      <c r="F170" s="20">
        <v>307</v>
      </c>
      <c r="G170" s="20">
        <v>1445</v>
      </c>
      <c r="H170" s="20">
        <v>2</v>
      </c>
      <c r="I170" s="20">
        <v>6</v>
      </c>
      <c r="J170" s="20">
        <v>0.12</v>
      </c>
    </row>
    <row r="171" spans="1:10" x14ac:dyDescent="0.25">
      <c r="A171" s="20">
        <v>32983</v>
      </c>
      <c r="B171" s="20" t="s">
        <v>56</v>
      </c>
      <c r="C171" s="22">
        <v>46030</v>
      </c>
      <c r="D171" s="22">
        <v>46030</v>
      </c>
      <c r="E171" s="22" t="s">
        <v>104</v>
      </c>
      <c r="F171" s="20">
        <v>307</v>
      </c>
      <c r="G171" s="20">
        <v>1445</v>
      </c>
      <c r="H171" s="20">
        <v>70</v>
      </c>
      <c r="I171" s="20">
        <v>0.9</v>
      </c>
      <c r="J171" s="20">
        <v>0.63</v>
      </c>
    </row>
    <row r="172" spans="1:10" x14ac:dyDescent="0.25">
      <c r="A172" s="20">
        <v>32984</v>
      </c>
      <c r="B172" s="20" t="s">
        <v>55</v>
      </c>
      <c r="C172" s="22">
        <v>46030</v>
      </c>
      <c r="D172" s="22">
        <v>46030</v>
      </c>
      <c r="E172" s="22" t="s">
        <v>753</v>
      </c>
      <c r="F172" s="20">
        <v>343</v>
      </c>
      <c r="G172" s="20">
        <v>690</v>
      </c>
      <c r="H172" s="20">
        <v>1</v>
      </c>
      <c r="I172" s="20">
        <v>20</v>
      </c>
      <c r="J172" s="20">
        <v>0.2</v>
      </c>
    </row>
    <row r="173" spans="1:10" x14ac:dyDescent="0.25">
      <c r="A173" s="20">
        <v>32984</v>
      </c>
      <c r="B173" s="20" t="s">
        <v>55</v>
      </c>
      <c r="C173" s="22">
        <v>46030</v>
      </c>
      <c r="D173" s="22">
        <v>46030</v>
      </c>
      <c r="E173" s="22" t="s">
        <v>104</v>
      </c>
      <c r="F173" s="20">
        <v>343</v>
      </c>
      <c r="G173" s="20">
        <v>690</v>
      </c>
      <c r="H173" s="20">
        <v>70</v>
      </c>
      <c r="I173" s="20">
        <v>3</v>
      </c>
      <c r="J173" s="20">
        <v>2.1</v>
      </c>
    </row>
    <row r="174" spans="1:10" x14ac:dyDescent="0.25">
      <c r="A174" s="20">
        <v>32985</v>
      </c>
      <c r="B174" s="20" t="s">
        <v>55</v>
      </c>
      <c r="C174" s="22">
        <v>46030</v>
      </c>
      <c r="D174" s="22">
        <v>46030</v>
      </c>
      <c r="E174" s="22" t="s">
        <v>104</v>
      </c>
      <c r="F174" s="20">
        <v>343</v>
      </c>
      <c r="G174" s="20">
        <v>693</v>
      </c>
      <c r="H174" s="20">
        <v>70</v>
      </c>
      <c r="I174" s="20">
        <v>3</v>
      </c>
      <c r="J174" s="20">
        <v>2.1</v>
      </c>
    </row>
    <row r="175" spans="1:10" x14ac:dyDescent="0.25">
      <c r="A175" s="20">
        <v>32985</v>
      </c>
      <c r="B175" s="20" t="s">
        <v>55</v>
      </c>
      <c r="C175" s="22">
        <v>46030</v>
      </c>
      <c r="D175" s="22">
        <v>46030</v>
      </c>
      <c r="E175" s="22" t="s">
        <v>753</v>
      </c>
      <c r="F175" s="20">
        <v>343</v>
      </c>
      <c r="G175" s="20">
        <v>693</v>
      </c>
      <c r="H175" s="20">
        <v>1</v>
      </c>
      <c r="I175" s="20">
        <v>20</v>
      </c>
      <c r="J175" s="20">
        <v>0.2</v>
      </c>
    </row>
    <row r="176" spans="1:10" x14ac:dyDescent="0.25">
      <c r="A176" s="20">
        <v>32986</v>
      </c>
      <c r="B176" s="20" t="s">
        <v>56</v>
      </c>
      <c r="C176" s="22">
        <v>46030</v>
      </c>
      <c r="D176" s="22">
        <v>46030</v>
      </c>
      <c r="E176" s="22" t="s">
        <v>104</v>
      </c>
      <c r="F176" s="20">
        <v>307</v>
      </c>
      <c r="G176" s="20">
        <v>1442</v>
      </c>
      <c r="H176" s="20">
        <v>70</v>
      </c>
      <c r="I176" s="20">
        <v>0.9</v>
      </c>
      <c r="J176" s="20">
        <v>0.63</v>
      </c>
    </row>
    <row r="177" spans="1:10" x14ac:dyDescent="0.25">
      <c r="A177" s="20">
        <v>32986</v>
      </c>
      <c r="B177" s="20" t="s">
        <v>56</v>
      </c>
      <c r="C177" s="22">
        <v>46030</v>
      </c>
      <c r="D177" s="22">
        <v>46030</v>
      </c>
      <c r="E177" s="22" t="s">
        <v>753</v>
      </c>
      <c r="F177" s="20">
        <v>307</v>
      </c>
      <c r="G177" s="20">
        <v>1442</v>
      </c>
      <c r="H177" s="20">
        <v>2</v>
      </c>
      <c r="I177" s="20">
        <v>6</v>
      </c>
      <c r="J177" s="20">
        <v>0.12</v>
      </c>
    </row>
    <row r="178" spans="1:10" x14ac:dyDescent="0.25">
      <c r="A178" s="20">
        <v>32987</v>
      </c>
      <c r="B178" s="20" t="s">
        <v>67</v>
      </c>
      <c r="C178" s="22">
        <v>46030</v>
      </c>
      <c r="D178" s="22">
        <v>46030</v>
      </c>
      <c r="E178" s="22" t="s">
        <v>753</v>
      </c>
      <c r="F178" s="20">
        <v>332</v>
      </c>
      <c r="G178" s="20">
        <v>1706</v>
      </c>
      <c r="H178" s="20">
        <v>0</v>
      </c>
      <c r="I178" s="20">
        <v>18</v>
      </c>
      <c r="J178" s="20">
        <v>0</v>
      </c>
    </row>
    <row r="179" spans="1:10" x14ac:dyDescent="0.25">
      <c r="A179" s="20">
        <v>32988</v>
      </c>
      <c r="B179" s="20" t="s">
        <v>55</v>
      </c>
      <c r="C179" s="22">
        <v>46030</v>
      </c>
      <c r="D179" s="22">
        <v>46030</v>
      </c>
      <c r="E179" s="22" t="s">
        <v>104</v>
      </c>
      <c r="F179" s="20">
        <v>343</v>
      </c>
      <c r="G179" s="20">
        <v>696</v>
      </c>
      <c r="H179" s="20">
        <v>70</v>
      </c>
      <c r="I179" s="20">
        <v>1.5</v>
      </c>
      <c r="J179" s="20">
        <v>1.05</v>
      </c>
    </row>
    <row r="180" spans="1:10" x14ac:dyDescent="0.25">
      <c r="A180" s="20">
        <v>32988</v>
      </c>
      <c r="B180" s="20" t="s">
        <v>55</v>
      </c>
      <c r="C180" s="22">
        <v>46030</v>
      </c>
      <c r="D180" s="22">
        <v>46030</v>
      </c>
      <c r="E180" s="22" t="s">
        <v>753</v>
      </c>
      <c r="F180" s="20">
        <v>343</v>
      </c>
      <c r="G180" s="20">
        <v>696</v>
      </c>
      <c r="H180" s="20">
        <v>1</v>
      </c>
      <c r="I180" s="20">
        <v>10</v>
      </c>
      <c r="J180" s="20">
        <v>0.1</v>
      </c>
    </row>
    <row r="181" spans="1:10" x14ac:dyDescent="0.25">
      <c r="A181" s="20">
        <v>32989</v>
      </c>
      <c r="B181" s="20" t="s">
        <v>68</v>
      </c>
      <c r="C181" s="22">
        <v>46030</v>
      </c>
      <c r="D181" s="22">
        <v>46030</v>
      </c>
      <c r="E181" s="22" t="s">
        <v>753</v>
      </c>
      <c r="F181" s="20">
        <v>332</v>
      </c>
      <c r="G181" s="20">
        <v>1208</v>
      </c>
      <c r="H181" s="20">
        <v>0</v>
      </c>
      <c r="I181" s="20">
        <v>11</v>
      </c>
      <c r="J181" s="20">
        <v>0</v>
      </c>
    </row>
    <row r="182" spans="1:10" x14ac:dyDescent="0.25">
      <c r="A182" s="20">
        <v>32990</v>
      </c>
      <c r="B182" s="20" t="s">
        <v>68</v>
      </c>
      <c r="C182" s="22">
        <v>46030</v>
      </c>
      <c r="D182" s="22">
        <v>46030</v>
      </c>
      <c r="E182" s="22" t="s">
        <v>753</v>
      </c>
      <c r="F182" s="20">
        <v>332</v>
      </c>
      <c r="G182" s="20">
        <v>1209</v>
      </c>
      <c r="H182" s="20">
        <v>0</v>
      </c>
      <c r="I182" s="20">
        <v>11</v>
      </c>
      <c r="J182" s="20">
        <v>0</v>
      </c>
    </row>
    <row r="183" spans="1:10" x14ac:dyDescent="0.25">
      <c r="A183" s="20">
        <v>32991</v>
      </c>
      <c r="B183" s="20" t="s">
        <v>68</v>
      </c>
      <c r="C183" s="22">
        <v>46030</v>
      </c>
      <c r="D183" s="22">
        <v>46030</v>
      </c>
      <c r="E183" s="22" t="s">
        <v>753</v>
      </c>
      <c r="F183" s="20">
        <v>332</v>
      </c>
      <c r="G183" s="20">
        <v>1210</v>
      </c>
      <c r="H183" s="20">
        <v>0</v>
      </c>
      <c r="I183" s="20">
        <v>11</v>
      </c>
      <c r="J183" s="20">
        <v>0</v>
      </c>
    </row>
    <row r="184" spans="1:10" x14ac:dyDescent="0.25">
      <c r="A184" s="20">
        <v>32992</v>
      </c>
      <c r="B184" s="20" t="s">
        <v>16</v>
      </c>
      <c r="C184" s="22">
        <v>46030</v>
      </c>
      <c r="D184" s="22">
        <v>46030</v>
      </c>
      <c r="E184" s="22" t="s">
        <v>753</v>
      </c>
      <c r="F184" s="20">
        <v>332</v>
      </c>
      <c r="G184" s="20">
        <v>615</v>
      </c>
      <c r="H184" s="20">
        <v>0</v>
      </c>
      <c r="I184" s="20">
        <v>10</v>
      </c>
      <c r="J184" s="20">
        <v>0</v>
      </c>
    </row>
    <row r="185" spans="1:10" x14ac:dyDescent="0.25">
      <c r="A185" s="20">
        <v>32993</v>
      </c>
      <c r="B185" s="20" t="s">
        <v>68</v>
      </c>
      <c r="C185" s="22">
        <v>46030</v>
      </c>
      <c r="D185" s="22">
        <v>46030</v>
      </c>
      <c r="E185" s="22" t="s">
        <v>753</v>
      </c>
      <c r="F185" s="20">
        <v>332</v>
      </c>
      <c r="G185" s="20">
        <v>1214</v>
      </c>
      <c r="H185" s="20">
        <v>0</v>
      </c>
      <c r="I185" s="20">
        <v>10</v>
      </c>
      <c r="J185" s="20">
        <v>0</v>
      </c>
    </row>
    <row r="186" spans="1:10" x14ac:dyDescent="0.25">
      <c r="A186" s="20">
        <v>32994</v>
      </c>
      <c r="B186" s="20" t="s">
        <v>55</v>
      </c>
      <c r="C186" s="22">
        <v>46030</v>
      </c>
      <c r="D186" s="22">
        <v>46030</v>
      </c>
      <c r="E186" s="22" t="s">
        <v>753</v>
      </c>
      <c r="F186" s="20">
        <v>343</v>
      </c>
      <c r="G186" s="20">
        <v>695</v>
      </c>
      <c r="H186" s="20">
        <v>1</v>
      </c>
      <c r="I186" s="20">
        <v>20</v>
      </c>
      <c r="J186" s="20">
        <v>0.2</v>
      </c>
    </row>
    <row r="187" spans="1:10" x14ac:dyDescent="0.25">
      <c r="A187" s="20">
        <v>32994</v>
      </c>
      <c r="B187" s="20" t="s">
        <v>55</v>
      </c>
      <c r="C187" s="22">
        <v>46030</v>
      </c>
      <c r="D187" s="22">
        <v>46030</v>
      </c>
      <c r="E187" s="22" t="s">
        <v>104</v>
      </c>
      <c r="F187" s="20">
        <v>343</v>
      </c>
      <c r="G187" s="20">
        <v>695</v>
      </c>
      <c r="H187" s="20">
        <v>70</v>
      </c>
      <c r="I187" s="20">
        <v>3</v>
      </c>
      <c r="J187" s="20">
        <v>2.1</v>
      </c>
    </row>
    <row r="188" spans="1:10" x14ac:dyDescent="0.25">
      <c r="A188" s="20">
        <v>32995</v>
      </c>
      <c r="B188" s="20" t="s">
        <v>55</v>
      </c>
      <c r="C188" s="22">
        <v>46030</v>
      </c>
      <c r="D188" s="22">
        <v>46030</v>
      </c>
      <c r="E188" s="22" t="s">
        <v>753</v>
      </c>
      <c r="F188" s="20">
        <v>343</v>
      </c>
      <c r="G188" s="20">
        <v>697</v>
      </c>
      <c r="H188" s="20">
        <v>1</v>
      </c>
      <c r="I188" s="20">
        <v>20</v>
      </c>
      <c r="J188" s="20">
        <v>0.2</v>
      </c>
    </row>
    <row r="189" spans="1:10" x14ac:dyDescent="0.25">
      <c r="A189" s="20">
        <v>32995</v>
      </c>
      <c r="B189" s="20" t="s">
        <v>55</v>
      </c>
      <c r="C189" s="22">
        <v>46030</v>
      </c>
      <c r="D189" s="22">
        <v>46030</v>
      </c>
      <c r="E189" s="22" t="s">
        <v>104</v>
      </c>
      <c r="F189" s="20">
        <v>343</v>
      </c>
      <c r="G189" s="20">
        <v>697</v>
      </c>
      <c r="H189" s="20">
        <v>70</v>
      </c>
      <c r="I189" s="20">
        <v>3</v>
      </c>
      <c r="J189" s="20">
        <v>2.1</v>
      </c>
    </row>
    <row r="190" spans="1:10" x14ac:dyDescent="0.25">
      <c r="A190" s="20">
        <v>32996</v>
      </c>
      <c r="B190" s="20" t="s">
        <v>56</v>
      </c>
      <c r="C190" s="22">
        <v>46030</v>
      </c>
      <c r="D190" s="22">
        <v>46030</v>
      </c>
      <c r="E190" s="22" t="s">
        <v>753</v>
      </c>
      <c r="F190" s="20">
        <v>307</v>
      </c>
      <c r="G190" s="20">
        <v>1439</v>
      </c>
      <c r="H190" s="20">
        <v>2</v>
      </c>
      <c r="I190" s="20">
        <v>6</v>
      </c>
      <c r="J190" s="20">
        <v>0.12</v>
      </c>
    </row>
    <row r="191" spans="1:10" x14ac:dyDescent="0.25">
      <c r="A191" s="20">
        <v>32996</v>
      </c>
      <c r="B191" s="20" t="s">
        <v>56</v>
      </c>
      <c r="C191" s="22">
        <v>46030</v>
      </c>
      <c r="D191" s="22">
        <v>46030</v>
      </c>
      <c r="E191" s="22" t="s">
        <v>104</v>
      </c>
      <c r="F191" s="20">
        <v>307</v>
      </c>
      <c r="G191" s="20">
        <v>1439</v>
      </c>
      <c r="H191" s="20">
        <v>70</v>
      </c>
      <c r="I191" s="20">
        <v>0.9</v>
      </c>
      <c r="J191" s="20">
        <v>0.63</v>
      </c>
    </row>
    <row r="192" spans="1:10" x14ac:dyDescent="0.25">
      <c r="A192" s="20">
        <v>32997</v>
      </c>
      <c r="B192" s="20" t="s">
        <v>56</v>
      </c>
      <c r="C192" s="22">
        <v>46030</v>
      </c>
      <c r="D192" s="22">
        <v>46030</v>
      </c>
      <c r="E192" s="22" t="s">
        <v>753</v>
      </c>
      <c r="F192" s="20">
        <v>307</v>
      </c>
      <c r="G192" s="20">
        <v>1440</v>
      </c>
      <c r="H192" s="20">
        <v>2</v>
      </c>
      <c r="I192" s="20">
        <v>10</v>
      </c>
      <c r="J192" s="20">
        <v>0.2</v>
      </c>
    </row>
    <row r="193" spans="1:10" x14ac:dyDescent="0.25">
      <c r="A193" s="20">
        <v>32997</v>
      </c>
      <c r="B193" s="20" t="s">
        <v>56</v>
      </c>
      <c r="C193" s="22">
        <v>46030</v>
      </c>
      <c r="D193" s="22">
        <v>46030</v>
      </c>
      <c r="E193" s="22" t="s">
        <v>104</v>
      </c>
      <c r="F193" s="20">
        <v>307</v>
      </c>
      <c r="G193" s="20">
        <v>1440</v>
      </c>
      <c r="H193" s="20">
        <v>70</v>
      </c>
      <c r="I193" s="20">
        <v>1.5</v>
      </c>
      <c r="J193" s="20">
        <v>1.05</v>
      </c>
    </row>
    <row r="194" spans="1:10" x14ac:dyDescent="0.25">
      <c r="A194" s="20">
        <v>32998</v>
      </c>
      <c r="B194" s="20" t="s">
        <v>56</v>
      </c>
      <c r="C194" s="22">
        <v>46030</v>
      </c>
      <c r="D194" s="22">
        <v>46030</v>
      </c>
      <c r="E194" s="22" t="s">
        <v>753</v>
      </c>
      <c r="F194" s="20">
        <v>307</v>
      </c>
      <c r="G194" s="20">
        <v>1441</v>
      </c>
      <c r="H194" s="20">
        <v>2</v>
      </c>
      <c r="I194" s="20">
        <v>10</v>
      </c>
      <c r="J194" s="20">
        <v>0.2</v>
      </c>
    </row>
    <row r="195" spans="1:10" x14ac:dyDescent="0.25">
      <c r="A195" s="20">
        <v>32998</v>
      </c>
      <c r="B195" s="20" t="s">
        <v>56</v>
      </c>
      <c r="C195" s="22">
        <v>46030</v>
      </c>
      <c r="D195" s="22">
        <v>46030</v>
      </c>
      <c r="E195" s="22" t="s">
        <v>104</v>
      </c>
      <c r="F195" s="20">
        <v>307</v>
      </c>
      <c r="G195" s="20">
        <v>1441</v>
      </c>
      <c r="H195" s="20">
        <v>70</v>
      </c>
      <c r="I195" s="20">
        <v>1.5</v>
      </c>
      <c r="J195" s="20">
        <v>1.05</v>
      </c>
    </row>
    <row r="196" spans="1:10" x14ac:dyDescent="0.25">
      <c r="A196" s="20">
        <v>32999</v>
      </c>
      <c r="B196" s="20" t="s">
        <v>23</v>
      </c>
      <c r="C196" s="22">
        <v>46030</v>
      </c>
      <c r="D196" s="22">
        <v>46030</v>
      </c>
      <c r="E196" s="22" t="s">
        <v>753</v>
      </c>
      <c r="F196" s="20">
        <v>307</v>
      </c>
      <c r="G196" s="20">
        <v>2544</v>
      </c>
      <c r="H196" s="20">
        <v>2</v>
      </c>
      <c r="I196" s="20">
        <v>17.87</v>
      </c>
      <c r="J196" s="20">
        <v>0.36</v>
      </c>
    </row>
    <row r="197" spans="1:10" x14ac:dyDescent="0.25">
      <c r="A197" s="20">
        <v>32999</v>
      </c>
      <c r="B197" s="20" t="s">
        <v>23</v>
      </c>
      <c r="C197" s="22">
        <v>46030</v>
      </c>
      <c r="D197" s="22">
        <v>46030</v>
      </c>
      <c r="E197" s="22" t="s">
        <v>104</v>
      </c>
      <c r="F197" s="20">
        <v>307</v>
      </c>
      <c r="G197" s="20">
        <v>2544</v>
      </c>
      <c r="H197" s="20">
        <v>70</v>
      </c>
      <c r="I197" s="20">
        <v>2.68</v>
      </c>
      <c r="J197" s="20">
        <v>1.88</v>
      </c>
    </row>
    <row r="198" spans="1:10" x14ac:dyDescent="0.25">
      <c r="A198" s="20">
        <v>33000</v>
      </c>
      <c r="B198" s="20" t="s">
        <v>23</v>
      </c>
      <c r="C198" s="22">
        <v>46030</v>
      </c>
      <c r="D198" s="22">
        <v>46030</v>
      </c>
      <c r="E198" s="22" t="s">
        <v>104</v>
      </c>
      <c r="F198" s="20">
        <v>307</v>
      </c>
      <c r="G198" s="20">
        <v>2551</v>
      </c>
      <c r="H198" s="20">
        <v>70</v>
      </c>
      <c r="I198" s="20">
        <v>2.68</v>
      </c>
      <c r="J198" s="20">
        <v>1.88</v>
      </c>
    </row>
    <row r="199" spans="1:10" x14ac:dyDescent="0.25">
      <c r="A199" s="20">
        <v>33000</v>
      </c>
      <c r="B199" s="20" t="s">
        <v>23</v>
      </c>
      <c r="C199" s="22">
        <v>46030</v>
      </c>
      <c r="D199" s="22">
        <v>46030</v>
      </c>
      <c r="E199" s="22" t="s">
        <v>753</v>
      </c>
      <c r="F199" s="20">
        <v>307</v>
      </c>
      <c r="G199" s="20">
        <v>2551</v>
      </c>
      <c r="H199" s="20">
        <v>2</v>
      </c>
      <c r="I199" s="20">
        <v>17.87</v>
      </c>
      <c r="J199" s="20">
        <v>0.36</v>
      </c>
    </row>
    <row r="200" spans="1:10" x14ac:dyDescent="0.25">
      <c r="A200" s="20">
        <v>33001</v>
      </c>
      <c r="B200" s="20" t="s">
        <v>55</v>
      </c>
      <c r="C200" s="22">
        <v>46030</v>
      </c>
      <c r="D200" s="22">
        <v>46030</v>
      </c>
      <c r="E200" s="22" t="s">
        <v>104</v>
      </c>
      <c r="F200" s="20">
        <v>343</v>
      </c>
      <c r="G200" s="20">
        <v>691</v>
      </c>
      <c r="H200" s="20">
        <v>70</v>
      </c>
      <c r="I200" s="20">
        <v>1.5</v>
      </c>
      <c r="J200" s="20">
        <v>1.05</v>
      </c>
    </row>
    <row r="201" spans="1:10" x14ac:dyDescent="0.25">
      <c r="A201" s="20">
        <v>33001</v>
      </c>
      <c r="B201" s="20" t="s">
        <v>55</v>
      </c>
      <c r="C201" s="22">
        <v>46030</v>
      </c>
      <c r="D201" s="22">
        <v>46030</v>
      </c>
      <c r="E201" s="22" t="s">
        <v>753</v>
      </c>
      <c r="F201" s="20">
        <v>343</v>
      </c>
      <c r="G201" s="20">
        <v>691</v>
      </c>
      <c r="H201" s="20">
        <v>1</v>
      </c>
      <c r="I201" s="20">
        <v>10</v>
      </c>
      <c r="J201" s="20">
        <v>0.1</v>
      </c>
    </row>
    <row r="202" spans="1:10" x14ac:dyDescent="0.25">
      <c r="A202" s="20">
        <v>33002</v>
      </c>
      <c r="B202" s="20" t="s">
        <v>56</v>
      </c>
      <c r="C202" s="22">
        <v>46030</v>
      </c>
      <c r="D202" s="22">
        <v>46030</v>
      </c>
      <c r="E202" s="22" t="s">
        <v>753</v>
      </c>
      <c r="F202" s="20">
        <v>307</v>
      </c>
      <c r="G202" s="20">
        <v>1443</v>
      </c>
      <c r="H202" s="20">
        <v>2</v>
      </c>
      <c r="I202" s="20">
        <v>10</v>
      </c>
      <c r="J202" s="20">
        <v>0.2</v>
      </c>
    </row>
    <row r="203" spans="1:10" x14ac:dyDescent="0.25">
      <c r="A203" s="20">
        <v>33002</v>
      </c>
      <c r="B203" s="20" t="s">
        <v>56</v>
      </c>
      <c r="C203" s="22">
        <v>46030</v>
      </c>
      <c r="D203" s="22">
        <v>46030</v>
      </c>
      <c r="E203" s="22" t="s">
        <v>104</v>
      </c>
      <c r="F203" s="20">
        <v>307</v>
      </c>
      <c r="G203" s="20">
        <v>1443</v>
      </c>
      <c r="H203" s="20">
        <v>70</v>
      </c>
      <c r="I203" s="20">
        <v>1.5</v>
      </c>
      <c r="J203" s="20">
        <v>1.05</v>
      </c>
    </row>
    <row r="204" spans="1:10" x14ac:dyDescent="0.25">
      <c r="A204" s="20">
        <v>33003</v>
      </c>
      <c r="B204" s="20" t="s">
        <v>71</v>
      </c>
      <c r="C204" s="22">
        <v>46030</v>
      </c>
      <c r="D204" s="22">
        <v>46030</v>
      </c>
      <c r="E204" s="22" t="s">
        <v>753</v>
      </c>
      <c r="F204" s="20">
        <v>332</v>
      </c>
      <c r="G204" s="20">
        <v>309</v>
      </c>
      <c r="H204" s="20">
        <v>0</v>
      </c>
      <c r="I204" s="20">
        <v>50</v>
      </c>
      <c r="J204" s="20">
        <v>0</v>
      </c>
    </row>
    <row r="205" spans="1:10" x14ac:dyDescent="0.25">
      <c r="A205" s="20">
        <v>33004</v>
      </c>
      <c r="B205" s="20" t="s">
        <v>67</v>
      </c>
      <c r="C205" s="22">
        <v>46030</v>
      </c>
      <c r="D205" s="22">
        <v>46030</v>
      </c>
      <c r="E205" s="22" t="s">
        <v>753</v>
      </c>
      <c r="F205" s="20">
        <v>332</v>
      </c>
      <c r="G205" s="20">
        <v>1709</v>
      </c>
      <c r="H205" s="20">
        <v>0</v>
      </c>
      <c r="I205" s="20">
        <v>18</v>
      </c>
      <c r="J205" s="20">
        <v>0</v>
      </c>
    </row>
    <row r="206" spans="1:10" x14ac:dyDescent="0.25">
      <c r="A206" s="20">
        <v>33005</v>
      </c>
      <c r="B206" s="20" t="s">
        <v>67</v>
      </c>
      <c r="C206" s="22">
        <v>46030</v>
      </c>
      <c r="D206" s="22">
        <v>46030</v>
      </c>
      <c r="E206" s="22" t="s">
        <v>753</v>
      </c>
      <c r="F206" s="20">
        <v>332</v>
      </c>
      <c r="G206" s="20">
        <v>1710</v>
      </c>
      <c r="H206" s="20">
        <v>0</v>
      </c>
      <c r="I206" s="20">
        <v>18</v>
      </c>
      <c r="J206" s="20">
        <v>0</v>
      </c>
    </row>
    <row r="207" spans="1:10" x14ac:dyDescent="0.25">
      <c r="A207" s="20">
        <v>33006</v>
      </c>
      <c r="B207" s="20" t="s">
        <v>68</v>
      </c>
      <c r="C207" s="22">
        <v>46030</v>
      </c>
      <c r="D207" s="22">
        <v>46030</v>
      </c>
      <c r="E207" s="22" t="s">
        <v>753</v>
      </c>
      <c r="F207" s="20">
        <v>332</v>
      </c>
      <c r="G207" s="20">
        <v>1211</v>
      </c>
      <c r="H207" s="20">
        <v>0</v>
      </c>
      <c r="I207" s="20">
        <v>20</v>
      </c>
      <c r="J207" s="20">
        <v>0</v>
      </c>
    </row>
    <row r="208" spans="1:10" x14ac:dyDescent="0.25">
      <c r="A208" s="20">
        <v>33007</v>
      </c>
      <c r="B208" s="20" t="s">
        <v>68</v>
      </c>
      <c r="C208" s="22">
        <v>46030</v>
      </c>
      <c r="D208" s="22">
        <v>46030</v>
      </c>
      <c r="E208" s="22" t="s">
        <v>753</v>
      </c>
      <c r="F208" s="20">
        <v>332</v>
      </c>
      <c r="G208" s="20">
        <v>1212</v>
      </c>
      <c r="H208" s="20">
        <v>0</v>
      </c>
      <c r="I208" s="20">
        <v>6</v>
      </c>
      <c r="J208" s="20">
        <v>0</v>
      </c>
    </row>
    <row r="209" spans="1:10" x14ac:dyDescent="0.25">
      <c r="A209" s="20">
        <v>33008</v>
      </c>
      <c r="B209" s="20" t="s">
        <v>16</v>
      </c>
      <c r="C209" s="22">
        <v>46030</v>
      </c>
      <c r="D209" s="22">
        <v>46030</v>
      </c>
      <c r="E209" s="22" t="s">
        <v>753</v>
      </c>
      <c r="F209" s="20">
        <v>332</v>
      </c>
      <c r="G209" s="20">
        <v>614</v>
      </c>
      <c r="H209" s="20">
        <v>0</v>
      </c>
      <c r="I209" s="20">
        <v>10</v>
      </c>
      <c r="J209" s="20">
        <v>0</v>
      </c>
    </row>
    <row r="210" spans="1:10" x14ac:dyDescent="0.25">
      <c r="A210" s="20">
        <v>33009</v>
      </c>
      <c r="B210" s="20" t="s">
        <v>23</v>
      </c>
      <c r="C210" s="22">
        <v>46030</v>
      </c>
      <c r="D210" s="22">
        <v>46030</v>
      </c>
      <c r="E210" s="22" t="s">
        <v>104</v>
      </c>
      <c r="F210" s="20">
        <v>307</v>
      </c>
      <c r="G210" s="20">
        <v>2549</v>
      </c>
      <c r="H210" s="20">
        <v>70</v>
      </c>
      <c r="I210" s="20">
        <v>2.68</v>
      </c>
      <c r="J210" s="20">
        <v>1.88</v>
      </c>
    </row>
    <row r="211" spans="1:10" x14ac:dyDescent="0.25">
      <c r="A211" s="20">
        <v>33009</v>
      </c>
      <c r="B211" s="20" t="s">
        <v>23</v>
      </c>
      <c r="C211" s="22">
        <v>46030</v>
      </c>
      <c r="D211" s="22">
        <v>46030</v>
      </c>
      <c r="E211" s="22" t="s">
        <v>753</v>
      </c>
      <c r="F211" s="20">
        <v>307</v>
      </c>
      <c r="G211" s="20">
        <v>2549</v>
      </c>
      <c r="H211" s="20">
        <v>2</v>
      </c>
      <c r="I211" s="20">
        <v>17.87</v>
      </c>
      <c r="J211" s="20">
        <v>0.36</v>
      </c>
    </row>
    <row r="212" spans="1:10" x14ac:dyDescent="0.25">
      <c r="A212" s="20">
        <v>33010</v>
      </c>
      <c r="B212" s="20" t="s">
        <v>55</v>
      </c>
      <c r="C212" s="22">
        <v>46031</v>
      </c>
      <c r="D212" s="22">
        <v>46031</v>
      </c>
      <c r="E212" s="22" t="s">
        <v>104</v>
      </c>
      <c r="F212" s="20">
        <v>343</v>
      </c>
      <c r="G212" s="20">
        <v>699</v>
      </c>
      <c r="H212" s="20">
        <v>70</v>
      </c>
      <c r="I212" s="20">
        <v>5.0999999999999996</v>
      </c>
      <c r="J212" s="20">
        <v>3.57</v>
      </c>
    </row>
    <row r="213" spans="1:10" x14ac:dyDescent="0.25">
      <c r="A213" s="20">
        <v>33010</v>
      </c>
      <c r="B213" s="20" t="s">
        <v>55</v>
      </c>
      <c r="C213" s="22">
        <v>46031</v>
      </c>
      <c r="D213" s="22">
        <v>46031</v>
      </c>
      <c r="E213" s="22" t="s">
        <v>753</v>
      </c>
      <c r="F213" s="20">
        <v>343</v>
      </c>
      <c r="G213" s="20">
        <v>699</v>
      </c>
      <c r="H213" s="20">
        <v>1</v>
      </c>
      <c r="I213" s="20">
        <v>34</v>
      </c>
      <c r="J213" s="20">
        <v>0.34</v>
      </c>
    </row>
    <row r="214" spans="1:10" x14ac:dyDescent="0.25">
      <c r="A214" s="20">
        <v>33011</v>
      </c>
      <c r="B214" s="20" t="s">
        <v>68</v>
      </c>
      <c r="C214" s="22">
        <v>46031</v>
      </c>
      <c r="D214" s="22">
        <v>46031</v>
      </c>
      <c r="E214" s="22" t="s">
        <v>753</v>
      </c>
      <c r="F214" s="20">
        <v>332</v>
      </c>
      <c r="G214" s="20">
        <v>1218</v>
      </c>
      <c r="H214" s="20">
        <v>0</v>
      </c>
      <c r="I214" s="20">
        <v>20</v>
      </c>
      <c r="J214" s="20">
        <v>0</v>
      </c>
    </row>
    <row r="215" spans="1:10" x14ac:dyDescent="0.25">
      <c r="A215" s="20">
        <v>33012</v>
      </c>
      <c r="B215" s="20" t="s">
        <v>56</v>
      </c>
      <c r="C215" s="22">
        <v>46031</v>
      </c>
      <c r="D215" s="22">
        <v>46031</v>
      </c>
      <c r="E215" s="22" t="s">
        <v>753</v>
      </c>
      <c r="F215" s="20">
        <v>307</v>
      </c>
      <c r="G215" s="20">
        <v>1449</v>
      </c>
      <c r="H215" s="20">
        <v>2</v>
      </c>
      <c r="I215" s="20">
        <v>10</v>
      </c>
      <c r="J215" s="20">
        <v>0.2</v>
      </c>
    </row>
    <row r="216" spans="1:10" x14ac:dyDescent="0.25">
      <c r="A216" s="20">
        <v>33012</v>
      </c>
      <c r="B216" s="20" t="s">
        <v>56</v>
      </c>
      <c r="C216" s="22">
        <v>46031</v>
      </c>
      <c r="D216" s="22">
        <v>46031</v>
      </c>
      <c r="E216" s="22" t="s">
        <v>104</v>
      </c>
      <c r="F216" s="20">
        <v>307</v>
      </c>
      <c r="G216" s="20">
        <v>1449</v>
      </c>
      <c r="H216" s="20">
        <v>70</v>
      </c>
      <c r="I216" s="20">
        <v>1.5</v>
      </c>
      <c r="J216" s="20">
        <v>1.05</v>
      </c>
    </row>
    <row r="217" spans="1:10" x14ac:dyDescent="0.25">
      <c r="A217" s="20">
        <v>33013</v>
      </c>
      <c r="B217" s="20" t="s">
        <v>46</v>
      </c>
      <c r="C217" s="22">
        <v>46032</v>
      </c>
      <c r="D217" s="22">
        <v>46032</v>
      </c>
      <c r="E217" s="22" t="s">
        <v>753</v>
      </c>
      <c r="F217" s="20">
        <v>312</v>
      </c>
      <c r="G217" s="20">
        <v>519</v>
      </c>
      <c r="H217" s="20">
        <v>1.75</v>
      </c>
      <c r="I217" s="20">
        <v>109.74</v>
      </c>
      <c r="J217" s="20">
        <v>1.92</v>
      </c>
    </row>
    <row r="218" spans="1:10" x14ac:dyDescent="0.25">
      <c r="A218" s="20">
        <v>33013</v>
      </c>
      <c r="B218" s="20" t="s">
        <v>46</v>
      </c>
      <c r="C218" s="22">
        <v>46032</v>
      </c>
      <c r="D218" s="22">
        <v>46032</v>
      </c>
      <c r="E218" s="22" t="s">
        <v>104</v>
      </c>
      <c r="F218" s="20">
        <v>312</v>
      </c>
      <c r="G218" s="20">
        <v>519</v>
      </c>
      <c r="H218" s="20">
        <v>30</v>
      </c>
      <c r="I218" s="20">
        <v>16.46</v>
      </c>
      <c r="J218" s="20">
        <v>4.9400000000000004</v>
      </c>
    </row>
    <row r="219" spans="1:10" x14ac:dyDescent="0.25">
      <c r="A219" s="20">
        <v>33014</v>
      </c>
      <c r="B219" s="20" t="s">
        <v>68</v>
      </c>
      <c r="C219" s="22">
        <v>46031</v>
      </c>
      <c r="D219" s="22">
        <v>46031</v>
      </c>
      <c r="E219" s="22" t="s">
        <v>753</v>
      </c>
      <c r="F219" s="20">
        <v>332</v>
      </c>
      <c r="G219" s="20">
        <v>1219</v>
      </c>
      <c r="H219" s="20">
        <v>0</v>
      </c>
      <c r="I219" s="20">
        <v>11</v>
      </c>
      <c r="J219" s="20">
        <v>0</v>
      </c>
    </row>
    <row r="220" spans="1:10" x14ac:dyDescent="0.25">
      <c r="A220" s="20">
        <v>33015</v>
      </c>
      <c r="B220" s="20" t="s">
        <v>23</v>
      </c>
      <c r="C220" s="22">
        <v>46031</v>
      </c>
      <c r="D220" s="22">
        <v>46031</v>
      </c>
      <c r="E220" s="22" t="s">
        <v>104</v>
      </c>
      <c r="F220" s="20">
        <v>307</v>
      </c>
      <c r="G220" s="20">
        <v>2561</v>
      </c>
      <c r="H220" s="20">
        <v>70</v>
      </c>
      <c r="I220" s="20">
        <v>2.68</v>
      </c>
      <c r="J220" s="20">
        <v>1.88</v>
      </c>
    </row>
    <row r="221" spans="1:10" x14ac:dyDescent="0.25">
      <c r="A221" s="20">
        <v>33015</v>
      </c>
      <c r="B221" s="20" t="s">
        <v>23</v>
      </c>
      <c r="C221" s="22">
        <v>46031</v>
      </c>
      <c r="D221" s="22">
        <v>46031</v>
      </c>
      <c r="E221" s="22" t="s">
        <v>753</v>
      </c>
      <c r="F221" s="20">
        <v>307</v>
      </c>
      <c r="G221" s="20">
        <v>2561</v>
      </c>
      <c r="H221" s="20">
        <v>2</v>
      </c>
      <c r="I221" s="20">
        <v>17.87</v>
      </c>
      <c r="J221" s="20">
        <v>0.36</v>
      </c>
    </row>
    <row r="222" spans="1:10" x14ac:dyDescent="0.25">
      <c r="A222" s="20">
        <v>33016</v>
      </c>
      <c r="B222" s="20" t="s">
        <v>16</v>
      </c>
      <c r="C222" s="22">
        <v>46032</v>
      </c>
      <c r="D222" s="22">
        <v>46032</v>
      </c>
      <c r="E222" s="22" t="s">
        <v>753</v>
      </c>
      <c r="F222" s="20">
        <v>332</v>
      </c>
      <c r="G222" s="20">
        <v>618</v>
      </c>
      <c r="H222" s="20">
        <v>0</v>
      </c>
      <c r="I222" s="20">
        <v>10</v>
      </c>
      <c r="J222" s="20">
        <v>0</v>
      </c>
    </row>
    <row r="223" spans="1:10" x14ac:dyDescent="0.25">
      <c r="A223" s="20">
        <v>33017</v>
      </c>
      <c r="B223" s="20" t="s">
        <v>89</v>
      </c>
      <c r="C223" s="22">
        <v>46031</v>
      </c>
      <c r="D223" s="22">
        <v>46031</v>
      </c>
      <c r="E223" s="22" t="s">
        <v>753</v>
      </c>
      <c r="F223" s="20">
        <v>312</v>
      </c>
      <c r="G223" s="20">
        <v>8168</v>
      </c>
      <c r="H223" s="20">
        <v>1.75</v>
      </c>
      <c r="I223" s="20">
        <v>90.08</v>
      </c>
      <c r="J223" s="20">
        <v>1.58</v>
      </c>
    </row>
    <row r="224" spans="1:10" x14ac:dyDescent="0.25">
      <c r="A224" s="20">
        <v>33017</v>
      </c>
      <c r="B224" s="20" t="s">
        <v>89</v>
      </c>
      <c r="C224" s="22">
        <v>46031</v>
      </c>
      <c r="D224" s="22">
        <v>46031</v>
      </c>
      <c r="E224" s="22" t="s">
        <v>104</v>
      </c>
      <c r="F224" s="20">
        <v>312</v>
      </c>
      <c r="G224" s="20">
        <v>8168</v>
      </c>
      <c r="H224" s="20">
        <v>30</v>
      </c>
      <c r="I224" s="20">
        <v>13.51</v>
      </c>
      <c r="J224" s="20">
        <v>4.05</v>
      </c>
    </row>
    <row r="225" spans="1:10" x14ac:dyDescent="0.25">
      <c r="A225" s="20">
        <v>33018</v>
      </c>
      <c r="B225" s="20" t="s">
        <v>68</v>
      </c>
      <c r="C225" s="22">
        <v>46031</v>
      </c>
      <c r="D225" s="22">
        <v>46031</v>
      </c>
      <c r="E225" s="22" t="s">
        <v>753</v>
      </c>
      <c r="F225" s="20">
        <v>332</v>
      </c>
      <c r="G225" s="20">
        <v>1216</v>
      </c>
      <c r="H225" s="20">
        <v>0</v>
      </c>
      <c r="I225" s="20">
        <v>11</v>
      </c>
      <c r="J225" s="20">
        <v>0</v>
      </c>
    </row>
    <row r="226" spans="1:10" x14ac:dyDescent="0.25">
      <c r="A226" s="20">
        <v>33019</v>
      </c>
      <c r="B226" s="20" t="s">
        <v>56</v>
      </c>
      <c r="C226" s="22">
        <v>46032</v>
      </c>
      <c r="D226" s="22">
        <v>46032</v>
      </c>
      <c r="E226" s="22" t="s">
        <v>753</v>
      </c>
      <c r="F226" s="20">
        <v>307</v>
      </c>
      <c r="G226" s="20">
        <v>1450</v>
      </c>
      <c r="H226" s="20">
        <v>2</v>
      </c>
      <c r="I226" s="20">
        <v>10</v>
      </c>
      <c r="J226" s="20">
        <v>0.2</v>
      </c>
    </row>
    <row r="227" spans="1:10" x14ac:dyDescent="0.25">
      <c r="A227" s="20">
        <v>33019</v>
      </c>
      <c r="B227" s="20" t="s">
        <v>56</v>
      </c>
      <c r="C227" s="22">
        <v>46032</v>
      </c>
      <c r="D227" s="22">
        <v>46032</v>
      </c>
      <c r="E227" s="22" t="s">
        <v>104</v>
      </c>
      <c r="F227" s="20">
        <v>307</v>
      </c>
      <c r="G227" s="20">
        <v>1450</v>
      </c>
      <c r="H227" s="20">
        <v>70</v>
      </c>
      <c r="I227" s="20">
        <v>1.5</v>
      </c>
      <c r="J227" s="20">
        <v>1.05</v>
      </c>
    </row>
    <row r="228" spans="1:10" x14ac:dyDescent="0.25">
      <c r="A228" s="20">
        <v>33020</v>
      </c>
      <c r="B228" s="20" t="s">
        <v>47</v>
      </c>
      <c r="C228" s="22">
        <v>46031</v>
      </c>
      <c r="D228" s="22">
        <v>46031</v>
      </c>
      <c r="E228" s="22" t="s">
        <v>753</v>
      </c>
      <c r="F228" s="20">
        <v>303</v>
      </c>
      <c r="G228" s="20">
        <v>919</v>
      </c>
      <c r="H228" s="20">
        <v>3</v>
      </c>
      <c r="I228" s="21">
        <v>1604.29</v>
      </c>
      <c r="J228" s="20">
        <v>48.13</v>
      </c>
    </row>
    <row r="229" spans="1:10" x14ac:dyDescent="0.25">
      <c r="A229" s="20">
        <v>33021</v>
      </c>
      <c r="B229" s="20" t="s">
        <v>46</v>
      </c>
      <c r="C229" s="22">
        <v>46032</v>
      </c>
      <c r="D229" s="22">
        <v>46032</v>
      </c>
      <c r="E229" s="22" t="s">
        <v>104</v>
      </c>
      <c r="F229" s="20">
        <v>312</v>
      </c>
      <c r="G229" s="20">
        <v>515</v>
      </c>
      <c r="H229" s="20">
        <v>30</v>
      </c>
      <c r="I229" s="20">
        <v>21.15</v>
      </c>
      <c r="J229" s="20">
        <v>6.35</v>
      </c>
    </row>
    <row r="230" spans="1:10" x14ac:dyDescent="0.25">
      <c r="A230" s="20">
        <v>33021</v>
      </c>
      <c r="B230" s="20" t="s">
        <v>46</v>
      </c>
      <c r="C230" s="22">
        <v>46032</v>
      </c>
      <c r="D230" s="22">
        <v>46032</v>
      </c>
      <c r="E230" s="22" t="s">
        <v>753</v>
      </c>
      <c r="F230" s="20">
        <v>312</v>
      </c>
      <c r="G230" s="20">
        <v>515</v>
      </c>
      <c r="H230" s="20">
        <v>1.75</v>
      </c>
      <c r="I230" s="20">
        <v>140.99</v>
      </c>
      <c r="J230" s="20">
        <v>2.4700000000000002</v>
      </c>
    </row>
    <row r="231" spans="1:10" x14ac:dyDescent="0.25">
      <c r="A231" s="20">
        <v>33022</v>
      </c>
      <c r="B231" s="20" t="s">
        <v>67</v>
      </c>
      <c r="C231" s="22">
        <v>46031</v>
      </c>
      <c r="D231" s="22">
        <v>46031</v>
      </c>
      <c r="E231" s="22" t="s">
        <v>753</v>
      </c>
      <c r="F231" s="20">
        <v>332</v>
      </c>
      <c r="G231" s="20">
        <v>1715</v>
      </c>
      <c r="H231" s="20">
        <v>0</v>
      </c>
      <c r="I231" s="20">
        <v>18</v>
      </c>
      <c r="J231" s="20">
        <v>0</v>
      </c>
    </row>
    <row r="232" spans="1:10" x14ac:dyDescent="0.25">
      <c r="A232" s="20">
        <v>33023</v>
      </c>
      <c r="B232" s="20" t="s">
        <v>59</v>
      </c>
      <c r="C232" s="22">
        <v>46031</v>
      </c>
      <c r="D232" s="22">
        <v>46031</v>
      </c>
      <c r="E232" s="22" t="s">
        <v>753</v>
      </c>
      <c r="F232" s="20">
        <v>307</v>
      </c>
      <c r="G232" s="20">
        <v>360</v>
      </c>
      <c r="H232" s="20">
        <v>2</v>
      </c>
      <c r="I232" s="20">
        <v>60</v>
      </c>
      <c r="J232" s="20">
        <v>1.2</v>
      </c>
    </row>
    <row r="233" spans="1:10" x14ac:dyDescent="0.25">
      <c r="A233" s="20">
        <v>33024</v>
      </c>
      <c r="B233" s="20" t="s">
        <v>68</v>
      </c>
      <c r="C233" s="22">
        <v>46031</v>
      </c>
      <c r="D233" s="22">
        <v>46031</v>
      </c>
      <c r="E233" s="22" t="s">
        <v>753</v>
      </c>
      <c r="F233" s="20">
        <v>332</v>
      </c>
      <c r="G233" s="20">
        <v>1217</v>
      </c>
      <c r="H233" s="20">
        <v>0</v>
      </c>
      <c r="I233" s="20">
        <v>20</v>
      </c>
      <c r="J233" s="20">
        <v>0</v>
      </c>
    </row>
    <row r="234" spans="1:10" x14ac:dyDescent="0.25">
      <c r="A234" s="20">
        <v>33025</v>
      </c>
      <c r="B234" s="20" t="s">
        <v>23</v>
      </c>
      <c r="C234" s="22">
        <v>46031</v>
      </c>
      <c r="D234" s="22">
        <v>46031</v>
      </c>
      <c r="E234" s="22" t="s">
        <v>104</v>
      </c>
      <c r="F234" s="20">
        <v>307</v>
      </c>
      <c r="G234" s="20">
        <v>2555</v>
      </c>
      <c r="H234" s="20">
        <v>70</v>
      </c>
      <c r="I234" s="20">
        <v>2.68</v>
      </c>
      <c r="J234" s="20">
        <v>1.88</v>
      </c>
    </row>
    <row r="235" spans="1:10" x14ac:dyDescent="0.25">
      <c r="A235" s="20">
        <v>33025</v>
      </c>
      <c r="B235" s="20" t="s">
        <v>23</v>
      </c>
      <c r="C235" s="22">
        <v>46031</v>
      </c>
      <c r="D235" s="22">
        <v>46031</v>
      </c>
      <c r="E235" s="22" t="s">
        <v>753</v>
      </c>
      <c r="F235" s="20">
        <v>307</v>
      </c>
      <c r="G235" s="20">
        <v>2555</v>
      </c>
      <c r="H235" s="20">
        <v>2</v>
      </c>
      <c r="I235" s="20">
        <v>17.87</v>
      </c>
      <c r="J235" s="20">
        <v>0.36</v>
      </c>
    </row>
    <row r="236" spans="1:10" x14ac:dyDescent="0.25">
      <c r="A236" s="20">
        <v>33026</v>
      </c>
      <c r="B236" s="20" t="s">
        <v>67</v>
      </c>
      <c r="C236" s="22">
        <v>46032</v>
      </c>
      <c r="D236" s="22">
        <v>46032</v>
      </c>
      <c r="E236" s="22" t="s">
        <v>753</v>
      </c>
      <c r="F236" s="20">
        <v>332</v>
      </c>
      <c r="G236" s="20">
        <v>1718</v>
      </c>
      <c r="H236" s="20">
        <v>0</v>
      </c>
      <c r="I236" s="20">
        <v>7</v>
      </c>
      <c r="J236" s="20">
        <v>0</v>
      </c>
    </row>
    <row r="237" spans="1:10" x14ac:dyDescent="0.25">
      <c r="A237" s="20">
        <v>33027</v>
      </c>
      <c r="B237" s="20" t="s">
        <v>67</v>
      </c>
      <c r="C237" s="22">
        <v>46032</v>
      </c>
      <c r="D237" s="22">
        <v>46032</v>
      </c>
      <c r="E237" s="22" t="s">
        <v>753</v>
      </c>
      <c r="F237" s="20">
        <v>332</v>
      </c>
      <c r="G237" s="20">
        <v>1719</v>
      </c>
      <c r="H237" s="20">
        <v>0</v>
      </c>
      <c r="I237" s="20">
        <v>7</v>
      </c>
      <c r="J237" s="20">
        <v>0</v>
      </c>
    </row>
    <row r="238" spans="1:10" x14ac:dyDescent="0.25">
      <c r="A238" s="20">
        <v>33028</v>
      </c>
      <c r="B238" s="20" t="s">
        <v>46</v>
      </c>
      <c r="C238" s="22">
        <v>46032</v>
      </c>
      <c r="D238" s="22">
        <v>46032</v>
      </c>
      <c r="E238" s="22" t="s">
        <v>104</v>
      </c>
      <c r="F238" s="20">
        <v>312</v>
      </c>
      <c r="G238" s="20">
        <v>514</v>
      </c>
      <c r="H238" s="20">
        <v>30</v>
      </c>
      <c r="I238" s="20">
        <v>51.74</v>
      </c>
      <c r="J238" s="20">
        <v>15.52</v>
      </c>
    </row>
    <row r="239" spans="1:10" x14ac:dyDescent="0.25">
      <c r="A239" s="20">
        <v>33028</v>
      </c>
      <c r="B239" s="20" t="s">
        <v>46</v>
      </c>
      <c r="C239" s="22">
        <v>46032</v>
      </c>
      <c r="D239" s="22">
        <v>46032</v>
      </c>
      <c r="E239" s="22" t="s">
        <v>753</v>
      </c>
      <c r="F239" s="20">
        <v>312</v>
      </c>
      <c r="G239" s="20">
        <v>514</v>
      </c>
      <c r="H239" s="20">
        <v>1.75</v>
      </c>
      <c r="I239" s="20">
        <v>344.92</v>
      </c>
      <c r="J239" s="20">
        <v>6.04</v>
      </c>
    </row>
    <row r="240" spans="1:10" x14ac:dyDescent="0.25">
      <c r="A240" s="20">
        <v>33029</v>
      </c>
      <c r="B240" s="20" t="s">
        <v>55</v>
      </c>
      <c r="C240" s="22">
        <v>46032</v>
      </c>
      <c r="D240" s="22">
        <v>46032</v>
      </c>
      <c r="E240" s="22" t="s">
        <v>753</v>
      </c>
      <c r="F240" s="20">
        <v>343</v>
      </c>
      <c r="G240" s="20">
        <v>703</v>
      </c>
      <c r="H240" s="20">
        <v>1</v>
      </c>
      <c r="I240" s="20">
        <v>20</v>
      </c>
      <c r="J240" s="20">
        <v>0.2</v>
      </c>
    </row>
    <row r="241" spans="1:10" x14ac:dyDescent="0.25">
      <c r="A241" s="20">
        <v>33029</v>
      </c>
      <c r="B241" s="20" t="s">
        <v>55</v>
      </c>
      <c r="C241" s="22">
        <v>46032</v>
      </c>
      <c r="D241" s="22">
        <v>46032</v>
      </c>
      <c r="E241" s="22" t="s">
        <v>104</v>
      </c>
      <c r="F241" s="20">
        <v>343</v>
      </c>
      <c r="G241" s="20">
        <v>703</v>
      </c>
      <c r="H241" s="20">
        <v>70</v>
      </c>
      <c r="I241" s="20">
        <v>3</v>
      </c>
      <c r="J241" s="20">
        <v>2.1</v>
      </c>
    </row>
    <row r="242" spans="1:10" x14ac:dyDescent="0.25">
      <c r="A242" s="20">
        <v>33030</v>
      </c>
      <c r="B242" s="20" t="s">
        <v>55</v>
      </c>
      <c r="C242" s="22">
        <v>46032</v>
      </c>
      <c r="D242" s="22">
        <v>46032</v>
      </c>
      <c r="E242" s="22" t="s">
        <v>753</v>
      </c>
      <c r="F242" s="20">
        <v>343</v>
      </c>
      <c r="G242" s="20">
        <v>704</v>
      </c>
      <c r="H242" s="20">
        <v>1</v>
      </c>
      <c r="I242" s="20">
        <v>20</v>
      </c>
      <c r="J242" s="20">
        <v>0.2</v>
      </c>
    </row>
    <row r="243" spans="1:10" x14ac:dyDescent="0.25">
      <c r="A243" s="20">
        <v>33030</v>
      </c>
      <c r="B243" s="20" t="s">
        <v>55</v>
      </c>
      <c r="C243" s="22">
        <v>46032</v>
      </c>
      <c r="D243" s="22">
        <v>46032</v>
      </c>
      <c r="E243" s="22" t="s">
        <v>104</v>
      </c>
      <c r="F243" s="20">
        <v>343</v>
      </c>
      <c r="G243" s="20">
        <v>704</v>
      </c>
      <c r="H243" s="20">
        <v>70</v>
      </c>
      <c r="I243" s="20">
        <v>3</v>
      </c>
      <c r="J243" s="20">
        <v>2.1</v>
      </c>
    </row>
    <row r="244" spans="1:10" x14ac:dyDescent="0.25">
      <c r="A244" s="20">
        <v>33031</v>
      </c>
      <c r="B244" s="20" t="s">
        <v>55</v>
      </c>
      <c r="C244" s="22">
        <v>46031</v>
      </c>
      <c r="D244" s="22">
        <v>46031</v>
      </c>
      <c r="E244" s="22" t="s">
        <v>753</v>
      </c>
      <c r="F244" s="20">
        <v>343</v>
      </c>
      <c r="G244" s="20">
        <v>702</v>
      </c>
      <c r="H244" s="20">
        <v>1</v>
      </c>
      <c r="I244" s="20">
        <v>5</v>
      </c>
      <c r="J244" s="20">
        <v>0.05</v>
      </c>
    </row>
    <row r="245" spans="1:10" x14ac:dyDescent="0.25">
      <c r="A245" s="20">
        <v>33031</v>
      </c>
      <c r="B245" s="20" t="s">
        <v>55</v>
      </c>
      <c r="C245" s="22">
        <v>46031</v>
      </c>
      <c r="D245" s="22">
        <v>46031</v>
      </c>
      <c r="E245" s="22" t="s">
        <v>104</v>
      </c>
      <c r="F245" s="20">
        <v>343</v>
      </c>
      <c r="G245" s="20">
        <v>702</v>
      </c>
      <c r="H245" s="20">
        <v>70</v>
      </c>
      <c r="I245" s="20">
        <v>0.75</v>
      </c>
      <c r="J245" s="20">
        <v>0.53</v>
      </c>
    </row>
    <row r="246" spans="1:10" x14ac:dyDescent="0.25">
      <c r="A246" s="20">
        <v>33032</v>
      </c>
      <c r="B246" s="20" t="s">
        <v>67</v>
      </c>
      <c r="C246" s="22">
        <v>46032</v>
      </c>
      <c r="D246" s="22">
        <v>46032</v>
      </c>
      <c r="E246" s="22" t="s">
        <v>753</v>
      </c>
      <c r="F246" s="20">
        <v>332</v>
      </c>
      <c r="G246" s="20">
        <v>1720</v>
      </c>
      <c r="H246" s="20">
        <v>0</v>
      </c>
      <c r="I246" s="20">
        <v>7</v>
      </c>
      <c r="J246" s="20">
        <v>0</v>
      </c>
    </row>
    <row r="247" spans="1:10" x14ac:dyDescent="0.25">
      <c r="A247" s="20">
        <v>33033</v>
      </c>
      <c r="B247" s="20" t="s">
        <v>16</v>
      </c>
      <c r="C247" s="22">
        <v>46032</v>
      </c>
      <c r="D247" s="22">
        <v>46032</v>
      </c>
      <c r="E247" s="22" t="s">
        <v>753</v>
      </c>
      <c r="F247" s="20">
        <v>332</v>
      </c>
      <c r="G247" s="20">
        <v>617</v>
      </c>
      <c r="H247" s="20">
        <v>0</v>
      </c>
      <c r="I247" s="20">
        <v>10</v>
      </c>
      <c r="J247" s="20">
        <v>0</v>
      </c>
    </row>
    <row r="248" spans="1:10" x14ac:dyDescent="0.25">
      <c r="A248" s="20">
        <v>33034</v>
      </c>
      <c r="B248" s="20" t="s">
        <v>68</v>
      </c>
      <c r="C248" s="22">
        <v>46031</v>
      </c>
      <c r="D248" s="22">
        <v>46031</v>
      </c>
      <c r="E248" s="22" t="s">
        <v>753</v>
      </c>
      <c r="F248" s="20">
        <v>332</v>
      </c>
      <c r="G248" s="20">
        <v>1222</v>
      </c>
      <c r="H248" s="20">
        <v>0</v>
      </c>
      <c r="I248" s="20">
        <v>7</v>
      </c>
      <c r="J248" s="20">
        <v>0</v>
      </c>
    </row>
    <row r="249" spans="1:10" x14ac:dyDescent="0.25">
      <c r="A249" s="20">
        <v>33035</v>
      </c>
      <c r="B249" s="20" t="s">
        <v>55</v>
      </c>
      <c r="C249" s="22">
        <v>46031</v>
      </c>
      <c r="D249" s="22">
        <v>46031</v>
      </c>
      <c r="E249" s="22" t="s">
        <v>753</v>
      </c>
      <c r="F249" s="20">
        <v>343</v>
      </c>
      <c r="G249" s="20">
        <v>698</v>
      </c>
      <c r="H249" s="20">
        <v>1</v>
      </c>
      <c r="I249" s="20">
        <v>20</v>
      </c>
      <c r="J249" s="20">
        <v>0.2</v>
      </c>
    </row>
    <row r="250" spans="1:10" x14ac:dyDescent="0.25">
      <c r="A250" s="20">
        <v>33035</v>
      </c>
      <c r="B250" s="20" t="s">
        <v>55</v>
      </c>
      <c r="C250" s="22">
        <v>46031</v>
      </c>
      <c r="D250" s="22">
        <v>46031</v>
      </c>
      <c r="E250" s="22" t="s">
        <v>104</v>
      </c>
      <c r="F250" s="20">
        <v>343</v>
      </c>
      <c r="G250" s="20">
        <v>698</v>
      </c>
      <c r="H250" s="20">
        <v>70</v>
      </c>
      <c r="I250" s="20">
        <v>3</v>
      </c>
      <c r="J250" s="20">
        <v>2.1</v>
      </c>
    </row>
    <row r="251" spans="1:10" x14ac:dyDescent="0.25">
      <c r="A251" s="20">
        <v>33036</v>
      </c>
      <c r="B251" s="20" t="s">
        <v>56</v>
      </c>
      <c r="C251" s="22">
        <v>46031</v>
      </c>
      <c r="D251" s="22">
        <v>46031</v>
      </c>
      <c r="E251" s="22" t="s">
        <v>104</v>
      </c>
      <c r="F251" s="20">
        <v>307</v>
      </c>
      <c r="G251" s="20">
        <v>1446</v>
      </c>
      <c r="H251" s="20">
        <v>70</v>
      </c>
      <c r="I251" s="20">
        <v>1.5</v>
      </c>
      <c r="J251" s="20">
        <v>1.05</v>
      </c>
    </row>
    <row r="252" spans="1:10" x14ac:dyDescent="0.25">
      <c r="A252" s="20">
        <v>33036</v>
      </c>
      <c r="B252" s="20" t="s">
        <v>56</v>
      </c>
      <c r="C252" s="22">
        <v>46031</v>
      </c>
      <c r="D252" s="22">
        <v>46031</v>
      </c>
      <c r="E252" s="22" t="s">
        <v>753</v>
      </c>
      <c r="F252" s="20">
        <v>307</v>
      </c>
      <c r="G252" s="20">
        <v>1446</v>
      </c>
      <c r="H252" s="20">
        <v>2</v>
      </c>
      <c r="I252" s="20">
        <v>10</v>
      </c>
      <c r="J252" s="20">
        <v>0.2</v>
      </c>
    </row>
    <row r="253" spans="1:10" x14ac:dyDescent="0.25">
      <c r="A253" s="20">
        <v>33037</v>
      </c>
      <c r="B253" s="20" t="s">
        <v>56</v>
      </c>
      <c r="C253" s="22">
        <v>46031</v>
      </c>
      <c r="D253" s="22">
        <v>46031</v>
      </c>
      <c r="E253" s="22" t="s">
        <v>753</v>
      </c>
      <c r="F253" s="20">
        <v>307</v>
      </c>
      <c r="G253" s="20">
        <v>1448</v>
      </c>
      <c r="H253" s="20">
        <v>2</v>
      </c>
      <c r="I253" s="20">
        <v>6</v>
      </c>
      <c r="J253" s="20">
        <v>0.12</v>
      </c>
    </row>
    <row r="254" spans="1:10" x14ac:dyDescent="0.25">
      <c r="A254" s="20">
        <v>33037</v>
      </c>
      <c r="B254" s="20" t="s">
        <v>56</v>
      </c>
      <c r="C254" s="22">
        <v>46031</v>
      </c>
      <c r="D254" s="22">
        <v>46031</v>
      </c>
      <c r="E254" s="22" t="s">
        <v>104</v>
      </c>
      <c r="F254" s="20">
        <v>307</v>
      </c>
      <c r="G254" s="20">
        <v>1448</v>
      </c>
      <c r="H254" s="20">
        <v>70</v>
      </c>
      <c r="I254" s="20">
        <v>0.9</v>
      </c>
      <c r="J254" s="20">
        <v>0.63</v>
      </c>
    </row>
    <row r="255" spans="1:10" x14ac:dyDescent="0.25">
      <c r="A255" s="20">
        <v>33038</v>
      </c>
      <c r="B255" s="20" t="s">
        <v>68</v>
      </c>
      <c r="C255" s="22">
        <v>46031</v>
      </c>
      <c r="D255" s="22">
        <v>46031</v>
      </c>
      <c r="E255" s="22" t="s">
        <v>753</v>
      </c>
      <c r="F255" s="20">
        <v>332</v>
      </c>
      <c r="G255" s="20">
        <v>1220</v>
      </c>
      <c r="H255" s="20">
        <v>0</v>
      </c>
      <c r="I255" s="20">
        <v>30</v>
      </c>
      <c r="J255" s="20">
        <v>0</v>
      </c>
    </row>
    <row r="256" spans="1:10" x14ac:dyDescent="0.25">
      <c r="A256" s="20">
        <v>33039</v>
      </c>
      <c r="B256" s="20" t="s">
        <v>68</v>
      </c>
      <c r="C256" s="22">
        <v>46031</v>
      </c>
      <c r="D256" s="22">
        <v>46031</v>
      </c>
      <c r="E256" s="22" t="s">
        <v>753</v>
      </c>
      <c r="F256" s="20">
        <v>332</v>
      </c>
      <c r="G256" s="20">
        <v>1221</v>
      </c>
      <c r="H256" s="20">
        <v>0</v>
      </c>
      <c r="I256" s="20">
        <v>7</v>
      </c>
      <c r="J256" s="20">
        <v>0</v>
      </c>
    </row>
    <row r="257" spans="1:10" x14ac:dyDescent="0.25">
      <c r="A257" s="20">
        <v>33040</v>
      </c>
      <c r="B257" s="20" t="s">
        <v>56</v>
      </c>
      <c r="C257" s="22">
        <v>46031</v>
      </c>
      <c r="D257" s="22">
        <v>46031</v>
      </c>
      <c r="E257" s="22" t="s">
        <v>104</v>
      </c>
      <c r="F257" s="20">
        <v>307</v>
      </c>
      <c r="G257" s="20">
        <v>1447</v>
      </c>
      <c r="H257" s="20">
        <v>70</v>
      </c>
      <c r="I257" s="20">
        <v>1.5</v>
      </c>
      <c r="J257" s="20">
        <v>1.05</v>
      </c>
    </row>
    <row r="258" spans="1:10" x14ac:dyDescent="0.25">
      <c r="A258" s="20">
        <v>33040</v>
      </c>
      <c r="B258" s="20" t="s">
        <v>56</v>
      </c>
      <c r="C258" s="22">
        <v>46031</v>
      </c>
      <c r="D258" s="22">
        <v>46031</v>
      </c>
      <c r="E258" s="22" t="s">
        <v>753</v>
      </c>
      <c r="F258" s="20">
        <v>307</v>
      </c>
      <c r="G258" s="20">
        <v>1447</v>
      </c>
      <c r="H258" s="20">
        <v>2</v>
      </c>
      <c r="I258" s="20">
        <v>10</v>
      </c>
      <c r="J258" s="20">
        <v>0.2</v>
      </c>
    </row>
    <row r="259" spans="1:10" x14ac:dyDescent="0.25">
      <c r="A259" s="20">
        <v>33041</v>
      </c>
      <c r="B259" s="20" t="s">
        <v>56</v>
      </c>
      <c r="C259" s="22">
        <v>46032</v>
      </c>
      <c r="D259" s="22">
        <v>46032</v>
      </c>
      <c r="E259" s="22" t="s">
        <v>104</v>
      </c>
      <c r="F259" s="20">
        <v>307</v>
      </c>
      <c r="G259" s="20">
        <v>1451</v>
      </c>
      <c r="H259" s="20">
        <v>70</v>
      </c>
      <c r="I259" s="20">
        <v>0.9</v>
      </c>
      <c r="J259" s="20">
        <v>0.63</v>
      </c>
    </row>
    <row r="260" spans="1:10" x14ac:dyDescent="0.25">
      <c r="A260" s="20">
        <v>33041</v>
      </c>
      <c r="B260" s="20" t="s">
        <v>56</v>
      </c>
      <c r="C260" s="22">
        <v>46032</v>
      </c>
      <c r="D260" s="22">
        <v>46032</v>
      </c>
      <c r="E260" s="22" t="s">
        <v>753</v>
      </c>
      <c r="F260" s="20">
        <v>307</v>
      </c>
      <c r="G260" s="20">
        <v>1451</v>
      </c>
      <c r="H260" s="20">
        <v>2</v>
      </c>
      <c r="I260" s="20">
        <v>6</v>
      </c>
      <c r="J260" s="20">
        <v>0.12</v>
      </c>
    </row>
    <row r="261" spans="1:10" x14ac:dyDescent="0.25">
      <c r="A261" s="20">
        <v>33042</v>
      </c>
      <c r="B261" s="20" t="s">
        <v>55</v>
      </c>
      <c r="C261" s="22">
        <v>46034</v>
      </c>
      <c r="D261" s="22">
        <v>46034</v>
      </c>
      <c r="E261" s="22" t="s">
        <v>753</v>
      </c>
      <c r="F261" s="20">
        <v>343</v>
      </c>
      <c r="G261" s="20">
        <v>710</v>
      </c>
      <c r="H261" s="20">
        <v>1</v>
      </c>
      <c r="I261" s="20">
        <v>10</v>
      </c>
      <c r="J261" s="20">
        <v>0.1</v>
      </c>
    </row>
    <row r="262" spans="1:10" x14ac:dyDescent="0.25">
      <c r="A262" s="20">
        <v>33042</v>
      </c>
      <c r="B262" s="20" t="s">
        <v>55</v>
      </c>
      <c r="C262" s="22">
        <v>46034</v>
      </c>
      <c r="D262" s="22">
        <v>46034</v>
      </c>
      <c r="E262" s="22" t="s">
        <v>104</v>
      </c>
      <c r="F262" s="20">
        <v>343</v>
      </c>
      <c r="G262" s="20">
        <v>710</v>
      </c>
      <c r="H262" s="20">
        <v>70</v>
      </c>
      <c r="I262" s="20">
        <v>1.5</v>
      </c>
      <c r="J262" s="20">
        <v>1.05</v>
      </c>
    </row>
    <row r="263" spans="1:10" x14ac:dyDescent="0.25">
      <c r="A263" s="20">
        <v>33043</v>
      </c>
      <c r="B263" s="20" t="s">
        <v>56</v>
      </c>
      <c r="C263" s="22">
        <v>46034</v>
      </c>
      <c r="D263" s="22">
        <v>46034</v>
      </c>
      <c r="E263" s="22" t="s">
        <v>753</v>
      </c>
      <c r="F263" s="20">
        <v>307</v>
      </c>
      <c r="G263" s="20">
        <v>1453</v>
      </c>
      <c r="H263" s="20">
        <v>2</v>
      </c>
      <c r="I263" s="20">
        <v>6</v>
      </c>
      <c r="J263" s="20">
        <v>0.12</v>
      </c>
    </row>
    <row r="264" spans="1:10" x14ac:dyDescent="0.25">
      <c r="A264" s="20">
        <v>33043</v>
      </c>
      <c r="B264" s="20" t="s">
        <v>56</v>
      </c>
      <c r="C264" s="22">
        <v>46034</v>
      </c>
      <c r="D264" s="22">
        <v>46034</v>
      </c>
      <c r="E264" s="22" t="s">
        <v>104</v>
      </c>
      <c r="F264" s="20">
        <v>307</v>
      </c>
      <c r="G264" s="20">
        <v>1453</v>
      </c>
      <c r="H264" s="20">
        <v>70</v>
      </c>
      <c r="I264" s="20">
        <v>0.9</v>
      </c>
      <c r="J264" s="20">
        <v>0.63</v>
      </c>
    </row>
    <row r="265" spans="1:10" x14ac:dyDescent="0.25">
      <c r="A265" s="20">
        <v>33044</v>
      </c>
      <c r="B265" s="20" t="s">
        <v>55</v>
      </c>
      <c r="C265" s="22">
        <v>46034</v>
      </c>
      <c r="D265" s="22">
        <v>46034</v>
      </c>
      <c r="E265" s="22" t="s">
        <v>753</v>
      </c>
      <c r="F265" s="20">
        <v>343</v>
      </c>
      <c r="G265" s="20">
        <v>711</v>
      </c>
      <c r="H265" s="20">
        <v>1</v>
      </c>
      <c r="I265" s="20">
        <v>20</v>
      </c>
      <c r="J265" s="20">
        <v>0.2</v>
      </c>
    </row>
    <row r="266" spans="1:10" x14ac:dyDescent="0.25">
      <c r="A266" s="20">
        <v>33044</v>
      </c>
      <c r="B266" s="20" t="s">
        <v>55</v>
      </c>
      <c r="C266" s="22">
        <v>46034</v>
      </c>
      <c r="D266" s="22">
        <v>46034</v>
      </c>
      <c r="E266" s="22" t="s">
        <v>104</v>
      </c>
      <c r="F266" s="20">
        <v>343</v>
      </c>
      <c r="G266" s="20">
        <v>711</v>
      </c>
      <c r="H266" s="20">
        <v>70</v>
      </c>
      <c r="I266" s="20">
        <v>3</v>
      </c>
      <c r="J266" s="20">
        <v>2.1</v>
      </c>
    </row>
    <row r="267" spans="1:10" x14ac:dyDescent="0.25">
      <c r="A267" s="20">
        <v>33045</v>
      </c>
      <c r="B267" s="20" t="s">
        <v>55</v>
      </c>
      <c r="C267" s="22">
        <v>46034</v>
      </c>
      <c r="D267" s="22">
        <v>46034</v>
      </c>
      <c r="E267" s="22" t="s">
        <v>104</v>
      </c>
      <c r="F267" s="20">
        <v>343</v>
      </c>
      <c r="G267" s="20">
        <v>712</v>
      </c>
      <c r="H267" s="20">
        <v>70</v>
      </c>
      <c r="I267" s="20">
        <v>3</v>
      </c>
      <c r="J267" s="20">
        <v>2.1</v>
      </c>
    </row>
    <row r="268" spans="1:10" x14ac:dyDescent="0.25">
      <c r="A268" s="20">
        <v>33045</v>
      </c>
      <c r="B268" s="20" t="s">
        <v>55</v>
      </c>
      <c r="C268" s="22">
        <v>46034</v>
      </c>
      <c r="D268" s="22">
        <v>46034</v>
      </c>
      <c r="E268" s="22" t="s">
        <v>753</v>
      </c>
      <c r="F268" s="20">
        <v>343</v>
      </c>
      <c r="G268" s="20">
        <v>712</v>
      </c>
      <c r="H268" s="20">
        <v>1</v>
      </c>
      <c r="I268" s="20">
        <v>20</v>
      </c>
      <c r="J268" s="20">
        <v>0.2</v>
      </c>
    </row>
    <row r="269" spans="1:10" x14ac:dyDescent="0.25">
      <c r="A269" s="20">
        <v>33046</v>
      </c>
      <c r="B269" s="20" t="s">
        <v>67</v>
      </c>
      <c r="C269" s="22">
        <v>46034</v>
      </c>
      <c r="D269" s="22">
        <v>46034</v>
      </c>
      <c r="E269" s="22" t="s">
        <v>753</v>
      </c>
      <c r="F269" s="20">
        <v>332</v>
      </c>
      <c r="G269" s="20">
        <v>1724</v>
      </c>
      <c r="H269" s="20">
        <v>0</v>
      </c>
      <c r="I269" s="20">
        <v>23</v>
      </c>
      <c r="J269" s="20">
        <v>0</v>
      </c>
    </row>
    <row r="270" spans="1:10" x14ac:dyDescent="0.25">
      <c r="A270" s="20">
        <v>33047</v>
      </c>
      <c r="B270" s="20" t="s">
        <v>55</v>
      </c>
      <c r="C270" s="22">
        <v>46034</v>
      </c>
      <c r="D270" s="22">
        <v>46034</v>
      </c>
      <c r="E270" s="22" t="s">
        <v>753</v>
      </c>
      <c r="F270" s="20">
        <v>343</v>
      </c>
      <c r="G270" s="20">
        <v>707</v>
      </c>
      <c r="H270" s="20">
        <v>1</v>
      </c>
      <c r="I270" s="20">
        <v>20</v>
      </c>
      <c r="J270" s="20">
        <v>0.2</v>
      </c>
    </row>
    <row r="271" spans="1:10" x14ac:dyDescent="0.25">
      <c r="A271" s="20">
        <v>33047</v>
      </c>
      <c r="B271" s="20" t="s">
        <v>55</v>
      </c>
      <c r="C271" s="22">
        <v>46034</v>
      </c>
      <c r="D271" s="22">
        <v>46034</v>
      </c>
      <c r="E271" s="22" t="s">
        <v>104</v>
      </c>
      <c r="F271" s="20">
        <v>343</v>
      </c>
      <c r="G271" s="20">
        <v>707</v>
      </c>
      <c r="H271" s="20">
        <v>70</v>
      </c>
      <c r="I271" s="20">
        <v>3</v>
      </c>
      <c r="J271" s="20">
        <v>2.1</v>
      </c>
    </row>
    <row r="272" spans="1:10" x14ac:dyDescent="0.25">
      <c r="A272" s="20">
        <v>33048</v>
      </c>
      <c r="B272" s="20" t="s">
        <v>56</v>
      </c>
      <c r="C272" s="22">
        <v>46034</v>
      </c>
      <c r="D272" s="22">
        <v>46034</v>
      </c>
      <c r="E272" s="22" t="s">
        <v>753</v>
      </c>
      <c r="F272" s="20">
        <v>307</v>
      </c>
      <c r="G272" s="20">
        <v>1456</v>
      </c>
      <c r="H272" s="20">
        <v>2</v>
      </c>
      <c r="I272" s="20">
        <v>6</v>
      </c>
      <c r="J272" s="20">
        <v>0.12</v>
      </c>
    </row>
    <row r="273" spans="1:10" x14ac:dyDescent="0.25">
      <c r="A273" s="20">
        <v>33048</v>
      </c>
      <c r="B273" s="20" t="s">
        <v>56</v>
      </c>
      <c r="C273" s="22">
        <v>46034</v>
      </c>
      <c r="D273" s="22">
        <v>46034</v>
      </c>
      <c r="E273" s="22" t="s">
        <v>104</v>
      </c>
      <c r="F273" s="20">
        <v>307</v>
      </c>
      <c r="G273" s="20">
        <v>1456</v>
      </c>
      <c r="H273" s="20">
        <v>70</v>
      </c>
      <c r="I273" s="20">
        <v>0.9</v>
      </c>
      <c r="J273" s="20">
        <v>0.63</v>
      </c>
    </row>
    <row r="274" spans="1:10" x14ac:dyDescent="0.25">
      <c r="A274" s="20">
        <v>33049</v>
      </c>
      <c r="B274" s="20" t="s">
        <v>67</v>
      </c>
      <c r="C274" s="22">
        <v>46034</v>
      </c>
      <c r="D274" s="22">
        <v>46034</v>
      </c>
      <c r="E274" s="22" t="s">
        <v>753</v>
      </c>
      <c r="F274" s="20">
        <v>332</v>
      </c>
      <c r="G274" s="20">
        <v>1725</v>
      </c>
      <c r="H274" s="20">
        <v>0</v>
      </c>
      <c r="I274" s="20">
        <v>40</v>
      </c>
      <c r="J274" s="20">
        <v>0</v>
      </c>
    </row>
    <row r="275" spans="1:10" x14ac:dyDescent="0.25">
      <c r="A275" s="20">
        <v>33050</v>
      </c>
      <c r="B275" s="20" t="s">
        <v>55</v>
      </c>
      <c r="C275" s="22">
        <v>46034</v>
      </c>
      <c r="D275" s="22">
        <v>46034</v>
      </c>
      <c r="E275" s="22" t="s">
        <v>753</v>
      </c>
      <c r="F275" s="20">
        <v>343</v>
      </c>
      <c r="G275" s="20">
        <v>705</v>
      </c>
      <c r="H275" s="20">
        <v>1</v>
      </c>
      <c r="I275" s="20">
        <v>20</v>
      </c>
      <c r="J275" s="20">
        <v>0.2</v>
      </c>
    </row>
    <row r="276" spans="1:10" x14ac:dyDescent="0.25">
      <c r="A276" s="20">
        <v>33050</v>
      </c>
      <c r="B276" s="20" t="s">
        <v>55</v>
      </c>
      <c r="C276" s="22">
        <v>46034</v>
      </c>
      <c r="D276" s="22">
        <v>46034</v>
      </c>
      <c r="E276" s="22" t="s">
        <v>104</v>
      </c>
      <c r="F276" s="20">
        <v>343</v>
      </c>
      <c r="G276" s="20">
        <v>705</v>
      </c>
      <c r="H276" s="20">
        <v>70</v>
      </c>
      <c r="I276" s="20">
        <v>3</v>
      </c>
      <c r="J276" s="20">
        <v>2.1</v>
      </c>
    </row>
    <row r="277" spans="1:10" x14ac:dyDescent="0.25">
      <c r="A277" s="20">
        <v>33051</v>
      </c>
      <c r="B277" s="20" t="s">
        <v>56</v>
      </c>
      <c r="C277" s="22">
        <v>46034</v>
      </c>
      <c r="D277" s="22">
        <v>46034</v>
      </c>
      <c r="E277" s="22" t="s">
        <v>104</v>
      </c>
      <c r="F277" s="20">
        <v>307</v>
      </c>
      <c r="G277" s="20">
        <v>1454</v>
      </c>
      <c r="H277" s="20">
        <v>70</v>
      </c>
      <c r="I277" s="20">
        <v>0.9</v>
      </c>
      <c r="J277" s="20">
        <v>0.63</v>
      </c>
    </row>
    <row r="278" spans="1:10" x14ac:dyDescent="0.25">
      <c r="A278" s="20">
        <v>33051</v>
      </c>
      <c r="B278" s="20" t="s">
        <v>56</v>
      </c>
      <c r="C278" s="22">
        <v>46034</v>
      </c>
      <c r="D278" s="22">
        <v>46034</v>
      </c>
      <c r="E278" s="22" t="s">
        <v>753</v>
      </c>
      <c r="F278" s="20">
        <v>307</v>
      </c>
      <c r="G278" s="20">
        <v>1454</v>
      </c>
      <c r="H278" s="20">
        <v>2</v>
      </c>
      <c r="I278" s="20">
        <v>6</v>
      </c>
      <c r="J278" s="20">
        <v>0.12</v>
      </c>
    </row>
    <row r="279" spans="1:10" x14ac:dyDescent="0.25">
      <c r="A279" s="20">
        <v>33052</v>
      </c>
      <c r="B279" s="20" t="s">
        <v>56</v>
      </c>
      <c r="C279" s="22">
        <v>46034</v>
      </c>
      <c r="D279" s="22">
        <v>46034</v>
      </c>
      <c r="E279" s="22" t="s">
        <v>104</v>
      </c>
      <c r="F279" s="20">
        <v>307</v>
      </c>
      <c r="G279" s="20">
        <v>1457</v>
      </c>
      <c r="H279" s="20">
        <v>70</v>
      </c>
      <c r="I279" s="20">
        <v>0.9</v>
      </c>
      <c r="J279" s="20">
        <v>0.63</v>
      </c>
    </row>
    <row r="280" spans="1:10" x14ac:dyDescent="0.25">
      <c r="A280" s="20">
        <v>33052</v>
      </c>
      <c r="B280" s="20" t="s">
        <v>56</v>
      </c>
      <c r="C280" s="22">
        <v>46034</v>
      </c>
      <c r="D280" s="22">
        <v>46034</v>
      </c>
      <c r="E280" s="22" t="s">
        <v>753</v>
      </c>
      <c r="F280" s="20">
        <v>307</v>
      </c>
      <c r="G280" s="20">
        <v>1457</v>
      </c>
      <c r="H280" s="20">
        <v>2</v>
      </c>
      <c r="I280" s="20">
        <v>6</v>
      </c>
      <c r="J280" s="20">
        <v>0.12</v>
      </c>
    </row>
    <row r="281" spans="1:10" x14ac:dyDescent="0.25">
      <c r="A281" s="20">
        <v>33053</v>
      </c>
      <c r="B281" s="20" t="s">
        <v>55</v>
      </c>
      <c r="C281" s="22">
        <v>46034</v>
      </c>
      <c r="D281" s="22">
        <v>46034</v>
      </c>
      <c r="E281" s="22" t="s">
        <v>104</v>
      </c>
      <c r="F281" s="20">
        <v>343</v>
      </c>
      <c r="G281" s="20">
        <v>709</v>
      </c>
      <c r="H281" s="20">
        <v>70</v>
      </c>
      <c r="I281" s="20">
        <v>3</v>
      </c>
      <c r="J281" s="20">
        <v>2.1</v>
      </c>
    </row>
    <row r="282" spans="1:10" x14ac:dyDescent="0.25">
      <c r="A282" s="20">
        <v>33053</v>
      </c>
      <c r="B282" s="20" t="s">
        <v>55</v>
      </c>
      <c r="C282" s="22">
        <v>46034</v>
      </c>
      <c r="D282" s="22">
        <v>46034</v>
      </c>
      <c r="E282" s="22" t="s">
        <v>753</v>
      </c>
      <c r="F282" s="20">
        <v>343</v>
      </c>
      <c r="G282" s="20">
        <v>709</v>
      </c>
      <c r="H282" s="20">
        <v>1</v>
      </c>
      <c r="I282" s="20">
        <v>20</v>
      </c>
      <c r="J282" s="20">
        <v>0.2</v>
      </c>
    </row>
    <row r="283" spans="1:10" x14ac:dyDescent="0.25">
      <c r="A283" s="20">
        <v>33054</v>
      </c>
      <c r="B283" s="20" t="s">
        <v>56</v>
      </c>
      <c r="C283" s="22">
        <v>46034</v>
      </c>
      <c r="D283" s="22">
        <v>46034</v>
      </c>
      <c r="E283" s="22" t="s">
        <v>104</v>
      </c>
      <c r="F283" s="20">
        <v>307</v>
      </c>
      <c r="G283" s="20">
        <v>1459</v>
      </c>
      <c r="H283" s="20">
        <v>70</v>
      </c>
      <c r="I283" s="20">
        <v>1.5</v>
      </c>
      <c r="J283" s="20">
        <v>1.05</v>
      </c>
    </row>
    <row r="284" spans="1:10" x14ac:dyDescent="0.25">
      <c r="A284" s="20">
        <v>33054</v>
      </c>
      <c r="B284" s="20" t="s">
        <v>56</v>
      </c>
      <c r="C284" s="22">
        <v>46034</v>
      </c>
      <c r="D284" s="22">
        <v>46034</v>
      </c>
      <c r="E284" s="22" t="s">
        <v>753</v>
      </c>
      <c r="F284" s="20">
        <v>307</v>
      </c>
      <c r="G284" s="20">
        <v>1459</v>
      </c>
      <c r="H284" s="20">
        <v>2</v>
      </c>
      <c r="I284" s="20">
        <v>10</v>
      </c>
      <c r="J284" s="20">
        <v>0.2</v>
      </c>
    </row>
    <row r="285" spans="1:10" x14ac:dyDescent="0.25">
      <c r="A285" s="20">
        <v>33055</v>
      </c>
      <c r="B285" s="20" t="s">
        <v>46</v>
      </c>
      <c r="C285" s="22">
        <v>46034</v>
      </c>
      <c r="D285" s="22">
        <v>46034</v>
      </c>
      <c r="E285" s="22" t="s">
        <v>104</v>
      </c>
      <c r="F285" s="20">
        <v>312</v>
      </c>
      <c r="G285" s="20">
        <v>521</v>
      </c>
      <c r="H285" s="20">
        <v>30</v>
      </c>
      <c r="I285" s="20">
        <v>31.07</v>
      </c>
      <c r="J285" s="20">
        <v>9.32</v>
      </c>
    </row>
    <row r="286" spans="1:10" x14ac:dyDescent="0.25">
      <c r="A286" s="20">
        <v>33055</v>
      </c>
      <c r="B286" s="20" t="s">
        <v>46</v>
      </c>
      <c r="C286" s="22">
        <v>46034</v>
      </c>
      <c r="D286" s="22">
        <v>46034</v>
      </c>
      <c r="E286" s="22" t="s">
        <v>753</v>
      </c>
      <c r="F286" s="20">
        <v>312</v>
      </c>
      <c r="G286" s="20">
        <v>521</v>
      </c>
      <c r="H286" s="20">
        <v>1.75</v>
      </c>
      <c r="I286" s="20">
        <v>207.11</v>
      </c>
      <c r="J286" s="20">
        <v>3.62</v>
      </c>
    </row>
    <row r="287" spans="1:10" x14ac:dyDescent="0.25">
      <c r="A287" s="20">
        <v>33056</v>
      </c>
      <c r="B287" s="20" t="s">
        <v>84</v>
      </c>
      <c r="C287" s="22">
        <v>46034</v>
      </c>
      <c r="D287" s="22">
        <v>46034</v>
      </c>
      <c r="E287" s="22" t="s">
        <v>104</v>
      </c>
      <c r="F287" s="20">
        <v>312</v>
      </c>
      <c r="G287" s="20">
        <v>35294</v>
      </c>
      <c r="H287" s="20">
        <v>30</v>
      </c>
      <c r="I287" s="20">
        <v>50.09</v>
      </c>
      <c r="J287" s="20">
        <v>15.03</v>
      </c>
    </row>
    <row r="288" spans="1:10" x14ac:dyDescent="0.25">
      <c r="A288" s="20">
        <v>33056</v>
      </c>
      <c r="B288" s="20" t="s">
        <v>84</v>
      </c>
      <c r="C288" s="22">
        <v>46034</v>
      </c>
      <c r="D288" s="22">
        <v>46034</v>
      </c>
      <c r="E288" s="22" t="s">
        <v>753</v>
      </c>
      <c r="F288" s="20">
        <v>312</v>
      </c>
      <c r="G288" s="20">
        <v>35294</v>
      </c>
      <c r="H288" s="20">
        <v>1.75</v>
      </c>
      <c r="I288" s="20">
        <v>333.91</v>
      </c>
      <c r="J288" s="20">
        <v>5.84</v>
      </c>
    </row>
    <row r="289" spans="1:10" x14ac:dyDescent="0.25">
      <c r="A289" s="20">
        <v>33057</v>
      </c>
      <c r="B289" s="20" t="s">
        <v>55</v>
      </c>
      <c r="C289" s="22">
        <v>46034</v>
      </c>
      <c r="D289" s="22">
        <v>46034</v>
      </c>
      <c r="E289" s="22" t="s">
        <v>753</v>
      </c>
      <c r="F289" s="20">
        <v>343</v>
      </c>
      <c r="G289" s="20">
        <v>706</v>
      </c>
      <c r="H289" s="20">
        <v>1</v>
      </c>
      <c r="I289" s="20">
        <v>15</v>
      </c>
      <c r="J289" s="20">
        <v>0.15</v>
      </c>
    </row>
    <row r="290" spans="1:10" x14ac:dyDescent="0.25">
      <c r="A290" s="20">
        <v>33057</v>
      </c>
      <c r="B290" s="20" t="s">
        <v>55</v>
      </c>
      <c r="C290" s="22">
        <v>46034</v>
      </c>
      <c r="D290" s="22">
        <v>46034</v>
      </c>
      <c r="E290" s="22" t="s">
        <v>104</v>
      </c>
      <c r="F290" s="20">
        <v>343</v>
      </c>
      <c r="G290" s="20">
        <v>706</v>
      </c>
      <c r="H290" s="20">
        <v>70</v>
      </c>
      <c r="I290" s="20">
        <v>2.25</v>
      </c>
      <c r="J290" s="20">
        <v>1.58</v>
      </c>
    </row>
    <row r="291" spans="1:10" x14ac:dyDescent="0.25">
      <c r="A291" s="20">
        <v>33058</v>
      </c>
      <c r="B291" s="20" t="s">
        <v>67</v>
      </c>
      <c r="C291" s="22">
        <v>46034</v>
      </c>
      <c r="D291" s="22">
        <v>46034</v>
      </c>
      <c r="E291" s="22" t="s">
        <v>753</v>
      </c>
      <c r="F291" s="20">
        <v>332</v>
      </c>
      <c r="G291" s="20">
        <v>1726</v>
      </c>
      <c r="H291" s="20">
        <v>0</v>
      </c>
      <c r="I291" s="20">
        <v>7</v>
      </c>
      <c r="J291" s="20">
        <v>0</v>
      </c>
    </row>
    <row r="292" spans="1:10" x14ac:dyDescent="0.25">
      <c r="A292" s="20">
        <v>33059</v>
      </c>
      <c r="B292" s="20" t="s">
        <v>56</v>
      </c>
      <c r="C292" s="22">
        <v>46034</v>
      </c>
      <c r="D292" s="22">
        <v>46034</v>
      </c>
      <c r="E292" s="22" t="s">
        <v>753</v>
      </c>
      <c r="F292" s="20">
        <v>307</v>
      </c>
      <c r="G292" s="20">
        <v>1452</v>
      </c>
      <c r="H292" s="20">
        <v>2</v>
      </c>
      <c r="I292" s="20">
        <v>10</v>
      </c>
      <c r="J292" s="20">
        <v>0.2</v>
      </c>
    </row>
    <row r="293" spans="1:10" x14ac:dyDescent="0.25">
      <c r="A293" s="20">
        <v>33059</v>
      </c>
      <c r="B293" s="20" t="s">
        <v>56</v>
      </c>
      <c r="C293" s="22">
        <v>46034</v>
      </c>
      <c r="D293" s="22">
        <v>46034</v>
      </c>
      <c r="E293" s="22" t="s">
        <v>104</v>
      </c>
      <c r="F293" s="20">
        <v>307</v>
      </c>
      <c r="G293" s="20">
        <v>1452</v>
      </c>
      <c r="H293" s="20">
        <v>70</v>
      </c>
      <c r="I293" s="20">
        <v>1.5</v>
      </c>
      <c r="J293" s="20">
        <v>1.05</v>
      </c>
    </row>
    <row r="294" spans="1:10" x14ac:dyDescent="0.25">
      <c r="A294" s="20">
        <v>33060</v>
      </c>
      <c r="B294" s="20" t="s">
        <v>56</v>
      </c>
      <c r="C294" s="22">
        <v>46034</v>
      </c>
      <c r="D294" s="22">
        <v>46034</v>
      </c>
      <c r="E294" s="22" t="s">
        <v>104</v>
      </c>
      <c r="F294" s="20">
        <v>307</v>
      </c>
      <c r="G294" s="20">
        <v>1458</v>
      </c>
      <c r="H294" s="20">
        <v>70</v>
      </c>
      <c r="I294" s="20">
        <v>1.5</v>
      </c>
      <c r="J294" s="20">
        <v>1.05</v>
      </c>
    </row>
    <row r="295" spans="1:10" x14ac:dyDescent="0.25">
      <c r="A295" s="20">
        <v>33060</v>
      </c>
      <c r="B295" s="20" t="s">
        <v>56</v>
      </c>
      <c r="C295" s="22">
        <v>46034</v>
      </c>
      <c r="D295" s="22">
        <v>46034</v>
      </c>
      <c r="E295" s="22" t="s">
        <v>753</v>
      </c>
      <c r="F295" s="20">
        <v>307</v>
      </c>
      <c r="G295" s="20">
        <v>1458</v>
      </c>
      <c r="H295" s="20">
        <v>2</v>
      </c>
      <c r="I295" s="20">
        <v>10</v>
      </c>
      <c r="J295" s="20">
        <v>0.2</v>
      </c>
    </row>
    <row r="296" spans="1:10" x14ac:dyDescent="0.25">
      <c r="A296" s="20">
        <v>33061</v>
      </c>
      <c r="B296" s="20" t="s">
        <v>55</v>
      </c>
      <c r="C296" s="22">
        <v>46035</v>
      </c>
      <c r="D296" s="22">
        <v>46035</v>
      </c>
      <c r="E296" s="22" t="s">
        <v>753</v>
      </c>
      <c r="F296" s="20">
        <v>343</v>
      </c>
      <c r="G296" s="20">
        <v>716</v>
      </c>
      <c r="H296" s="20">
        <v>1</v>
      </c>
      <c r="I296" s="20">
        <v>15</v>
      </c>
      <c r="J296" s="20">
        <v>0.15</v>
      </c>
    </row>
    <row r="297" spans="1:10" x14ac:dyDescent="0.25">
      <c r="A297" s="20">
        <v>33061</v>
      </c>
      <c r="B297" s="20" t="s">
        <v>55</v>
      </c>
      <c r="C297" s="22">
        <v>46035</v>
      </c>
      <c r="D297" s="22">
        <v>46035</v>
      </c>
      <c r="E297" s="22" t="s">
        <v>104</v>
      </c>
      <c r="F297" s="20">
        <v>343</v>
      </c>
      <c r="G297" s="20">
        <v>716</v>
      </c>
      <c r="H297" s="20">
        <v>70</v>
      </c>
      <c r="I297" s="20">
        <v>2.25</v>
      </c>
      <c r="J297" s="20">
        <v>1.58</v>
      </c>
    </row>
    <row r="298" spans="1:10" x14ac:dyDescent="0.25">
      <c r="A298" s="20">
        <v>33062</v>
      </c>
      <c r="B298" s="20" t="s">
        <v>56</v>
      </c>
      <c r="C298" s="22">
        <v>46035</v>
      </c>
      <c r="D298" s="22">
        <v>46035</v>
      </c>
      <c r="E298" s="22" t="s">
        <v>753</v>
      </c>
      <c r="F298" s="20">
        <v>307</v>
      </c>
      <c r="G298" s="20">
        <v>1463</v>
      </c>
      <c r="H298" s="20">
        <v>2</v>
      </c>
      <c r="I298" s="20">
        <v>6</v>
      </c>
      <c r="J298" s="20">
        <v>0.12</v>
      </c>
    </row>
    <row r="299" spans="1:10" x14ac:dyDescent="0.25">
      <c r="A299" s="20">
        <v>33062</v>
      </c>
      <c r="B299" s="20" t="s">
        <v>56</v>
      </c>
      <c r="C299" s="22">
        <v>46035</v>
      </c>
      <c r="D299" s="22">
        <v>46035</v>
      </c>
      <c r="E299" s="22" t="s">
        <v>104</v>
      </c>
      <c r="F299" s="20">
        <v>307</v>
      </c>
      <c r="G299" s="20">
        <v>1463</v>
      </c>
      <c r="H299" s="20">
        <v>70</v>
      </c>
      <c r="I299" s="20">
        <v>0.9</v>
      </c>
      <c r="J299" s="20">
        <v>0.63</v>
      </c>
    </row>
    <row r="300" spans="1:10" x14ac:dyDescent="0.25">
      <c r="A300" s="20">
        <v>33063</v>
      </c>
      <c r="B300" s="20" t="s">
        <v>60</v>
      </c>
      <c r="C300" s="22">
        <v>46035</v>
      </c>
      <c r="D300" s="22">
        <v>46035</v>
      </c>
      <c r="E300" s="22" t="s">
        <v>753</v>
      </c>
      <c r="F300" s="20">
        <v>312</v>
      </c>
      <c r="G300" s="20">
        <v>2759</v>
      </c>
      <c r="H300" s="20">
        <v>1.75</v>
      </c>
      <c r="I300" s="21">
        <v>1488.48</v>
      </c>
      <c r="J300" s="20">
        <v>26.05</v>
      </c>
    </row>
    <row r="301" spans="1:10" x14ac:dyDescent="0.25">
      <c r="A301" s="20">
        <v>33063</v>
      </c>
      <c r="B301" s="20" t="s">
        <v>60</v>
      </c>
      <c r="C301" s="22">
        <v>46035</v>
      </c>
      <c r="D301" s="22">
        <v>46035</v>
      </c>
      <c r="E301" s="22" t="s">
        <v>104</v>
      </c>
      <c r="F301" s="20">
        <v>312</v>
      </c>
      <c r="G301" s="20">
        <v>2759</v>
      </c>
      <c r="H301" s="20">
        <v>30</v>
      </c>
      <c r="I301" s="20">
        <v>223.27</v>
      </c>
      <c r="J301" s="20">
        <v>66.98</v>
      </c>
    </row>
    <row r="302" spans="1:10" x14ac:dyDescent="0.25">
      <c r="A302" s="20">
        <v>33064</v>
      </c>
      <c r="B302" s="20" t="s">
        <v>68</v>
      </c>
      <c r="C302" s="22">
        <v>46035</v>
      </c>
      <c r="D302" s="22">
        <v>46035</v>
      </c>
      <c r="E302" s="22" t="s">
        <v>753</v>
      </c>
      <c r="F302" s="20">
        <v>332</v>
      </c>
      <c r="G302" s="20">
        <v>1227</v>
      </c>
      <c r="H302" s="20">
        <v>0</v>
      </c>
      <c r="I302" s="20">
        <v>56</v>
      </c>
      <c r="J302" s="20">
        <v>0</v>
      </c>
    </row>
    <row r="303" spans="1:10" x14ac:dyDescent="0.25">
      <c r="A303" s="20">
        <v>33065</v>
      </c>
      <c r="B303" s="20" t="s">
        <v>67</v>
      </c>
      <c r="C303" s="22">
        <v>46035</v>
      </c>
      <c r="D303" s="22">
        <v>46035</v>
      </c>
      <c r="E303" s="22" t="s">
        <v>753</v>
      </c>
      <c r="F303" s="20">
        <v>332</v>
      </c>
      <c r="G303" s="20">
        <v>1727</v>
      </c>
      <c r="H303" s="20">
        <v>0</v>
      </c>
      <c r="I303" s="20">
        <v>8</v>
      </c>
      <c r="J303" s="20">
        <v>0</v>
      </c>
    </row>
    <row r="304" spans="1:10" x14ac:dyDescent="0.25">
      <c r="A304" s="20">
        <v>33066</v>
      </c>
      <c r="B304" s="20" t="s">
        <v>68</v>
      </c>
      <c r="C304" s="22">
        <v>46035</v>
      </c>
      <c r="D304" s="22">
        <v>46035</v>
      </c>
      <c r="E304" s="22" t="s">
        <v>753</v>
      </c>
      <c r="F304" s="20">
        <v>332</v>
      </c>
      <c r="G304" s="20">
        <v>1225</v>
      </c>
      <c r="H304" s="20">
        <v>0</v>
      </c>
      <c r="I304" s="20">
        <v>20</v>
      </c>
      <c r="J304" s="20">
        <v>0</v>
      </c>
    </row>
    <row r="305" spans="1:10" x14ac:dyDescent="0.25">
      <c r="A305" s="20">
        <v>33067</v>
      </c>
      <c r="B305" s="20" t="s">
        <v>68</v>
      </c>
      <c r="C305" s="22">
        <v>46035</v>
      </c>
      <c r="D305" s="22">
        <v>46035</v>
      </c>
      <c r="E305" s="22" t="s">
        <v>753</v>
      </c>
      <c r="F305" s="20">
        <v>332</v>
      </c>
      <c r="G305" s="20">
        <v>1224</v>
      </c>
      <c r="H305" s="20">
        <v>0</v>
      </c>
      <c r="I305" s="20">
        <v>6</v>
      </c>
      <c r="J305" s="20">
        <v>0</v>
      </c>
    </row>
    <row r="306" spans="1:10" x14ac:dyDescent="0.25">
      <c r="A306" s="20">
        <v>33068</v>
      </c>
      <c r="B306" s="20" t="s">
        <v>68</v>
      </c>
      <c r="C306" s="22">
        <v>46035</v>
      </c>
      <c r="D306" s="22">
        <v>46035</v>
      </c>
      <c r="E306" s="22" t="s">
        <v>753</v>
      </c>
      <c r="F306" s="20">
        <v>332</v>
      </c>
      <c r="G306" s="20">
        <v>1226</v>
      </c>
      <c r="H306" s="20">
        <v>0</v>
      </c>
      <c r="I306" s="20">
        <v>20</v>
      </c>
      <c r="J306" s="20">
        <v>0</v>
      </c>
    </row>
    <row r="307" spans="1:10" x14ac:dyDescent="0.25">
      <c r="A307" s="20">
        <v>33069</v>
      </c>
      <c r="B307" s="20" t="s">
        <v>67</v>
      </c>
      <c r="C307" s="22">
        <v>46035</v>
      </c>
      <c r="D307" s="22">
        <v>46035</v>
      </c>
      <c r="E307" s="22" t="s">
        <v>753</v>
      </c>
      <c r="F307" s="20">
        <v>332</v>
      </c>
      <c r="G307" s="20">
        <v>1728</v>
      </c>
      <c r="H307" s="20">
        <v>0</v>
      </c>
      <c r="I307" s="20">
        <v>18</v>
      </c>
      <c r="J307" s="20">
        <v>0</v>
      </c>
    </row>
    <row r="308" spans="1:10" x14ac:dyDescent="0.25">
      <c r="A308" s="20">
        <v>33070</v>
      </c>
      <c r="B308" s="20" t="s">
        <v>55</v>
      </c>
      <c r="C308" s="22">
        <v>46035</v>
      </c>
      <c r="D308" s="22">
        <v>46035</v>
      </c>
      <c r="E308" s="22" t="s">
        <v>753</v>
      </c>
      <c r="F308" s="20">
        <v>343</v>
      </c>
      <c r="G308" s="20">
        <v>715</v>
      </c>
      <c r="H308" s="20">
        <v>1</v>
      </c>
      <c r="I308" s="20">
        <v>20</v>
      </c>
      <c r="J308" s="20">
        <v>0.2</v>
      </c>
    </row>
    <row r="309" spans="1:10" x14ac:dyDescent="0.25">
      <c r="A309" s="20">
        <v>33070</v>
      </c>
      <c r="B309" s="20" t="s">
        <v>55</v>
      </c>
      <c r="C309" s="22">
        <v>46035</v>
      </c>
      <c r="D309" s="22">
        <v>46035</v>
      </c>
      <c r="E309" s="22" t="s">
        <v>104</v>
      </c>
      <c r="F309" s="20">
        <v>343</v>
      </c>
      <c r="G309" s="20">
        <v>715</v>
      </c>
      <c r="H309" s="20">
        <v>70</v>
      </c>
      <c r="I309" s="20">
        <v>3</v>
      </c>
      <c r="J309" s="20">
        <v>2.1</v>
      </c>
    </row>
    <row r="310" spans="1:10" x14ac:dyDescent="0.25">
      <c r="A310" s="20">
        <v>33071</v>
      </c>
      <c r="B310" s="20" t="s">
        <v>53</v>
      </c>
      <c r="C310" s="22">
        <v>46035</v>
      </c>
      <c r="D310" s="22">
        <v>46035</v>
      </c>
      <c r="E310" s="22" t="s">
        <v>753</v>
      </c>
      <c r="F310" s="20">
        <v>312</v>
      </c>
      <c r="G310" s="20">
        <v>1049</v>
      </c>
      <c r="H310" s="20">
        <v>1.75</v>
      </c>
      <c r="I310" s="20">
        <v>40</v>
      </c>
      <c r="J310" s="20">
        <v>0.7</v>
      </c>
    </row>
    <row r="311" spans="1:10" x14ac:dyDescent="0.25">
      <c r="A311" s="20">
        <v>33071</v>
      </c>
      <c r="B311" s="20" t="s">
        <v>53</v>
      </c>
      <c r="C311" s="22">
        <v>46035</v>
      </c>
      <c r="D311" s="22">
        <v>46035</v>
      </c>
      <c r="E311" s="22" t="s">
        <v>104</v>
      </c>
      <c r="F311" s="20">
        <v>312</v>
      </c>
      <c r="G311" s="20">
        <v>1049</v>
      </c>
      <c r="H311" s="20">
        <v>30</v>
      </c>
      <c r="I311" s="20">
        <v>6</v>
      </c>
      <c r="J311" s="20">
        <v>1.8</v>
      </c>
    </row>
    <row r="312" spans="1:10" x14ac:dyDescent="0.25">
      <c r="A312" s="20">
        <v>33072</v>
      </c>
      <c r="B312" s="20" t="s">
        <v>56</v>
      </c>
      <c r="C312" s="22">
        <v>46035</v>
      </c>
      <c r="D312" s="22">
        <v>46035</v>
      </c>
      <c r="E312" s="22" t="s">
        <v>104</v>
      </c>
      <c r="F312" s="20">
        <v>307</v>
      </c>
      <c r="G312" s="20">
        <v>1465</v>
      </c>
      <c r="H312" s="20">
        <v>70</v>
      </c>
      <c r="I312" s="20">
        <v>1.5</v>
      </c>
      <c r="J312" s="20">
        <v>1.05</v>
      </c>
    </row>
    <row r="313" spans="1:10" x14ac:dyDescent="0.25">
      <c r="A313" s="20">
        <v>33072</v>
      </c>
      <c r="B313" s="20" t="s">
        <v>56</v>
      </c>
      <c r="C313" s="22">
        <v>46035</v>
      </c>
      <c r="D313" s="22">
        <v>46035</v>
      </c>
      <c r="E313" s="22" t="s">
        <v>753</v>
      </c>
      <c r="F313" s="20">
        <v>307</v>
      </c>
      <c r="G313" s="20">
        <v>1465</v>
      </c>
      <c r="H313" s="20">
        <v>2</v>
      </c>
      <c r="I313" s="20">
        <v>10</v>
      </c>
      <c r="J313" s="20">
        <v>0.2</v>
      </c>
    </row>
    <row r="314" spans="1:10" x14ac:dyDescent="0.25">
      <c r="A314" s="20">
        <v>33073</v>
      </c>
      <c r="B314" s="20" t="s">
        <v>67</v>
      </c>
      <c r="C314" s="22">
        <v>46035</v>
      </c>
      <c r="D314" s="22">
        <v>46035</v>
      </c>
      <c r="E314" s="22" t="s">
        <v>753</v>
      </c>
      <c r="F314" s="20">
        <v>332</v>
      </c>
      <c r="G314" s="20">
        <v>1729</v>
      </c>
      <c r="H314" s="20">
        <v>0</v>
      </c>
      <c r="I314" s="20">
        <v>8</v>
      </c>
      <c r="J314" s="20">
        <v>0</v>
      </c>
    </row>
    <row r="315" spans="1:10" x14ac:dyDescent="0.25">
      <c r="A315" s="20">
        <v>33074</v>
      </c>
      <c r="B315" s="20" t="s">
        <v>71</v>
      </c>
      <c r="C315" s="22">
        <v>46036</v>
      </c>
      <c r="D315" s="22">
        <v>46036</v>
      </c>
      <c r="E315" s="22" t="s">
        <v>753</v>
      </c>
      <c r="F315" s="20">
        <v>332</v>
      </c>
      <c r="G315" s="20">
        <v>312</v>
      </c>
      <c r="H315" s="20">
        <v>0</v>
      </c>
      <c r="I315" s="20">
        <v>45</v>
      </c>
      <c r="J315" s="20">
        <v>0</v>
      </c>
    </row>
    <row r="316" spans="1:10" x14ac:dyDescent="0.25">
      <c r="A316" s="20">
        <v>33075</v>
      </c>
      <c r="B316" s="20" t="s">
        <v>55</v>
      </c>
      <c r="C316" s="22">
        <v>46036</v>
      </c>
      <c r="D316" s="22">
        <v>46036</v>
      </c>
      <c r="E316" s="22" t="s">
        <v>753</v>
      </c>
      <c r="F316" s="20">
        <v>343</v>
      </c>
      <c r="G316" s="20">
        <v>722</v>
      </c>
      <c r="H316" s="20">
        <v>1</v>
      </c>
      <c r="I316" s="20">
        <v>10</v>
      </c>
      <c r="J316" s="20">
        <v>0.1</v>
      </c>
    </row>
    <row r="317" spans="1:10" x14ac:dyDescent="0.25">
      <c r="A317" s="20">
        <v>33075</v>
      </c>
      <c r="B317" s="20" t="s">
        <v>55</v>
      </c>
      <c r="C317" s="22">
        <v>46036</v>
      </c>
      <c r="D317" s="22">
        <v>46036</v>
      </c>
      <c r="E317" s="22" t="s">
        <v>104</v>
      </c>
      <c r="F317" s="20">
        <v>343</v>
      </c>
      <c r="G317" s="20">
        <v>722</v>
      </c>
      <c r="H317" s="20">
        <v>70</v>
      </c>
      <c r="I317" s="20">
        <v>1.5</v>
      </c>
      <c r="J317" s="20">
        <v>1.05</v>
      </c>
    </row>
    <row r="318" spans="1:10" x14ac:dyDescent="0.25">
      <c r="A318" s="20">
        <v>33076</v>
      </c>
      <c r="B318" s="20" t="s">
        <v>68</v>
      </c>
      <c r="C318" s="22">
        <v>46036</v>
      </c>
      <c r="D318" s="22">
        <v>46036</v>
      </c>
      <c r="E318" s="22" t="s">
        <v>753</v>
      </c>
      <c r="F318" s="20">
        <v>332</v>
      </c>
      <c r="G318" s="20">
        <v>1230</v>
      </c>
      <c r="H318" s="20">
        <v>0</v>
      </c>
      <c r="I318" s="20">
        <v>6</v>
      </c>
      <c r="J318" s="20">
        <v>0</v>
      </c>
    </row>
    <row r="319" spans="1:10" x14ac:dyDescent="0.25">
      <c r="A319" s="20">
        <v>33077</v>
      </c>
      <c r="B319" s="20" t="s">
        <v>68</v>
      </c>
      <c r="C319" s="22">
        <v>46036</v>
      </c>
      <c r="D319" s="22">
        <v>46036</v>
      </c>
      <c r="E319" s="22" t="s">
        <v>753</v>
      </c>
      <c r="F319" s="20">
        <v>332</v>
      </c>
      <c r="G319" s="20">
        <v>1231</v>
      </c>
      <c r="H319" s="20">
        <v>0</v>
      </c>
      <c r="I319" s="20">
        <v>20</v>
      </c>
      <c r="J319" s="20">
        <v>0</v>
      </c>
    </row>
    <row r="320" spans="1:10" x14ac:dyDescent="0.25">
      <c r="A320" s="20">
        <v>33078</v>
      </c>
      <c r="B320" s="20" t="s">
        <v>46</v>
      </c>
      <c r="C320" s="22">
        <v>46036</v>
      </c>
      <c r="D320" s="22">
        <v>46036</v>
      </c>
      <c r="E320" s="22" t="s">
        <v>104</v>
      </c>
      <c r="F320" s="20">
        <v>312</v>
      </c>
      <c r="G320" s="20">
        <v>523</v>
      </c>
      <c r="H320" s="20">
        <v>30</v>
      </c>
      <c r="I320" s="20">
        <v>30.18</v>
      </c>
      <c r="J320" s="20">
        <v>9.0500000000000007</v>
      </c>
    </row>
    <row r="321" spans="1:10" x14ac:dyDescent="0.25">
      <c r="A321" s="20">
        <v>33078</v>
      </c>
      <c r="B321" s="20" t="s">
        <v>46</v>
      </c>
      <c r="C321" s="22">
        <v>46036</v>
      </c>
      <c r="D321" s="22">
        <v>46036</v>
      </c>
      <c r="E321" s="22" t="s">
        <v>753</v>
      </c>
      <c r="F321" s="20">
        <v>312</v>
      </c>
      <c r="G321" s="20">
        <v>523</v>
      </c>
      <c r="H321" s="20">
        <v>1.75</v>
      </c>
      <c r="I321" s="20">
        <v>201.17</v>
      </c>
      <c r="J321" s="20">
        <v>3.52</v>
      </c>
    </row>
    <row r="322" spans="1:10" x14ac:dyDescent="0.25">
      <c r="A322" s="20">
        <v>33079</v>
      </c>
      <c r="B322" s="20" t="s">
        <v>67</v>
      </c>
      <c r="C322" s="22">
        <v>46036</v>
      </c>
      <c r="D322" s="22">
        <v>46036</v>
      </c>
      <c r="E322" s="22" t="s">
        <v>753</v>
      </c>
      <c r="F322" s="20">
        <v>332</v>
      </c>
      <c r="G322" s="20">
        <v>1732</v>
      </c>
      <c r="H322" s="20">
        <v>0</v>
      </c>
      <c r="I322" s="20">
        <v>33</v>
      </c>
      <c r="J322" s="20">
        <v>0</v>
      </c>
    </row>
    <row r="323" spans="1:10" x14ac:dyDescent="0.25">
      <c r="A323" s="20">
        <v>33080</v>
      </c>
      <c r="B323" s="20" t="s">
        <v>67</v>
      </c>
      <c r="C323" s="22">
        <v>46036</v>
      </c>
      <c r="D323" s="22">
        <v>46036</v>
      </c>
      <c r="E323" s="22" t="s">
        <v>753</v>
      </c>
      <c r="F323" s="20">
        <v>332</v>
      </c>
      <c r="G323" s="20">
        <v>1730</v>
      </c>
      <c r="H323" s="20">
        <v>0</v>
      </c>
      <c r="I323" s="20">
        <v>8</v>
      </c>
      <c r="J323" s="20">
        <v>0</v>
      </c>
    </row>
    <row r="324" spans="1:10" x14ac:dyDescent="0.25">
      <c r="A324" s="20">
        <v>33081</v>
      </c>
      <c r="B324" s="20" t="s">
        <v>56</v>
      </c>
      <c r="C324" s="22">
        <v>46036</v>
      </c>
      <c r="D324" s="22">
        <v>46036</v>
      </c>
      <c r="E324" s="22" t="s">
        <v>753</v>
      </c>
      <c r="F324" s="20">
        <v>307</v>
      </c>
      <c r="G324" s="20">
        <v>1469</v>
      </c>
      <c r="H324" s="20">
        <v>2</v>
      </c>
      <c r="I324" s="20">
        <v>6</v>
      </c>
      <c r="J324" s="20">
        <v>0.12</v>
      </c>
    </row>
    <row r="325" spans="1:10" x14ac:dyDescent="0.25">
      <c r="A325" s="20">
        <v>33081</v>
      </c>
      <c r="B325" s="20" t="s">
        <v>56</v>
      </c>
      <c r="C325" s="22">
        <v>46036</v>
      </c>
      <c r="D325" s="22">
        <v>46036</v>
      </c>
      <c r="E325" s="22" t="s">
        <v>104</v>
      </c>
      <c r="F325" s="20">
        <v>307</v>
      </c>
      <c r="G325" s="20">
        <v>1469</v>
      </c>
      <c r="H325" s="20">
        <v>70</v>
      </c>
      <c r="I325" s="20">
        <v>0.9</v>
      </c>
      <c r="J325" s="20">
        <v>0.63</v>
      </c>
    </row>
    <row r="326" spans="1:10" x14ac:dyDescent="0.25">
      <c r="A326" s="20">
        <v>33082</v>
      </c>
      <c r="B326" s="20" t="s">
        <v>65</v>
      </c>
      <c r="C326" s="22">
        <v>46036</v>
      </c>
      <c r="D326" s="22">
        <v>46036</v>
      </c>
      <c r="E326" s="22" t="s">
        <v>753</v>
      </c>
      <c r="F326" s="20">
        <v>312</v>
      </c>
      <c r="G326" s="20">
        <v>1347</v>
      </c>
      <c r="H326" s="20">
        <v>1.75</v>
      </c>
      <c r="I326" s="20">
        <v>95</v>
      </c>
      <c r="J326" s="20">
        <v>1.66</v>
      </c>
    </row>
    <row r="327" spans="1:10" x14ac:dyDescent="0.25">
      <c r="A327" s="20">
        <v>33082</v>
      </c>
      <c r="B327" s="20" t="s">
        <v>65</v>
      </c>
      <c r="C327" s="22">
        <v>46036</v>
      </c>
      <c r="D327" s="22">
        <v>46036</v>
      </c>
      <c r="E327" s="22" t="s">
        <v>104</v>
      </c>
      <c r="F327" s="20">
        <v>312</v>
      </c>
      <c r="G327" s="20">
        <v>1347</v>
      </c>
      <c r="H327" s="20">
        <v>30</v>
      </c>
      <c r="I327" s="20">
        <v>14.25</v>
      </c>
      <c r="J327" s="20">
        <v>4.28</v>
      </c>
    </row>
    <row r="328" spans="1:10" x14ac:dyDescent="0.25">
      <c r="A328" s="20">
        <v>33083</v>
      </c>
      <c r="B328" s="20" t="s">
        <v>56</v>
      </c>
      <c r="C328" s="22">
        <v>46036</v>
      </c>
      <c r="D328" s="22">
        <v>46036</v>
      </c>
      <c r="E328" s="22" t="s">
        <v>753</v>
      </c>
      <c r="F328" s="20">
        <v>307</v>
      </c>
      <c r="G328" s="20">
        <v>1468</v>
      </c>
      <c r="H328" s="20">
        <v>2</v>
      </c>
      <c r="I328" s="20">
        <v>6</v>
      </c>
      <c r="J328" s="20">
        <v>0.12</v>
      </c>
    </row>
    <row r="329" spans="1:10" x14ac:dyDescent="0.25">
      <c r="A329" s="20">
        <v>33083</v>
      </c>
      <c r="B329" s="20" t="s">
        <v>56</v>
      </c>
      <c r="C329" s="22">
        <v>46036</v>
      </c>
      <c r="D329" s="22">
        <v>46036</v>
      </c>
      <c r="E329" s="22" t="s">
        <v>104</v>
      </c>
      <c r="F329" s="20">
        <v>307</v>
      </c>
      <c r="G329" s="20">
        <v>1468</v>
      </c>
      <c r="H329" s="20">
        <v>70</v>
      </c>
      <c r="I329" s="20">
        <v>0.9</v>
      </c>
      <c r="J329" s="20">
        <v>0.63</v>
      </c>
    </row>
    <row r="330" spans="1:10" x14ac:dyDescent="0.25">
      <c r="A330" s="20">
        <v>33084</v>
      </c>
      <c r="B330" s="20" t="s">
        <v>46</v>
      </c>
      <c r="C330" s="22">
        <v>46036</v>
      </c>
      <c r="D330" s="22">
        <v>46036</v>
      </c>
      <c r="E330" s="22" t="s">
        <v>104</v>
      </c>
      <c r="F330" s="20">
        <v>312</v>
      </c>
      <c r="G330" s="20">
        <v>528</v>
      </c>
      <c r="H330" s="20">
        <v>30</v>
      </c>
      <c r="I330" s="20">
        <v>15.31</v>
      </c>
      <c r="J330" s="20">
        <v>4.59</v>
      </c>
    </row>
    <row r="331" spans="1:10" x14ac:dyDescent="0.25">
      <c r="A331" s="20">
        <v>33084</v>
      </c>
      <c r="B331" s="20" t="s">
        <v>46</v>
      </c>
      <c r="C331" s="22">
        <v>46036</v>
      </c>
      <c r="D331" s="22">
        <v>46036</v>
      </c>
      <c r="E331" s="22" t="s">
        <v>753</v>
      </c>
      <c r="F331" s="20">
        <v>312</v>
      </c>
      <c r="G331" s="20">
        <v>528</v>
      </c>
      <c r="H331" s="20">
        <v>1.75</v>
      </c>
      <c r="I331" s="20">
        <v>102.06</v>
      </c>
      <c r="J331" s="20">
        <v>1.79</v>
      </c>
    </row>
    <row r="332" spans="1:10" x14ac:dyDescent="0.25">
      <c r="A332" s="20">
        <v>33085</v>
      </c>
      <c r="B332" s="20" t="s">
        <v>67</v>
      </c>
      <c r="C332" s="22">
        <v>46036</v>
      </c>
      <c r="D332" s="22">
        <v>46036</v>
      </c>
      <c r="E332" s="22" t="s">
        <v>753</v>
      </c>
      <c r="F332" s="20">
        <v>332</v>
      </c>
      <c r="G332" s="20">
        <v>1733</v>
      </c>
      <c r="H332" s="20">
        <v>0</v>
      </c>
      <c r="I332" s="20">
        <v>8</v>
      </c>
      <c r="J332" s="20">
        <v>0</v>
      </c>
    </row>
    <row r="333" spans="1:10" x14ac:dyDescent="0.25">
      <c r="A333" s="20">
        <v>33086</v>
      </c>
      <c r="B333" s="20" t="s">
        <v>68</v>
      </c>
      <c r="C333" s="22">
        <v>46036</v>
      </c>
      <c r="D333" s="22">
        <v>46036</v>
      </c>
      <c r="E333" s="22" t="s">
        <v>753</v>
      </c>
      <c r="F333" s="20">
        <v>332</v>
      </c>
      <c r="G333" s="20">
        <v>1229</v>
      </c>
      <c r="H333" s="20">
        <v>0</v>
      </c>
      <c r="I333" s="20">
        <v>20</v>
      </c>
      <c r="J333" s="20">
        <v>0</v>
      </c>
    </row>
    <row r="334" spans="1:10" x14ac:dyDescent="0.25">
      <c r="A334" s="20">
        <v>33087</v>
      </c>
      <c r="B334" s="20" t="s">
        <v>68</v>
      </c>
      <c r="C334" s="22">
        <v>46036</v>
      </c>
      <c r="D334" s="22">
        <v>46036</v>
      </c>
      <c r="E334" s="22" t="s">
        <v>753</v>
      </c>
      <c r="F334" s="20">
        <v>332</v>
      </c>
      <c r="G334" s="20">
        <v>1232</v>
      </c>
      <c r="H334" s="20">
        <v>0</v>
      </c>
      <c r="I334" s="20">
        <v>20</v>
      </c>
      <c r="J334" s="20">
        <v>0</v>
      </c>
    </row>
    <row r="335" spans="1:10" x14ac:dyDescent="0.25">
      <c r="A335" s="20">
        <v>33088</v>
      </c>
      <c r="B335" s="20" t="s">
        <v>56</v>
      </c>
      <c r="C335" s="22">
        <v>46036</v>
      </c>
      <c r="D335" s="22">
        <v>46036</v>
      </c>
      <c r="E335" s="22" t="s">
        <v>104</v>
      </c>
      <c r="F335" s="20">
        <v>307</v>
      </c>
      <c r="G335" s="20">
        <v>1471</v>
      </c>
      <c r="H335" s="20">
        <v>70</v>
      </c>
      <c r="I335" s="20">
        <v>10.5</v>
      </c>
      <c r="J335" s="20">
        <v>7.35</v>
      </c>
    </row>
    <row r="336" spans="1:10" x14ac:dyDescent="0.25">
      <c r="A336" s="20">
        <v>33088</v>
      </c>
      <c r="B336" s="20" t="s">
        <v>56</v>
      </c>
      <c r="C336" s="22">
        <v>46036</v>
      </c>
      <c r="D336" s="22">
        <v>46036</v>
      </c>
      <c r="E336" s="22" t="s">
        <v>753</v>
      </c>
      <c r="F336" s="20">
        <v>307</v>
      </c>
      <c r="G336" s="20">
        <v>1471</v>
      </c>
      <c r="H336" s="20">
        <v>2</v>
      </c>
      <c r="I336" s="20">
        <v>70</v>
      </c>
      <c r="J336" s="20">
        <v>1.4</v>
      </c>
    </row>
    <row r="337" spans="1:10" x14ac:dyDescent="0.25">
      <c r="A337" s="20">
        <v>33089</v>
      </c>
      <c r="B337" s="20" t="s">
        <v>55</v>
      </c>
      <c r="C337" s="22">
        <v>46036</v>
      </c>
      <c r="D337" s="22">
        <v>46036</v>
      </c>
      <c r="E337" s="22" t="s">
        <v>104</v>
      </c>
      <c r="F337" s="20">
        <v>343</v>
      </c>
      <c r="G337" s="20">
        <v>721</v>
      </c>
      <c r="H337" s="20">
        <v>70</v>
      </c>
      <c r="I337" s="20">
        <v>3</v>
      </c>
      <c r="J337" s="20">
        <v>2.1</v>
      </c>
    </row>
    <row r="338" spans="1:10" x14ac:dyDescent="0.25">
      <c r="A338" s="20">
        <v>33089</v>
      </c>
      <c r="B338" s="20" t="s">
        <v>55</v>
      </c>
      <c r="C338" s="22">
        <v>46036</v>
      </c>
      <c r="D338" s="22">
        <v>46036</v>
      </c>
      <c r="E338" s="22" t="s">
        <v>753</v>
      </c>
      <c r="F338" s="20">
        <v>343</v>
      </c>
      <c r="G338" s="20">
        <v>721</v>
      </c>
      <c r="H338" s="20">
        <v>1</v>
      </c>
      <c r="I338" s="20">
        <v>20</v>
      </c>
      <c r="J338" s="20">
        <v>0.2</v>
      </c>
    </row>
    <row r="339" spans="1:10" x14ac:dyDescent="0.25">
      <c r="A339" s="20">
        <v>33090</v>
      </c>
      <c r="B339" s="20" t="s">
        <v>68</v>
      </c>
      <c r="C339" s="22">
        <v>46036</v>
      </c>
      <c r="D339" s="22">
        <v>46036</v>
      </c>
      <c r="E339" s="22" t="s">
        <v>753</v>
      </c>
      <c r="F339" s="20">
        <v>332</v>
      </c>
      <c r="G339" s="20">
        <v>1234</v>
      </c>
      <c r="H339" s="20">
        <v>0</v>
      </c>
      <c r="I339" s="20">
        <v>11</v>
      </c>
      <c r="J339" s="20">
        <v>0</v>
      </c>
    </row>
    <row r="340" spans="1:10" x14ac:dyDescent="0.25">
      <c r="A340" s="20">
        <v>33091</v>
      </c>
      <c r="B340" s="20" t="s">
        <v>72</v>
      </c>
      <c r="C340" s="22">
        <v>46036</v>
      </c>
      <c r="D340" s="22">
        <v>46030</v>
      </c>
      <c r="E340" s="22" t="s">
        <v>753</v>
      </c>
      <c r="F340" s="20">
        <v>312</v>
      </c>
      <c r="G340" s="20">
        <v>267</v>
      </c>
      <c r="H340" s="20">
        <v>1.75</v>
      </c>
      <c r="I340" s="21">
        <v>1886.74</v>
      </c>
      <c r="J340" s="20">
        <v>33.020000000000003</v>
      </c>
    </row>
    <row r="341" spans="1:10" x14ac:dyDescent="0.25">
      <c r="A341" s="20">
        <v>33091</v>
      </c>
      <c r="B341" s="20" t="s">
        <v>72</v>
      </c>
      <c r="C341" s="22">
        <v>46036</v>
      </c>
      <c r="D341" s="22">
        <v>46030</v>
      </c>
      <c r="E341" s="22" t="s">
        <v>104</v>
      </c>
      <c r="F341" s="20">
        <v>312</v>
      </c>
      <c r="G341" s="20">
        <v>267</v>
      </c>
      <c r="H341" s="20">
        <v>30</v>
      </c>
      <c r="I341" s="20">
        <v>283.01</v>
      </c>
      <c r="J341" s="20">
        <v>84.9</v>
      </c>
    </row>
    <row r="342" spans="1:10" x14ac:dyDescent="0.25">
      <c r="A342" s="20">
        <v>33092</v>
      </c>
      <c r="B342" s="20" t="s">
        <v>65</v>
      </c>
      <c r="C342" s="22">
        <v>46036</v>
      </c>
      <c r="D342" s="22">
        <v>46036</v>
      </c>
      <c r="E342" s="22" t="s">
        <v>753</v>
      </c>
      <c r="F342" s="20">
        <v>312</v>
      </c>
      <c r="G342" s="20">
        <v>1345</v>
      </c>
      <c r="H342" s="20">
        <v>1.75</v>
      </c>
      <c r="I342" s="20">
        <v>180.5</v>
      </c>
      <c r="J342" s="20">
        <v>3.16</v>
      </c>
    </row>
    <row r="343" spans="1:10" x14ac:dyDescent="0.25">
      <c r="A343" s="20">
        <v>33092</v>
      </c>
      <c r="B343" s="20" t="s">
        <v>65</v>
      </c>
      <c r="C343" s="22">
        <v>46036</v>
      </c>
      <c r="D343" s="22">
        <v>46036</v>
      </c>
      <c r="E343" s="22" t="s">
        <v>104</v>
      </c>
      <c r="F343" s="20">
        <v>312</v>
      </c>
      <c r="G343" s="20">
        <v>1345</v>
      </c>
      <c r="H343" s="20">
        <v>30</v>
      </c>
      <c r="I343" s="20">
        <v>27.08</v>
      </c>
      <c r="J343" s="20">
        <v>8.1199999999999992</v>
      </c>
    </row>
    <row r="344" spans="1:10" x14ac:dyDescent="0.25">
      <c r="A344" s="20">
        <v>33093</v>
      </c>
      <c r="B344" s="20" t="s">
        <v>65</v>
      </c>
      <c r="C344" s="22">
        <v>46036</v>
      </c>
      <c r="D344" s="22">
        <v>46036</v>
      </c>
      <c r="E344" s="22" t="s">
        <v>753</v>
      </c>
      <c r="F344" s="20">
        <v>307</v>
      </c>
      <c r="G344" s="20">
        <v>1344</v>
      </c>
      <c r="H344" s="20">
        <v>2</v>
      </c>
      <c r="I344" s="20">
        <v>120.9</v>
      </c>
      <c r="J344" s="20">
        <v>2.42</v>
      </c>
    </row>
    <row r="345" spans="1:10" x14ac:dyDescent="0.25">
      <c r="A345" s="20">
        <v>33093</v>
      </c>
      <c r="B345" s="20" t="s">
        <v>65</v>
      </c>
      <c r="C345" s="22">
        <v>46036</v>
      </c>
      <c r="D345" s="22">
        <v>46036</v>
      </c>
      <c r="E345" s="22" t="s">
        <v>104</v>
      </c>
      <c r="F345" s="20">
        <v>307</v>
      </c>
      <c r="G345" s="20">
        <v>1344</v>
      </c>
      <c r="H345" s="20">
        <v>70</v>
      </c>
      <c r="I345" s="20">
        <v>18.14</v>
      </c>
      <c r="J345" s="20">
        <v>12.7</v>
      </c>
    </row>
    <row r="346" spans="1:10" x14ac:dyDescent="0.25">
      <c r="A346" s="20">
        <v>33094</v>
      </c>
      <c r="B346" s="20" t="s">
        <v>58</v>
      </c>
      <c r="C346" s="22">
        <v>46036</v>
      </c>
      <c r="D346" s="22">
        <v>46036</v>
      </c>
      <c r="E346" s="22" t="s">
        <v>104</v>
      </c>
      <c r="F346" s="20">
        <v>312</v>
      </c>
      <c r="G346" s="20">
        <v>386</v>
      </c>
      <c r="H346" s="20">
        <v>30</v>
      </c>
      <c r="I346" s="20">
        <v>115.75</v>
      </c>
      <c r="J346" s="20">
        <v>34.729999999999997</v>
      </c>
    </row>
    <row r="347" spans="1:10" x14ac:dyDescent="0.25">
      <c r="A347" s="20">
        <v>33094</v>
      </c>
      <c r="B347" s="20" t="s">
        <v>58</v>
      </c>
      <c r="C347" s="22">
        <v>46036</v>
      </c>
      <c r="D347" s="22">
        <v>46036</v>
      </c>
      <c r="E347" s="22" t="s">
        <v>753</v>
      </c>
      <c r="F347" s="20">
        <v>312</v>
      </c>
      <c r="G347" s="20">
        <v>386</v>
      </c>
      <c r="H347" s="20">
        <v>1.75</v>
      </c>
      <c r="I347" s="20">
        <v>771.68</v>
      </c>
      <c r="J347" s="20">
        <v>13.5</v>
      </c>
    </row>
    <row r="348" spans="1:10" x14ac:dyDescent="0.25">
      <c r="A348" s="20">
        <v>33095</v>
      </c>
      <c r="B348" s="20" t="s">
        <v>56</v>
      </c>
      <c r="C348" s="22">
        <v>46036</v>
      </c>
      <c r="D348" s="22">
        <v>46036</v>
      </c>
      <c r="E348" s="22" t="s">
        <v>753</v>
      </c>
      <c r="F348" s="20">
        <v>307</v>
      </c>
      <c r="G348" s="20">
        <v>1470</v>
      </c>
      <c r="H348" s="20">
        <v>2</v>
      </c>
      <c r="I348" s="20">
        <v>10</v>
      </c>
      <c r="J348" s="20">
        <v>0.2</v>
      </c>
    </row>
    <row r="349" spans="1:10" x14ac:dyDescent="0.25">
      <c r="A349" s="20">
        <v>33095</v>
      </c>
      <c r="B349" s="20" t="s">
        <v>56</v>
      </c>
      <c r="C349" s="22">
        <v>46036</v>
      </c>
      <c r="D349" s="22">
        <v>46036</v>
      </c>
      <c r="E349" s="22" t="s">
        <v>104</v>
      </c>
      <c r="F349" s="20">
        <v>307</v>
      </c>
      <c r="G349" s="20">
        <v>1470</v>
      </c>
      <c r="H349" s="20">
        <v>70</v>
      </c>
      <c r="I349" s="20">
        <v>1.5</v>
      </c>
      <c r="J349" s="20">
        <v>1.05</v>
      </c>
    </row>
    <row r="350" spans="1:10" x14ac:dyDescent="0.25">
      <c r="A350" s="20">
        <v>33096</v>
      </c>
      <c r="B350" s="20" t="s">
        <v>65</v>
      </c>
      <c r="C350" s="22">
        <v>46036</v>
      </c>
      <c r="D350" s="22">
        <v>46036</v>
      </c>
      <c r="E350" s="22" t="s">
        <v>104</v>
      </c>
      <c r="F350" s="20">
        <v>307</v>
      </c>
      <c r="G350" s="20">
        <v>1346</v>
      </c>
      <c r="H350" s="20">
        <v>70</v>
      </c>
      <c r="I350" s="20">
        <v>10.3</v>
      </c>
      <c r="J350" s="20">
        <v>7.21</v>
      </c>
    </row>
    <row r="351" spans="1:10" x14ac:dyDescent="0.25">
      <c r="A351" s="20">
        <v>33096</v>
      </c>
      <c r="B351" s="20" t="s">
        <v>65</v>
      </c>
      <c r="C351" s="22">
        <v>46036</v>
      </c>
      <c r="D351" s="22">
        <v>46036</v>
      </c>
      <c r="E351" s="22" t="s">
        <v>753</v>
      </c>
      <c r="F351" s="20">
        <v>307</v>
      </c>
      <c r="G351" s="20">
        <v>1346</v>
      </c>
      <c r="H351" s="20">
        <v>2</v>
      </c>
      <c r="I351" s="20">
        <v>68.64</v>
      </c>
      <c r="J351" s="20">
        <v>1.37</v>
      </c>
    </row>
    <row r="352" spans="1:10" x14ac:dyDescent="0.25">
      <c r="A352" s="20">
        <v>33097</v>
      </c>
      <c r="B352" s="20" t="s">
        <v>50</v>
      </c>
      <c r="C352" s="22">
        <v>46037</v>
      </c>
      <c r="D352" s="22">
        <v>46036</v>
      </c>
      <c r="E352" s="22" t="s">
        <v>753</v>
      </c>
      <c r="F352" s="20">
        <v>307</v>
      </c>
      <c r="G352" s="20">
        <v>163</v>
      </c>
      <c r="H352" s="20">
        <v>2</v>
      </c>
      <c r="I352" s="20">
        <v>64.02</v>
      </c>
      <c r="J352" s="20">
        <v>1.28</v>
      </c>
    </row>
    <row r="353" spans="1:10" x14ac:dyDescent="0.25">
      <c r="A353" s="20">
        <v>33097</v>
      </c>
      <c r="B353" s="20" t="s">
        <v>50</v>
      </c>
      <c r="C353" s="22">
        <v>46037</v>
      </c>
      <c r="D353" s="22">
        <v>46036</v>
      </c>
      <c r="E353" s="22" t="s">
        <v>104</v>
      </c>
      <c r="F353" s="20">
        <v>307</v>
      </c>
      <c r="G353" s="20">
        <v>163</v>
      </c>
      <c r="H353" s="20">
        <v>70</v>
      </c>
      <c r="I353" s="20">
        <v>9.6</v>
      </c>
      <c r="J353" s="20">
        <v>6.72</v>
      </c>
    </row>
    <row r="354" spans="1:10" x14ac:dyDescent="0.25">
      <c r="A354" s="20">
        <v>33098</v>
      </c>
      <c r="B354" s="20" t="s">
        <v>46</v>
      </c>
      <c r="C354" s="22">
        <v>46037</v>
      </c>
      <c r="D354" s="22">
        <v>46037</v>
      </c>
      <c r="E354" s="22" t="s">
        <v>104</v>
      </c>
      <c r="F354" s="20">
        <v>312</v>
      </c>
      <c r="G354" s="20">
        <v>535</v>
      </c>
      <c r="H354" s="20">
        <v>30</v>
      </c>
      <c r="I354" s="20">
        <v>1.61</v>
      </c>
      <c r="J354" s="20">
        <v>0.48</v>
      </c>
    </row>
    <row r="355" spans="1:10" x14ac:dyDescent="0.25">
      <c r="A355" s="20">
        <v>33098</v>
      </c>
      <c r="B355" s="20" t="s">
        <v>46</v>
      </c>
      <c r="C355" s="22">
        <v>46037</v>
      </c>
      <c r="D355" s="22">
        <v>46037</v>
      </c>
      <c r="E355" s="22" t="s">
        <v>753</v>
      </c>
      <c r="F355" s="20">
        <v>312</v>
      </c>
      <c r="G355" s="20">
        <v>535</v>
      </c>
      <c r="H355" s="20">
        <v>1.75</v>
      </c>
      <c r="I355" s="20">
        <v>10.76</v>
      </c>
      <c r="J355" s="20">
        <v>0.19</v>
      </c>
    </row>
    <row r="356" spans="1:10" x14ac:dyDescent="0.25">
      <c r="A356" s="20">
        <v>33099</v>
      </c>
      <c r="B356" s="20" t="s">
        <v>52</v>
      </c>
      <c r="C356" s="22">
        <v>46037</v>
      </c>
      <c r="D356" s="22">
        <v>46037</v>
      </c>
      <c r="E356" s="22" t="s">
        <v>753</v>
      </c>
      <c r="F356" s="20">
        <v>312</v>
      </c>
      <c r="G356" s="20">
        <v>31613</v>
      </c>
      <c r="H356" s="20">
        <v>1.75</v>
      </c>
      <c r="I356" s="21">
        <v>2685.04</v>
      </c>
      <c r="J356" s="20">
        <v>46.99</v>
      </c>
    </row>
    <row r="357" spans="1:10" x14ac:dyDescent="0.25">
      <c r="A357" s="20">
        <v>33099</v>
      </c>
      <c r="B357" s="20" t="s">
        <v>52</v>
      </c>
      <c r="C357" s="22">
        <v>46037</v>
      </c>
      <c r="D357" s="22">
        <v>46037</v>
      </c>
      <c r="E357" s="22" t="s">
        <v>104</v>
      </c>
      <c r="F357" s="20">
        <v>312</v>
      </c>
      <c r="G357" s="20">
        <v>31613</v>
      </c>
      <c r="H357" s="20">
        <v>30</v>
      </c>
      <c r="I357" s="20">
        <v>402.76</v>
      </c>
      <c r="J357" s="20">
        <v>120.83</v>
      </c>
    </row>
    <row r="358" spans="1:10" x14ac:dyDescent="0.25">
      <c r="A358" s="20">
        <v>33100</v>
      </c>
      <c r="B358" s="20" t="s">
        <v>50</v>
      </c>
      <c r="C358" s="22">
        <v>46037</v>
      </c>
      <c r="D358" s="22">
        <v>46036</v>
      </c>
      <c r="E358" s="22" t="s">
        <v>104</v>
      </c>
      <c r="F358" s="20">
        <v>307</v>
      </c>
      <c r="G358" s="20">
        <v>165</v>
      </c>
      <c r="H358" s="20">
        <v>70</v>
      </c>
      <c r="I358" s="20">
        <v>6.25</v>
      </c>
      <c r="J358" s="20">
        <v>4.38</v>
      </c>
    </row>
    <row r="359" spans="1:10" x14ac:dyDescent="0.25">
      <c r="A359" s="20">
        <v>33100</v>
      </c>
      <c r="B359" s="20" t="s">
        <v>50</v>
      </c>
      <c r="C359" s="22">
        <v>46037</v>
      </c>
      <c r="D359" s="22">
        <v>46036</v>
      </c>
      <c r="E359" s="22" t="s">
        <v>753</v>
      </c>
      <c r="F359" s="20">
        <v>307</v>
      </c>
      <c r="G359" s="20">
        <v>165</v>
      </c>
      <c r="H359" s="20">
        <v>2</v>
      </c>
      <c r="I359" s="20">
        <v>41.64</v>
      </c>
      <c r="J359" s="20">
        <v>0.83</v>
      </c>
    </row>
    <row r="360" spans="1:10" x14ac:dyDescent="0.25">
      <c r="A360" s="20">
        <v>33101</v>
      </c>
      <c r="B360" s="20" t="s">
        <v>50</v>
      </c>
      <c r="C360" s="22">
        <v>46037</v>
      </c>
      <c r="D360" s="22">
        <v>46036</v>
      </c>
      <c r="E360" s="22" t="s">
        <v>753</v>
      </c>
      <c r="F360" s="20">
        <v>307</v>
      </c>
      <c r="G360" s="20">
        <v>164</v>
      </c>
      <c r="H360" s="20">
        <v>2</v>
      </c>
      <c r="I360" s="20">
        <v>81.540000000000006</v>
      </c>
      <c r="J360" s="20">
        <v>1.63</v>
      </c>
    </row>
    <row r="361" spans="1:10" x14ac:dyDescent="0.25">
      <c r="A361" s="20">
        <v>33101</v>
      </c>
      <c r="B361" s="20" t="s">
        <v>50</v>
      </c>
      <c r="C361" s="22">
        <v>46037</v>
      </c>
      <c r="D361" s="22">
        <v>46036</v>
      </c>
      <c r="E361" s="22" t="s">
        <v>104</v>
      </c>
      <c r="F361" s="20">
        <v>307</v>
      </c>
      <c r="G361" s="20">
        <v>164</v>
      </c>
      <c r="H361" s="20">
        <v>70</v>
      </c>
      <c r="I361" s="20">
        <v>12.23</v>
      </c>
      <c r="J361" s="20">
        <v>8.56</v>
      </c>
    </row>
    <row r="362" spans="1:10" x14ac:dyDescent="0.25">
      <c r="A362" s="20">
        <v>33102</v>
      </c>
      <c r="B362" s="20" t="s">
        <v>65</v>
      </c>
      <c r="C362" s="22">
        <v>46037</v>
      </c>
      <c r="D362" s="22">
        <v>46036</v>
      </c>
      <c r="E362" s="22" t="s">
        <v>104</v>
      </c>
      <c r="F362" s="20">
        <v>307</v>
      </c>
      <c r="G362" s="20">
        <v>1348</v>
      </c>
      <c r="H362" s="20">
        <v>70</v>
      </c>
      <c r="I362" s="20">
        <v>8.19</v>
      </c>
      <c r="J362" s="20">
        <v>5.73</v>
      </c>
    </row>
    <row r="363" spans="1:10" x14ac:dyDescent="0.25">
      <c r="A363" s="20">
        <v>33102</v>
      </c>
      <c r="B363" s="20" t="s">
        <v>65</v>
      </c>
      <c r="C363" s="22">
        <v>46037</v>
      </c>
      <c r="D363" s="22">
        <v>46036</v>
      </c>
      <c r="E363" s="22" t="s">
        <v>753</v>
      </c>
      <c r="F363" s="20">
        <v>307</v>
      </c>
      <c r="G363" s="20">
        <v>1348</v>
      </c>
      <c r="H363" s="20">
        <v>2</v>
      </c>
      <c r="I363" s="20">
        <v>54.6</v>
      </c>
      <c r="J363" s="20">
        <v>1.0900000000000001</v>
      </c>
    </row>
    <row r="364" spans="1:10" x14ac:dyDescent="0.25">
      <c r="A364" s="20">
        <v>33103</v>
      </c>
      <c r="B364" s="20" t="s">
        <v>86</v>
      </c>
      <c r="C364" s="22">
        <v>46037</v>
      </c>
      <c r="D364" s="22">
        <v>46037</v>
      </c>
      <c r="E364" s="22" t="s">
        <v>753</v>
      </c>
      <c r="F364" s="20">
        <v>312</v>
      </c>
      <c r="G364" s="20">
        <v>62991</v>
      </c>
      <c r="H364" s="20">
        <v>1.75</v>
      </c>
      <c r="I364" s="20">
        <v>86.33</v>
      </c>
      <c r="J364" s="20">
        <v>1.51</v>
      </c>
    </row>
    <row r="365" spans="1:10" x14ac:dyDescent="0.25">
      <c r="A365" s="20">
        <v>33103</v>
      </c>
      <c r="B365" s="20" t="s">
        <v>86</v>
      </c>
      <c r="C365" s="22">
        <v>46037</v>
      </c>
      <c r="D365" s="22">
        <v>46037</v>
      </c>
      <c r="E365" s="22" t="s">
        <v>104</v>
      </c>
      <c r="F365" s="20">
        <v>312</v>
      </c>
      <c r="G365" s="20">
        <v>62991</v>
      </c>
      <c r="H365" s="20">
        <v>30</v>
      </c>
      <c r="I365" s="20">
        <v>12.95</v>
      </c>
      <c r="J365" s="20">
        <v>3.89</v>
      </c>
    </row>
    <row r="366" spans="1:10" x14ac:dyDescent="0.25">
      <c r="A366" s="20">
        <v>33104</v>
      </c>
      <c r="B366" s="20" t="s">
        <v>65</v>
      </c>
      <c r="C366" s="22">
        <v>46037</v>
      </c>
      <c r="D366" s="22">
        <v>46036</v>
      </c>
      <c r="E366" s="22" t="s">
        <v>104</v>
      </c>
      <c r="F366" s="20">
        <v>312</v>
      </c>
      <c r="G366" s="20">
        <v>1349</v>
      </c>
      <c r="H366" s="20">
        <v>30</v>
      </c>
      <c r="I366" s="20">
        <v>6.41</v>
      </c>
      <c r="J366" s="20">
        <v>1.92</v>
      </c>
    </row>
    <row r="367" spans="1:10" x14ac:dyDescent="0.25">
      <c r="A367" s="20">
        <v>33104</v>
      </c>
      <c r="B367" s="20" t="s">
        <v>65</v>
      </c>
      <c r="C367" s="22">
        <v>46037</v>
      </c>
      <c r="D367" s="22">
        <v>46036</v>
      </c>
      <c r="E367" s="22" t="s">
        <v>753</v>
      </c>
      <c r="F367" s="20">
        <v>312</v>
      </c>
      <c r="G367" s="20">
        <v>1349</v>
      </c>
      <c r="H367" s="20">
        <v>1.75</v>
      </c>
      <c r="I367" s="20">
        <v>42.75</v>
      </c>
      <c r="J367" s="20">
        <v>0.75</v>
      </c>
    </row>
    <row r="368" spans="1:10" x14ac:dyDescent="0.25">
      <c r="A368" s="20">
        <v>33105</v>
      </c>
      <c r="B368" s="20" t="s">
        <v>57</v>
      </c>
      <c r="C368" s="22">
        <v>46037</v>
      </c>
      <c r="D368" s="22">
        <v>46036</v>
      </c>
      <c r="E368" s="22" t="s">
        <v>104</v>
      </c>
      <c r="F368" s="20">
        <v>312</v>
      </c>
      <c r="G368" s="20">
        <v>3567</v>
      </c>
      <c r="H368" s="20">
        <v>30</v>
      </c>
      <c r="I368" s="20">
        <v>13.5</v>
      </c>
      <c r="J368" s="20">
        <v>4.05</v>
      </c>
    </row>
    <row r="369" spans="1:10" x14ac:dyDescent="0.25">
      <c r="A369" s="20">
        <v>33105</v>
      </c>
      <c r="B369" s="20" t="s">
        <v>57</v>
      </c>
      <c r="C369" s="22">
        <v>46037</v>
      </c>
      <c r="D369" s="22">
        <v>46036</v>
      </c>
      <c r="E369" s="22" t="s">
        <v>753</v>
      </c>
      <c r="F369" s="20">
        <v>312</v>
      </c>
      <c r="G369" s="20">
        <v>3567</v>
      </c>
      <c r="H369" s="20">
        <v>1.75</v>
      </c>
      <c r="I369" s="20">
        <v>90</v>
      </c>
      <c r="J369" s="20">
        <v>1.58</v>
      </c>
    </row>
    <row r="370" spans="1:10" x14ac:dyDescent="0.25">
      <c r="A370" s="20">
        <v>33106</v>
      </c>
      <c r="B370" s="20" t="s">
        <v>46</v>
      </c>
      <c r="C370" s="22">
        <v>46037</v>
      </c>
      <c r="D370" s="22">
        <v>46037</v>
      </c>
      <c r="E370" s="22" t="s">
        <v>104</v>
      </c>
      <c r="F370" s="20">
        <v>312</v>
      </c>
      <c r="G370" s="20">
        <v>536</v>
      </c>
      <c r="H370" s="20">
        <v>30</v>
      </c>
      <c r="I370" s="20">
        <v>18.48</v>
      </c>
      <c r="J370" s="20">
        <v>5.54</v>
      </c>
    </row>
    <row r="371" spans="1:10" x14ac:dyDescent="0.25">
      <c r="A371" s="20">
        <v>33106</v>
      </c>
      <c r="B371" s="20" t="s">
        <v>46</v>
      </c>
      <c r="C371" s="22">
        <v>46037</v>
      </c>
      <c r="D371" s="22">
        <v>46037</v>
      </c>
      <c r="E371" s="22" t="s">
        <v>753</v>
      </c>
      <c r="F371" s="20">
        <v>312</v>
      </c>
      <c r="G371" s="20">
        <v>536</v>
      </c>
      <c r="H371" s="20">
        <v>1.75</v>
      </c>
      <c r="I371" s="20">
        <v>123.19</v>
      </c>
      <c r="J371" s="20">
        <v>2.16</v>
      </c>
    </row>
    <row r="372" spans="1:10" x14ac:dyDescent="0.25">
      <c r="A372" s="20">
        <v>33107</v>
      </c>
      <c r="B372" s="20" t="s">
        <v>85</v>
      </c>
      <c r="C372" s="22">
        <v>46037</v>
      </c>
      <c r="D372" s="22">
        <v>46036</v>
      </c>
      <c r="E372" s="22" t="s">
        <v>104</v>
      </c>
      <c r="F372" s="20">
        <v>344</v>
      </c>
      <c r="G372" s="20">
        <v>20594</v>
      </c>
      <c r="H372" s="20">
        <v>70</v>
      </c>
      <c r="I372" s="20">
        <v>24.46</v>
      </c>
      <c r="J372" s="20">
        <v>17.12</v>
      </c>
    </row>
    <row r="373" spans="1:10" x14ac:dyDescent="0.25">
      <c r="A373" s="20">
        <v>33108</v>
      </c>
      <c r="B373" s="20" t="s">
        <v>68</v>
      </c>
      <c r="C373" s="22">
        <v>46037</v>
      </c>
      <c r="D373" s="22">
        <v>46037</v>
      </c>
      <c r="E373" s="22" t="s">
        <v>753</v>
      </c>
      <c r="F373" s="20">
        <v>332</v>
      </c>
      <c r="G373" s="20">
        <v>1238</v>
      </c>
      <c r="H373" s="20">
        <v>0</v>
      </c>
      <c r="I373" s="20">
        <v>22</v>
      </c>
      <c r="J373" s="20">
        <v>0</v>
      </c>
    </row>
    <row r="374" spans="1:10" x14ac:dyDescent="0.25">
      <c r="A374" s="20">
        <v>33109</v>
      </c>
      <c r="B374" s="20" t="s">
        <v>68</v>
      </c>
      <c r="C374" s="22">
        <v>46037</v>
      </c>
      <c r="D374" s="22">
        <v>46037</v>
      </c>
      <c r="E374" s="22" t="s">
        <v>753</v>
      </c>
      <c r="F374" s="20">
        <v>332</v>
      </c>
      <c r="G374" s="20">
        <v>1236</v>
      </c>
      <c r="H374" s="20">
        <v>0</v>
      </c>
      <c r="I374" s="20">
        <v>20</v>
      </c>
      <c r="J374" s="20">
        <v>0</v>
      </c>
    </row>
    <row r="375" spans="1:10" x14ac:dyDescent="0.25">
      <c r="A375" s="20">
        <v>33110</v>
      </c>
      <c r="B375" s="20" t="s">
        <v>68</v>
      </c>
      <c r="C375" s="22">
        <v>46037</v>
      </c>
      <c r="D375" s="22">
        <v>46037</v>
      </c>
      <c r="E375" s="22" t="s">
        <v>753</v>
      </c>
      <c r="F375" s="20">
        <v>332</v>
      </c>
      <c r="G375" s="20">
        <v>1240</v>
      </c>
      <c r="H375" s="20">
        <v>0</v>
      </c>
      <c r="I375" s="20">
        <v>11</v>
      </c>
      <c r="J375" s="20">
        <v>0</v>
      </c>
    </row>
    <row r="376" spans="1:10" x14ac:dyDescent="0.25">
      <c r="A376" s="20">
        <v>33111</v>
      </c>
      <c r="B376" s="20" t="s">
        <v>68</v>
      </c>
      <c r="C376" s="22">
        <v>46037</v>
      </c>
      <c r="D376" s="22">
        <v>46037</v>
      </c>
      <c r="E376" s="22" t="s">
        <v>753</v>
      </c>
      <c r="F376" s="20">
        <v>332</v>
      </c>
      <c r="G376" s="20">
        <v>1237</v>
      </c>
      <c r="H376" s="20">
        <v>0</v>
      </c>
      <c r="I376" s="20">
        <v>6</v>
      </c>
      <c r="J376" s="20">
        <v>0</v>
      </c>
    </row>
    <row r="377" spans="1:10" x14ac:dyDescent="0.25">
      <c r="A377" s="20">
        <v>33112</v>
      </c>
      <c r="B377" s="20" t="s">
        <v>56</v>
      </c>
      <c r="C377" s="22">
        <v>46037</v>
      </c>
      <c r="D377" s="22">
        <v>46037</v>
      </c>
      <c r="E377" s="22" t="s">
        <v>104</v>
      </c>
      <c r="F377" s="20">
        <v>307</v>
      </c>
      <c r="G377" s="20">
        <v>1474</v>
      </c>
      <c r="H377" s="20">
        <v>70</v>
      </c>
      <c r="I377" s="20">
        <v>0.9</v>
      </c>
      <c r="J377" s="20">
        <v>0.63</v>
      </c>
    </row>
    <row r="378" spans="1:10" x14ac:dyDescent="0.25">
      <c r="A378" s="20">
        <v>33112</v>
      </c>
      <c r="B378" s="20" t="s">
        <v>56</v>
      </c>
      <c r="C378" s="22">
        <v>46037</v>
      </c>
      <c r="D378" s="22">
        <v>46037</v>
      </c>
      <c r="E378" s="22" t="s">
        <v>753</v>
      </c>
      <c r="F378" s="20">
        <v>307</v>
      </c>
      <c r="G378" s="20">
        <v>1474</v>
      </c>
      <c r="H378" s="20">
        <v>2</v>
      </c>
      <c r="I378" s="20">
        <v>6</v>
      </c>
      <c r="J378" s="20">
        <v>0.12</v>
      </c>
    </row>
    <row r="379" spans="1:10" x14ac:dyDescent="0.25">
      <c r="A379" s="20">
        <v>33113</v>
      </c>
      <c r="B379" s="20" t="s">
        <v>23</v>
      </c>
      <c r="C379" s="22">
        <v>46037</v>
      </c>
      <c r="D379" s="22">
        <v>46037</v>
      </c>
      <c r="E379" s="22" t="s">
        <v>753</v>
      </c>
      <c r="F379" s="20">
        <v>307</v>
      </c>
      <c r="G379" s="20">
        <v>2589</v>
      </c>
      <c r="H379" s="20">
        <v>2</v>
      </c>
      <c r="I379" s="20">
        <v>20.37</v>
      </c>
      <c r="J379" s="20">
        <v>0.41</v>
      </c>
    </row>
    <row r="380" spans="1:10" x14ac:dyDescent="0.25">
      <c r="A380" s="20">
        <v>33113</v>
      </c>
      <c r="B380" s="20" t="s">
        <v>23</v>
      </c>
      <c r="C380" s="22">
        <v>46037</v>
      </c>
      <c r="D380" s="22">
        <v>46037</v>
      </c>
      <c r="E380" s="22" t="s">
        <v>104</v>
      </c>
      <c r="F380" s="20">
        <v>307</v>
      </c>
      <c r="G380" s="20">
        <v>2589</v>
      </c>
      <c r="H380" s="20">
        <v>70</v>
      </c>
      <c r="I380" s="20">
        <v>3.06</v>
      </c>
      <c r="J380" s="20">
        <v>2.14</v>
      </c>
    </row>
    <row r="381" spans="1:10" x14ac:dyDescent="0.25">
      <c r="A381" s="20">
        <v>33114</v>
      </c>
      <c r="B381" s="20" t="s">
        <v>16</v>
      </c>
      <c r="C381" s="22">
        <v>46037</v>
      </c>
      <c r="D381" s="22">
        <v>46037</v>
      </c>
      <c r="E381" s="22" t="s">
        <v>753</v>
      </c>
      <c r="F381" s="20">
        <v>332</v>
      </c>
      <c r="G381" s="20">
        <v>620</v>
      </c>
      <c r="H381" s="20">
        <v>0</v>
      </c>
      <c r="I381" s="20">
        <v>10</v>
      </c>
      <c r="J381" s="20">
        <v>0</v>
      </c>
    </row>
    <row r="382" spans="1:10" x14ac:dyDescent="0.25">
      <c r="A382" s="20">
        <v>33115</v>
      </c>
      <c r="B382" s="20" t="s">
        <v>67</v>
      </c>
      <c r="C382" s="22">
        <v>46037</v>
      </c>
      <c r="D382" s="22">
        <v>46037</v>
      </c>
      <c r="E382" s="22" t="s">
        <v>753</v>
      </c>
      <c r="F382" s="20">
        <v>332</v>
      </c>
      <c r="G382" s="20">
        <v>1736</v>
      </c>
      <c r="H382" s="20">
        <v>0</v>
      </c>
      <c r="I382" s="20">
        <v>18</v>
      </c>
      <c r="J382" s="20">
        <v>0</v>
      </c>
    </row>
    <row r="383" spans="1:10" x14ac:dyDescent="0.25">
      <c r="A383" s="20">
        <v>33116</v>
      </c>
      <c r="B383" s="20" t="s">
        <v>56</v>
      </c>
      <c r="C383" s="22">
        <v>46037</v>
      </c>
      <c r="D383" s="22">
        <v>46037</v>
      </c>
      <c r="E383" s="22" t="s">
        <v>104</v>
      </c>
      <c r="F383" s="20">
        <v>307</v>
      </c>
      <c r="G383" s="20">
        <v>1472</v>
      </c>
      <c r="H383" s="20">
        <v>70</v>
      </c>
      <c r="I383" s="20">
        <v>1.5</v>
      </c>
      <c r="J383" s="20">
        <v>1.05</v>
      </c>
    </row>
    <row r="384" spans="1:10" x14ac:dyDescent="0.25">
      <c r="A384" s="20">
        <v>33116</v>
      </c>
      <c r="B384" s="20" t="s">
        <v>56</v>
      </c>
      <c r="C384" s="22">
        <v>46037</v>
      </c>
      <c r="D384" s="22">
        <v>46037</v>
      </c>
      <c r="E384" s="22" t="s">
        <v>753</v>
      </c>
      <c r="F384" s="20">
        <v>307</v>
      </c>
      <c r="G384" s="20">
        <v>1472</v>
      </c>
      <c r="H384" s="20">
        <v>2</v>
      </c>
      <c r="I384" s="20">
        <v>10</v>
      </c>
      <c r="J384" s="20">
        <v>0.2</v>
      </c>
    </row>
    <row r="385" spans="1:10" x14ac:dyDescent="0.25">
      <c r="A385" s="20">
        <v>33117</v>
      </c>
      <c r="B385" s="20" t="s">
        <v>56</v>
      </c>
      <c r="C385" s="22">
        <v>46037</v>
      </c>
      <c r="D385" s="22">
        <v>46037</v>
      </c>
      <c r="E385" s="22" t="s">
        <v>104</v>
      </c>
      <c r="F385" s="20">
        <v>307</v>
      </c>
      <c r="G385" s="20">
        <v>1473</v>
      </c>
      <c r="H385" s="20">
        <v>70</v>
      </c>
      <c r="I385" s="20">
        <v>1.5</v>
      </c>
      <c r="J385" s="20">
        <v>1.05</v>
      </c>
    </row>
    <row r="386" spans="1:10" x14ac:dyDescent="0.25">
      <c r="A386" s="20">
        <v>33117</v>
      </c>
      <c r="B386" s="20" t="s">
        <v>56</v>
      </c>
      <c r="C386" s="22">
        <v>46037</v>
      </c>
      <c r="D386" s="22">
        <v>46037</v>
      </c>
      <c r="E386" s="22" t="s">
        <v>753</v>
      </c>
      <c r="F386" s="20">
        <v>307</v>
      </c>
      <c r="G386" s="20">
        <v>1473</v>
      </c>
      <c r="H386" s="20">
        <v>2</v>
      </c>
      <c r="I386" s="20">
        <v>10</v>
      </c>
      <c r="J386" s="20">
        <v>0.2</v>
      </c>
    </row>
    <row r="387" spans="1:10" x14ac:dyDescent="0.25">
      <c r="A387" s="20">
        <v>33118</v>
      </c>
      <c r="B387" s="20" t="s">
        <v>68</v>
      </c>
      <c r="C387" s="22">
        <v>46037</v>
      </c>
      <c r="D387" s="22">
        <v>46037</v>
      </c>
      <c r="E387" s="22" t="s">
        <v>753</v>
      </c>
      <c r="F387" s="20">
        <v>332</v>
      </c>
      <c r="G387" s="20">
        <v>1239</v>
      </c>
      <c r="H387" s="20">
        <v>0</v>
      </c>
      <c r="I387" s="20">
        <v>15</v>
      </c>
      <c r="J387" s="20">
        <v>0</v>
      </c>
    </row>
    <row r="388" spans="1:10" x14ac:dyDescent="0.25">
      <c r="A388" s="20">
        <v>33119</v>
      </c>
      <c r="B388" s="20" t="s">
        <v>68</v>
      </c>
      <c r="C388" s="22">
        <v>46037</v>
      </c>
      <c r="D388" s="22">
        <v>46037</v>
      </c>
      <c r="E388" s="22" t="s">
        <v>753</v>
      </c>
      <c r="F388" s="20">
        <v>332</v>
      </c>
      <c r="G388" s="20">
        <v>1241</v>
      </c>
      <c r="H388" s="20">
        <v>0</v>
      </c>
      <c r="I388" s="20">
        <v>20</v>
      </c>
      <c r="J388" s="20">
        <v>0</v>
      </c>
    </row>
    <row r="389" spans="1:10" x14ac:dyDescent="0.25">
      <c r="A389" s="20">
        <v>33120</v>
      </c>
      <c r="B389" s="20" t="s">
        <v>68</v>
      </c>
      <c r="C389" s="22">
        <v>46038</v>
      </c>
      <c r="D389" s="22">
        <v>46038</v>
      </c>
      <c r="E389" s="22" t="s">
        <v>753</v>
      </c>
      <c r="F389" s="20">
        <v>332</v>
      </c>
      <c r="G389" s="20">
        <v>1244</v>
      </c>
      <c r="H389" s="20">
        <v>0</v>
      </c>
      <c r="I389" s="20">
        <v>6</v>
      </c>
      <c r="J389" s="20">
        <v>0</v>
      </c>
    </row>
    <row r="390" spans="1:10" x14ac:dyDescent="0.25">
      <c r="A390" s="20">
        <v>33121</v>
      </c>
      <c r="B390" s="20" t="s">
        <v>56</v>
      </c>
      <c r="C390" s="22">
        <v>46038</v>
      </c>
      <c r="D390" s="22">
        <v>46038</v>
      </c>
      <c r="E390" s="22" t="s">
        <v>104</v>
      </c>
      <c r="F390" s="20">
        <v>307</v>
      </c>
      <c r="G390" s="20">
        <v>1476</v>
      </c>
      <c r="H390" s="20">
        <v>70</v>
      </c>
      <c r="I390" s="20">
        <v>1.5</v>
      </c>
      <c r="J390" s="20">
        <v>1.05</v>
      </c>
    </row>
    <row r="391" spans="1:10" x14ac:dyDescent="0.25">
      <c r="A391" s="20">
        <v>33121</v>
      </c>
      <c r="B391" s="20" t="s">
        <v>56</v>
      </c>
      <c r="C391" s="22">
        <v>46038</v>
      </c>
      <c r="D391" s="22">
        <v>46038</v>
      </c>
      <c r="E391" s="22" t="s">
        <v>753</v>
      </c>
      <c r="F391" s="20">
        <v>307</v>
      </c>
      <c r="G391" s="20">
        <v>1476</v>
      </c>
      <c r="H391" s="20">
        <v>2</v>
      </c>
      <c r="I391" s="20">
        <v>10</v>
      </c>
      <c r="J391" s="20">
        <v>0.2</v>
      </c>
    </row>
    <row r="392" spans="1:10" x14ac:dyDescent="0.25">
      <c r="A392" s="20">
        <v>33122</v>
      </c>
      <c r="B392" s="20" t="s">
        <v>56</v>
      </c>
      <c r="C392" s="22">
        <v>46038</v>
      </c>
      <c r="D392" s="22">
        <v>46038</v>
      </c>
      <c r="E392" s="22" t="s">
        <v>104</v>
      </c>
      <c r="F392" s="20">
        <v>307</v>
      </c>
      <c r="G392" s="20">
        <v>1479</v>
      </c>
      <c r="H392" s="20">
        <v>70</v>
      </c>
      <c r="I392" s="20">
        <v>1.5</v>
      </c>
      <c r="J392" s="20">
        <v>1.05</v>
      </c>
    </row>
    <row r="393" spans="1:10" x14ac:dyDescent="0.25">
      <c r="A393" s="20">
        <v>33122</v>
      </c>
      <c r="B393" s="20" t="s">
        <v>56</v>
      </c>
      <c r="C393" s="22">
        <v>46038</v>
      </c>
      <c r="D393" s="22">
        <v>46038</v>
      </c>
      <c r="E393" s="22" t="s">
        <v>753</v>
      </c>
      <c r="F393" s="20">
        <v>307</v>
      </c>
      <c r="G393" s="20">
        <v>1479</v>
      </c>
      <c r="H393" s="20">
        <v>2</v>
      </c>
      <c r="I393" s="20">
        <v>10</v>
      </c>
      <c r="J393" s="20">
        <v>0.2</v>
      </c>
    </row>
    <row r="394" spans="1:10" x14ac:dyDescent="0.25">
      <c r="A394" s="20">
        <v>33123</v>
      </c>
      <c r="B394" s="20" t="s">
        <v>55</v>
      </c>
      <c r="C394" s="22">
        <v>46038</v>
      </c>
      <c r="D394" s="22">
        <v>46038</v>
      </c>
      <c r="E394" s="22" t="s">
        <v>104</v>
      </c>
      <c r="F394" s="20">
        <v>343</v>
      </c>
      <c r="G394" s="20">
        <v>732</v>
      </c>
      <c r="H394" s="20">
        <v>70</v>
      </c>
      <c r="I394" s="20">
        <v>1.5</v>
      </c>
      <c r="J394" s="20">
        <v>1.05</v>
      </c>
    </row>
    <row r="395" spans="1:10" x14ac:dyDescent="0.25">
      <c r="A395" s="20">
        <v>33123</v>
      </c>
      <c r="B395" s="20" t="s">
        <v>55</v>
      </c>
      <c r="C395" s="22">
        <v>46038</v>
      </c>
      <c r="D395" s="22">
        <v>46038</v>
      </c>
      <c r="E395" s="22" t="s">
        <v>753</v>
      </c>
      <c r="F395" s="20">
        <v>343</v>
      </c>
      <c r="G395" s="20">
        <v>732</v>
      </c>
      <c r="H395" s="20">
        <v>1</v>
      </c>
      <c r="I395" s="20">
        <v>10</v>
      </c>
      <c r="J395" s="20">
        <v>0.1</v>
      </c>
    </row>
    <row r="396" spans="1:10" x14ac:dyDescent="0.25">
      <c r="A396" s="20">
        <v>33124</v>
      </c>
      <c r="B396" s="20" t="s">
        <v>68</v>
      </c>
      <c r="C396" s="22">
        <v>46038</v>
      </c>
      <c r="D396" s="22">
        <v>46038</v>
      </c>
      <c r="E396" s="22" t="s">
        <v>753</v>
      </c>
      <c r="F396" s="20">
        <v>332</v>
      </c>
      <c r="G396" s="20">
        <v>1245</v>
      </c>
      <c r="H396" s="20">
        <v>0</v>
      </c>
      <c r="I396" s="20">
        <v>20</v>
      </c>
      <c r="J396" s="20">
        <v>0</v>
      </c>
    </row>
    <row r="397" spans="1:10" x14ac:dyDescent="0.25">
      <c r="A397" s="20">
        <v>33125</v>
      </c>
      <c r="B397" s="20" t="s">
        <v>56</v>
      </c>
      <c r="C397" s="22">
        <v>46038</v>
      </c>
      <c r="D397" s="22">
        <v>46038</v>
      </c>
      <c r="E397" s="22" t="s">
        <v>104</v>
      </c>
      <c r="F397" s="20">
        <v>307</v>
      </c>
      <c r="G397" s="20">
        <v>1478</v>
      </c>
      <c r="H397" s="20">
        <v>70</v>
      </c>
      <c r="I397" s="20">
        <v>1.5</v>
      </c>
      <c r="J397" s="20">
        <v>1.05</v>
      </c>
    </row>
    <row r="398" spans="1:10" x14ac:dyDescent="0.25">
      <c r="A398" s="20">
        <v>33125</v>
      </c>
      <c r="B398" s="20" t="s">
        <v>56</v>
      </c>
      <c r="C398" s="22">
        <v>46038</v>
      </c>
      <c r="D398" s="22">
        <v>46038</v>
      </c>
      <c r="E398" s="22" t="s">
        <v>753</v>
      </c>
      <c r="F398" s="20">
        <v>307</v>
      </c>
      <c r="G398" s="20">
        <v>1478</v>
      </c>
      <c r="H398" s="20">
        <v>2</v>
      </c>
      <c r="I398" s="20">
        <v>10</v>
      </c>
      <c r="J398" s="20">
        <v>0.2</v>
      </c>
    </row>
    <row r="399" spans="1:10" x14ac:dyDescent="0.25">
      <c r="A399" s="20">
        <v>33126</v>
      </c>
      <c r="B399" s="20" t="s">
        <v>16</v>
      </c>
      <c r="C399" s="22">
        <v>46038</v>
      </c>
      <c r="D399" s="22">
        <v>46038</v>
      </c>
      <c r="E399" s="22" t="s">
        <v>753</v>
      </c>
      <c r="F399" s="20">
        <v>332</v>
      </c>
      <c r="G399" s="20">
        <v>621</v>
      </c>
      <c r="H399" s="20">
        <v>0</v>
      </c>
      <c r="I399" s="20">
        <v>10</v>
      </c>
      <c r="J399" s="20">
        <v>0</v>
      </c>
    </row>
    <row r="400" spans="1:10" x14ac:dyDescent="0.25">
      <c r="A400" s="20">
        <v>33127</v>
      </c>
      <c r="B400" s="20" t="s">
        <v>25</v>
      </c>
      <c r="C400" s="22">
        <v>46038</v>
      </c>
      <c r="D400" s="22">
        <v>46038</v>
      </c>
      <c r="E400" s="22" t="s">
        <v>753</v>
      </c>
      <c r="F400" s="20">
        <v>332</v>
      </c>
      <c r="G400" s="20">
        <v>140</v>
      </c>
      <c r="H400" s="20">
        <v>0</v>
      </c>
      <c r="I400" s="20">
        <v>160</v>
      </c>
      <c r="J400" s="20">
        <v>0</v>
      </c>
    </row>
    <row r="401" spans="1:10" x14ac:dyDescent="0.25">
      <c r="A401" s="20">
        <v>33128</v>
      </c>
      <c r="B401" s="20" t="s">
        <v>23</v>
      </c>
      <c r="C401" s="22">
        <v>46038</v>
      </c>
      <c r="D401" s="22">
        <v>46038</v>
      </c>
      <c r="E401" s="22" t="s">
        <v>753</v>
      </c>
      <c r="F401" s="20">
        <v>307</v>
      </c>
      <c r="G401" s="20">
        <v>2595</v>
      </c>
      <c r="H401" s="20">
        <v>2</v>
      </c>
      <c r="I401" s="20">
        <v>17.87</v>
      </c>
      <c r="J401" s="20">
        <v>0.36</v>
      </c>
    </row>
    <row r="402" spans="1:10" x14ac:dyDescent="0.25">
      <c r="A402" s="20">
        <v>33128</v>
      </c>
      <c r="B402" s="20" t="s">
        <v>23</v>
      </c>
      <c r="C402" s="22">
        <v>46038</v>
      </c>
      <c r="D402" s="22">
        <v>46038</v>
      </c>
      <c r="E402" s="22" t="s">
        <v>104</v>
      </c>
      <c r="F402" s="20">
        <v>307</v>
      </c>
      <c r="G402" s="20">
        <v>2595</v>
      </c>
      <c r="H402" s="20">
        <v>70</v>
      </c>
      <c r="I402" s="20">
        <v>2.68</v>
      </c>
      <c r="J402" s="20">
        <v>1.88</v>
      </c>
    </row>
    <row r="403" spans="1:10" x14ac:dyDescent="0.25">
      <c r="A403" s="20">
        <v>33129</v>
      </c>
      <c r="B403" s="20" t="s">
        <v>55</v>
      </c>
      <c r="C403" s="22">
        <v>46038</v>
      </c>
      <c r="D403" s="22">
        <v>46038</v>
      </c>
      <c r="E403" s="22" t="s">
        <v>753</v>
      </c>
      <c r="F403" s="20">
        <v>343</v>
      </c>
      <c r="G403" s="20">
        <v>731</v>
      </c>
      <c r="H403" s="20">
        <v>1</v>
      </c>
      <c r="I403" s="20">
        <v>20</v>
      </c>
      <c r="J403" s="20">
        <v>0.2</v>
      </c>
    </row>
    <row r="404" spans="1:10" x14ac:dyDescent="0.25">
      <c r="A404" s="20">
        <v>33129</v>
      </c>
      <c r="B404" s="20" t="s">
        <v>55</v>
      </c>
      <c r="C404" s="22">
        <v>46038</v>
      </c>
      <c r="D404" s="22">
        <v>46038</v>
      </c>
      <c r="E404" s="22" t="s">
        <v>104</v>
      </c>
      <c r="F404" s="20">
        <v>343</v>
      </c>
      <c r="G404" s="20">
        <v>731</v>
      </c>
      <c r="H404" s="20">
        <v>70</v>
      </c>
      <c r="I404" s="20">
        <v>3</v>
      </c>
      <c r="J404" s="20">
        <v>2.1</v>
      </c>
    </row>
    <row r="405" spans="1:10" x14ac:dyDescent="0.25">
      <c r="A405" s="20">
        <v>33130</v>
      </c>
      <c r="B405" s="20" t="s">
        <v>56</v>
      </c>
      <c r="C405" s="22">
        <v>46038</v>
      </c>
      <c r="D405" s="22">
        <v>46038</v>
      </c>
      <c r="E405" s="22" t="s">
        <v>753</v>
      </c>
      <c r="F405" s="20">
        <v>307</v>
      </c>
      <c r="G405" s="20">
        <v>1481</v>
      </c>
      <c r="H405" s="20">
        <v>2</v>
      </c>
      <c r="I405" s="20">
        <v>6</v>
      </c>
      <c r="J405" s="20">
        <v>0.12</v>
      </c>
    </row>
    <row r="406" spans="1:10" x14ac:dyDescent="0.25">
      <c r="A406" s="20">
        <v>33130</v>
      </c>
      <c r="B406" s="20" t="s">
        <v>56</v>
      </c>
      <c r="C406" s="22">
        <v>46038</v>
      </c>
      <c r="D406" s="22">
        <v>46038</v>
      </c>
      <c r="E406" s="22" t="s">
        <v>104</v>
      </c>
      <c r="F406" s="20">
        <v>307</v>
      </c>
      <c r="G406" s="20">
        <v>1481</v>
      </c>
      <c r="H406" s="20">
        <v>70</v>
      </c>
      <c r="I406" s="20">
        <v>0.9</v>
      </c>
      <c r="J406" s="20">
        <v>0.63</v>
      </c>
    </row>
    <row r="407" spans="1:10" x14ac:dyDescent="0.25">
      <c r="A407" s="20">
        <v>33131</v>
      </c>
      <c r="B407" s="20" t="s">
        <v>23</v>
      </c>
      <c r="C407" s="22">
        <v>46038</v>
      </c>
      <c r="D407" s="22">
        <v>46038</v>
      </c>
      <c r="E407" s="22" t="s">
        <v>753</v>
      </c>
      <c r="F407" s="20">
        <v>307</v>
      </c>
      <c r="G407" s="20">
        <v>2599</v>
      </c>
      <c r="H407" s="20">
        <v>2</v>
      </c>
      <c r="I407" s="20">
        <v>17.87</v>
      </c>
      <c r="J407" s="20">
        <v>0.36</v>
      </c>
    </row>
    <row r="408" spans="1:10" x14ac:dyDescent="0.25">
      <c r="A408" s="20">
        <v>33131</v>
      </c>
      <c r="B408" s="20" t="s">
        <v>23</v>
      </c>
      <c r="C408" s="22">
        <v>46038</v>
      </c>
      <c r="D408" s="22">
        <v>46038</v>
      </c>
      <c r="E408" s="22" t="s">
        <v>104</v>
      </c>
      <c r="F408" s="20">
        <v>307</v>
      </c>
      <c r="G408" s="20">
        <v>2599</v>
      </c>
      <c r="H408" s="20">
        <v>70</v>
      </c>
      <c r="I408" s="20">
        <v>2.68</v>
      </c>
      <c r="J408" s="20">
        <v>1.88</v>
      </c>
    </row>
    <row r="409" spans="1:10" x14ac:dyDescent="0.25">
      <c r="A409" s="20">
        <v>33132</v>
      </c>
      <c r="B409" s="20" t="s">
        <v>67</v>
      </c>
      <c r="C409" s="22">
        <v>46038</v>
      </c>
      <c r="D409" s="22">
        <v>46038</v>
      </c>
      <c r="E409" s="22" t="s">
        <v>753</v>
      </c>
      <c r="F409" s="20">
        <v>332</v>
      </c>
      <c r="G409" s="20">
        <v>1741</v>
      </c>
      <c r="H409" s="20">
        <v>0</v>
      </c>
      <c r="I409" s="20">
        <v>28</v>
      </c>
      <c r="J409" s="20">
        <v>0</v>
      </c>
    </row>
    <row r="410" spans="1:10" x14ac:dyDescent="0.25">
      <c r="A410" s="20">
        <v>33133</v>
      </c>
      <c r="B410" s="20" t="s">
        <v>67</v>
      </c>
      <c r="C410" s="22">
        <v>46038</v>
      </c>
      <c r="D410" s="22">
        <v>46038</v>
      </c>
      <c r="E410" s="22" t="s">
        <v>753</v>
      </c>
      <c r="F410" s="20">
        <v>332</v>
      </c>
      <c r="G410" s="20">
        <v>1742</v>
      </c>
      <c r="H410" s="20">
        <v>0</v>
      </c>
      <c r="I410" s="20">
        <v>18</v>
      </c>
      <c r="J410" s="20">
        <v>0</v>
      </c>
    </row>
    <row r="411" spans="1:10" x14ac:dyDescent="0.25">
      <c r="A411" s="20">
        <v>33134</v>
      </c>
      <c r="B411" s="20" t="s">
        <v>56</v>
      </c>
      <c r="C411" s="22">
        <v>46038</v>
      </c>
      <c r="D411" s="22">
        <v>46038</v>
      </c>
      <c r="E411" s="22" t="s">
        <v>104</v>
      </c>
      <c r="F411" s="20">
        <v>307</v>
      </c>
      <c r="G411" s="20">
        <v>1477</v>
      </c>
      <c r="H411" s="20">
        <v>70</v>
      </c>
      <c r="I411" s="20">
        <v>0.9</v>
      </c>
      <c r="J411" s="20">
        <v>0.63</v>
      </c>
    </row>
    <row r="412" spans="1:10" x14ac:dyDescent="0.25">
      <c r="A412" s="20">
        <v>33134</v>
      </c>
      <c r="B412" s="20" t="s">
        <v>56</v>
      </c>
      <c r="C412" s="22">
        <v>46038</v>
      </c>
      <c r="D412" s="22">
        <v>46038</v>
      </c>
      <c r="E412" s="22" t="s">
        <v>753</v>
      </c>
      <c r="F412" s="20">
        <v>307</v>
      </c>
      <c r="G412" s="20">
        <v>1477</v>
      </c>
      <c r="H412" s="20">
        <v>2</v>
      </c>
      <c r="I412" s="20">
        <v>6</v>
      </c>
      <c r="J412" s="20">
        <v>0.12</v>
      </c>
    </row>
    <row r="413" spans="1:10" x14ac:dyDescent="0.25">
      <c r="A413" s="20">
        <v>33135</v>
      </c>
      <c r="B413" s="20" t="s">
        <v>67</v>
      </c>
      <c r="C413" s="22">
        <v>46038</v>
      </c>
      <c r="D413" s="22">
        <v>46038</v>
      </c>
      <c r="E413" s="22" t="s">
        <v>753</v>
      </c>
      <c r="F413" s="20">
        <v>332</v>
      </c>
      <c r="G413" s="20">
        <v>1740</v>
      </c>
      <c r="H413" s="20">
        <v>0</v>
      </c>
      <c r="I413" s="20">
        <v>40</v>
      </c>
      <c r="J413" s="20">
        <v>0</v>
      </c>
    </row>
    <row r="414" spans="1:10" x14ac:dyDescent="0.25">
      <c r="A414" s="20">
        <v>33136</v>
      </c>
      <c r="B414" s="20" t="s">
        <v>67</v>
      </c>
      <c r="C414" s="22">
        <v>46038</v>
      </c>
      <c r="D414" s="22">
        <v>46038</v>
      </c>
      <c r="E414" s="22" t="s">
        <v>753</v>
      </c>
      <c r="F414" s="20">
        <v>332</v>
      </c>
      <c r="G414" s="20">
        <v>1743</v>
      </c>
      <c r="H414" s="20">
        <v>0</v>
      </c>
      <c r="I414" s="20">
        <v>18</v>
      </c>
      <c r="J414" s="20">
        <v>0</v>
      </c>
    </row>
    <row r="415" spans="1:10" x14ac:dyDescent="0.25">
      <c r="A415" s="20">
        <v>33137</v>
      </c>
      <c r="B415" s="20" t="s">
        <v>55</v>
      </c>
      <c r="C415" s="22">
        <v>46038</v>
      </c>
      <c r="D415" s="22">
        <v>46038</v>
      </c>
      <c r="E415" s="22" t="s">
        <v>753</v>
      </c>
      <c r="F415" s="20">
        <v>343</v>
      </c>
      <c r="G415" s="20">
        <v>727</v>
      </c>
      <c r="H415" s="20">
        <v>1</v>
      </c>
      <c r="I415" s="20">
        <v>20</v>
      </c>
      <c r="J415" s="20">
        <v>0.2</v>
      </c>
    </row>
    <row r="416" spans="1:10" x14ac:dyDescent="0.25">
      <c r="A416" s="20">
        <v>33137</v>
      </c>
      <c r="B416" s="20" t="s">
        <v>55</v>
      </c>
      <c r="C416" s="22">
        <v>46038</v>
      </c>
      <c r="D416" s="22">
        <v>46038</v>
      </c>
      <c r="E416" s="22" t="s">
        <v>104</v>
      </c>
      <c r="F416" s="20">
        <v>343</v>
      </c>
      <c r="G416" s="20">
        <v>727</v>
      </c>
      <c r="H416" s="20">
        <v>70</v>
      </c>
      <c r="I416" s="20">
        <v>3</v>
      </c>
      <c r="J416" s="20">
        <v>2.1</v>
      </c>
    </row>
    <row r="417" spans="1:10" x14ac:dyDescent="0.25">
      <c r="A417" s="20">
        <v>33138</v>
      </c>
      <c r="B417" s="20" t="s">
        <v>55</v>
      </c>
      <c r="C417" s="22">
        <v>46038</v>
      </c>
      <c r="D417" s="22">
        <v>46038</v>
      </c>
      <c r="E417" s="22" t="s">
        <v>104</v>
      </c>
      <c r="F417" s="20">
        <v>343</v>
      </c>
      <c r="G417" s="20">
        <v>728</v>
      </c>
      <c r="H417" s="20">
        <v>70</v>
      </c>
      <c r="I417" s="20">
        <v>1.5</v>
      </c>
      <c r="J417" s="20">
        <v>1.05</v>
      </c>
    </row>
    <row r="418" spans="1:10" x14ac:dyDescent="0.25">
      <c r="A418" s="20">
        <v>33138</v>
      </c>
      <c r="B418" s="20" t="s">
        <v>55</v>
      </c>
      <c r="C418" s="22">
        <v>46038</v>
      </c>
      <c r="D418" s="22">
        <v>46038</v>
      </c>
      <c r="E418" s="22" t="s">
        <v>753</v>
      </c>
      <c r="F418" s="20">
        <v>343</v>
      </c>
      <c r="G418" s="20">
        <v>728</v>
      </c>
      <c r="H418" s="20">
        <v>1</v>
      </c>
      <c r="I418" s="20">
        <v>10</v>
      </c>
      <c r="J418" s="20">
        <v>0.1</v>
      </c>
    </row>
    <row r="419" spans="1:10" x14ac:dyDescent="0.25">
      <c r="A419" s="20">
        <v>33139</v>
      </c>
      <c r="B419" s="20" t="s">
        <v>55</v>
      </c>
      <c r="C419" s="22">
        <v>46038</v>
      </c>
      <c r="D419" s="22">
        <v>46038</v>
      </c>
      <c r="E419" s="22" t="s">
        <v>753</v>
      </c>
      <c r="F419" s="20">
        <v>343</v>
      </c>
      <c r="G419" s="20">
        <v>729</v>
      </c>
      <c r="H419" s="20">
        <v>1</v>
      </c>
      <c r="I419" s="20">
        <v>20</v>
      </c>
      <c r="J419" s="20">
        <v>0.2</v>
      </c>
    </row>
    <row r="420" spans="1:10" x14ac:dyDescent="0.25">
      <c r="A420" s="20">
        <v>33139</v>
      </c>
      <c r="B420" s="20" t="s">
        <v>55</v>
      </c>
      <c r="C420" s="22">
        <v>46038</v>
      </c>
      <c r="D420" s="22">
        <v>46038</v>
      </c>
      <c r="E420" s="22" t="s">
        <v>104</v>
      </c>
      <c r="F420" s="20">
        <v>343</v>
      </c>
      <c r="G420" s="20">
        <v>729</v>
      </c>
      <c r="H420" s="20">
        <v>70</v>
      </c>
      <c r="I420" s="20">
        <v>3</v>
      </c>
      <c r="J420" s="20">
        <v>2.1</v>
      </c>
    </row>
    <row r="421" spans="1:10" x14ac:dyDescent="0.25">
      <c r="A421" s="20">
        <v>33140</v>
      </c>
      <c r="B421" s="20" t="s">
        <v>55</v>
      </c>
      <c r="C421" s="22">
        <v>46038</v>
      </c>
      <c r="D421" s="22">
        <v>46038</v>
      </c>
      <c r="E421" s="22" t="s">
        <v>753</v>
      </c>
      <c r="F421" s="20">
        <v>343</v>
      </c>
      <c r="G421" s="20">
        <v>730</v>
      </c>
      <c r="H421" s="20">
        <v>1</v>
      </c>
      <c r="I421" s="20">
        <v>10</v>
      </c>
      <c r="J421" s="20">
        <v>0.1</v>
      </c>
    </row>
    <row r="422" spans="1:10" x14ac:dyDescent="0.25">
      <c r="A422" s="20">
        <v>33140</v>
      </c>
      <c r="B422" s="20" t="s">
        <v>55</v>
      </c>
      <c r="C422" s="22">
        <v>46038</v>
      </c>
      <c r="D422" s="22">
        <v>46038</v>
      </c>
      <c r="E422" s="22" t="s">
        <v>104</v>
      </c>
      <c r="F422" s="20">
        <v>343</v>
      </c>
      <c r="G422" s="20">
        <v>730</v>
      </c>
      <c r="H422" s="20">
        <v>70</v>
      </c>
      <c r="I422" s="20">
        <v>1.5</v>
      </c>
      <c r="J422" s="20">
        <v>1.05</v>
      </c>
    </row>
    <row r="423" spans="1:10" x14ac:dyDescent="0.25">
      <c r="A423" s="20">
        <v>33141</v>
      </c>
      <c r="B423" s="20" t="s">
        <v>68</v>
      </c>
      <c r="C423" s="22">
        <v>46038</v>
      </c>
      <c r="D423" s="22">
        <v>46038</v>
      </c>
      <c r="E423" s="22" t="s">
        <v>753</v>
      </c>
      <c r="F423" s="20">
        <v>332</v>
      </c>
      <c r="G423" s="20">
        <v>1243</v>
      </c>
      <c r="H423" s="20">
        <v>0</v>
      </c>
      <c r="I423" s="20">
        <v>20</v>
      </c>
      <c r="J423" s="20">
        <v>0</v>
      </c>
    </row>
    <row r="424" spans="1:10" x14ac:dyDescent="0.25">
      <c r="A424" s="20">
        <v>33142</v>
      </c>
      <c r="B424" s="20" t="s">
        <v>23</v>
      </c>
      <c r="C424" s="22">
        <v>46038</v>
      </c>
      <c r="D424" s="22">
        <v>46038</v>
      </c>
      <c r="E424" s="22" t="s">
        <v>753</v>
      </c>
      <c r="F424" s="20">
        <v>307</v>
      </c>
      <c r="G424" s="20">
        <v>2597</v>
      </c>
      <c r="H424" s="20">
        <v>2</v>
      </c>
      <c r="I424" s="20">
        <v>17.87</v>
      </c>
      <c r="J424" s="20">
        <v>0.36</v>
      </c>
    </row>
    <row r="425" spans="1:10" x14ac:dyDescent="0.25">
      <c r="A425" s="20">
        <v>33142</v>
      </c>
      <c r="B425" s="20" t="s">
        <v>23</v>
      </c>
      <c r="C425" s="22">
        <v>46038</v>
      </c>
      <c r="D425" s="22">
        <v>46038</v>
      </c>
      <c r="E425" s="22" t="s">
        <v>104</v>
      </c>
      <c r="F425" s="20">
        <v>307</v>
      </c>
      <c r="G425" s="20">
        <v>2597</v>
      </c>
      <c r="H425" s="20">
        <v>70</v>
      </c>
      <c r="I425" s="20">
        <v>2.68</v>
      </c>
      <c r="J425" s="20">
        <v>1.88</v>
      </c>
    </row>
    <row r="426" spans="1:10" x14ac:dyDescent="0.25">
      <c r="A426" s="20">
        <v>33143</v>
      </c>
      <c r="B426" s="20" t="s">
        <v>90</v>
      </c>
      <c r="C426" s="22">
        <v>46039</v>
      </c>
      <c r="D426" s="22">
        <v>46038</v>
      </c>
      <c r="E426" s="22" t="s">
        <v>104</v>
      </c>
      <c r="F426" s="20">
        <v>303</v>
      </c>
      <c r="G426" s="20">
        <v>441</v>
      </c>
      <c r="H426" s="20">
        <v>70</v>
      </c>
      <c r="I426" s="20">
        <v>23.07</v>
      </c>
      <c r="J426" s="20">
        <v>16.149999999999999</v>
      </c>
    </row>
    <row r="427" spans="1:10" x14ac:dyDescent="0.25">
      <c r="A427" s="20">
        <v>33143</v>
      </c>
      <c r="B427" s="20" t="s">
        <v>90</v>
      </c>
      <c r="C427" s="22">
        <v>46039</v>
      </c>
      <c r="D427" s="22">
        <v>46038</v>
      </c>
      <c r="E427" s="22" t="s">
        <v>753</v>
      </c>
      <c r="F427" s="20">
        <v>303</v>
      </c>
      <c r="G427" s="20">
        <v>441</v>
      </c>
      <c r="H427" s="20">
        <v>3</v>
      </c>
      <c r="I427" s="20">
        <v>153.80000000000001</v>
      </c>
      <c r="J427" s="20">
        <v>4.6100000000000003</v>
      </c>
    </row>
    <row r="428" spans="1:10" x14ac:dyDescent="0.25">
      <c r="A428" s="20">
        <v>33144</v>
      </c>
      <c r="B428" s="20" t="s">
        <v>90</v>
      </c>
      <c r="C428" s="22">
        <v>46039</v>
      </c>
      <c r="D428" s="22">
        <v>46038</v>
      </c>
      <c r="E428" s="22" t="s">
        <v>104</v>
      </c>
      <c r="F428" s="20">
        <v>303</v>
      </c>
      <c r="G428" s="20">
        <v>445</v>
      </c>
      <c r="H428" s="20">
        <v>70</v>
      </c>
      <c r="I428" s="20">
        <v>35.53</v>
      </c>
      <c r="J428" s="20">
        <v>24.87</v>
      </c>
    </row>
    <row r="429" spans="1:10" x14ac:dyDescent="0.25">
      <c r="A429" s="20">
        <v>33144</v>
      </c>
      <c r="B429" s="20" t="s">
        <v>90</v>
      </c>
      <c r="C429" s="22">
        <v>46039</v>
      </c>
      <c r="D429" s="22">
        <v>46038</v>
      </c>
      <c r="E429" s="22" t="s">
        <v>753</v>
      </c>
      <c r="F429" s="20">
        <v>303</v>
      </c>
      <c r="G429" s="20">
        <v>445</v>
      </c>
      <c r="H429" s="20">
        <v>3</v>
      </c>
      <c r="I429" s="20">
        <v>236.87</v>
      </c>
      <c r="J429" s="20">
        <v>7.11</v>
      </c>
    </row>
    <row r="430" spans="1:10" x14ac:dyDescent="0.25">
      <c r="A430" s="20">
        <v>33145</v>
      </c>
      <c r="B430" s="20" t="s">
        <v>90</v>
      </c>
      <c r="C430" s="22">
        <v>46039</v>
      </c>
      <c r="D430" s="22">
        <v>46038</v>
      </c>
      <c r="E430" s="22" t="s">
        <v>104</v>
      </c>
      <c r="F430" s="20">
        <v>303</v>
      </c>
      <c r="G430" s="20">
        <v>443</v>
      </c>
      <c r="H430" s="20">
        <v>70</v>
      </c>
      <c r="I430" s="20">
        <v>68.05</v>
      </c>
      <c r="J430" s="20">
        <v>47.64</v>
      </c>
    </row>
    <row r="431" spans="1:10" x14ac:dyDescent="0.25">
      <c r="A431" s="20">
        <v>33145</v>
      </c>
      <c r="B431" s="20" t="s">
        <v>90</v>
      </c>
      <c r="C431" s="22">
        <v>46039</v>
      </c>
      <c r="D431" s="22">
        <v>46038</v>
      </c>
      <c r="E431" s="22" t="s">
        <v>753</v>
      </c>
      <c r="F431" s="20">
        <v>303</v>
      </c>
      <c r="G431" s="20">
        <v>443</v>
      </c>
      <c r="H431" s="20">
        <v>3</v>
      </c>
      <c r="I431" s="20">
        <v>453.67</v>
      </c>
      <c r="J431" s="20">
        <v>13.61</v>
      </c>
    </row>
    <row r="432" spans="1:10" x14ac:dyDescent="0.25">
      <c r="A432" s="20">
        <v>33146</v>
      </c>
      <c r="B432" s="20" t="s">
        <v>68</v>
      </c>
      <c r="C432" s="22">
        <v>46039</v>
      </c>
      <c r="D432" s="22">
        <v>46039</v>
      </c>
      <c r="E432" s="22" t="s">
        <v>753</v>
      </c>
      <c r="F432" s="20">
        <v>332</v>
      </c>
      <c r="G432" s="20">
        <v>1248</v>
      </c>
      <c r="H432" s="20">
        <v>0</v>
      </c>
      <c r="I432" s="20">
        <v>30</v>
      </c>
      <c r="J432" s="20">
        <v>0</v>
      </c>
    </row>
    <row r="433" spans="1:10" x14ac:dyDescent="0.25">
      <c r="A433" s="20">
        <v>33147</v>
      </c>
      <c r="B433" s="20" t="s">
        <v>68</v>
      </c>
      <c r="C433" s="22">
        <v>46039</v>
      </c>
      <c r="D433" s="22">
        <v>46039</v>
      </c>
      <c r="E433" s="22" t="s">
        <v>753</v>
      </c>
      <c r="F433" s="20">
        <v>332</v>
      </c>
      <c r="G433" s="20">
        <v>1246</v>
      </c>
      <c r="H433" s="20">
        <v>0</v>
      </c>
      <c r="I433" s="20">
        <v>37</v>
      </c>
      <c r="J433" s="20">
        <v>0</v>
      </c>
    </row>
    <row r="434" spans="1:10" x14ac:dyDescent="0.25">
      <c r="A434" s="20">
        <v>33148</v>
      </c>
      <c r="B434" s="20" t="s">
        <v>16</v>
      </c>
      <c r="C434" s="22">
        <v>46039</v>
      </c>
      <c r="D434" s="22">
        <v>46039</v>
      </c>
      <c r="E434" s="22" t="s">
        <v>753</v>
      </c>
      <c r="F434" s="20">
        <v>332</v>
      </c>
      <c r="G434" s="20">
        <v>622</v>
      </c>
      <c r="H434" s="20">
        <v>0</v>
      </c>
      <c r="I434" s="20">
        <v>10</v>
      </c>
      <c r="J434" s="20">
        <v>0</v>
      </c>
    </row>
    <row r="435" spans="1:10" x14ac:dyDescent="0.25">
      <c r="A435" s="20">
        <v>33149</v>
      </c>
      <c r="B435" s="20" t="s">
        <v>68</v>
      </c>
      <c r="C435" s="22">
        <v>46039</v>
      </c>
      <c r="D435" s="22">
        <v>46039</v>
      </c>
      <c r="E435" s="22" t="s">
        <v>753</v>
      </c>
      <c r="F435" s="20">
        <v>332</v>
      </c>
      <c r="G435" s="20">
        <v>1247</v>
      </c>
      <c r="H435" s="20">
        <v>0</v>
      </c>
      <c r="I435" s="20">
        <v>30</v>
      </c>
      <c r="J435" s="20">
        <v>0</v>
      </c>
    </row>
    <row r="436" spans="1:10" x14ac:dyDescent="0.25">
      <c r="A436" s="20">
        <v>33150</v>
      </c>
      <c r="B436" s="20" t="s">
        <v>56</v>
      </c>
      <c r="C436" s="22">
        <v>46041</v>
      </c>
      <c r="D436" s="22">
        <v>46041</v>
      </c>
      <c r="E436" s="22" t="s">
        <v>104</v>
      </c>
      <c r="F436" s="20">
        <v>307</v>
      </c>
      <c r="G436" s="20">
        <v>1486</v>
      </c>
      <c r="H436" s="20">
        <v>70</v>
      </c>
      <c r="I436" s="20">
        <v>1.5</v>
      </c>
      <c r="J436" s="20">
        <v>1.05</v>
      </c>
    </row>
    <row r="437" spans="1:10" x14ac:dyDescent="0.25">
      <c r="A437" s="20">
        <v>33150</v>
      </c>
      <c r="B437" s="20" t="s">
        <v>56</v>
      </c>
      <c r="C437" s="22">
        <v>46041</v>
      </c>
      <c r="D437" s="22">
        <v>46041</v>
      </c>
      <c r="E437" s="22" t="s">
        <v>753</v>
      </c>
      <c r="F437" s="20">
        <v>307</v>
      </c>
      <c r="G437" s="20">
        <v>1486</v>
      </c>
      <c r="H437" s="20">
        <v>2</v>
      </c>
      <c r="I437" s="20">
        <v>10</v>
      </c>
      <c r="J437" s="20">
        <v>0.2</v>
      </c>
    </row>
    <row r="438" spans="1:10" x14ac:dyDescent="0.25">
      <c r="A438" s="20">
        <v>33151</v>
      </c>
      <c r="B438" s="20" t="s">
        <v>16</v>
      </c>
      <c r="C438" s="22">
        <v>46041</v>
      </c>
      <c r="D438" s="22">
        <v>46041</v>
      </c>
      <c r="E438" s="22" t="s">
        <v>753</v>
      </c>
      <c r="F438" s="20">
        <v>332</v>
      </c>
      <c r="G438" s="20">
        <v>625</v>
      </c>
      <c r="H438" s="20">
        <v>0</v>
      </c>
      <c r="I438" s="20">
        <v>10</v>
      </c>
      <c r="J438" s="20">
        <v>0</v>
      </c>
    </row>
    <row r="439" spans="1:10" x14ac:dyDescent="0.25">
      <c r="A439" s="20">
        <v>33152</v>
      </c>
      <c r="B439" s="20" t="s">
        <v>23</v>
      </c>
      <c r="C439" s="22">
        <v>46041</v>
      </c>
      <c r="D439" s="22">
        <v>46041</v>
      </c>
      <c r="E439" s="22" t="s">
        <v>753</v>
      </c>
      <c r="F439" s="20">
        <v>307</v>
      </c>
      <c r="G439" s="20">
        <v>2614</v>
      </c>
      <c r="H439" s="20">
        <v>2</v>
      </c>
      <c r="I439" s="20">
        <v>17.87</v>
      </c>
      <c r="J439" s="20">
        <v>0.36</v>
      </c>
    </row>
    <row r="440" spans="1:10" x14ac:dyDescent="0.25">
      <c r="A440" s="20">
        <v>33152</v>
      </c>
      <c r="B440" s="20" t="s">
        <v>23</v>
      </c>
      <c r="C440" s="22">
        <v>46041</v>
      </c>
      <c r="D440" s="22">
        <v>46041</v>
      </c>
      <c r="E440" s="22" t="s">
        <v>104</v>
      </c>
      <c r="F440" s="20">
        <v>307</v>
      </c>
      <c r="G440" s="20">
        <v>2614</v>
      </c>
      <c r="H440" s="20">
        <v>70</v>
      </c>
      <c r="I440" s="20">
        <v>2.68</v>
      </c>
      <c r="J440" s="20">
        <v>1.88</v>
      </c>
    </row>
    <row r="441" spans="1:10" x14ac:dyDescent="0.25">
      <c r="A441" s="20">
        <v>33153</v>
      </c>
      <c r="B441" s="20" t="s">
        <v>68</v>
      </c>
      <c r="C441" s="22">
        <v>46041</v>
      </c>
      <c r="D441" s="22">
        <v>46041</v>
      </c>
      <c r="E441" s="22" t="s">
        <v>753</v>
      </c>
      <c r="F441" s="20">
        <v>332</v>
      </c>
      <c r="G441" s="20">
        <v>1250</v>
      </c>
      <c r="H441" s="20">
        <v>0</v>
      </c>
      <c r="I441" s="20">
        <v>30</v>
      </c>
      <c r="J441" s="20">
        <v>0</v>
      </c>
    </row>
    <row r="442" spans="1:10" x14ac:dyDescent="0.25">
      <c r="A442" s="20">
        <v>33154</v>
      </c>
      <c r="B442" s="20" t="s">
        <v>68</v>
      </c>
      <c r="C442" s="22">
        <v>46041</v>
      </c>
      <c r="D442" s="22">
        <v>46041</v>
      </c>
      <c r="E442" s="22" t="s">
        <v>753</v>
      </c>
      <c r="F442" s="20">
        <v>332</v>
      </c>
      <c r="G442" s="20">
        <v>1249</v>
      </c>
      <c r="H442" s="20">
        <v>0</v>
      </c>
      <c r="I442" s="20">
        <v>20</v>
      </c>
      <c r="J442" s="20">
        <v>0</v>
      </c>
    </row>
    <row r="443" spans="1:10" x14ac:dyDescent="0.25">
      <c r="A443" s="20">
        <v>33155</v>
      </c>
      <c r="B443" s="20" t="s">
        <v>68</v>
      </c>
      <c r="C443" s="22">
        <v>46041</v>
      </c>
      <c r="D443" s="22">
        <v>46041</v>
      </c>
      <c r="E443" s="22" t="s">
        <v>753</v>
      </c>
      <c r="F443" s="20">
        <v>332</v>
      </c>
      <c r="G443" s="20">
        <v>1257</v>
      </c>
      <c r="H443" s="20">
        <v>0</v>
      </c>
      <c r="I443" s="20">
        <v>6</v>
      </c>
      <c r="J443" s="20">
        <v>0</v>
      </c>
    </row>
    <row r="444" spans="1:10" x14ac:dyDescent="0.25">
      <c r="A444" s="20">
        <v>33156</v>
      </c>
      <c r="B444" s="20" t="s">
        <v>56</v>
      </c>
      <c r="C444" s="22">
        <v>46041</v>
      </c>
      <c r="D444" s="22">
        <v>46041</v>
      </c>
      <c r="E444" s="22" t="s">
        <v>104</v>
      </c>
      <c r="F444" s="20">
        <v>307</v>
      </c>
      <c r="G444" s="20">
        <v>1483</v>
      </c>
      <c r="H444" s="20">
        <v>70</v>
      </c>
      <c r="I444" s="20">
        <v>1.5</v>
      </c>
      <c r="J444" s="20">
        <v>1.05</v>
      </c>
    </row>
    <row r="445" spans="1:10" x14ac:dyDescent="0.25">
      <c r="A445" s="20">
        <v>33156</v>
      </c>
      <c r="B445" s="20" t="s">
        <v>56</v>
      </c>
      <c r="C445" s="22">
        <v>46041</v>
      </c>
      <c r="D445" s="22">
        <v>46041</v>
      </c>
      <c r="E445" s="22" t="s">
        <v>753</v>
      </c>
      <c r="F445" s="20">
        <v>307</v>
      </c>
      <c r="G445" s="20">
        <v>1483</v>
      </c>
      <c r="H445" s="20">
        <v>2</v>
      </c>
      <c r="I445" s="20">
        <v>10</v>
      </c>
      <c r="J445" s="20">
        <v>0.2</v>
      </c>
    </row>
    <row r="446" spans="1:10" x14ac:dyDescent="0.25">
      <c r="A446" s="20">
        <v>33157</v>
      </c>
      <c r="B446" s="20" t="s">
        <v>56</v>
      </c>
      <c r="C446" s="22">
        <v>46041</v>
      </c>
      <c r="D446" s="22">
        <v>46041</v>
      </c>
      <c r="E446" s="22" t="s">
        <v>753</v>
      </c>
      <c r="F446" s="20">
        <v>307</v>
      </c>
      <c r="G446" s="20">
        <v>1485</v>
      </c>
      <c r="H446" s="20">
        <v>2</v>
      </c>
      <c r="I446" s="20">
        <v>10</v>
      </c>
      <c r="J446" s="20">
        <v>0.2</v>
      </c>
    </row>
    <row r="447" spans="1:10" x14ac:dyDescent="0.25">
      <c r="A447" s="20">
        <v>33157</v>
      </c>
      <c r="B447" s="20" t="s">
        <v>56</v>
      </c>
      <c r="C447" s="22">
        <v>46041</v>
      </c>
      <c r="D447" s="22">
        <v>46041</v>
      </c>
      <c r="E447" s="22" t="s">
        <v>104</v>
      </c>
      <c r="F447" s="20">
        <v>307</v>
      </c>
      <c r="G447" s="20">
        <v>1485</v>
      </c>
      <c r="H447" s="20">
        <v>70</v>
      </c>
      <c r="I447" s="20">
        <v>1.5</v>
      </c>
      <c r="J447" s="20">
        <v>1.05</v>
      </c>
    </row>
    <row r="448" spans="1:10" x14ac:dyDescent="0.25">
      <c r="A448" s="20">
        <v>33158</v>
      </c>
      <c r="B448" s="20" t="s">
        <v>68</v>
      </c>
      <c r="C448" s="22">
        <v>46041</v>
      </c>
      <c r="D448" s="22">
        <v>46041</v>
      </c>
      <c r="E448" s="22" t="s">
        <v>753</v>
      </c>
      <c r="F448" s="20">
        <v>332</v>
      </c>
      <c r="G448" s="20">
        <v>1254</v>
      </c>
      <c r="H448" s="20">
        <v>0</v>
      </c>
      <c r="I448" s="20">
        <v>11</v>
      </c>
      <c r="J448" s="20">
        <v>0</v>
      </c>
    </row>
    <row r="449" spans="1:10" x14ac:dyDescent="0.25">
      <c r="A449" s="20">
        <v>33159</v>
      </c>
      <c r="B449" s="20" t="s">
        <v>59</v>
      </c>
      <c r="C449" s="22">
        <v>46041</v>
      </c>
      <c r="D449" s="22">
        <v>46041</v>
      </c>
      <c r="E449" s="22" t="s">
        <v>753</v>
      </c>
      <c r="F449" s="20">
        <v>307</v>
      </c>
      <c r="G449" s="20">
        <v>366</v>
      </c>
      <c r="H449" s="20">
        <v>2</v>
      </c>
      <c r="I449" s="20">
        <v>44</v>
      </c>
      <c r="J449" s="20">
        <v>0.88</v>
      </c>
    </row>
    <row r="450" spans="1:10" x14ac:dyDescent="0.25">
      <c r="A450" s="20">
        <v>33160</v>
      </c>
      <c r="B450" s="20" t="s">
        <v>62</v>
      </c>
      <c r="C450" s="22">
        <v>46041</v>
      </c>
      <c r="D450" s="22">
        <v>46041</v>
      </c>
      <c r="E450" s="22" t="s">
        <v>104</v>
      </c>
      <c r="F450" s="20">
        <v>312</v>
      </c>
      <c r="G450" s="20">
        <v>9674</v>
      </c>
      <c r="H450" s="20">
        <v>30</v>
      </c>
      <c r="I450" s="20">
        <v>54.78</v>
      </c>
      <c r="J450" s="20">
        <v>16.43</v>
      </c>
    </row>
    <row r="451" spans="1:10" x14ac:dyDescent="0.25">
      <c r="A451" s="20">
        <v>33160</v>
      </c>
      <c r="B451" s="20" t="s">
        <v>62</v>
      </c>
      <c r="C451" s="22">
        <v>46041</v>
      </c>
      <c r="D451" s="22">
        <v>46041</v>
      </c>
      <c r="E451" s="22" t="s">
        <v>753</v>
      </c>
      <c r="F451" s="20">
        <v>312</v>
      </c>
      <c r="G451" s="20">
        <v>9674</v>
      </c>
      <c r="H451" s="20">
        <v>1.75</v>
      </c>
      <c r="I451" s="20">
        <v>365.22</v>
      </c>
      <c r="J451" s="20">
        <v>6.39</v>
      </c>
    </row>
    <row r="452" spans="1:10" x14ac:dyDescent="0.25">
      <c r="A452" s="20">
        <v>33161</v>
      </c>
      <c r="B452" s="20" t="s">
        <v>59</v>
      </c>
      <c r="C452" s="22">
        <v>46041</v>
      </c>
      <c r="D452" s="22">
        <v>46041</v>
      </c>
      <c r="E452" s="22" t="s">
        <v>753</v>
      </c>
      <c r="F452" s="20">
        <v>307</v>
      </c>
      <c r="G452" s="20">
        <v>367</v>
      </c>
      <c r="H452" s="20">
        <v>2</v>
      </c>
      <c r="I452" s="20">
        <v>24</v>
      </c>
      <c r="J452" s="20">
        <v>0.48</v>
      </c>
    </row>
    <row r="453" spans="1:10" x14ac:dyDescent="0.25">
      <c r="A453" s="20">
        <v>33162</v>
      </c>
      <c r="B453" s="20" t="s">
        <v>16</v>
      </c>
      <c r="C453" s="22">
        <v>46041</v>
      </c>
      <c r="D453" s="22">
        <v>46041</v>
      </c>
      <c r="E453" s="22" t="s">
        <v>753</v>
      </c>
      <c r="F453" s="20">
        <v>332</v>
      </c>
      <c r="G453" s="20">
        <v>624</v>
      </c>
      <c r="H453" s="20">
        <v>0</v>
      </c>
      <c r="I453" s="20">
        <v>10</v>
      </c>
      <c r="J453" s="20">
        <v>0</v>
      </c>
    </row>
    <row r="454" spans="1:10" x14ac:dyDescent="0.25">
      <c r="A454" s="20">
        <v>33163</v>
      </c>
      <c r="B454" s="20" t="s">
        <v>68</v>
      </c>
      <c r="C454" s="22">
        <v>46041</v>
      </c>
      <c r="D454" s="22">
        <v>46041</v>
      </c>
      <c r="E454" s="22" t="s">
        <v>753</v>
      </c>
      <c r="F454" s="20">
        <v>332</v>
      </c>
      <c r="G454" s="20">
        <v>1253</v>
      </c>
      <c r="H454" s="20">
        <v>0</v>
      </c>
      <c r="I454" s="20">
        <v>22</v>
      </c>
      <c r="J454" s="20">
        <v>0</v>
      </c>
    </row>
    <row r="455" spans="1:10" x14ac:dyDescent="0.25">
      <c r="A455" s="20">
        <v>33164</v>
      </c>
      <c r="B455" s="20" t="s">
        <v>18</v>
      </c>
      <c r="C455" s="22">
        <v>46041</v>
      </c>
      <c r="D455" s="22">
        <v>46041</v>
      </c>
      <c r="E455" s="22" t="s">
        <v>753</v>
      </c>
      <c r="F455" s="20">
        <v>307</v>
      </c>
      <c r="G455" s="20">
        <v>253</v>
      </c>
      <c r="H455" s="20">
        <v>2</v>
      </c>
      <c r="I455" s="20">
        <v>50</v>
      </c>
      <c r="J455" s="20">
        <v>1</v>
      </c>
    </row>
    <row r="456" spans="1:10" x14ac:dyDescent="0.25">
      <c r="A456" s="20">
        <v>33165</v>
      </c>
      <c r="B456" s="20" t="s">
        <v>23</v>
      </c>
      <c r="C456" s="22">
        <v>46041</v>
      </c>
      <c r="D456" s="22">
        <v>46041</v>
      </c>
      <c r="E456" s="22" t="s">
        <v>753</v>
      </c>
      <c r="F456" s="20">
        <v>307</v>
      </c>
      <c r="G456" s="20">
        <v>2616</v>
      </c>
      <c r="H456" s="20">
        <v>2</v>
      </c>
      <c r="I456" s="20">
        <v>17.87</v>
      </c>
      <c r="J456" s="20">
        <v>0.36</v>
      </c>
    </row>
    <row r="457" spans="1:10" x14ac:dyDescent="0.25">
      <c r="A457" s="20">
        <v>33165</v>
      </c>
      <c r="B457" s="20" t="s">
        <v>23</v>
      </c>
      <c r="C457" s="22">
        <v>46041</v>
      </c>
      <c r="D457" s="22">
        <v>46041</v>
      </c>
      <c r="E457" s="22" t="s">
        <v>104</v>
      </c>
      <c r="F457" s="20">
        <v>307</v>
      </c>
      <c r="G457" s="20">
        <v>2616</v>
      </c>
      <c r="H457" s="20">
        <v>70</v>
      </c>
      <c r="I457" s="20">
        <v>2.68</v>
      </c>
      <c r="J457" s="20">
        <v>1.88</v>
      </c>
    </row>
    <row r="458" spans="1:10" x14ac:dyDescent="0.25">
      <c r="A458" s="20">
        <v>33166</v>
      </c>
      <c r="B458" s="20" t="s">
        <v>74</v>
      </c>
      <c r="C458" s="22">
        <v>46041</v>
      </c>
      <c r="D458" s="22">
        <v>46041</v>
      </c>
      <c r="E458" s="22" t="s">
        <v>104</v>
      </c>
      <c r="F458" s="20">
        <v>312</v>
      </c>
      <c r="G458" s="20">
        <v>104</v>
      </c>
      <c r="H458" s="20">
        <v>30</v>
      </c>
      <c r="I458" s="20">
        <v>6</v>
      </c>
      <c r="J458" s="20">
        <v>1.8</v>
      </c>
    </row>
    <row r="459" spans="1:10" x14ac:dyDescent="0.25">
      <c r="A459" s="20">
        <v>33166</v>
      </c>
      <c r="B459" s="20" t="s">
        <v>74</v>
      </c>
      <c r="C459" s="22">
        <v>46041</v>
      </c>
      <c r="D459" s="22">
        <v>46041</v>
      </c>
      <c r="E459" s="22" t="s">
        <v>753</v>
      </c>
      <c r="F459" s="20">
        <v>312</v>
      </c>
      <c r="G459" s="20">
        <v>104</v>
      </c>
      <c r="H459" s="20">
        <v>1.75</v>
      </c>
      <c r="I459" s="20">
        <v>40</v>
      </c>
      <c r="J459" s="20">
        <v>0.7</v>
      </c>
    </row>
    <row r="460" spans="1:10" x14ac:dyDescent="0.25">
      <c r="A460" s="20">
        <v>33167</v>
      </c>
      <c r="B460" s="20" t="s">
        <v>68</v>
      </c>
      <c r="C460" s="22">
        <v>46041</v>
      </c>
      <c r="D460" s="22">
        <v>46041</v>
      </c>
      <c r="E460" s="22" t="s">
        <v>753</v>
      </c>
      <c r="F460" s="20">
        <v>332</v>
      </c>
      <c r="G460" s="20">
        <v>1252</v>
      </c>
      <c r="H460" s="20">
        <v>0</v>
      </c>
      <c r="I460" s="20">
        <v>20</v>
      </c>
      <c r="J460" s="20">
        <v>0</v>
      </c>
    </row>
    <row r="461" spans="1:10" x14ac:dyDescent="0.25">
      <c r="A461" s="20">
        <v>33168</v>
      </c>
      <c r="B461" s="20" t="s">
        <v>68</v>
      </c>
      <c r="C461" s="22">
        <v>46041</v>
      </c>
      <c r="D461" s="22">
        <v>46041</v>
      </c>
      <c r="E461" s="22" t="s">
        <v>753</v>
      </c>
      <c r="F461" s="20">
        <v>332</v>
      </c>
      <c r="G461" s="20">
        <v>1255</v>
      </c>
      <c r="H461" s="20">
        <v>0</v>
      </c>
      <c r="I461" s="20">
        <v>20</v>
      </c>
      <c r="J461" s="20">
        <v>0</v>
      </c>
    </row>
    <row r="462" spans="1:10" x14ac:dyDescent="0.25">
      <c r="A462" s="20">
        <v>33169</v>
      </c>
      <c r="B462" s="20" t="s">
        <v>22</v>
      </c>
      <c r="C462" s="22">
        <v>46041</v>
      </c>
      <c r="D462" s="22">
        <v>46041</v>
      </c>
      <c r="E462" s="22" t="s">
        <v>753</v>
      </c>
      <c r="F462" s="20">
        <v>343</v>
      </c>
      <c r="G462" s="20">
        <v>2</v>
      </c>
      <c r="H462" s="20">
        <v>1</v>
      </c>
      <c r="I462" s="20">
        <v>121.74</v>
      </c>
      <c r="J462" s="20">
        <v>1.22</v>
      </c>
    </row>
    <row r="463" spans="1:10" x14ac:dyDescent="0.25">
      <c r="A463" s="20">
        <v>33169</v>
      </c>
      <c r="B463" s="20" t="s">
        <v>22</v>
      </c>
      <c r="C463" s="22">
        <v>46041</v>
      </c>
      <c r="D463" s="22">
        <v>46041</v>
      </c>
      <c r="E463" s="22" t="s">
        <v>104</v>
      </c>
      <c r="F463" s="20">
        <v>343</v>
      </c>
      <c r="G463" s="20">
        <v>2</v>
      </c>
      <c r="H463" s="20">
        <v>30</v>
      </c>
      <c r="I463" s="20">
        <v>18.260000000000002</v>
      </c>
      <c r="J463" s="20">
        <v>5.48</v>
      </c>
    </row>
    <row r="464" spans="1:10" x14ac:dyDescent="0.25">
      <c r="A464" s="20">
        <v>33170</v>
      </c>
      <c r="B464" s="20" t="s">
        <v>68</v>
      </c>
      <c r="C464" s="22">
        <v>46041</v>
      </c>
      <c r="D464" s="22">
        <v>46041</v>
      </c>
      <c r="E464" s="22" t="s">
        <v>753</v>
      </c>
      <c r="F464" s="20">
        <v>332</v>
      </c>
      <c r="G464" s="20">
        <v>1251</v>
      </c>
      <c r="H464" s="20">
        <v>0</v>
      </c>
      <c r="I464" s="20">
        <v>22</v>
      </c>
      <c r="J464" s="20">
        <v>0</v>
      </c>
    </row>
    <row r="465" spans="1:10" x14ac:dyDescent="0.25">
      <c r="A465" s="20">
        <v>33171</v>
      </c>
      <c r="B465" s="20" t="s">
        <v>68</v>
      </c>
      <c r="C465" s="22">
        <v>46041</v>
      </c>
      <c r="D465" s="22">
        <v>46041</v>
      </c>
      <c r="E465" s="22" t="s">
        <v>753</v>
      </c>
      <c r="F465" s="20">
        <v>332</v>
      </c>
      <c r="G465" s="20">
        <v>1256</v>
      </c>
      <c r="H465" s="20">
        <v>0</v>
      </c>
      <c r="I465" s="20">
        <v>20</v>
      </c>
      <c r="J465" s="20">
        <v>0</v>
      </c>
    </row>
    <row r="466" spans="1:10" x14ac:dyDescent="0.25">
      <c r="A466" s="20">
        <v>33172</v>
      </c>
      <c r="B466" s="20" t="s">
        <v>87</v>
      </c>
      <c r="C466" s="22">
        <v>46041</v>
      </c>
      <c r="D466" s="22">
        <v>46041</v>
      </c>
      <c r="E466" s="22" t="s">
        <v>753</v>
      </c>
      <c r="F466" s="20">
        <v>312</v>
      </c>
      <c r="G466" s="20">
        <v>1429</v>
      </c>
      <c r="H466" s="20">
        <v>1.75</v>
      </c>
      <c r="I466" s="20">
        <v>25</v>
      </c>
      <c r="J466" s="20">
        <v>0.44</v>
      </c>
    </row>
    <row r="467" spans="1:10" x14ac:dyDescent="0.25">
      <c r="A467" s="20">
        <v>33172</v>
      </c>
      <c r="B467" s="20" t="s">
        <v>87</v>
      </c>
      <c r="C467" s="22">
        <v>46041</v>
      </c>
      <c r="D467" s="22">
        <v>46041</v>
      </c>
      <c r="E467" s="22" t="s">
        <v>104</v>
      </c>
      <c r="F467" s="20">
        <v>312</v>
      </c>
      <c r="G467" s="20">
        <v>1429</v>
      </c>
      <c r="H467" s="20">
        <v>30</v>
      </c>
      <c r="I467" s="20">
        <v>3.75</v>
      </c>
      <c r="J467" s="20">
        <v>1.1299999999999999</v>
      </c>
    </row>
    <row r="468" spans="1:10" x14ac:dyDescent="0.25">
      <c r="A468" s="20">
        <v>33173</v>
      </c>
      <c r="B468" s="20" t="s">
        <v>93</v>
      </c>
      <c r="C468" s="22">
        <v>46041</v>
      </c>
      <c r="D468" s="22">
        <v>46041</v>
      </c>
      <c r="E468" s="22" t="s">
        <v>753</v>
      </c>
      <c r="F468" s="20">
        <v>312</v>
      </c>
      <c r="G468" s="20">
        <v>2987</v>
      </c>
      <c r="H468" s="20">
        <v>1.75</v>
      </c>
      <c r="I468" s="20">
        <v>29.22</v>
      </c>
      <c r="J468" s="20">
        <v>0.51</v>
      </c>
    </row>
    <row r="469" spans="1:10" x14ac:dyDescent="0.25">
      <c r="A469" s="20">
        <v>33173</v>
      </c>
      <c r="B469" s="20" t="s">
        <v>93</v>
      </c>
      <c r="C469" s="22">
        <v>46041</v>
      </c>
      <c r="D469" s="22">
        <v>46041</v>
      </c>
      <c r="E469" s="22" t="s">
        <v>104</v>
      </c>
      <c r="F469" s="20">
        <v>312</v>
      </c>
      <c r="G469" s="20">
        <v>2987</v>
      </c>
      <c r="H469" s="20">
        <v>30</v>
      </c>
      <c r="I469" s="20">
        <v>4.38</v>
      </c>
      <c r="J469" s="20">
        <v>1.31</v>
      </c>
    </row>
    <row r="470" spans="1:10" x14ac:dyDescent="0.25">
      <c r="A470" s="20">
        <v>33174</v>
      </c>
      <c r="B470" s="20" t="s">
        <v>67</v>
      </c>
      <c r="C470" s="22">
        <v>46042</v>
      </c>
      <c r="D470" s="22">
        <v>46042</v>
      </c>
      <c r="E470" s="22" t="s">
        <v>753</v>
      </c>
      <c r="F470" s="20">
        <v>332</v>
      </c>
      <c r="G470" s="20">
        <v>1746</v>
      </c>
      <c r="H470" s="20">
        <v>0</v>
      </c>
      <c r="I470" s="20">
        <v>18</v>
      </c>
      <c r="J470" s="20">
        <v>0</v>
      </c>
    </row>
    <row r="471" spans="1:10" x14ac:dyDescent="0.25">
      <c r="A471" s="20">
        <v>33175</v>
      </c>
      <c r="B471" s="20" t="s">
        <v>68</v>
      </c>
      <c r="C471" s="22">
        <v>46042</v>
      </c>
      <c r="D471" s="22">
        <v>46042</v>
      </c>
      <c r="E471" s="22" t="s">
        <v>753</v>
      </c>
      <c r="F471" s="20">
        <v>332</v>
      </c>
      <c r="G471" s="20">
        <v>1260</v>
      </c>
      <c r="H471" s="20">
        <v>0</v>
      </c>
      <c r="I471" s="20">
        <v>11</v>
      </c>
      <c r="J471" s="20">
        <v>0</v>
      </c>
    </row>
    <row r="472" spans="1:10" x14ac:dyDescent="0.25">
      <c r="A472" s="20">
        <v>33176</v>
      </c>
      <c r="B472" s="20" t="s">
        <v>68</v>
      </c>
      <c r="C472" s="22">
        <v>46042</v>
      </c>
      <c r="D472" s="22">
        <v>46042</v>
      </c>
      <c r="E472" s="22" t="s">
        <v>753</v>
      </c>
      <c r="F472" s="20">
        <v>332</v>
      </c>
      <c r="G472" s="20">
        <v>1269</v>
      </c>
      <c r="H472" s="20">
        <v>0</v>
      </c>
      <c r="I472" s="20">
        <v>20</v>
      </c>
      <c r="J472" s="20">
        <v>0</v>
      </c>
    </row>
    <row r="473" spans="1:10" x14ac:dyDescent="0.25">
      <c r="A473" s="20">
        <v>33177</v>
      </c>
      <c r="B473" s="20" t="s">
        <v>16</v>
      </c>
      <c r="C473" s="22">
        <v>46042</v>
      </c>
      <c r="D473" s="22">
        <v>46042</v>
      </c>
      <c r="E473" s="22" t="s">
        <v>753</v>
      </c>
      <c r="F473" s="20">
        <v>332</v>
      </c>
      <c r="G473" s="20">
        <v>626</v>
      </c>
      <c r="H473" s="20">
        <v>0</v>
      </c>
      <c r="I473" s="20">
        <v>10</v>
      </c>
      <c r="J473" s="20">
        <v>0</v>
      </c>
    </row>
    <row r="474" spans="1:10" x14ac:dyDescent="0.25">
      <c r="A474" s="20">
        <v>33178</v>
      </c>
      <c r="B474" s="20" t="s">
        <v>56</v>
      </c>
      <c r="C474" s="22">
        <v>46042</v>
      </c>
      <c r="D474" s="22">
        <v>46042</v>
      </c>
      <c r="E474" s="22" t="s">
        <v>104</v>
      </c>
      <c r="F474" s="20">
        <v>307</v>
      </c>
      <c r="G474" s="20">
        <v>1491</v>
      </c>
      <c r="H474" s="20">
        <v>70</v>
      </c>
      <c r="I474" s="20">
        <v>1.5</v>
      </c>
      <c r="J474" s="20">
        <v>1.05</v>
      </c>
    </row>
    <row r="475" spans="1:10" x14ac:dyDescent="0.25">
      <c r="A475" s="20">
        <v>33178</v>
      </c>
      <c r="B475" s="20" t="s">
        <v>56</v>
      </c>
      <c r="C475" s="22">
        <v>46042</v>
      </c>
      <c r="D475" s="22">
        <v>46042</v>
      </c>
      <c r="E475" s="22" t="s">
        <v>753</v>
      </c>
      <c r="F475" s="20">
        <v>307</v>
      </c>
      <c r="G475" s="20">
        <v>1491</v>
      </c>
      <c r="H475" s="20">
        <v>2</v>
      </c>
      <c r="I475" s="20">
        <v>10</v>
      </c>
      <c r="J475" s="20">
        <v>0.2</v>
      </c>
    </row>
    <row r="476" spans="1:10" x14ac:dyDescent="0.25">
      <c r="A476" s="20">
        <v>33179</v>
      </c>
      <c r="B476" s="20" t="s">
        <v>23</v>
      </c>
      <c r="C476" s="22">
        <v>46042</v>
      </c>
      <c r="D476" s="22">
        <v>46042</v>
      </c>
      <c r="E476" s="22" t="s">
        <v>104</v>
      </c>
      <c r="F476" s="20">
        <v>307</v>
      </c>
      <c r="G476" s="20">
        <v>2623</v>
      </c>
      <c r="H476" s="20">
        <v>70</v>
      </c>
      <c r="I476" s="20">
        <v>2.68</v>
      </c>
      <c r="J476" s="20">
        <v>1.88</v>
      </c>
    </row>
    <row r="477" spans="1:10" x14ac:dyDescent="0.25">
      <c r="A477" s="20">
        <v>33179</v>
      </c>
      <c r="B477" s="20" t="s">
        <v>23</v>
      </c>
      <c r="C477" s="22">
        <v>46042</v>
      </c>
      <c r="D477" s="22">
        <v>46042</v>
      </c>
      <c r="E477" s="22" t="s">
        <v>753</v>
      </c>
      <c r="F477" s="20">
        <v>307</v>
      </c>
      <c r="G477" s="20">
        <v>2623</v>
      </c>
      <c r="H477" s="20">
        <v>2</v>
      </c>
      <c r="I477" s="20">
        <v>17.87</v>
      </c>
      <c r="J477" s="20">
        <v>0.36</v>
      </c>
    </row>
    <row r="478" spans="1:10" x14ac:dyDescent="0.25">
      <c r="A478" s="20">
        <v>33180</v>
      </c>
      <c r="B478" s="20" t="s">
        <v>56</v>
      </c>
      <c r="C478" s="22">
        <v>46042</v>
      </c>
      <c r="D478" s="22">
        <v>46042</v>
      </c>
      <c r="E478" s="22" t="s">
        <v>753</v>
      </c>
      <c r="F478" s="20">
        <v>307</v>
      </c>
      <c r="G478" s="20">
        <v>1489</v>
      </c>
      <c r="H478" s="20">
        <v>2</v>
      </c>
      <c r="I478" s="20">
        <v>10</v>
      </c>
      <c r="J478" s="20">
        <v>0.2</v>
      </c>
    </row>
    <row r="479" spans="1:10" x14ac:dyDescent="0.25">
      <c r="A479" s="20">
        <v>33180</v>
      </c>
      <c r="B479" s="20" t="s">
        <v>56</v>
      </c>
      <c r="C479" s="22">
        <v>46042</v>
      </c>
      <c r="D479" s="22">
        <v>46042</v>
      </c>
      <c r="E479" s="22" t="s">
        <v>104</v>
      </c>
      <c r="F479" s="20">
        <v>307</v>
      </c>
      <c r="G479" s="20">
        <v>1489</v>
      </c>
      <c r="H479" s="20">
        <v>70</v>
      </c>
      <c r="I479" s="20">
        <v>1.5</v>
      </c>
      <c r="J479" s="20">
        <v>1.05</v>
      </c>
    </row>
    <row r="480" spans="1:10" x14ac:dyDescent="0.25">
      <c r="A480" s="20">
        <v>33181</v>
      </c>
      <c r="B480" s="20" t="s">
        <v>55</v>
      </c>
      <c r="C480" s="22">
        <v>46042</v>
      </c>
      <c r="D480" s="22">
        <v>46042</v>
      </c>
      <c r="E480" s="22" t="s">
        <v>104</v>
      </c>
      <c r="F480" s="20">
        <v>343</v>
      </c>
      <c r="G480" s="20">
        <v>741</v>
      </c>
      <c r="H480" s="20">
        <v>70</v>
      </c>
      <c r="I480" s="20">
        <v>3</v>
      </c>
      <c r="J480" s="20">
        <v>2.1</v>
      </c>
    </row>
    <row r="481" spans="1:10" x14ac:dyDescent="0.25">
      <c r="A481" s="20">
        <v>33181</v>
      </c>
      <c r="B481" s="20" t="s">
        <v>55</v>
      </c>
      <c r="C481" s="22">
        <v>46042</v>
      </c>
      <c r="D481" s="22">
        <v>46042</v>
      </c>
      <c r="E481" s="22" t="s">
        <v>753</v>
      </c>
      <c r="F481" s="20">
        <v>343</v>
      </c>
      <c r="G481" s="20">
        <v>741</v>
      </c>
      <c r="H481" s="20">
        <v>1</v>
      </c>
      <c r="I481" s="20">
        <v>20</v>
      </c>
      <c r="J481" s="20">
        <v>0.2</v>
      </c>
    </row>
    <row r="482" spans="1:10" x14ac:dyDescent="0.25">
      <c r="A482" s="20">
        <v>33182</v>
      </c>
      <c r="B482" s="20" t="s">
        <v>55</v>
      </c>
      <c r="C482" s="22">
        <v>46042</v>
      </c>
      <c r="D482" s="22">
        <v>46042</v>
      </c>
      <c r="E482" s="22" t="s">
        <v>753</v>
      </c>
      <c r="F482" s="20">
        <v>343</v>
      </c>
      <c r="G482" s="20">
        <v>748</v>
      </c>
      <c r="H482" s="20">
        <v>1</v>
      </c>
      <c r="I482" s="20">
        <v>20</v>
      </c>
      <c r="J482" s="20">
        <v>0.2</v>
      </c>
    </row>
    <row r="483" spans="1:10" x14ac:dyDescent="0.25">
      <c r="A483" s="20">
        <v>33182</v>
      </c>
      <c r="B483" s="20" t="s">
        <v>55</v>
      </c>
      <c r="C483" s="22">
        <v>46042</v>
      </c>
      <c r="D483" s="22">
        <v>46042</v>
      </c>
      <c r="E483" s="22" t="s">
        <v>104</v>
      </c>
      <c r="F483" s="20">
        <v>343</v>
      </c>
      <c r="G483" s="20">
        <v>748</v>
      </c>
      <c r="H483" s="20">
        <v>70</v>
      </c>
      <c r="I483" s="20">
        <v>3</v>
      </c>
      <c r="J483" s="20">
        <v>2.1</v>
      </c>
    </row>
    <row r="484" spans="1:10" x14ac:dyDescent="0.25">
      <c r="A484" s="20">
        <v>33183</v>
      </c>
      <c r="B484" s="20" t="s">
        <v>23</v>
      </c>
      <c r="C484" s="22">
        <v>46042</v>
      </c>
      <c r="D484" s="22">
        <v>46042</v>
      </c>
      <c r="E484" s="22" t="s">
        <v>104</v>
      </c>
      <c r="F484" s="20">
        <v>307</v>
      </c>
      <c r="G484" s="20">
        <v>2624</v>
      </c>
      <c r="H484" s="20">
        <v>70</v>
      </c>
      <c r="I484" s="20">
        <v>2.68</v>
      </c>
      <c r="J484" s="20">
        <v>1.88</v>
      </c>
    </row>
    <row r="485" spans="1:10" x14ac:dyDescent="0.25">
      <c r="A485" s="20">
        <v>33183</v>
      </c>
      <c r="B485" s="20" t="s">
        <v>23</v>
      </c>
      <c r="C485" s="22">
        <v>46042</v>
      </c>
      <c r="D485" s="22">
        <v>46042</v>
      </c>
      <c r="E485" s="22" t="s">
        <v>753</v>
      </c>
      <c r="F485" s="20">
        <v>307</v>
      </c>
      <c r="G485" s="20">
        <v>2624</v>
      </c>
      <c r="H485" s="20">
        <v>2</v>
      </c>
      <c r="I485" s="20">
        <v>17.87</v>
      </c>
      <c r="J485" s="20">
        <v>0.36</v>
      </c>
    </row>
    <row r="486" spans="1:10" x14ac:dyDescent="0.25">
      <c r="A486" s="20">
        <v>33184</v>
      </c>
      <c r="B486" s="20" t="s">
        <v>55</v>
      </c>
      <c r="C486" s="22">
        <v>46042</v>
      </c>
      <c r="D486" s="22">
        <v>46042</v>
      </c>
      <c r="E486" s="22" t="s">
        <v>104</v>
      </c>
      <c r="F486" s="20">
        <v>343</v>
      </c>
      <c r="G486" s="20">
        <v>742</v>
      </c>
      <c r="H486" s="20">
        <v>70</v>
      </c>
      <c r="I486" s="20">
        <v>1.5</v>
      </c>
      <c r="J486" s="20">
        <v>1.05</v>
      </c>
    </row>
    <row r="487" spans="1:10" x14ac:dyDescent="0.25">
      <c r="A487" s="20">
        <v>33184</v>
      </c>
      <c r="B487" s="20" t="s">
        <v>55</v>
      </c>
      <c r="C487" s="22">
        <v>46042</v>
      </c>
      <c r="D487" s="22">
        <v>46042</v>
      </c>
      <c r="E487" s="22" t="s">
        <v>753</v>
      </c>
      <c r="F487" s="20">
        <v>343</v>
      </c>
      <c r="G487" s="20">
        <v>742</v>
      </c>
      <c r="H487" s="20">
        <v>1</v>
      </c>
      <c r="I487" s="20">
        <v>10</v>
      </c>
      <c r="J487" s="20">
        <v>0.1</v>
      </c>
    </row>
    <row r="488" spans="1:10" x14ac:dyDescent="0.25">
      <c r="A488" s="20">
        <v>33185</v>
      </c>
      <c r="B488" s="20" t="s">
        <v>68</v>
      </c>
      <c r="C488" s="22">
        <v>46042</v>
      </c>
      <c r="D488" s="22">
        <v>46042</v>
      </c>
      <c r="E488" s="22" t="s">
        <v>753</v>
      </c>
      <c r="F488" s="20">
        <v>332</v>
      </c>
      <c r="G488" s="20">
        <v>1263</v>
      </c>
      <c r="H488" s="20">
        <v>0</v>
      </c>
      <c r="I488" s="20">
        <v>20</v>
      </c>
      <c r="J488" s="20">
        <v>0</v>
      </c>
    </row>
    <row r="489" spans="1:10" x14ac:dyDescent="0.25">
      <c r="A489" s="20">
        <v>33186</v>
      </c>
      <c r="B489" s="20" t="s">
        <v>68</v>
      </c>
      <c r="C489" s="22">
        <v>46042</v>
      </c>
      <c r="D489" s="22">
        <v>46042</v>
      </c>
      <c r="E489" s="22" t="s">
        <v>753</v>
      </c>
      <c r="F489" s="20">
        <v>332</v>
      </c>
      <c r="G489" s="20">
        <v>1264</v>
      </c>
      <c r="H489" s="20">
        <v>0</v>
      </c>
      <c r="I489" s="20">
        <v>6</v>
      </c>
      <c r="J489" s="20">
        <v>0</v>
      </c>
    </row>
    <row r="490" spans="1:10" x14ac:dyDescent="0.25">
      <c r="A490" s="20">
        <v>33187</v>
      </c>
      <c r="B490" s="20" t="s">
        <v>56</v>
      </c>
      <c r="C490" s="22">
        <v>46042</v>
      </c>
      <c r="D490" s="22">
        <v>46042</v>
      </c>
      <c r="E490" s="22" t="s">
        <v>753</v>
      </c>
      <c r="F490" s="20">
        <v>307</v>
      </c>
      <c r="G490" s="20">
        <v>1492</v>
      </c>
      <c r="H490" s="20">
        <v>2</v>
      </c>
      <c r="I490" s="20">
        <v>6</v>
      </c>
      <c r="J490" s="20">
        <v>0.12</v>
      </c>
    </row>
    <row r="491" spans="1:10" x14ac:dyDescent="0.25">
      <c r="A491" s="20">
        <v>33187</v>
      </c>
      <c r="B491" s="20" t="s">
        <v>56</v>
      </c>
      <c r="C491" s="22">
        <v>46042</v>
      </c>
      <c r="D491" s="22">
        <v>46042</v>
      </c>
      <c r="E491" s="22" t="s">
        <v>104</v>
      </c>
      <c r="F491" s="20">
        <v>307</v>
      </c>
      <c r="G491" s="20">
        <v>1492</v>
      </c>
      <c r="H491" s="20">
        <v>70</v>
      </c>
      <c r="I491" s="20">
        <v>0.9</v>
      </c>
      <c r="J491" s="20">
        <v>0.63</v>
      </c>
    </row>
    <row r="492" spans="1:10" x14ac:dyDescent="0.25">
      <c r="A492" s="20">
        <v>33188</v>
      </c>
      <c r="B492" s="20" t="s">
        <v>29</v>
      </c>
      <c r="C492" s="22">
        <v>46042</v>
      </c>
      <c r="D492" s="22">
        <v>46042</v>
      </c>
      <c r="E492" s="22" t="s">
        <v>104</v>
      </c>
      <c r="F492" s="20">
        <v>312</v>
      </c>
      <c r="G492" s="20">
        <v>4672</v>
      </c>
      <c r="H492" s="20">
        <v>30</v>
      </c>
      <c r="I492" s="20">
        <v>42.75</v>
      </c>
      <c r="J492" s="20">
        <v>12.83</v>
      </c>
    </row>
    <row r="493" spans="1:10" x14ac:dyDescent="0.25">
      <c r="A493" s="20">
        <v>33188</v>
      </c>
      <c r="B493" s="20" t="s">
        <v>29</v>
      </c>
      <c r="C493" s="22">
        <v>46042</v>
      </c>
      <c r="D493" s="22">
        <v>46042</v>
      </c>
      <c r="E493" s="22" t="s">
        <v>753</v>
      </c>
      <c r="F493" s="20">
        <v>312</v>
      </c>
      <c r="G493" s="20">
        <v>4672</v>
      </c>
      <c r="H493" s="20">
        <v>1.75</v>
      </c>
      <c r="I493" s="20">
        <v>285</v>
      </c>
      <c r="J493" s="20">
        <v>4.99</v>
      </c>
    </row>
    <row r="494" spans="1:10" x14ac:dyDescent="0.25">
      <c r="A494" s="20">
        <v>33189</v>
      </c>
      <c r="B494" s="20" t="s">
        <v>51</v>
      </c>
      <c r="C494" s="22">
        <v>46042</v>
      </c>
      <c r="D494" s="22">
        <v>46042</v>
      </c>
      <c r="E494" s="22" t="s">
        <v>753</v>
      </c>
      <c r="F494" s="20">
        <v>332</v>
      </c>
      <c r="G494" s="20">
        <v>246</v>
      </c>
      <c r="H494" s="20">
        <v>0</v>
      </c>
      <c r="I494" s="20">
        <v>60</v>
      </c>
      <c r="J494" s="20">
        <v>0</v>
      </c>
    </row>
    <row r="495" spans="1:10" x14ac:dyDescent="0.25">
      <c r="A495" s="20">
        <v>33190</v>
      </c>
      <c r="B495" s="20" t="s">
        <v>66</v>
      </c>
      <c r="C495" s="22">
        <v>46042</v>
      </c>
      <c r="D495" s="22">
        <v>46042</v>
      </c>
      <c r="E495" s="22" t="s">
        <v>104</v>
      </c>
      <c r="F495" s="20">
        <v>307</v>
      </c>
      <c r="G495" s="20">
        <v>10399</v>
      </c>
      <c r="H495" s="20">
        <v>70</v>
      </c>
      <c r="I495" s="20">
        <v>6.75</v>
      </c>
      <c r="J495" s="20">
        <v>4.7300000000000004</v>
      </c>
    </row>
    <row r="496" spans="1:10" x14ac:dyDescent="0.25">
      <c r="A496" s="20">
        <v>33190</v>
      </c>
      <c r="B496" s="20" t="s">
        <v>66</v>
      </c>
      <c r="C496" s="22">
        <v>46042</v>
      </c>
      <c r="D496" s="22">
        <v>46042</v>
      </c>
      <c r="E496" s="22" t="s">
        <v>753</v>
      </c>
      <c r="F496" s="20">
        <v>307</v>
      </c>
      <c r="G496" s="20">
        <v>10399</v>
      </c>
      <c r="H496" s="20">
        <v>2</v>
      </c>
      <c r="I496" s="20">
        <v>45</v>
      </c>
      <c r="J496" s="20">
        <v>0.9</v>
      </c>
    </row>
    <row r="497" spans="1:10" x14ac:dyDescent="0.25">
      <c r="A497" s="20">
        <v>33191</v>
      </c>
      <c r="B497" s="20" t="s">
        <v>55</v>
      </c>
      <c r="C497" s="22">
        <v>46042</v>
      </c>
      <c r="D497" s="22">
        <v>46042</v>
      </c>
      <c r="E497" s="22" t="s">
        <v>753</v>
      </c>
      <c r="F497" s="20">
        <v>343</v>
      </c>
      <c r="G497" s="20">
        <v>743</v>
      </c>
      <c r="H497" s="20">
        <v>1</v>
      </c>
      <c r="I497" s="20">
        <v>20</v>
      </c>
      <c r="J497" s="20">
        <v>0.2</v>
      </c>
    </row>
    <row r="498" spans="1:10" x14ac:dyDescent="0.25">
      <c r="A498" s="20">
        <v>33191</v>
      </c>
      <c r="B498" s="20" t="s">
        <v>55</v>
      </c>
      <c r="C498" s="22">
        <v>46042</v>
      </c>
      <c r="D498" s="22">
        <v>46042</v>
      </c>
      <c r="E498" s="22" t="s">
        <v>104</v>
      </c>
      <c r="F498" s="20">
        <v>343</v>
      </c>
      <c r="G498" s="20">
        <v>743</v>
      </c>
      <c r="H498" s="20">
        <v>70</v>
      </c>
      <c r="I498" s="20">
        <v>3</v>
      </c>
      <c r="J498" s="20">
        <v>2.1</v>
      </c>
    </row>
    <row r="499" spans="1:10" x14ac:dyDescent="0.25">
      <c r="A499" s="20">
        <v>33192</v>
      </c>
      <c r="B499" s="20" t="s">
        <v>68</v>
      </c>
      <c r="C499" s="22">
        <v>46042</v>
      </c>
      <c r="D499" s="22">
        <v>46042</v>
      </c>
      <c r="E499" s="22" t="s">
        <v>753</v>
      </c>
      <c r="F499" s="20">
        <v>332</v>
      </c>
      <c r="G499" s="20">
        <v>1268</v>
      </c>
      <c r="H499" s="20">
        <v>0</v>
      </c>
      <c r="I499" s="20">
        <v>6</v>
      </c>
      <c r="J499" s="20">
        <v>0</v>
      </c>
    </row>
    <row r="500" spans="1:10" x14ac:dyDescent="0.25">
      <c r="A500" s="20">
        <v>33193</v>
      </c>
      <c r="B500" s="20" t="s">
        <v>52</v>
      </c>
      <c r="C500" s="22">
        <v>46042</v>
      </c>
      <c r="D500" s="22">
        <v>46042</v>
      </c>
      <c r="E500" s="22" t="s">
        <v>104</v>
      </c>
      <c r="F500" s="20">
        <v>312</v>
      </c>
      <c r="G500" s="20">
        <v>31647</v>
      </c>
      <c r="H500" s="20">
        <v>30</v>
      </c>
      <c r="I500" s="20">
        <v>30</v>
      </c>
      <c r="J500" s="20">
        <v>9</v>
      </c>
    </row>
    <row r="501" spans="1:10" x14ac:dyDescent="0.25">
      <c r="A501" s="20">
        <v>33193</v>
      </c>
      <c r="B501" s="20" t="s">
        <v>52</v>
      </c>
      <c r="C501" s="22">
        <v>46042</v>
      </c>
      <c r="D501" s="22">
        <v>46042</v>
      </c>
      <c r="E501" s="22" t="s">
        <v>753</v>
      </c>
      <c r="F501" s="20">
        <v>312</v>
      </c>
      <c r="G501" s="20">
        <v>31647</v>
      </c>
      <c r="H501" s="20">
        <v>1.75</v>
      </c>
      <c r="I501" s="20">
        <v>200</v>
      </c>
      <c r="J501" s="20">
        <v>3.5</v>
      </c>
    </row>
    <row r="502" spans="1:10" x14ac:dyDescent="0.25">
      <c r="A502" s="20">
        <v>33194</v>
      </c>
      <c r="B502" s="20" t="s">
        <v>55</v>
      </c>
      <c r="C502" s="22">
        <v>46042</v>
      </c>
      <c r="D502" s="22">
        <v>46042</v>
      </c>
      <c r="E502" s="22" t="s">
        <v>104</v>
      </c>
      <c r="F502" s="20">
        <v>343</v>
      </c>
      <c r="G502" s="20">
        <v>744</v>
      </c>
      <c r="H502" s="20">
        <v>70</v>
      </c>
      <c r="I502" s="20">
        <v>1.5</v>
      </c>
      <c r="J502" s="20">
        <v>1.05</v>
      </c>
    </row>
    <row r="503" spans="1:10" x14ac:dyDescent="0.25">
      <c r="A503" s="20">
        <v>33194</v>
      </c>
      <c r="B503" s="20" t="s">
        <v>55</v>
      </c>
      <c r="C503" s="22">
        <v>46042</v>
      </c>
      <c r="D503" s="22">
        <v>46042</v>
      </c>
      <c r="E503" s="22" t="s">
        <v>753</v>
      </c>
      <c r="F503" s="20">
        <v>343</v>
      </c>
      <c r="G503" s="20">
        <v>744</v>
      </c>
      <c r="H503" s="20">
        <v>1</v>
      </c>
      <c r="I503" s="20">
        <v>10</v>
      </c>
      <c r="J503" s="20">
        <v>0.1</v>
      </c>
    </row>
    <row r="504" spans="1:10" x14ac:dyDescent="0.25">
      <c r="A504" s="20">
        <v>33195</v>
      </c>
      <c r="B504" s="20" t="s">
        <v>68</v>
      </c>
      <c r="C504" s="22">
        <v>46042</v>
      </c>
      <c r="D504" s="22">
        <v>46042</v>
      </c>
      <c r="E504" s="22" t="s">
        <v>753</v>
      </c>
      <c r="F504" s="20">
        <v>332</v>
      </c>
      <c r="G504" s="20">
        <v>1261</v>
      </c>
      <c r="H504" s="20">
        <v>0</v>
      </c>
      <c r="I504" s="20">
        <v>20</v>
      </c>
      <c r="J504" s="20">
        <v>0</v>
      </c>
    </row>
    <row r="505" spans="1:10" x14ac:dyDescent="0.25">
      <c r="A505" s="20">
        <v>33196</v>
      </c>
      <c r="B505" s="20" t="s">
        <v>68</v>
      </c>
      <c r="C505" s="22">
        <v>46042</v>
      </c>
      <c r="D505" s="22">
        <v>46042</v>
      </c>
      <c r="E505" s="22" t="s">
        <v>753</v>
      </c>
      <c r="F505" s="20">
        <v>332</v>
      </c>
      <c r="G505" s="20">
        <v>1262</v>
      </c>
      <c r="H505" s="20">
        <v>0</v>
      </c>
      <c r="I505" s="20">
        <v>20</v>
      </c>
      <c r="J505" s="20">
        <v>0</v>
      </c>
    </row>
    <row r="506" spans="1:10" x14ac:dyDescent="0.25">
      <c r="A506" s="20">
        <v>33197</v>
      </c>
      <c r="B506" s="20" t="s">
        <v>56</v>
      </c>
      <c r="C506" s="22">
        <v>46042</v>
      </c>
      <c r="D506" s="22">
        <v>46042</v>
      </c>
      <c r="E506" s="22" t="s">
        <v>753</v>
      </c>
      <c r="F506" s="20">
        <v>307</v>
      </c>
      <c r="G506" s="20">
        <v>1490</v>
      </c>
      <c r="H506" s="20">
        <v>2</v>
      </c>
      <c r="I506" s="20">
        <v>6</v>
      </c>
      <c r="J506" s="20">
        <v>0.12</v>
      </c>
    </row>
    <row r="507" spans="1:10" x14ac:dyDescent="0.25">
      <c r="A507" s="20">
        <v>33197</v>
      </c>
      <c r="B507" s="20" t="s">
        <v>56</v>
      </c>
      <c r="C507" s="22">
        <v>46042</v>
      </c>
      <c r="D507" s="22">
        <v>46042</v>
      </c>
      <c r="E507" s="22" t="s">
        <v>104</v>
      </c>
      <c r="F507" s="20">
        <v>307</v>
      </c>
      <c r="G507" s="20">
        <v>1490</v>
      </c>
      <c r="H507" s="20">
        <v>70</v>
      </c>
      <c r="I507" s="20">
        <v>0.9</v>
      </c>
      <c r="J507" s="20">
        <v>0.63</v>
      </c>
    </row>
    <row r="508" spans="1:10" x14ac:dyDescent="0.25">
      <c r="A508" s="20">
        <v>33198</v>
      </c>
      <c r="B508" s="20" t="s">
        <v>55</v>
      </c>
      <c r="C508" s="22">
        <v>46043</v>
      </c>
      <c r="D508" s="22">
        <v>46043</v>
      </c>
      <c r="E508" s="22" t="s">
        <v>104</v>
      </c>
      <c r="F508" s="20">
        <v>343</v>
      </c>
      <c r="G508" s="20">
        <v>758</v>
      </c>
      <c r="H508" s="20">
        <v>70</v>
      </c>
      <c r="I508" s="20">
        <v>3</v>
      </c>
      <c r="J508" s="20">
        <v>2.1</v>
      </c>
    </row>
    <row r="509" spans="1:10" x14ac:dyDescent="0.25">
      <c r="A509" s="20">
        <v>33198</v>
      </c>
      <c r="B509" s="20" t="s">
        <v>55</v>
      </c>
      <c r="C509" s="22">
        <v>46043</v>
      </c>
      <c r="D509" s="22">
        <v>46043</v>
      </c>
      <c r="E509" s="22" t="s">
        <v>753</v>
      </c>
      <c r="F509" s="20">
        <v>343</v>
      </c>
      <c r="G509" s="20">
        <v>758</v>
      </c>
      <c r="H509" s="20">
        <v>1</v>
      </c>
      <c r="I509" s="20">
        <v>20</v>
      </c>
      <c r="J509" s="20">
        <v>0.2</v>
      </c>
    </row>
    <row r="510" spans="1:10" x14ac:dyDescent="0.25">
      <c r="A510" s="20">
        <v>33199</v>
      </c>
      <c r="B510" s="20" t="s">
        <v>23</v>
      </c>
      <c r="C510" s="22">
        <v>46043</v>
      </c>
      <c r="D510" s="22">
        <v>46043</v>
      </c>
      <c r="E510" s="22" t="s">
        <v>753</v>
      </c>
      <c r="F510" s="20">
        <v>307</v>
      </c>
      <c r="G510" s="20">
        <v>2627</v>
      </c>
      <c r="H510" s="20">
        <v>2</v>
      </c>
      <c r="I510" s="20">
        <v>17.87</v>
      </c>
      <c r="J510" s="20">
        <v>0.36</v>
      </c>
    </row>
    <row r="511" spans="1:10" x14ac:dyDescent="0.25">
      <c r="A511" s="20">
        <v>33199</v>
      </c>
      <c r="B511" s="20" t="s">
        <v>23</v>
      </c>
      <c r="C511" s="22">
        <v>46043</v>
      </c>
      <c r="D511" s="22">
        <v>46043</v>
      </c>
      <c r="E511" s="22" t="s">
        <v>104</v>
      </c>
      <c r="F511" s="20">
        <v>307</v>
      </c>
      <c r="G511" s="20">
        <v>2627</v>
      </c>
      <c r="H511" s="20">
        <v>70</v>
      </c>
      <c r="I511" s="20">
        <v>2.68</v>
      </c>
      <c r="J511" s="20">
        <v>1.88</v>
      </c>
    </row>
    <row r="512" spans="1:10" x14ac:dyDescent="0.25">
      <c r="A512" s="20">
        <v>33200</v>
      </c>
      <c r="B512" s="20" t="s">
        <v>67</v>
      </c>
      <c r="C512" s="22">
        <v>46043</v>
      </c>
      <c r="D512" s="22">
        <v>46043</v>
      </c>
      <c r="E512" s="22" t="s">
        <v>753</v>
      </c>
      <c r="F512" s="20">
        <v>332</v>
      </c>
      <c r="G512" s="20">
        <v>1748</v>
      </c>
      <c r="H512" s="20">
        <v>0</v>
      </c>
      <c r="I512" s="20">
        <v>28</v>
      </c>
      <c r="J512" s="20">
        <v>0</v>
      </c>
    </row>
    <row r="513" spans="1:10" x14ac:dyDescent="0.25">
      <c r="A513" s="20">
        <v>33201</v>
      </c>
      <c r="B513" s="20" t="s">
        <v>55</v>
      </c>
      <c r="C513" s="22">
        <v>46043</v>
      </c>
      <c r="D513" s="22">
        <v>46043</v>
      </c>
      <c r="E513" s="22" t="s">
        <v>104</v>
      </c>
      <c r="F513" s="20">
        <v>343</v>
      </c>
      <c r="G513" s="20">
        <v>757</v>
      </c>
      <c r="H513" s="20">
        <v>70</v>
      </c>
      <c r="I513" s="20">
        <v>1.2</v>
      </c>
      <c r="J513" s="20">
        <v>0.84</v>
      </c>
    </row>
    <row r="514" spans="1:10" x14ac:dyDescent="0.25">
      <c r="A514" s="20">
        <v>33201</v>
      </c>
      <c r="B514" s="20" t="s">
        <v>55</v>
      </c>
      <c r="C514" s="22">
        <v>46043</v>
      </c>
      <c r="D514" s="22">
        <v>46043</v>
      </c>
      <c r="E514" s="22" t="s">
        <v>753</v>
      </c>
      <c r="F514" s="20">
        <v>343</v>
      </c>
      <c r="G514" s="20">
        <v>757</v>
      </c>
      <c r="H514" s="20">
        <v>1</v>
      </c>
      <c r="I514" s="20">
        <v>8</v>
      </c>
      <c r="J514" s="20">
        <v>0.08</v>
      </c>
    </row>
    <row r="515" spans="1:10" x14ac:dyDescent="0.25">
      <c r="A515" s="20">
        <v>33202</v>
      </c>
      <c r="B515" s="20" t="s">
        <v>68</v>
      </c>
      <c r="C515" s="22">
        <v>46043</v>
      </c>
      <c r="D515" s="22">
        <v>46043</v>
      </c>
      <c r="E515" s="22" t="s">
        <v>753</v>
      </c>
      <c r="F515" s="20">
        <v>332</v>
      </c>
      <c r="G515" s="20">
        <v>1270</v>
      </c>
      <c r="H515" s="20">
        <v>0</v>
      </c>
      <c r="I515" s="20">
        <v>11</v>
      </c>
      <c r="J515" s="20">
        <v>0</v>
      </c>
    </row>
    <row r="516" spans="1:10" x14ac:dyDescent="0.25">
      <c r="A516" s="20">
        <v>33203</v>
      </c>
      <c r="B516" s="20" t="s">
        <v>68</v>
      </c>
      <c r="C516" s="22">
        <v>46043</v>
      </c>
      <c r="D516" s="22">
        <v>46043</v>
      </c>
      <c r="E516" s="22" t="s">
        <v>753</v>
      </c>
      <c r="F516" s="20">
        <v>332</v>
      </c>
      <c r="G516" s="20">
        <v>1273</v>
      </c>
      <c r="H516" s="20">
        <v>0</v>
      </c>
      <c r="I516" s="20">
        <v>20</v>
      </c>
      <c r="J516" s="20">
        <v>0</v>
      </c>
    </row>
    <row r="517" spans="1:10" x14ac:dyDescent="0.25">
      <c r="A517" s="20">
        <v>33204</v>
      </c>
      <c r="B517" s="20" t="s">
        <v>46</v>
      </c>
      <c r="C517" s="22">
        <v>46043</v>
      </c>
      <c r="D517" s="22">
        <v>46043</v>
      </c>
      <c r="E517" s="22" t="s">
        <v>753</v>
      </c>
      <c r="F517" s="20">
        <v>312</v>
      </c>
      <c r="G517" s="20">
        <v>549</v>
      </c>
      <c r="H517" s="20">
        <v>1.75</v>
      </c>
      <c r="I517" s="20">
        <v>462.44</v>
      </c>
      <c r="J517" s="20">
        <v>8.09</v>
      </c>
    </row>
    <row r="518" spans="1:10" x14ac:dyDescent="0.25">
      <c r="A518" s="20">
        <v>33204</v>
      </c>
      <c r="B518" s="20" t="s">
        <v>46</v>
      </c>
      <c r="C518" s="22">
        <v>46043</v>
      </c>
      <c r="D518" s="22">
        <v>46043</v>
      </c>
      <c r="E518" s="22" t="s">
        <v>104</v>
      </c>
      <c r="F518" s="20">
        <v>312</v>
      </c>
      <c r="G518" s="20">
        <v>549</v>
      </c>
      <c r="H518" s="20">
        <v>30</v>
      </c>
      <c r="I518" s="20">
        <v>69.37</v>
      </c>
      <c r="J518" s="20">
        <v>20.81</v>
      </c>
    </row>
    <row r="519" spans="1:10" x14ac:dyDescent="0.25">
      <c r="A519" s="20">
        <v>33205</v>
      </c>
      <c r="B519" s="20" t="s">
        <v>46</v>
      </c>
      <c r="C519" s="22">
        <v>46043</v>
      </c>
      <c r="D519" s="22">
        <v>46043</v>
      </c>
      <c r="E519" s="22" t="s">
        <v>753</v>
      </c>
      <c r="F519" s="20">
        <v>312</v>
      </c>
      <c r="G519" s="20">
        <v>553</v>
      </c>
      <c r="H519" s="20">
        <v>1.75</v>
      </c>
      <c r="I519" s="20">
        <v>123.72</v>
      </c>
      <c r="J519" s="20">
        <v>2.17</v>
      </c>
    </row>
    <row r="520" spans="1:10" x14ac:dyDescent="0.25">
      <c r="A520" s="20">
        <v>33205</v>
      </c>
      <c r="B520" s="20" t="s">
        <v>46</v>
      </c>
      <c r="C520" s="22">
        <v>46043</v>
      </c>
      <c r="D520" s="22">
        <v>46043</v>
      </c>
      <c r="E520" s="22" t="s">
        <v>104</v>
      </c>
      <c r="F520" s="20">
        <v>312</v>
      </c>
      <c r="G520" s="20">
        <v>553</v>
      </c>
      <c r="H520" s="20">
        <v>30</v>
      </c>
      <c r="I520" s="20">
        <v>18.559999999999999</v>
      </c>
      <c r="J520" s="20">
        <v>5.57</v>
      </c>
    </row>
    <row r="521" spans="1:10" x14ac:dyDescent="0.25">
      <c r="A521" s="20">
        <v>33206</v>
      </c>
      <c r="B521" s="20" t="s">
        <v>67</v>
      </c>
      <c r="C521" s="22">
        <v>46043</v>
      </c>
      <c r="D521" s="22">
        <v>46043</v>
      </c>
      <c r="E521" s="22" t="s">
        <v>753</v>
      </c>
      <c r="F521" s="20">
        <v>332</v>
      </c>
      <c r="G521" s="20">
        <v>1751</v>
      </c>
      <c r="H521" s="20">
        <v>0</v>
      </c>
      <c r="I521" s="20">
        <v>18</v>
      </c>
      <c r="J521" s="20">
        <v>0</v>
      </c>
    </row>
    <row r="522" spans="1:10" x14ac:dyDescent="0.25">
      <c r="A522" s="20">
        <v>33207</v>
      </c>
      <c r="B522" s="20" t="s">
        <v>55</v>
      </c>
      <c r="C522" s="22">
        <v>46043</v>
      </c>
      <c r="D522" s="22">
        <v>46043</v>
      </c>
      <c r="E522" s="22" t="s">
        <v>753</v>
      </c>
      <c r="F522" s="20">
        <v>343</v>
      </c>
      <c r="G522" s="20">
        <v>749</v>
      </c>
      <c r="H522" s="20">
        <v>1</v>
      </c>
      <c r="I522" s="20">
        <v>20</v>
      </c>
      <c r="J522" s="20">
        <v>0.2</v>
      </c>
    </row>
    <row r="523" spans="1:10" x14ac:dyDescent="0.25">
      <c r="A523" s="20">
        <v>33207</v>
      </c>
      <c r="B523" s="20" t="s">
        <v>55</v>
      </c>
      <c r="C523" s="22">
        <v>46043</v>
      </c>
      <c r="D523" s="22">
        <v>46043</v>
      </c>
      <c r="E523" s="22" t="s">
        <v>104</v>
      </c>
      <c r="F523" s="20">
        <v>343</v>
      </c>
      <c r="G523" s="20">
        <v>749</v>
      </c>
      <c r="H523" s="20">
        <v>70</v>
      </c>
      <c r="I523" s="20">
        <v>3</v>
      </c>
      <c r="J523" s="20">
        <v>2.1</v>
      </c>
    </row>
    <row r="524" spans="1:10" x14ac:dyDescent="0.25">
      <c r="A524" s="20">
        <v>33208</v>
      </c>
      <c r="B524" s="20" t="s">
        <v>55</v>
      </c>
      <c r="C524" s="22">
        <v>46043</v>
      </c>
      <c r="D524" s="22">
        <v>46043</v>
      </c>
      <c r="E524" s="22" t="s">
        <v>104</v>
      </c>
      <c r="F524" s="20">
        <v>343</v>
      </c>
      <c r="G524" s="20">
        <v>756</v>
      </c>
      <c r="H524" s="20">
        <v>70</v>
      </c>
      <c r="I524" s="20">
        <v>1.5</v>
      </c>
      <c r="J524" s="20">
        <v>1.05</v>
      </c>
    </row>
    <row r="525" spans="1:10" x14ac:dyDescent="0.25">
      <c r="A525" s="20">
        <v>33208</v>
      </c>
      <c r="B525" s="20" t="s">
        <v>55</v>
      </c>
      <c r="C525" s="22">
        <v>46043</v>
      </c>
      <c r="D525" s="22">
        <v>46043</v>
      </c>
      <c r="E525" s="22" t="s">
        <v>753</v>
      </c>
      <c r="F525" s="20">
        <v>343</v>
      </c>
      <c r="G525" s="20">
        <v>756</v>
      </c>
      <c r="H525" s="20">
        <v>1</v>
      </c>
      <c r="I525" s="20">
        <v>10</v>
      </c>
      <c r="J525" s="20">
        <v>0.1</v>
      </c>
    </row>
    <row r="526" spans="1:10" x14ac:dyDescent="0.25">
      <c r="A526" s="20">
        <v>33209</v>
      </c>
      <c r="B526" s="20" t="s">
        <v>46</v>
      </c>
      <c r="C526" s="22">
        <v>46043</v>
      </c>
      <c r="D526" s="22">
        <v>46043</v>
      </c>
      <c r="E526" s="22" t="s">
        <v>753</v>
      </c>
      <c r="F526" s="20">
        <v>312</v>
      </c>
      <c r="G526" s="20">
        <v>554</v>
      </c>
      <c r="H526" s="20">
        <v>1.75</v>
      </c>
      <c r="I526" s="20">
        <v>503.71</v>
      </c>
      <c r="J526" s="20">
        <v>8.81</v>
      </c>
    </row>
    <row r="527" spans="1:10" x14ac:dyDescent="0.25">
      <c r="A527" s="20">
        <v>33209</v>
      </c>
      <c r="B527" s="20" t="s">
        <v>46</v>
      </c>
      <c r="C527" s="22">
        <v>46043</v>
      </c>
      <c r="D527" s="22">
        <v>46043</v>
      </c>
      <c r="E527" s="22" t="s">
        <v>104</v>
      </c>
      <c r="F527" s="20">
        <v>312</v>
      </c>
      <c r="G527" s="20">
        <v>554</v>
      </c>
      <c r="H527" s="20">
        <v>30</v>
      </c>
      <c r="I527" s="20">
        <v>75.56</v>
      </c>
      <c r="J527" s="20">
        <v>22.67</v>
      </c>
    </row>
    <row r="528" spans="1:10" x14ac:dyDescent="0.25">
      <c r="A528" s="20">
        <v>33210</v>
      </c>
      <c r="B528" s="20" t="s">
        <v>55</v>
      </c>
      <c r="C528" s="22">
        <v>46043</v>
      </c>
      <c r="D528" s="22">
        <v>46043</v>
      </c>
      <c r="E528" s="22" t="s">
        <v>753</v>
      </c>
      <c r="F528" s="20">
        <v>343</v>
      </c>
      <c r="G528" s="20">
        <v>755</v>
      </c>
      <c r="H528" s="20">
        <v>1</v>
      </c>
      <c r="I528" s="20">
        <v>20</v>
      </c>
      <c r="J528" s="20">
        <v>0.2</v>
      </c>
    </row>
    <row r="529" spans="1:10" x14ac:dyDescent="0.25">
      <c r="A529" s="20">
        <v>33210</v>
      </c>
      <c r="B529" s="20" t="s">
        <v>55</v>
      </c>
      <c r="C529" s="22">
        <v>46043</v>
      </c>
      <c r="D529" s="22">
        <v>46043</v>
      </c>
      <c r="E529" s="22" t="s">
        <v>104</v>
      </c>
      <c r="F529" s="20">
        <v>343</v>
      </c>
      <c r="G529" s="20">
        <v>755</v>
      </c>
      <c r="H529" s="20">
        <v>70</v>
      </c>
      <c r="I529" s="20">
        <v>3</v>
      </c>
      <c r="J529" s="20">
        <v>2.1</v>
      </c>
    </row>
    <row r="530" spans="1:10" x14ac:dyDescent="0.25">
      <c r="A530" s="20">
        <v>33211</v>
      </c>
      <c r="B530" s="20" t="s">
        <v>68</v>
      </c>
      <c r="C530" s="22">
        <v>46043</v>
      </c>
      <c r="D530" s="22">
        <v>46043</v>
      </c>
      <c r="E530" s="22" t="s">
        <v>753</v>
      </c>
      <c r="F530" s="20">
        <v>332</v>
      </c>
      <c r="G530" s="20">
        <v>1271</v>
      </c>
      <c r="H530" s="20">
        <v>0</v>
      </c>
      <c r="I530" s="20">
        <v>11</v>
      </c>
      <c r="J530" s="20">
        <v>0</v>
      </c>
    </row>
    <row r="531" spans="1:10" x14ac:dyDescent="0.25">
      <c r="A531" s="20">
        <v>33212</v>
      </c>
      <c r="B531" s="20" t="s">
        <v>56</v>
      </c>
      <c r="C531" s="22">
        <v>46043</v>
      </c>
      <c r="D531" s="22">
        <v>46043</v>
      </c>
      <c r="E531" s="22" t="s">
        <v>753</v>
      </c>
      <c r="F531" s="20">
        <v>307</v>
      </c>
      <c r="G531" s="20">
        <v>1493</v>
      </c>
      <c r="H531" s="20">
        <v>2</v>
      </c>
      <c r="I531" s="20">
        <v>10</v>
      </c>
      <c r="J531" s="20">
        <v>0.2</v>
      </c>
    </row>
    <row r="532" spans="1:10" x14ac:dyDescent="0.25">
      <c r="A532" s="20">
        <v>33212</v>
      </c>
      <c r="B532" s="20" t="s">
        <v>56</v>
      </c>
      <c r="C532" s="22">
        <v>46043</v>
      </c>
      <c r="D532" s="22">
        <v>46043</v>
      </c>
      <c r="E532" s="22" t="s">
        <v>104</v>
      </c>
      <c r="F532" s="20">
        <v>307</v>
      </c>
      <c r="G532" s="20">
        <v>1493</v>
      </c>
      <c r="H532" s="20">
        <v>70</v>
      </c>
      <c r="I532" s="20">
        <v>1.5</v>
      </c>
      <c r="J532" s="20">
        <v>1.05</v>
      </c>
    </row>
    <row r="533" spans="1:10" x14ac:dyDescent="0.25">
      <c r="A533" s="20">
        <v>33213</v>
      </c>
      <c r="B533" s="20" t="s">
        <v>23</v>
      </c>
      <c r="C533" s="22">
        <v>46043</v>
      </c>
      <c r="D533" s="22">
        <v>46043</v>
      </c>
      <c r="E533" s="22" t="s">
        <v>104</v>
      </c>
      <c r="F533" s="20">
        <v>307</v>
      </c>
      <c r="G533" s="20">
        <v>2635</v>
      </c>
      <c r="H533" s="20">
        <v>70</v>
      </c>
      <c r="I533" s="20">
        <v>2.68</v>
      </c>
      <c r="J533" s="20">
        <v>1.88</v>
      </c>
    </row>
    <row r="534" spans="1:10" x14ac:dyDescent="0.25">
      <c r="A534" s="20">
        <v>33213</v>
      </c>
      <c r="B534" s="20" t="s">
        <v>23</v>
      </c>
      <c r="C534" s="22">
        <v>46043</v>
      </c>
      <c r="D534" s="22">
        <v>46043</v>
      </c>
      <c r="E534" s="22" t="s">
        <v>753</v>
      </c>
      <c r="F534" s="20">
        <v>307</v>
      </c>
      <c r="G534" s="20">
        <v>2635</v>
      </c>
      <c r="H534" s="20">
        <v>2</v>
      </c>
      <c r="I534" s="20">
        <v>17.87</v>
      </c>
      <c r="J534" s="20">
        <v>0.36</v>
      </c>
    </row>
    <row r="535" spans="1:10" x14ac:dyDescent="0.25">
      <c r="A535" s="20">
        <v>33214</v>
      </c>
      <c r="B535" s="20" t="s">
        <v>67</v>
      </c>
      <c r="C535" s="22">
        <v>46043</v>
      </c>
      <c r="D535" s="22">
        <v>46043</v>
      </c>
      <c r="E535" s="22" t="s">
        <v>753</v>
      </c>
      <c r="F535" s="20">
        <v>332</v>
      </c>
      <c r="G535" s="20">
        <v>1752</v>
      </c>
      <c r="H535" s="20">
        <v>0</v>
      </c>
      <c r="I535" s="20">
        <v>18</v>
      </c>
      <c r="J535" s="20">
        <v>0</v>
      </c>
    </row>
    <row r="536" spans="1:10" x14ac:dyDescent="0.25">
      <c r="A536" s="20">
        <v>33215</v>
      </c>
      <c r="B536" s="20" t="s">
        <v>55</v>
      </c>
      <c r="C536" s="22">
        <v>46043</v>
      </c>
      <c r="D536" s="22">
        <v>46043</v>
      </c>
      <c r="E536" s="22" t="s">
        <v>753</v>
      </c>
      <c r="F536" s="20">
        <v>343</v>
      </c>
      <c r="G536" s="20">
        <v>753</v>
      </c>
      <c r="H536" s="20">
        <v>1</v>
      </c>
      <c r="I536" s="20">
        <v>8</v>
      </c>
      <c r="J536" s="20">
        <v>0.08</v>
      </c>
    </row>
    <row r="537" spans="1:10" x14ac:dyDescent="0.25">
      <c r="A537" s="20">
        <v>33215</v>
      </c>
      <c r="B537" s="20" t="s">
        <v>55</v>
      </c>
      <c r="C537" s="22">
        <v>46043</v>
      </c>
      <c r="D537" s="22">
        <v>46043</v>
      </c>
      <c r="E537" s="22" t="s">
        <v>104</v>
      </c>
      <c r="F537" s="20">
        <v>343</v>
      </c>
      <c r="G537" s="20">
        <v>753</v>
      </c>
      <c r="H537" s="20">
        <v>70</v>
      </c>
      <c r="I537" s="20">
        <v>1.2</v>
      </c>
      <c r="J537" s="20">
        <v>0.84</v>
      </c>
    </row>
    <row r="538" spans="1:10" x14ac:dyDescent="0.25">
      <c r="A538" s="20">
        <v>33216</v>
      </c>
      <c r="B538" s="20" t="s">
        <v>56</v>
      </c>
      <c r="C538" s="22">
        <v>46043</v>
      </c>
      <c r="D538" s="22">
        <v>46043</v>
      </c>
      <c r="E538" s="22" t="s">
        <v>104</v>
      </c>
      <c r="F538" s="20">
        <v>307</v>
      </c>
      <c r="G538" s="20">
        <v>1494</v>
      </c>
      <c r="H538" s="20">
        <v>70</v>
      </c>
      <c r="I538" s="20">
        <v>1.5</v>
      </c>
      <c r="J538" s="20">
        <v>1.05</v>
      </c>
    </row>
    <row r="539" spans="1:10" x14ac:dyDescent="0.25">
      <c r="A539" s="20">
        <v>33216</v>
      </c>
      <c r="B539" s="20" t="s">
        <v>56</v>
      </c>
      <c r="C539" s="22">
        <v>46043</v>
      </c>
      <c r="D539" s="22">
        <v>46043</v>
      </c>
      <c r="E539" s="22" t="s">
        <v>753</v>
      </c>
      <c r="F539" s="20">
        <v>307</v>
      </c>
      <c r="G539" s="20">
        <v>1494</v>
      </c>
      <c r="H539" s="20">
        <v>2</v>
      </c>
      <c r="I539" s="20">
        <v>10</v>
      </c>
      <c r="J539" s="20">
        <v>0.2</v>
      </c>
    </row>
    <row r="540" spans="1:10" x14ac:dyDescent="0.25">
      <c r="A540" s="20">
        <v>33217</v>
      </c>
      <c r="B540" s="20" t="s">
        <v>23</v>
      </c>
      <c r="C540" s="22">
        <v>46043</v>
      </c>
      <c r="D540" s="22">
        <v>46043</v>
      </c>
      <c r="E540" s="22" t="s">
        <v>753</v>
      </c>
      <c r="F540" s="20">
        <v>307</v>
      </c>
      <c r="G540" s="20">
        <v>2634</v>
      </c>
      <c r="H540" s="20">
        <v>2</v>
      </c>
      <c r="I540" s="20">
        <v>17.87</v>
      </c>
      <c r="J540" s="20">
        <v>0.36</v>
      </c>
    </row>
    <row r="541" spans="1:10" x14ac:dyDescent="0.25">
      <c r="A541" s="20">
        <v>33217</v>
      </c>
      <c r="B541" s="20" t="s">
        <v>23</v>
      </c>
      <c r="C541" s="22">
        <v>46043</v>
      </c>
      <c r="D541" s="22">
        <v>46043</v>
      </c>
      <c r="E541" s="22" t="s">
        <v>104</v>
      </c>
      <c r="F541" s="20">
        <v>307</v>
      </c>
      <c r="G541" s="20">
        <v>2634</v>
      </c>
      <c r="H541" s="20">
        <v>70</v>
      </c>
      <c r="I541" s="20">
        <v>2.68</v>
      </c>
      <c r="J541" s="20">
        <v>1.88</v>
      </c>
    </row>
    <row r="542" spans="1:10" x14ac:dyDescent="0.25">
      <c r="A542" s="20">
        <v>33218</v>
      </c>
      <c r="B542" s="20" t="s">
        <v>55</v>
      </c>
      <c r="C542" s="22">
        <v>46043</v>
      </c>
      <c r="D542" s="22">
        <v>46043</v>
      </c>
      <c r="E542" s="22" t="s">
        <v>104</v>
      </c>
      <c r="F542" s="20">
        <v>343</v>
      </c>
      <c r="G542" s="20">
        <v>750</v>
      </c>
      <c r="H542" s="20">
        <v>70</v>
      </c>
      <c r="I542" s="20">
        <v>1.2</v>
      </c>
      <c r="J542" s="20">
        <v>0.84</v>
      </c>
    </row>
    <row r="543" spans="1:10" x14ac:dyDescent="0.25">
      <c r="A543" s="20">
        <v>33218</v>
      </c>
      <c r="B543" s="20" t="s">
        <v>55</v>
      </c>
      <c r="C543" s="22">
        <v>46043</v>
      </c>
      <c r="D543" s="22">
        <v>46043</v>
      </c>
      <c r="E543" s="22" t="s">
        <v>753</v>
      </c>
      <c r="F543" s="20">
        <v>343</v>
      </c>
      <c r="G543" s="20">
        <v>750</v>
      </c>
      <c r="H543" s="20">
        <v>1</v>
      </c>
      <c r="I543" s="20">
        <v>8</v>
      </c>
      <c r="J543" s="20">
        <v>0.08</v>
      </c>
    </row>
    <row r="544" spans="1:10" x14ac:dyDescent="0.25">
      <c r="A544" s="20">
        <v>33219</v>
      </c>
      <c r="B544" s="20" t="s">
        <v>68</v>
      </c>
      <c r="C544" s="22">
        <v>46043</v>
      </c>
      <c r="D544" s="22">
        <v>46043</v>
      </c>
      <c r="E544" s="22" t="s">
        <v>753</v>
      </c>
      <c r="F544" s="20">
        <v>332</v>
      </c>
      <c r="G544" s="20">
        <v>1274</v>
      </c>
      <c r="H544" s="20">
        <v>0</v>
      </c>
      <c r="I544" s="20">
        <v>6</v>
      </c>
      <c r="J544" s="20">
        <v>0</v>
      </c>
    </row>
    <row r="545" spans="1:10" x14ac:dyDescent="0.25">
      <c r="A545" s="20">
        <v>33220</v>
      </c>
      <c r="B545" s="20" t="s">
        <v>67</v>
      </c>
      <c r="C545" s="22">
        <v>46043</v>
      </c>
      <c r="D545" s="22">
        <v>46043</v>
      </c>
      <c r="E545" s="22" t="s">
        <v>753</v>
      </c>
      <c r="F545" s="20">
        <v>332</v>
      </c>
      <c r="G545" s="20">
        <v>1753</v>
      </c>
      <c r="H545" s="20">
        <v>0</v>
      </c>
      <c r="I545" s="20">
        <v>18</v>
      </c>
      <c r="J545" s="20">
        <v>0</v>
      </c>
    </row>
    <row r="546" spans="1:10" x14ac:dyDescent="0.25">
      <c r="A546" s="20">
        <v>33221</v>
      </c>
      <c r="B546" s="20" t="s">
        <v>55</v>
      </c>
      <c r="C546" s="22">
        <v>46043</v>
      </c>
      <c r="D546" s="22">
        <v>46043</v>
      </c>
      <c r="E546" s="22" t="s">
        <v>104</v>
      </c>
      <c r="F546" s="20">
        <v>343</v>
      </c>
      <c r="G546" s="20">
        <v>751</v>
      </c>
      <c r="H546" s="20">
        <v>70</v>
      </c>
      <c r="I546" s="20">
        <v>3</v>
      </c>
      <c r="J546" s="20">
        <v>2.1</v>
      </c>
    </row>
    <row r="547" spans="1:10" x14ac:dyDescent="0.25">
      <c r="A547" s="20">
        <v>33221</v>
      </c>
      <c r="B547" s="20" t="s">
        <v>55</v>
      </c>
      <c r="C547" s="22">
        <v>46043</v>
      </c>
      <c r="D547" s="22">
        <v>46043</v>
      </c>
      <c r="E547" s="22" t="s">
        <v>753</v>
      </c>
      <c r="F547" s="20">
        <v>343</v>
      </c>
      <c r="G547" s="20">
        <v>751</v>
      </c>
      <c r="H547" s="20">
        <v>1</v>
      </c>
      <c r="I547" s="20">
        <v>20</v>
      </c>
      <c r="J547" s="20">
        <v>0.2</v>
      </c>
    </row>
    <row r="548" spans="1:10" x14ac:dyDescent="0.25">
      <c r="A548" s="20">
        <v>33222</v>
      </c>
      <c r="B548" s="20" t="s">
        <v>55</v>
      </c>
      <c r="C548" s="22">
        <v>46043</v>
      </c>
      <c r="D548" s="22">
        <v>46043</v>
      </c>
      <c r="E548" s="22" t="s">
        <v>753</v>
      </c>
      <c r="F548" s="20">
        <v>343</v>
      </c>
      <c r="G548" s="20">
        <v>761</v>
      </c>
      <c r="H548" s="20">
        <v>1</v>
      </c>
      <c r="I548" s="20">
        <v>10</v>
      </c>
      <c r="J548" s="20">
        <v>0.1</v>
      </c>
    </row>
    <row r="549" spans="1:10" x14ac:dyDescent="0.25">
      <c r="A549" s="20">
        <v>33222</v>
      </c>
      <c r="B549" s="20" t="s">
        <v>55</v>
      </c>
      <c r="C549" s="22">
        <v>46043</v>
      </c>
      <c r="D549" s="22">
        <v>46043</v>
      </c>
      <c r="E549" s="22" t="s">
        <v>104</v>
      </c>
      <c r="F549" s="20">
        <v>343</v>
      </c>
      <c r="G549" s="20">
        <v>761</v>
      </c>
      <c r="H549" s="20">
        <v>70</v>
      </c>
      <c r="I549" s="20">
        <v>1.5</v>
      </c>
      <c r="J549" s="20">
        <v>1.05</v>
      </c>
    </row>
    <row r="550" spans="1:10" x14ac:dyDescent="0.25">
      <c r="A550" s="20">
        <v>33223</v>
      </c>
      <c r="B550" s="20" t="s">
        <v>68</v>
      </c>
      <c r="C550" s="22">
        <v>46043</v>
      </c>
      <c r="D550" s="22">
        <v>46043</v>
      </c>
      <c r="E550" s="22" t="s">
        <v>753</v>
      </c>
      <c r="F550" s="20">
        <v>332</v>
      </c>
      <c r="G550" s="20">
        <v>1272</v>
      </c>
      <c r="H550" s="20">
        <v>0</v>
      </c>
      <c r="I550" s="20">
        <v>6</v>
      </c>
      <c r="J550" s="20">
        <v>0</v>
      </c>
    </row>
    <row r="551" spans="1:10" x14ac:dyDescent="0.25">
      <c r="A551" s="20">
        <v>33224</v>
      </c>
      <c r="B551" s="20" t="s">
        <v>23</v>
      </c>
      <c r="C551" s="22">
        <v>46043</v>
      </c>
      <c r="D551" s="22">
        <v>46043</v>
      </c>
      <c r="E551" s="22" t="s">
        <v>753</v>
      </c>
      <c r="F551" s="20">
        <v>307</v>
      </c>
      <c r="G551" s="20">
        <v>2636</v>
      </c>
      <c r="H551" s="20">
        <v>2</v>
      </c>
      <c r="I551" s="20">
        <v>17.87</v>
      </c>
      <c r="J551" s="20">
        <v>0.36</v>
      </c>
    </row>
    <row r="552" spans="1:10" x14ac:dyDescent="0.25">
      <c r="A552" s="20">
        <v>33224</v>
      </c>
      <c r="B552" s="20" t="s">
        <v>23</v>
      </c>
      <c r="C552" s="22">
        <v>46043</v>
      </c>
      <c r="D552" s="22">
        <v>46043</v>
      </c>
      <c r="E552" s="22" t="s">
        <v>104</v>
      </c>
      <c r="F552" s="20">
        <v>307</v>
      </c>
      <c r="G552" s="20">
        <v>2636</v>
      </c>
      <c r="H552" s="20">
        <v>70</v>
      </c>
      <c r="I552" s="20">
        <v>2.68</v>
      </c>
      <c r="J552" s="20">
        <v>1.88</v>
      </c>
    </row>
    <row r="553" spans="1:10" x14ac:dyDescent="0.25">
      <c r="A553" s="20">
        <v>33225</v>
      </c>
      <c r="B553" s="20" t="s">
        <v>54</v>
      </c>
      <c r="C553" s="22">
        <v>46044</v>
      </c>
      <c r="D553" s="22">
        <v>46044</v>
      </c>
      <c r="E553" s="22" t="s">
        <v>753</v>
      </c>
      <c r="F553" s="20">
        <v>307</v>
      </c>
      <c r="G553" s="20">
        <v>81</v>
      </c>
      <c r="H553" s="20">
        <v>2</v>
      </c>
      <c r="I553" s="20">
        <v>100</v>
      </c>
      <c r="J553" s="20">
        <v>2</v>
      </c>
    </row>
    <row r="554" spans="1:10" x14ac:dyDescent="0.25">
      <c r="A554" s="20">
        <v>33226</v>
      </c>
      <c r="B554" s="20" t="s">
        <v>55</v>
      </c>
      <c r="C554" s="22">
        <v>46044</v>
      </c>
      <c r="D554" s="22">
        <v>46044</v>
      </c>
      <c r="E554" s="22" t="s">
        <v>104</v>
      </c>
      <c r="F554" s="20">
        <v>343</v>
      </c>
      <c r="G554" s="20">
        <v>763</v>
      </c>
      <c r="H554" s="20">
        <v>70</v>
      </c>
      <c r="I554" s="20">
        <v>1.5</v>
      </c>
      <c r="J554" s="20">
        <v>1.05</v>
      </c>
    </row>
    <row r="555" spans="1:10" x14ac:dyDescent="0.25">
      <c r="A555" s="20">
        <v>33226</v>
      </c>
      <c r="B555" s="20" t="s">
        <v>55</v>
      </c>
      <c r="C555" s="22">
        <v>46044</v>
      </c>
      <c r="D555" s="22">
        <v>46044</v>
      </c>
      <c r="E555" s="22" t="s">
        <v>753</v>
      </c>
      <c r="F555" s="20">
        <v>343</v>
      </c>
      <c r="G555" s="20">
        <v>763</v>
      </c>
      <c r="H555" s="20">
        <v>1</v>
      </c>
      <c r="I555" s="20">
        <v>10</v>
      </c>
      <c r="J555" s="20">
        <v>0.1</v>
      </c>
    </row>
    <row r="556" spans="1:10" x14ac:dyDescent="0.25">
      <c r="A556" s="20">
        <v>33227</v>
      </c>
      <c r="B556" s="20" t="s">
        <v>56</v>
      </c>
      <c r="C556" s="22">
        <v>46044</v>
      </c>
      <c r="D556" s="22">
        <v>46044</v>
      </c>
      <c r="E556" s="22" t="s">
        <v>104</v>
      </c>
      <c r="F556" s="20">
        <v>307</v>
      </c>
      <c r="G556" s="20">
        <v>1498</v>
      </c>
      <c r="H556" s="20">
        <v>70</v>
      </c>
      <c r="I556" s="20">
        <v>1.8</v>
      </c>
      <c r="J556" s="20">
        <v>1.26</v>
      </c>
    </row>
    <row r="557" spans="1:10" x14ac:dyDescent="0.25">
      <c r="A557" s="20">
        <v>33227</v>
      </c>
      <c r="B557" s="20" t="s">
        <v>56</v>
      </c>
      <c r="C557" s="22">
        <v>46044</v>
      </c>
      <c r="D557" s="22">
        <v>46044</v>
      </c>
      <c r="E557" s="22" t="s">
        <v>753</v>
      </c>
      <c r="F557" s="20">
        <v>307</v>
      </c>
      <c r="G557" s="20">
        <v>1498</v>
      </c>
      <c r="H557" s="20">
        <v>2</v>
      </c>
      <c r="I557" s="20">
        <v>12</v>
      </c>
      <c r="J557" s="20">
        <v>0.24</v>
      </c>
    </row>
    <row r="558" spans="1:10" x14ac:dyDescent="0.25">
      <c r="A558" s="20">
        <v>33228</v>
      </c>
      <c r="B558" s="20" t="s">
        <v>23</v>
      </c>
      <c r="C558" s="22">
        <v>46044</v>
      </c>
      <c r="D558" s="22">
        <v>46044</v>
      </c>
      <c r="E558" s="22" t="s">
        <v>753</v>
      </c>
      <c r="F558" s="20">
        <v>307</v>
      </c>
      <c r="G558" s="20">
        <v>2640</v>
      </c>
      <c r="H558" s="20">
        <v>2</v>
      </c>
      <c r="I558" s="20">
        <v>17.87</v>
      </c>
      <c r="J558" s="20">
        <v>0.36</v>
      </c>
    </row>
    <row r="559" spans="1:10" x14ac:dyDescent="0.25">
      <c r="A559" s="20">
        <v>33228</v>
      </c>
      <c r="B559" s="20" t="s">
        <v>23</v>
      </c>
      <c r="C559" s="22">
        <v>46044</v>
      </c>
      <c r="D559" s="22">
        <v>46044</v>
      </c>
      <c r="E559" s="22" t="s">
        <v>104</v>
      </c>
      <c r="F559" s="20">
        <v>307</v>
      </c>
      <c r="G559" s="20">
        <v>2640</v>
      </c>
      <c r="H559" s="20">
        <v>70</v>
      </c>
      <c r="I559" s="20">
        <v>2.68</v>
      </c>
      <c r="J559" s="20">
        <v>1.88</v>
      </c>
    </row>
    <row r="560" spans="1:10" x14ac:dyDescent="0.25">
      <c r="A560" s="20">
        <v>33229</v>
      </c>
      <c r="B560" s="20" t="s">
        <v>55</v>
      </c>
      <c r="C560" s="22">
        <v>46044</v>
      </c>
      <c r="D560" s="22">
        <v>46044</v>
      </c>
      <c r="E560" s="22" t="s">
        <v>753</v>
      </c>
      <c r="F560" s="20">
        <v>343</v>
      </c>
      <c r="G560" s="20">
        <v>765</v>
      </c>
      <c r="H560" s="20">
        <v>1</v>
      </c>
      <c r="I560" s="20">
        <v>20</v>
      </c>
      <c r="J560" s="20">
        <v>0.2</v>
      </c>
    </row>
    <row r="561" spans="1:10" x14ac:dyDescent="0.25">
      <c r="A561" s="20">
        <v>33229</v>
      </c>
      <c r="B561" s="20" t="s">
        <v>55</v>
      </c>
      <c r="C561" s="22">
        <v>46044</v>
      </c>
      <c r="D561" s="22">
        <v>46044</v>
      </c>
      <c r="E561" s="22" t="s">
        <v>104</v>
      </c>
      <c r="F561" s="20">
        <v>343</v>
      </c>
      <c r="G561" s="20">
        <v>765</v>
      </c>
      <c r="H561" s="20">
        <v>70</v>
      </c>
      <c r="I561" s="20">
        <v>3</v>
      </c>
      <c r="J561" s="20">
        <v>2.1</v>
      </c>
    </row>
    <row r="562" spans="1:10" x14ac:dyDescent="0.25">
      <c r="A562" s="20">
        <v>33230</v>
      </c>
      <c r="B562" s="20" t="s">
        <v>55</v>
      </c>
      <c r="C562" s="22">
        <v>46044</v>
      </c>
      <c r="D562" s="22">
        <v>46044</v>
      </c>
      <c r="E562" s="22" t="s">
        <v>753</v>
      </c>
      <c r="F562" s="20">
        <v>343</v>
      </c>
      <c r="G562" s="20">
        <v>769</v>
      </c>
      <c r="H562" s="20">
        <v>1</v>
      </c>
      <c r="I562" s="20">
        <v>8</v>
      </c>
      <c r="J562" s="20">
        <v>0.08</v>
      </c>
    </row>
    <row r="563" spans="1:10" x14ac:dyDescent="0.25">
      <c r="A563" s="20">
        <v>33230</v>
      </c>
      <c r="B563" s="20" t="s">
        <v>55</v>
      </c>
      <c r="C563" s="22">
        <v>46044</v>
      </c>
      <c r="D563" s="22">
        <v>46044</v>
      </c>
      <c r="E563" s="22" t="s">
        <v>104</v>
      </c>
      <c r="F563" s="20">
        <v>343</v>
      </c>
      <c r="G563" s="20">
        <v>769</v>
      </c>
      <c r="H563" s="20">
        <v>70</v>
      </c>
      <c r="I563" s="20">
        <v>1.2</v>
      </c>
      <c r="J563" s="20">
        <v>0.84</v>
      </c>
    </row>
    <row r="564" spans="1:10" x14ac:dyDescent="0.25">
      <c r="A564" s="20">
        <v>33231</v>
      </c>
      <c r="B564" s="20" t="s">
        <v>68</v>
      </c>
      <c r="C564" s="22">
        <v>46044</v>
      </c>
      <c r="D564" s="22">
        <v>46044</v>
      </c>
      <c r="E564" s="22" t="s">
        <v>753</v>
      </c>
      <c r="F564" s="20">
        <v>332</v>
      </c>
      <c r="G564" s="20">
        <v>1275</v>
      </c>
      <c r="H564" s="20">
        <v>0</v>
      </c>
      <c r="I564" s="20">
        <v>20</v>
      </c>
      <c r="J564" s="20">
        <v>0</v>
      </c>
    </row>
    <row r="565" spans="1:10" x14ac:dyDescent="0.25">
      <c r="A565" s="20">
        <v>33232</v>
      </c>
      <c r="B565" s="20" t="s">
        <v>56</v>
      </c>
      <c r="C565" s="22">
        <v>46044</v>
      </c>
      <c r="D565" s="22">
        <v>46044</v>
      </c>
      <c r="E565" s="22" t="s">
        <v>753</v>
      </c>
      <c r="F565" s="20">
        <v>307</v>
      </c>
      <c r="G565" s="20">
        <v>1497</v>
      </c>
      <c r="H565" s="20">
        <v>2</v>
      </c>
      <c r="I565" s="20">
        <v>6</v>
      </c>
      <c r="J565" s="20">
        <v>0.12</v>
      </c>
    </row>
    <row r="566" spans="1:10" x14ac:dyDescent="0.25">
      <c r="A566" s="20">
        <v>33232</v>
      </c>
      <c r="B566" s="20" t="s">
        <v>56</v>
      </c>
      <c r="C566" s="22">
        <v>46044</v>
      </c>
      <c r="D566" s="22">
        <v>46044</v>
      </c>
      <c r="E566" s="22" t="s">
        <v>104</v>
      </c>
      <c r="F566" s="20">
        <v>307</v>
      </c>
      <c r="G566" s="20">
        <v>1497</v>
      </c>
      <c r="H566" s="20">
        <v>70</v>
      </c>
      <c r="I566" s="20">
        <v>0.9</v>
      </c>
      <c r="J566" s="20">
        <v>0.63</v>
      </c>
    </row>
    <row r="567" spans="1:10" x14ac:dyDescent="0.25">
      <c r="A567" s="20">
        <v>33233</v>
      </c>
      <c r="B567" s="20" t="s">
        <v>14</v>
      </c>
      <c r="C567" s="22">
        <v>46044</v>
      </c>
      <c r="D567" s="22">
        <v>46044</v>
      </c>
      <c r="E567" s="22" t="s">
        <v>753</v>
      </c>
      <c r="F567" s="20">
        <v>312</v>
      </c>
      <c r="G567" s="20">
        <v>240</v>
      </c>
      <c r="H567" s="20">
        <v>1.75</v>
      </c>
      <c r="I567" s="20">
        <v>100</v>
      </c>
      <c r="J567" s="20">
        <v>1.75</v>
      </c>
    </row>
    <row r="568" spans="1:10" x14ac:dyDescent="0.25">
      <c r="A568" s="20">
        <v>33234</v>
      </c>
      <c r="B568" s="20" t="s">
        <v>55</v>
      </c>
      <c r="C568" s="22">
        <v>46044</v>
      </c>
      <c r="D568" s="22">
        <v>46044</v>
      </c>
      <c r="E568" s="22" t="s">
        <v>753</v>
      </c>
      <c r="F568" s="20">
        <v>343</v>
      </c>
      <c r="G568" s="20">
        <v>766</v>
      </c>
      <c r="H568" s="20">
        <v>1</v>
      </c>
      <c r="I568" s="20">
        <v>10</v>
      </c>
      <c r="J568" s="20">
        <v>0.1</v>
      </c>
    </row>
    <row r="569" spans="1:10" x14ac:dyDescent="0.25">
      <c r="A569" s="20">
        <v>33234</v>
      </c>
      <c r="B569" s="20" t="s">
        <v>55</v>
      </c>
      <c r="C569" s="22">
        <v>46044</v>
      </c>
      <c r="D569" s="22">
        <v>46044</v>
      </c>
      <c r="E569" s="22" t="s">
        <v>104</v>
      </c>
      <c r="F569" s="20">
        <v>343</v>
      </c>
      <c r="G569" s="20">
        <v>766</v>
      </c>
      <c r="H569" s="20">
        <v>70</v>
      </c>
      <c r="I569" s="20">
        <v>1.5</v>
      </c>
      <c r="J569" s="20">
        <v>1.05</v>
      </c>
    </row>
    <row r="570" spans="1:10" x14ac:dyDescent="0.25">
      <c r="A570" s="20">
        <v>33235</v>
      </c>
      <c r="B570" s="20" t="s">
        <v>16</v>
      </c>
      <c r="C570" s="22">
        <v>46044</v>
      </c>
      <c r="D570" s="22">
        <v>46044</v>
      </c>
      <c r="E570" s="22" t="s">
        <v>753</v>
      </c>
      <c r="F570" s="20">
        <v>332</v>
      </c>
      <c r="G570" s="20">
        <v>627</v>
      </c>
      <c r="H570" s="20">
        <v>0</v>
      </c>
      <c r="I570" s="20">
        <v>10</v>
      </c>
      <c r="J570" s="20">
        <v>0</v>
      </c>
    </row>
    <row r="571" spans="1:10" x14ac:dyDescent="0.25">
      <c r="A571" s="20">
        <v>33236</v>
      </c>
      <c r="B571" s="20" t="s">
        <v>63</v>
      </c>
      <c r="C571" s="22">
        <v>46044</v>
      </c>
      <c r="D571" s="22">
        <v>46044</v>
      </c>
      <c r="E571" s="22" t="s">
        <v>753</v>
      </c>
      <c r="F571" s="20">
        <v>343</v>
      </c>
      <c r="G571" s="20">
        <v>627</v>
      </c>
      <c r="H571" s="20">
        <v>1</v>
      </c>
      <c r="I571" s="20">
        <v>201.05</v>
      </c>
      <c r="J571" s="20">
        <v>2.0099999999999998</v>
      </c>
    </row>
    <row r="572" spans="1:10" x14ac:dyDescent="0.25">
      <c r="A572" s="20">
        <v>33237</v>
      </c>
      <c r="B572" s="20" t="s">
        <v>46</v>
      </c>
      <c r="C572" s="22">
        <v>46044</v>
      </c>
      <c r="D572" s="22">
        <v>46044</v>
      </c>
      <c r="E572" s="22" t="s">
        <v>753</v>
      </c>
      <c r="F572" s="20">
        <v>312</v>
      </c>
      <c r="G572" s="20">
        <v>558</v>
      </c>
      <c r="H572" s="20">
        <v>1.75</v>
      </c>
      <c r="I572" s="20">
        <v>11.4</v>
      </c>
      <c r="J572" s="20">
        <v>0.2</v>
      </c>
    </row>
    <row r="573" spans="1:10" x14ac:dyDescent="0.25">
      <c r="A573" s="20">
        <v>33237</v>
      </c>
      <c r="B573" s="20" t="s">
        <v>46</v>
      </c>
      <c r="C573" s="22">
        <v>46044</v>
      </c>
      <c r="D573" s="22">
        <v>46044</v>
      </c>
      <c r="E573" s="22" t="s">
        <v>104</v>
      </c>
      <c r="F573" s="20">
        <v>312</v>
      </c>
      <c r="G573" s="20">
        <v>558</v>
      </c>
      <c r="H573" s="20">
        <v>30</v>
      </c>
      <c r="I573" s="20">
        <v>1.71</v>
      </c>
      <c r="J573" s="20">
        <v>0.51</v>
      </c>
    </row>
    <row r="574" spans="1:10" x14ac:dyDescent="0.25">
      <c r="A574" s="20">
        <v>33238</v>
      </c>
      <c r="B574" s="20" t="s">
        <v>29</v>
      </c>
      <c r="C574" s="22">
        <v>46044</v>
      </c>
      <c r="D574" s="22">
        <v>46044</v>
      </c>
      <c r="E574" s="22" t="s">
        <v>104</v>
      </c>
      <c r="F574" s="20">
        <v>312</v>
      </c>
      <c r="G574" s="20">
        <v>4700</v>
      </c>
      <c r="H574" s="20">
        <v>30</v>
      </c>
      <c r="I574" s="20">
        <v>309</v>
      </c>
      <c r="J574" s="20">
        <v>92.7</v>
      </c>
    </row>
    <row r="575" spans="1:10" x14ac:dyDescent="0.25">
      <c r="A575" s="20">
        <v>33238</v>
      </c>
      <c r="B575" s="20" t="s">
        <v>29</v>
      </c>
      <c r="C575" s="22">
        <v>46044</v>
      </c>
      <c r="D575" s="22">
        <v>46044</v>
      </c>
      <c r="E575" s="22" t="s">
        <v>753</v>
      </c>
      <c r="F575" s="20">
        <v>312</v>
      </c>
      <c r="G575" s="20">
        <v>4700</v>
      </c>
      <c r="H575" s="20">
        <v>1.75</v>
      </c>
      <c r="I575" s="21">
        <v>2060</v>
      </c>
      <c r="J575" s="20">
        <v>36.049999999999997</v>
      </c>
    </row>
    <row r="576" spans="1:10" x14ac:dyDescent="0.25">
      <c r="A576" s="20">
        <v>33239</v>
      </c>
      <c r="B576" s="20" t="s">
        <v>56</v>
      </c>
      <c r="C576" s="22">
        <v>46044</v>
      </c>
      <c r="D576" s="22">
        <v>46044</v>
      </c>
      <c r="E576" s="22" t="s">
        <v>104</v>
      </c>
      <c r="F576" s="20">
        <v>307</v>
      </c>
      <c r="G576" s="20">
        <v>1496</v>
      </c>
      <c r="H576" s="20">
        <v>70</v>
      </c>
      <c r="I576" s="20">
        <v>0.9</v>
      </c>
      <c r="J576" s="20">
        <v>0.63</v>
      </c>
    </row>
    <row r="577" spans="1:10" x14ac:dyDescent="0.25">
      <c r="A577" s="20">
        <v>33239</v>
      </c>
      <c r="B577" s="20" t="s">
        <v>56</v>
      </c>
      <c r="C577" s="22">
        <v>46044</v>
      </c>
      <c r="D577" s="22">
        <v>46044</v>
      </c>
      <c r="E577" s="22" t="s">
        <v>753</v>
      </c>
      <c r="F577" s="20">
        <v>307</v>
      </c>
      <c r="G577" s="20">
        <v>1496</v>
      </c>
      <c r="H577" s="20">
        <v>2</v>
      </c>
      <c r="I577" s="20">
        <v>6</v>
      </c>
      <c r="J577" s="20">
        <v>0.12</v>
      </c>
    </row>
    <row r="578" spans="1:10" x14ac:dyDescent="0.25">
      <c r="A578" s="20">
        <v>33240</v>
      </c>
      <c r="B578" s="20" t="s">
        <v>56</v>
      </c>
      <c r="C578" s="22">
        <v>46044</v>
      </c>
      <c r="D578" s="22">
        <v>46044</v>
      </c>
      <c r="E578" s="22" t="s">
        <v>753</v>
      </c>
      <c r="F578" s="20">
        <v>307</v>
      </c>
      <c r="G578" s="20">
        <v>1500</v>
      </c>
      <c r="H578" s="20">
        <v>2</v>
      </c>
      <c r="I578" s="20">
        <v>10</v>
      </c>
      <c r="J578" s="20">
        <v>0.2</v>
      </c>
    </row>
    <row r="579" spans="1:10" x14ac:dyDescent="0.25">
      <c r="A579" s="20">
        <v>33240</v>
      </c>
      <c r="B579" s="20" t="s">
        <v>56</v>
      </c>
      <c r="C579" s="22">
        <v>46044</v>
      </c>
      <c r="D579" s="22">
        <v>46044</v>
      </c>
      <c r="E579" s="22" t="s">
        <v>104</v>
      </c>
      <c r="F579" s="20">
        <v>307</v>
      </c>
      <c r="G579" s="20">
        <v>1500</v>
      </c>
      <c r="H579" s="20">
        <v>70</v>
      </c>
      <c r="I579" s="20">
        <v>1.5</v>
      </c>
      <c r="J579" s="20">
        <v>1.05</v>
      </c>
    </row>
    <row r="580" spans="1:10" x14ac:dyDescent="0.25">
      <c r="A580" s="20">
        <v>33241</v>
      </c>
      <c r="B580" s="20" t="s">
        <v>55</v>
      </c>
      <c r="C580" s="22">
        <v>46044</v>
      </c>
      <c r="D580" s="22">
        <v>46044</v>
      </c>
      <c r="E580" s="22" t="s">
        <v>753</v>
      </c>
      <c r="F580" s="20">
        <v>343</v>
      </c>
      <c r="G580" s="20">
        <v>767</v>
      </c>
      <c r="H580" s="20">
        <v>1</v>
      </c>
      <c r="I580" s="20">
        <v>20</v>
      </c>
      <c r="J580" s="20">
        <v>0.2</v>
      </c>
    </row>
    <row r="581" spans="1:10" x14ac:dyDescent="0.25">
      <c r="A581" s="20">
        <v>33241</v>
      </c>
      <c r="B581" s="20" t="s">
        <v>55</v>
      </c>
      <c r="C581" s="22">
        <v>46044</v>
      </c>
      <c r="D581" s="22">
        <v>46044</v>
      </c>
      <c r="E581" s="22" t="s">
        <v>104</v>
      </c>
      <c r="F581" s="20">
        <v>343</v>
      </c>
      <c r="G581" s="20">
        <v>767</v>
      </c>
      <c r="H581" s="20">
        <v>70</v>
      </c>
      <c r="I581" s="20">
        <v>3</v>
      </c>
      <c r="J581" s="20">
        <v>2.1</v>
      </c>
    </row>
    <row r="582" spans="1:10" x14ac:dyDescent="0.25">
      <c r="A582" s="20">
        <v>33242</v>
      </c>
      <c r="B582" s="20" t="s">
        <v>56</v>
      </c>
      <c r="C582" s="22">
        <v>46044</v>
      </c>
      <c r="D582" s="22">
        <v>46044</v>
      </c>
      <c r="E582" s="22" t="s">
        <v>753</v>
      </c>
      <c r="F582" s="20">
        <v>307</v>
      </c>
      <c r="G582" s="20">
        <v>1495</v>
      </c>
      <c r="H582" s="20">
        <v>2</v>
      </c>
      <c r="I582" s="20">
        <v>10</v>
      </c>
      <c r="J582" s="20">
        <v>0.2</v>
      </c>
    </row>
    <row r="583" spans="1:10" x14ac:dyDescent="0.25">
      <c r="A583" s="20">
        <v>33242</v>
      </c>
      <c r="B583" s="20" t="s">
        <v>56</v>
      </c>
      <c r="C583" s="22">
        <v>46044</v>
      </c>
      <c r="D583" s="22">
        <v>46044</v>
      </c>
      <c r="E583" s="22" t="s">
        <v>104</v>
      </c>
      <c r="F583" s="20">
        <v>307</v>
      </c>
      <c r="G583" s="20">
        <v>1495</v>
      </c>
      <c r="H583" s="20">
        <v>70</v>
      </c>
      <c r="I583" s="20">
        <v>1.5</v>
      </c>
      <c r="J583" s="20">
        <v>1.05</v>
      </c>
    </row>
    <row r="584" spans="1:10" x14ac:dyDescent="0.25">
      <c r="A584" s="20">
        <v>33243</v>
      </c>
      <c r="B584" s="20" t="s">
        <v>56</v>
      </c>
      <c r="C584" s="22">
        <v>46044</v>
      </c>
      <c r="D584" s="22">
        <v>46044</v>
      </c>
      <c r="E584" s="22" t="s">
        <v>753</v>
      </c>
      <c r="F584" s="20">
        <v>307</v>
      </c>
      <c r="G584" s="20">
        <v>1499</v>
      </c>
      <c r="H584" s="20">
        <v>2</v>
      </c>
      <c r="I584" s="20">
        <v>10</v>
      </c>
      <c r="J584" s="20">
        <v>0.2</v>
      </c>
    </row>
    <row r="585" spans="1:10" x14ac:dyDescent="0.25">
      <c r="A585" s="20">
        <v>33243</v>
      </c>
      <c r="B585" s="20" t="s">
        <v>56</v>
      </c>
      <c r="C585" s="22">
        <v>46044</v>
      </c>
      <c r="D585" s="22">
        <v>46044</v>
      </c>
      <c r="E585" s="22" t="s">
        <v>104</v>
      </c>
      <c r="F585" s="20">
        <v>307</v>
      </c>
      <c r="G585" s="20">
        <v>1499</v>
      </c>
      <c r="H585" s="20">
        <v>70</v>
      </c>
      <c r="I585" s="20">
        <v>1.5</v>
      </c>
      <c r="J585" s="20">
        <v>1.05</v>
      </c>
    </row>
    <row r="586" spans="1:10" x14ac:dyDescent="0.25">
      <c r="A586" s="20">
        <v>33244</v>
      </c>
      <c r="B586" s="20" t="s">
        <v>14</v>
      </c>
      <c r="C586" s="22">
        <v>46044</v>
      </c>
      <c r="D586" s="22">
        <v>46043</v>
      </c>
      <c r="E586" s="22" t="s">
        <v>753</v>
      </c>
      <c r="F586" s="20">
        <v>312</v>
      </c>
      <c r="G586" s="20">
        <v>238</v>
      </c>
      <c r="H586" s="20">
        <v>1.75</v>
      </c>
      <c r="I586" s="20">
        <v>100</v>
      </c>
      <c r="J586" s="20">
        <v>1.75</v>
      </c>
    </row>
    <row r="587" spans="1:10" x14ac:dyDescent="0.25">
      <c r="A587" s="20">
        <v>33245</v>
      </c>
      <c r="B587" s="20" t="s">
        <v>68</v>
      </c>
      <c r="C587" s="22">
        <v>46044</v>
      </c>
      <c r="D587" s="22">
        <v>46044</v>
      </c>
      <c r="E587" s="22" t="s">
        <v>753</v>
      </c>
      <c r="F587" s="20">
        <v>332</v>
      </c>
      <c r="G587" s="20">
        <v>1276</v>
      </c>
      <c r="H587" s="20">
        <v>0</v>
      </c>
      <c r="I587" s="20">
        <v>28</v>
      </c>
      <c r="J587" s="20">
        <v>0</v>
      </c>
    </row>
    <row r="588" spans="1:10" x14ac:dyDescent="0.25">
      <c r="A588" s="20">
        <v>33246</v>
      </c>
      <c r="B588" s="20" t="s">
        <v>52</v>
      </c>
      <c r="C588" s="22">
        <v>46044</v>
      </c>
      <c r="D588" s="22">
        <v>46044</v>
      </c>
      <c r="E588" s="22" t="s">
        <v>753</v>
      </c>
      <c r="F588" s="20">
        <v>312</v>
      </c>
      <c r="G588" s="20">
        <v>31673</v>
      </c>
      <c r="H588" s="20">
        <v>1.75</v>
      </c>
      <c r="I588" s="20">
        <v>200</v>
      </c>
      <c r="J588" s="20">
        <v>3.5</v>
      </c>
    </row>
    <row r="589" spans="1:10" x14ac:dyDescent="0.25">
      <c r="A589" s="20">
        <v>33246</v>
      </c>
      <c r="B589" s="20" t="s">
        <v>52</v>
      </c>
      <c r="C589" s="22">
        <v>46044</v>
      </c>
      <c r="D589" s="22">
        <v>46044</v>
      </c>
      <c r="E589" s="22" t="s">
        <v>104</v>
      </c>
      <c r="F589" s="20">
        <v>312</v>
      </c>
      <c r="G589" s="20">
        <v>31673</v>
      </c>
      <c r="H589" s="20">
        <v>30</v>
      </c>
      <c r="I589" s="20">
        <v>30</v>
      </c>
      <c r="J589" s="20">
        <v>9</v>
      </c>
    </row>
    <row r="590" spans="1:10" x14ac:dyDescent="0.25">
      <c r="A590" s="20">
        <v>33247</v>
      </c>
      <c r="B590" s="20" t="s">
        <v>55</v>
      </c>
      <c r="C590" s="22">
        <v>46044</v>
      </c>
      <c r="D590" s="22">
        <v>46044</v>
      </c>
      <c r="E590" s="22" t="s">
        <v>753</v>
      </c>
      <c r="F590" s="20">
        <v>343</v>
      </c>
      <c r="G590" s="20">
        <v>762</v>
      </c>
      <c r="H590" s="20">
        <v>1</v>
      </c>
      <c r="I590" s="20">
        <v>20</v>
      </c>
      <c r="J590" s="20">
        <v>0.2</v>
      </c>
    </row>
    <row r="591" spans="1:10" x14ac:dyDescent="0.25">
      <c r="A591" s="20">
        <v>33247</v>
      </c>
      <c r="B591" s="20" t="s">
        <v>55</v>
      </c>
      <c r="C591" s="22">
        <v>46044</v>
      </c>
      <c r="D591" s="22">
        <v>46044</v>
      </c>
      <c r="E591" s="22" t="s">
        <v>104</v>
      </c>
      <c r="F591" s="20">
        <v>343</v>
      </c>
      <c r="G591" s="20">
        <v>762</v>
      </c>
      <c r="H591" s="20">
        <v>70</v>
      </c>
      <c r="I591" s="20">
        <v>3</v>
      </c>
      <c r="J591" s="20">
        <v>2.1</v>
      </c>
    </row>
    <row r="592" spans="1:10" x14ac:dyDescent="0.25">
      <c r="A592" s="20">
        <v>33248</v>
      </c>
      <c r="B592" s="20" t="s">
        <v>16</v>
      </c>
      <c r="C592" s="22">
        <v>46044</v>
      </c>
      <c r="D592" s="22">
        <v>46044</v>
      </c>
      <c r="E592" s="22" t="s">
        <v>753</v>
      </c>
      <c r="F592" s="20">
        <v>332</v>
      </c>
      <c r="G592" s="20">
        <v>629</v>
      </c>
      <c r="H592" s="20">
        <v>0</v>
      </c>
      <c r="I592" s="20">
        <v>10</v>
      </c>
      <c r="J592" s="20">
        <v>0</v>
      </c>
    </row>
    <row r="593" spans="1:10" x14ac:dyDescent="0.25">
      <c r="A593" s="20">
        <v>33249</v>
      </c>
      <c r="B593" s="20" t="s">
        <v>57</v>
      </c>
      <c r="C593" s="22">
        <v>46045</v>
      </c>
      <c r="D593" s="22">
        <v>46045</v>
      </c>
      <c r="E593" s="22" t="s">
        <v>753</v>
      </c>
      <c r="F593" s="20">
        <v>312</v>
      </c>
      <c r="G593" s="20">
        <v>3579</v>
      </c>
      <c r="H593" s="20">
        <v>1.75</v>
      </c>
      <c r="I593" s="20">
        <v>60</v>
      </c>
      <c r="J593" s="20">
        <v>1.05</v>
      </c>
    </row>
    <row r="594" spans="1:10" x14ac:dyDescent="0.25">
      <c r="A594" s="20">
        <v>33249</v>
      </c>
      <c r="B594" s="20" t="s">
        <v>57</v>
      </c>
      <c r="C594" s="22">
        <v>46045</v>
      </c>
      <c r="D594" s="22">
        <v>46045</v>
      </c>
      <c r="E594" s="22" t="s">
        <v>104</v>
      </c>
      <c r="F594" s="20">
        <v>312</v>
      </c>
      <c r="G594" s="20">
        <v>3579</v>
      </c>
      <c r="H594" s="20">
        <v>30</v>
      </c>
      <c r="I594" s="20">
        <v>9</v>
      </c>
      <c r="J594" s="20">
        <v>2.7</v>
      </c>
    </row>
    <row r="595" spans="1:10" x14ac:dyDescent="0.25">
      <c r="A595" s="20">
        <v>33250</v>
      </c>
      <c r="B595" s="20" t="s">
        <v>55</v>
      </c>
      <c r="C595" s="22">
        <v>46045</v>
      </c>
      <c r="D595" s="22">
        <v>46045</v>
      </c>
      <c r="E595" s="22" t="s">
        <v>753</v>
      </c>
      <c r="F595" s="20">
        <v>343</v>
      </c>
      <c r="G595" s="20">
        <v>773</v>
      </c>
      <c r="H595" s="20">
        <v>1</v>
      </c>
      <c r="I595" s="20">
        <v>15</v>
      </c>
      <c r="J595" s="20">
        <v>0.15</v>
      </c>
    </row>
    <row r="596" spans="1:10" x14ac:dyDescent="0.25">
      <c r="A596" s="20">
        <v>33250</v>
      </c>
      <c r="B596" s="20" t="s">
        <v>55</v>
      </c>
      <c r="C596" s="22">
        <v>46045</v>
      </c>
      <c r="D596" s="22">
        <v>46045</v>
      </c>
      <c r="E596" s="22" t="s">
        <v>104</v>
      </c>
      <c r="F596" s="20">
        <v>343</v>
      </c>
      <c r="G596" s="20">
        <v>773</v>
      </c>
      <c r="H596" s="20">
        <v>70</v>
      </c>
      <c r="I596" s="20">
        <v>2.25</v>
      </c>
      <c r="J596" s="20">
        <v>1.58</v>
      </c>
    </row>
    <row r="597" spans="1:10" x14ac:dyDescent="0.25">
      <c r="A597" s="20">
        <v>33251</v>
      </c>
      <c r="B597" s="20" t="s">
        <v>68</v>
      </c>
      <c r="C597" s="22">
        <v>46045</v>
      </c>
      <c r="D597" s="22">
        <v>46045</v>
      </c>
      <c r="E597" s="22" t="s">
        <v>753</v>
      </c>
      <c r="F597" s="20">
        <v>332</v>
      </c>
      <c r="G597" s="20">
        <v>1279</v>
      </c>
      <c r="H597" s="20">
        <v>0</v>
      </c>
      <c r="I597" s="20">
        <v>20</v>
      </c>
      <c r="J597" s="20">
        <v>0</v>
      </c>
    </row>
    <row r="598" spans="1:10" x14ac:dyDescent="0.25">
      <c r="A598" s="20">
        <v>33252</v>
      </c>
      <c r="B598" s="20" t="s">
        <v>56</v>
      </c>
      <c r="C598" s="22">
        <v>46045</v>
      </c>
      <c r="D598" s="22">
        <v>46045</v>
      </c>
      <c r="E598" s="22" t="s">
        <v>104</v>
      </c>
      <c r="F598" s="20">
        <v>307</v>
      </c>
      <c r="G598" s="20">
        <v>1501</v>
      </c>
      <c r="H598" s="20">
        <v>70</v>
      </c>
      <c r="I598" s="20">
        <v>1.5</v>
      </c>
      <c r="J598" s="20">
        <v>1.05</v>
      </c>
    </row>
    <row r="599" spans="1:10" x14ac:dyDescent="0.25">
      <c r="A599" s="20">
        <v>33252</v>
      </c>
      <c r="B599" s="20" t="s">
        <v>56</v>
      </c>
      <c r="C599" s="22">
        <v>46045</v>
      </c>
      <c r="D599" s="22">
        <v>46045</v>
      </c>
      <c r="E599" s="22" t="s">
        <v>753</v>
      </c>
      <c r="F599" s="20">
        <v>307</v>
      </c>
      <c r="G599" s="20">
        <v>1501</v>
      </c>
      <c r="H599" s="20">
        <v>2</v>
      </c>
      <c r="I599" s="20">
        <v>10</v>
      </c>
      <c r="J599" s="20">
        <v>0.2</v>
      </c>
    </row>
    <row r="600" spans="1:10" x14ac:dyDescent="0.25">
      <c r="A600" s="20">
        <v>33253</v>
      </c>
      <c r="B600" s="20" t="s">
        <v>57</v>
      </c>
      <c r="C600" s="22">
        <v>46045</v>
      </c>
      <c r="D600" s="22">
        <v>46045</v>
      </c>
      <c r="E600" s="22" t="s">
        <v>753</v>
      </c>
      <c r="F600" s="20">
        <v>312</v>
      </c>
      <c r="G600" s="20">
        <v>3580</v>
      </c>
      <c r="H600" s="20">
        <v>1.75</v>
      </c>
      <c r="I600" s="20">
        <v>60</v>
      </c>
      <c r="J600" s="20">
        <v>1.05</v>
      </c>
    </row>
    <row r="601" spans="1:10" x14ac:dyDescent="0.25">
      <c r="A601" s="20">
        <v>33253</v>
      </c>
      <c r="B601" s="20" t="s">
        <v>57</v>
      </c>
      <c r="C601" s="22">
        <v>46045</v>
      </c>
      <c r="D601" s="22">
        <v>46045</v>
      </c>
      <c r="E601" s="22" t="s">
        <v>104</v>
      </c>
      <c r="F601" s="20">
        <v>312</v>
      </c>
      <c r="G601" s="20">
        <v>3580</v>
      </c>
      <c r="H601" s="20">
        <v>30</v>
      </c>
      <c r="I601" s="20">
        <v>9</v>
      </c>
      <c r="J601" s="20">
        <v>2.7</v>
      </c>
    </row>
    <row r="602" spans="1:10" x14ac:dyDescent="0.25">
      <c r="A602" s="20">
        <v>33254</v>
      </c>
      <c r="B602" s="20" t="s">
        <v>38</v>
      </c>
      <c r="C602" s="22">
        <v>46045</v>
      </c>
      <c r="D602" s="22">
        <v>46045</v>
      </c>
      <c r="E602" s="22" t="s">
        <v>753</v>
      </c>
      <c r="F602" s="20">
        <v>312</v>
      </c>
      <c r="G602" s="20">
        <v>7347</v>
      </c>
      <c r="H602" s="20">
        <v>1.75</v>
      </c>
      <c r="I602" s="20">
        <v>105</v>
      </c>
      <c r="J602" s="20">
        <v>1.84</v>
      </c>
    </row>
    <row r="603" spans="1:10" x14ac:dyDescent="0.25">
      <c r="A603" s="20">
        <v>33254</v>
      </c>
      <c r="B603" s="20" t="s">
        <v>38</v>
      </c>
      <c r="C603" s="22">
        <v>46045</v>
      </c>
      <c r="D603" s="22">
        <v>46045</v>
      </c>
      <c r="E603" s="22" t="s">
        <v>104</v>
      </c>
      <c r="F603" s="20">
        <v>312</v>
      </c>
      <c r="G603" s="20">
        <v>7347</v>
      </c>
      <c r="H603" s="20">
        <v>30</v>
      </c>
      <c r="I603" s="20">
        <v>15.75</v>
      </c>
      <c r="J603" s="20">
        <v>4.7300000000000004</v>
      </c>
    </row>
    <row r="604" spans="1:10" x14ac:dyDescent="0.25">
      <c r="A604" s="20">
        <v>33255</v>
      </c>
      <c r="B604" s="20" t="s">
        <v>67</v>
      </c>
      <c r="C604" s="22">
        <v>46045</v>
      </c>
      <c r="D604" s="22">
        <v>46045</v>
      </c>
      <c r="E604" s="22" t="s">
        <v>753</v>
      </c>
      <c r="F604" s="20">
        <v>332</v>
      </c>
      <c r="G604" s="20">
        <v>1755</v>
      </c>
      <c r="H604" s="20">
        <v>0</v>
      </c>
      <c r="I604" s="20">
        <v>7</v>
      </c>
      <c r="J604" s="20">
        <v>0</v>
      </c>
    </row>
    <row r="605" spans="1:10" x14ac:dyDescent="0.25">
      <c r="A605" s="20">
        <v>33256</v>
      </c>
      <c r="B605" s="20" t="s">
        <v>68</v>
      </c>
      <c r="C605" s="22">
        <v>46045</v>
      </c>
      <c r="D605" s="22">
        <v>46045</v>
      </c>
      <c r="E605" s="22" t="s">
        <v>753</v>
      </c>
      <c r="F605" s="20">
        <v>332</v>
      </c>
      <c r="G605" s="20">
        <v>1277</v>
      </c>
      <c r="H605" s="20">
        <v>0</v>
      </c>
      <c r="I605" s="20">
        <v>20</v>
      </c>
      <c r="J605" s="20">
        <v>0</v>
      </c>
    </row>
    <row r="606" spans="1:10" x14ac:dyDescent="0.25">
      <c r="A606" s="20">
        <v>33257</v>
      </c>
      <c r="B606" s="20" t="s">
        <v>88</v>
      </c>
      <c r="C606" s="22">
        <v>46045</v>
      </c>
      <c r="D606" s="22">
        <v>46045</v>
      </c>
      <c r="E606" s="22" t="s">
        <v>104</v>
      </c>
      <c r="F606" s="20">
        <v>312</v>
      </c>
      <c r="G606" s="20">
        <v>164842</v>
      </c>
      <c r="H606" s="20">
        <v>30</v>
      </c>
      <c r="I606" s="20">
        <v>17.68</v>
      </c>
      <c r="J606" s="20">
        <v>5.3</v>
      </c>
    </row>
    <row r="607" spans="1:10" x14ac:dyDescent="0.25">
      <c r="A607" s="20">
        <v>33257</v>
      </c>
      <c r="B607" s="20" t="s">
        <v>88</v>
      </c>
      <c r="C607" s="22">
        <v>46045</v>
      </c>
      <c r="D607" s="22">
        <v>46045</v>
      </c>
      <c r="E607" s="22" t="s">
        <v>753</v>
      </c>
      <c r="F607" s="20">
        <v>312</v>
      </c>
      <c r="G607" s="20">
        <v>164842</v>
      </c>
      <c r="H607" s="20">
        <v>1.75</v>
      </c>
      <c r="I607" s="20">
        <v>117.86</v>
      </c>
      <c r="J607" s="20">
        <v>2.06</v>
      </c>
    </row>
    <row r="608" spans="1:10" x14ac:dyDescent="0.25">
      <c r="A608" s="20">
        <v>33258</v>
      </c>
      <c r="B608" s="20" t="s">
        <v>55</v>
      </c>
      <c r="C608" s="22">
        <v>46045</v>
      </c>
      <c r="D608" s="22">
        <v>46045</v>
      </c>
      <c r="E608" s="22" t="s">
        <v>104</v>
      </c>
      <c r="F608" s="20">
        <v>343</v>
      </c>
      <c r="G608" s="20">
        <v>771</v>
      </c>
      <c r="H608" s="20">
        <v>70</v>
      </c>
      <c r="I608" s="20">
        <v>3.75</v>
      </c>
      <c r="J608" s="20">
        <v>2.63</v>
      </c>
    </row>
    <row r="609" spans="1:10" x14ac:dyDescent="0.25">
      <c r="A609" s="20">
        <v>33258</v>
      </c>
      <c r="B609" s="20" t="s">
        <v>55</v>
      </c>
      <c r="C609" s="22">
        <v>46045</v>
      </c>
      <c r="D609" s="22">
        <v>46045</v>
      </c>
      <c r="E609" s="22" t="s">
        <v>753</v>
      </c>
      <c r="F609" s="20">
        <v>343</v>
      </c>
      <c r="G609" s="20">
        <v>771</v>
      </c>
      <c r="H609" s="20">
        <v>1</v>
      </c>
      <c r="I609" s="20">
        <v>25</v>
      </c>
      <c r="J609" s="20">
        <v>0.25</v>
      </c>
    </row>
    <row r="610" spans="1:10" x14ac:dyDescent="0.25">
      <c r="A610" s="20">
        <v>33259</v>
      </c>
      <c r="B610" s="20" t="s">
        <v>68</v>
      </c>
      <c r="C610" s="22">
        <v>46045</v>
      </c>
      <c r="D610" s="22">
        <v>46045</v>
      </c>
      <c r="E610" s="22" t="s">
        <v>753</v>
      </c>
      <c r="F610" s="20">
        <v>332</v>
      </c>
      <c r="G610" s="20">
        <v>1281</v>
      </c>
      <c r="H610" s="20">
        <v>0</v>
      </c>
      <c r="I610" s="20">
        <v>20</v>
      </c>
      <c r="J610" s="20">
        <v>0</v>
      </c>
    </row>
    <row r="611" spans="1:10" x14ac:dyDescent="0.25">
      <c r="A611" s="20">
        <v>33260</v>
      </c>
      <c r="B611" s="20" t="s">
        <v>56</v>
      </c>
      <c r="C611" s="22">
        <v>46045</v>
      </c>
      <c r="D611" s="22">
        <v>46045</v>
      </c>
      <c r="E611" s="22" t="s">
        <v>104</v>
      </c>
      <c r="F611" s="20">
        <v>307</v>
      </c>
      <c r="G611" s="20">
        <v>1502</v>
      </c>
      <c r="H611" s="20">
        <v>70</v>
      </c>
      <c r="I611" s="20">
        <v>1.5</v>
      </c>
      <c r="J611" s="20">
        <v>1.05</v>
      </c>
    </row>
    <row r="612" spans="1:10" x14ac:dyDescent="0.25">
      <c r="A612" s="20">
        <v>33260</v>
      </c>
      <c r="B612" s="20" t="s">
        <v>56</v>
      </c>
      <c r="C612" s="22">
        <v>46045</v>
      </c>
      <c r="D612" s="22">
        <v>46045</v>
      </c>
      <c r="E612" s="22" t="s">
        <v>753</v>
      </c>
      <c r="F612" s="20">
        <v>307</v>
      </c>
      <c r="G612" s="20">
        <v>1502</v>
      </c>
      <c r="H612" s="20">
        <v>2</v>
      </c>
      <c r="I612" s="20">
        <v>10</v>
      </c>
      <c r="J612" s="20">
        <v>0.2</v>
      </c>
    </row>
    <row r="613" spans="1:10" x14ac:dyDescent="0.25">
      <c r="A613" s="20">
        <v>33261</v>
      </c>
      <c r="B613" s="20" t="s">
        <v>57</v>
      </c>
      <c r="C613" s="22">
        <v>46045</v>
      </c>
      <c r="D613" s="22">
        <v>46045</v>
      </c>
      <c r="E613" s="22" t="s">
        <v>753</v>
      </c>
      <c r="F613" s="20">
        <v>312</v>
      </c>
      <c r="G613" s="20">
        <v>3585</v>
      </c>
      <c r="H613" s="20">
        <v>1.75</v>
      </c>
      <c r="I613" s="20">
        <v>15</v>
      </c>
      <c r="J613" s="20">
        <v>0.26</v>
      </c>
    </row>
    <row r="614" spans="1:10" x14ac:dyDescent="0.25">
      <c r="A614" s="20">
        <v>33261</v>
      </c>
      <c r="B614" s="20" t="s">
        <v>57</v>
      </c>
      <c r="C614" s="22">
        <v>46045</v>
      </c>
      <c r="D614" s="22">
        <v>46045</v>
      </c>
      <c r="E614" s="22" t="s">
        <v>104</v>
      </c>
      <c r="F614" s="20">
        <v>312</v>
      </c>
      <c r="G614" s="20">
        <v>3585</v>
      </c>
      <c r="H614" s="20">
        <v>30</v>
      </c>
      <c r="I614" s="20">
        <v>2.25</v>
      </c>
      <c r="J614" s="20">
        <v>0.68</v>
      </c>
    </row>
    <row r="615" spans="1:10" x14ac:dyDescent="0.25">
      <c r="A615" s="20">
        <v>33262</v>
      </c>
      <c r="B615" s="20" t="s">
        <v>50</v>
      </c>
      <c r="C615" s="22">
        <v>46045</v>
      </c>
      <c r="D615" s="22">
        <v>46045</v>
      </c>
      <c r="E615" s="22" t="s">
        <v>753</v>
      </c>
      <c r="F615" s="20">
        <v>312</v>
      </c>
      <c r="G615" s="20">
        <v>167</v>
      </c>
      <c r="H615" s="20">
        <v>1.75</v>
      </c>
      <c r="I615" s="20">
        <v>176.09</v>
      </c>
      <c r="J615" s="20">
        <v>3.08</v>
      </c>
    </row>
    <row r="616" spans="1:10" x14ac:dyDescent="0.25">
      <c r="A616" s="20">
        <v>33262</v>
      </c>
      <c r="B616" s="20" t="s">
        <v>50</v>
      </c>
      <c r="C616" s="22">
        <v>46045</v>
      </c>
      <c r="D616" s="22">
        <v>46045</v>
      </c>
      <c r="E616" s="22" t="s">
        <v>104</v>
      </c>
      <c r="F616" s="20">
        <v>312</v>
      </c>
      <c r="G616" s="20">
        <v>167</v>
      </c>
      <c r="H616" s="20">
        <v>30</v>
      </c>
      <c r="I616" s="20">
        <v>26.41</v>
      </c>
      <c r="J616" s="20">
        <v>7.92</v>
      </c>
    </row>
    <row r="617" spans="1:10" x14ac:dyDescent="0.25">
      <c r="A617" s="20">
        <v>33263</v>
      </c>
      <c r="B617" s="20" t="s">
        <v>55</v>
      </c>
      <c r="C617" s="22">
        <v>46045</v>
      </c>
      <c r="D617" s="22">
        <v>46045</v>
      </c>
      <c r="E617" s="22" t="s">
        <v>753</v>
      </c>
      <c r="F617" s="20">
        <v>343</v>
      </c>
      <c r="G617" s="20">
        <v>772</v>
      </c>
      <c r="H617" s="20">
        <v>1</v>
      </c>
      <c r="I617" s="20">
        <v>20</v>
      </c>
      <c r="J617" s="20">
        <v>0.2</v>
      </c>
    </row>
    <row r="618" spans="1:10" x14ac:dyDescent="0.25">
      <c r="A618" s="20">
        <v>33263</v>
      </c>
      <c r="B618" s="20" t="s">
        <v>55</v>
      </c>
      <c r="C618" s="22">
        <v>46045</v>
      </c>
      <c r="D618" s="22">
        <v>46045</v>
      </c>
      <c r="E618" s="22" t="s">
        <v>104</v>
      </c>
      <c r="F618" s="20">
        <v>343</v>
      </c>
      <c r="G618" s="20">
        <v>772</v>
      </c>
      <c r="H618" s="20">
        <v>70</v>
      </c>
      <c r="I618" s="20">
        <v>3</v>
      </c>
      <c r="J618" s="20">
        <v>2.1</v>
      </c>
    </row>
    <row r="619" spans="1:10" x14ac:dyDescent="0.25">
      <c r="A619" s="20">
        <v>33264</v>
      </c>
      <c r="B619" s="20" t="s">
        <v>56</v>
      </c>
      <c r="C619" s="22">
        <v>46045</v>
      </c>
      <c r="D619" s="22">
        <v>46045</v>
      </c>
      <c r="E619" s="22" t="s">
        <v>753</v>
      </c>
      <c r="F619" s="20">
        <v>307</v>
      </c>
      <c r="G619" s="20">
        <v>1505</v>
      </c>
      <c r="H619" s="20">
        <v>2</v>
      </c>
      <c r="I619" s="20">
        <v>10</v>
      </c>
      <c r="J619" s="20">
        <v>0.2</v>
      </c>
    </row>
    <row r="620" spans="1:10" x14ac:dyDescent="0.25">
      <c r="A620" s="20">
        <v>33264</v>
      </c>
      <c r="B620" s="20" t="s">
        <v>56</v>
      </c>
      <c r="C620" s="22">
        <v>46045</v>
      </c>
      <c r="D620" s="22">
        <v>46045</v>
      </c>
      <c r="E620" s="22" t="s">
        <v>104</v>
      </c>
      <c r="F620" s="20">
        <v>307</v>
      </c>
      <c r="G620" s="20">
        <v>1505</v>
      </c>
      <c r="H620" s="20">
        <v>70</v>
      </c>
      <c r="I620" s="20">
        <v>1.5</v>
      </c>
      <c r="J620" s="20">
        <v>1.05</v>
      </c>
    </row>
    <row r="621" spans="1:10" x14ac:dyDescent="0.25">
      <c r="A621" s="20">
        <v>33265</v>
      </c>
      <c r="B621" s="20" t="s">
        <v>49</v>
      </c>
      <c r="C621" s="22">
        <v>46045</v>
      </c>
      <c r="D621" s="22">
        <v>46045</v>
      </c>
      <c r="E621" s="22" t="s">
        <v>753</v>
      </c>
      <c r="F621" s="20">
        <v>332</v>
      </c>
      <c r="G621" s="20">
        <v>203</v>
      </c>
      <c r="H621" s="20">
        <v>0</v>
      </c>
      <c r="I621" s="20">
        <v>93.26</v>
      </c>
      <c r="J621" s="20">
        <v>0</v>
      </c>
    </row>
    <row r="622" spans="1:10" x14ac:dyDescent="0.25">
      <c r="A622" s="20">
        <v>33266</v>
      </c>
      <c r="B622" s="20" t="s">
        <v>67</v>
      </c>
      <c r="C622" s="22">
        <v>46045</v>
      </c>
      <c r="D622" s="22">
        <v>46045</v>
      </c>
      <c r="E622" s="22" t="s">
        <v>753</v>
      </c>
      <c r="F622" s="20">
        <v>332</v>
      </c>
      <c r="G622" s="20">
        <v>1756</v>
      </c>
      <c r="H622" s="20">
        <v>0</v>
      </c>
      <c r="I622" s="20">
        <v>18</v>
      </c>
      <c r="J622" s="20">
        <v>0</v>
      </c>
    </row>
    <row r="623" spans="1:10" x14ac:dyDescent="0.25">
      <c r="A623" s="20">
        <v>33267</v>
      </c>
      <c r="B623" s="20" t="s">
        <v>68</v>
      </c>
      <c r="C623" s="22">
        <v>46045</v>
      </c>
      <c r="D623" s="22">
        <v>46045</v>
      </c>
      <c r="E623" s="22" t="s">
        <v>753</v>
      </c>
      <c r="F623" s="20">
        <v>332</v>
      </c>
      <c r="G623" s="20">
        <v>1278</v>
      </c>
      <c r="H623" s="20">
        <v>0</v>
      </c>
      <c r="I623" s="20">
        <v>6</v>
      </c>
      <c r="J623" s="20">
        <v>0</v>
      </c>
    </row>
    <row r="624" spans="1:10" x14ac:dyDescent="0.25">
      <c r="A624" s="20">
        <v>33268</v>
      </c>
      <c r="B624" s="20" t="s">
        <v>68</v>
      </c>
      <c r="C624" s="22">
        <v>46045</v>
      </c>
      <c r="D624" s="22">
        <v>46045</v>
      </c>
      <c r="E624" s="22" t="s">
        <v>753</v>
      </c>
      <c r="F624" s="20">
        <v>332</v>
      </c>
      <c r="G624" s="20">
        <v>1280</v>
      </c>
      <c r="H624" s="20">
        <v>0</v>
      </c>
      <c r="I624" s="20">
        <v>20</v>
      </c>
      <c r="J624" s="20">
        <v>0</v>
      </c>
    </row>
    <row r="625" spans="1:10" x14ac:dyDescent="0.25">
      <c r="A625" s="20">
        <v>33269</v>
      </c>
      <c r="B625" s="20" t="s">
        <v>56</v>
      </c>
      <c r="C625" s="22">
        <v>46045</v>
      </c>
      <c r="D625" s="22">
        <v>46045</v>
      </c>
      <c r="E625" s="22" t="s">
        <v>753</v>
      </c>
      <c r="F625" s="20">
        <v>307</v>
      </c>
      <c r="G625" s="20">
        <v>1503</v>
      </c>
      <c r="H625" s="20">
        <v>2</v>
      </c>
      <c r="I625" s="20">
        <v>10</v>
      </c>
      <c r="J625" s="20">
        <v>0.2</v>
      </c>
    </row>
    <row r="626" spans="1:10" x14ac:dyDescent="0.25">
      <c r="A626" s="20">
        <v>33269</v>
      </c>
      <c r="B626" s="20" t="s">
        <v>56</v>
      </c>
      <c r="C626" s="22">
        <v>46045</v>
      </c>
      <c r="D626" s="22">
        <v>46045</v>
      </c>
      <c r="E626" s="22" t="s">
        <v>104</v>
      </c>
      <c r="F626" s="20">
        <v>307</v>
      </c>
      <c r="G626" s="20">
        <v>1503</v>
      </c>
      <c r="H626" s="20">
        <v>70</v>
      </c>
      <c r="I626" s="20">
        <v>1.5</v>
      </c>
      <c r="J626" s="20">
        <v>1.05</v>
      </c>
    </row>
    <row r="627" spans="1:10" x14ac:dyDescent="0.25">
      <c r="A627" s="20">
        <v>33270</v>
      </c>
      <c r="B627" s="20" t="s">
        <v>58</v>
      </c>
      <c r="C627" s="22">
        <v>46045</v>
      </c>
      <c r="D627" s="22">
        <v>46045</v>
      </c>
      <c r="E627" s="22" t="s">
        <v>753</v>
      </c>
      <c r="F627" s="20">
        <v>312</v>
      </c>
      <c r="G627" s="20">
        <v>392</v>
      </c>
      <c r="H627" s="20">
        <v>1.75</v>
      </c>
      <c r="I627" s="20">
        <v>490.86</v>
      </c>
      <c r="J627" s="20">
        <v>8.59</v>
      </c>
    </row>
    <row r="628" spans="1:10" x14ac:dyDescent="0.25">
      <c r="A628" s="20">
        <v>33270</v>
      </c>
      <c r="B628" s="20" t="s">
        <v>58</v>
      </c>
      <c r="C628" s="22">
        <v>46045</v>
      </c>
      <c r="D628" s="22">
        <v>46045</v>
      </c>
      <c r="E628" s="22" t="s">
        <v>104</v>
      </c>
      <c r="F628" s="20">
        <v>312</v>
      </c>
      <c r="G628" s="20">
        <v>392</v>
      </c>
      <c r="H628" s="20">
        <v>30</v>
      </c>
      <c r="I628" s="20">
        <v>73.63</v>
      </c>
      <c r="J628" s="20">
        <v>22.09</v>
      </c>
    </row>
    <row r="629" spans="1:10" x14ac:dyDescent="0.25">
      <c r="A629" s="20">
        <v>33271</v>
      </c>
      <c r="B629" s="20" t="s">
        <v>68</v>
      </c>
      <c r="C629" s="22">
        <v>46046</v>
      </c>
      <c r="D629" s="22">
        <v>46046</v>
      </c>
      <c r="E629" s="22" t="s">
        <v>753</v>
      </c>
      <c r="F629" s="20">
        <v>332</v>
      </c>
      <c r="G629" s="20">
        <v>1285</v>
      </c>
      <c r="H629" s="20">
        <v>0</v>
      </c>
      <c r="I629" s="20">
        <v>20</v>
      </c>
      <c r="J629" s="20">
        <v>0</v>
      </c>
    </row>
    <row r="630" spans="1:10" x14ac:dyDescent="0.25">
      <c r="A630" s="20">
        <v>33272</v>
      </c>
      <c r="B630" s="20" t="s">
        <v>56</v>
      </c>
      <c r="C630" s="22">
        <v>46046</v>
      </c>
      <c r="D630" s="22">
        <v>46046</v>
      </c>
      <c r="E630" s="22" t="s">
        <v>104</v>
      </c>
      <c r="F630" s="20">
        <v>307</v>
      </c>
      <c r="G630" s="20">
        <v>1509</v>
      </c>
      <c r="H630" s="20">
        <v>70</v>
      </c>
      <c r="I630" s="20">
        <v>1.5</v>
      </c>
      <c r="J630" s="20">
        <v>1.05</v>
      </c>
    </row>
    <row r="631" spans="1:10" x14ac:dyDescent="0.25">
      <c r="A631" s="20">
        <v>33272</v>
      </c>
      <c r="B631" s="20" t="s">
        <v>56</v>
      </c>
      <c r="C631" s="22">
        <v>46046</v>
      </c>
      <c r="D631" s="22">
        <v>46046</v>
      </c>
      <c r="E631" s="22" t="s">
        <v>753</v>
      </c>
      <c r="F631" s="20">
        <v>307</v>
      </c>
      <c r="G631" s="20">
        <v>1509</v>
      </c>
      <c r="H631" s="20">
        <v>2</v>
      </c>
      <c r="I631" s="20">
        <v>10</v>
      </c>
      <c r="J631" s="20">
        <v>0.2</v>
      </c>
    </row>
    <row r="632" spans="1:10" x14ac:dyDescent="0.25">
      <c r="A632" s="20">
        <v>33273</v>
      </c>
      <c r="B632" s="20" t="s">
        <v>46</v>
      </c>
      <c r="C632" s="22">
        <v>46046</v>
      </c>
      <c r="D632" s="22">
        <v>46046</v>
      </c>
      <c r="E632" s="22" t="s">
        <v>104</v>
      </c>
      <c r="F632" s="20">
        <v>312</v>
      </c>
      <c r="G632" s="20">
        <v>565</v>
      </c>
      <c r="H632" s="20">
        <v>30</v>
      </c>
      <c r="I632" s="20">
        <v>0.54</v>
      </c>
      <c r="J632" s="20">
        <v>0.16</v>
      </c>
    </row>
    <row r="633" spans="1:10" x14ac:dyDescent="0.25">
      <c r="A633" s="20">
        <v>33273</v>
      </c>
      <c r="B633" s="20" t="s">
        <v>46</v>
      </c>
      <c r="C633" s="22">
        <v>46046</v>
      </c>
      <c r="D633" s="22">
        <v>46046</v>
      </c>
      <c r="E633" s="22" t="s">
        <v>753</v>
      </c>
      <c r="F633" s="20">
        <v>312</v>
      </c>
      <c r="G633" s="20">
        <v>565</v>
      </c>
      <c r="H633" s="20">
        <v>1.75</v>
      </c>
      <c r="I633" s="20">
        <v>3.59</v>
      </c>
      <c r="J633" s="20">
        <v>0.06</v>
      </c>
    </row>
    <row r="634" spans="1:10" x14ac:dyDescent="0.25">
      <c r="A634" s="20">
        <v>33274</v>
      </c>
      <c r="B634" s="20" t="s">
        <v>68</v>
      </c>
      <c r="C634" s="22">
        <v>46046</v>
      </c>
      <c r="D634" s="22">
        <v>46046</v>
      </c>
      <c r="E634" s="22" t="s">
        <v>753</v>
      </c>
      <c r="F634" s="20">
        <v>332</v>
      </c>
      <c r="G634" s="20">
        <v>1284</v>
      </c>
      <c r="H634" s="20">
        <v>0</v>
      </c>
      <c r="I634" s="20">
        <v>20</v>
      </c>
      <c r="J634" s="20">
        <v>0</v>
      </c>
    </row>
    <row r="635" spans="1:10" x14ac:dyDescent="0.25">
      <c r="A635" s="20">
        <v>33275</v>
      </c>
      <c r="B635" s="20" t="s">
        <v>56</v>
      </c>
      <c r="C635" s="22">
        <v>46046</v>
      </c>
      <c r="D635" s="22">
        <v>46046</v>
      </c>
      <c r="E635" s="22" t="s">
        <v>753</v>
      </c>
      <c r="F635" s="20">
        <v>307</v>
      </c>
      <c r="G635" s="20">
        <v>1508</v>
      </c>
      <c r="H635" s="20">
        <v>2</v>
      </c>
      <c r="I635" s="20">
        <v>6</v>
      </c>
      <c r="J635" s="20">
        <v>0.12</v>
      </c>
    </row>
    <row r="636" spans="1:10" x14ac:dyDescent="0.25">
      <c r="A636" s="20">
        <v>33275</v>
      </c>
      <c r="B636" s="20" t="s">
        <v>56</v>
      </c>
      <c r="C636" s="22">
        <v>46046</v>
      </c>
      <c r="D636" s="22">
        <v>46046</v>
      </c>
      <c r="E636" s="22" t="s">
        <v>104</v>
      </c>
      <c r="F636" s="20">
        <v>307</v>
      </c>
      <c r="G636" s="20">
        <v>1508</v>
      </c>
      <c r="H636" s="20">
        <v>70</v>
      </c>
      <c r="I636" s="20">
        <v>0.9</v>
      </c>
      <c r="J636" s="20">
        <v>0.63</v>
      </c>
    </row>
    <row r="637" spans="1:10" x14ac:dyDescent="0.25">
      <c r="A637" s="20">
        <v>33276</v>
      </c>
      <c r="B637" s="20" t="s">
        <v>56</v>
      </c>
      <c r="C637" s="22">
        <v>46046</v>
      </c>
      <c r="D637" s="22">
        <v>46046</v>
      </c>
      <c r="E637" s="22" t="s">
        <v>753</v>
      </c>
      <c r="F637" s="20">
        <v>307</v>
      </c>
      <c r="G637" s="20">
        <v>1507</v>
      </c>
      <c r="H637" s="20">
        <v>2</v>
      </c>
      <c r="I637" s="20">
        <v>6</v>
      </c>
      <c r="J637" s="20">
        <v>0.12</v>
      </c>
    </row>
    <row r="638" spans="1:10" x14ac:dyDescent="0.25">
      <c r="A638" s="20">
        <v>33276</v>
      </c>
      <c r="B638" s="20" t="s">
        <v>56</v>
      </c>
      <c r="C638" s="22">
        <v>46046</v>
      </c>
      <c r="D638" s="22">
        <v>46046</v>
      </c>
      <c r="E638" s="22" t="s">
        <v>104</v>
      </c>
      <c r="F638" s="20">
        <v>307</v>
      </c>
      <c r="G638" s="20">
        <v>1507</v>
      </c>
      <c r="H638" s="20">
        <v>70</v>
      </c>
      <c r="I638" s="20">
        <v>0.9</v>
      </c>
      <c r="J638" s="20">
        <v>0.63</v>
      </c>
    </row>
    <row r="639" spans="1:10" x14ac:dyDescent="0.25">
      <c r="A639" s="20">
        <v>33277</v>
      </c>
      <c r="B639" s="20" t="s">
        <v>39</v>
      </c>
      <c r="C639" s="22">
        <v>46046</v>
      </c>
      <c r="D639" s="22">
        <v>46046</v>
      </c>
      <c r="E639" s="22" t="s">
        <v>753</v>
      </c>
      <c r="F639" s="20">
        <v>312</v>
      </c>
      <c r="G639" s="20">
        <v>33279</v>
      </c>
      <c r="H639" s="20">
        <v>1.75</v>
      </c>
      <c r="I639" s="20">
        <v>235.32</v>
      </c>
      <c r="J639" s="20">
        <v>4.12</v>
      </c>
    </row>
    <row r="640" spans="1:10" x14ac:dyDescent="0.25">
      <c r="A640" s="20">
        <v>33277</v>
      </c>
      <c r="B640" s="20" t="s">
        <v>39</v>
      </c>
      <c r="C640" s="22">
        <v>46046</v>
      </c>
      <c r="D640" s="22">
        <v>46046</v>
      </c>
      <c r="E640" s="22" t="s">
        <v>104</v>
      </c>
      <c r="F640" s="20">
        <v>312</v>
      </c>
      <c r="G640" s="20">
        <v>33279</v>
      </c>
      <c r="H640" s="20">
        <v>30</v>
      </c>
      <c r="I640" s="20">
        <v>35.299999999999997</v>
      </c>
      <c r="J640" s="20">
        <v>10.59</v>
      </c>
    </row>
    <row r="641" spans="1:10" x14ac:dyDescent="0.25">
      <c r="A641" s="20">
        <v>33278</v>
      </c>
      <c r="B641" s="20" t="s">
        <v>68</v>
      </c>
      <c r="C641" s="22">
        <v>46046</v>
      </c>
      <c r="D641" s="22">
        <v>46046</v>
      </c>
      <c r="E641" s="22" t="s">
        <v>753</v>
      </c>
      <c r="F641" s="20">
        <v>332</v>
      </c>
      <c r="G641" s="20">
        <v>1283</v>
      </c>
      <c r="H641" s="20">
        <v>0</v>
      </c>
      <c r="I641" s="20">
        <v>11</v>
      </c>
      <c r="J641" s="20">
        <v>0</v>
      </c>
    </row>
    <row r="642" spans="1:10" x14ac:dyDescent="0.25">
      <c r="A642" s="20">
        <v>33279</v>
      </c>
      <c r="B642" s="20" t="s">
        <v>68</v>
      </c>
      <c r="C642" s="22">
        <v>46048</v>
      </c>
      <c r="D642" s="22">
        <v>46048</v>
      </c>
      <c r="E642" s="22" t="s">
        <v>753</v>
      </c>
      <c r="F642" s="20">
        <v>332</v>
      </c>
      <c r="G642" s="20">
        <v>1286</v>
      </c>
      <c r="H642" s="20">
        <v>0</v>
      </c>
      <c r="I642" s="20">
        <v>20</v>
      </c>
      <c r="J642" s="20">
        <v>0</v>
      </c>
    </row>
    <row r="643" spans="1:10" x14ac:dyDescent="0.25">
      <c r="A643" s="20">
        <v>33280</v>
      </c>
      <c r="B643" s="20" t="s">
        <v>16</v>
      </c>
      <c r="C643" s="22">
        <v>46048</v>
      </c>
      <c r="D643" s="22">
        <v>46048</v>
      </c>
      <c r="E643" s="22" t="s">
        <v>753</v>
      </c>
      <c r="F643" s="20">
        <v>332</v>
      </c>
      <c r="G643" s="20">
        <v>631</v>
      </c>
      <c r="H643" s="20">
        <v>0</v>
      </c>
      <c r="I643" s="20">
        <v>12</v>
      </c>
      <c r="J643" s="20">
        <v>0</v>
      </c>
    </row>
    <row r="644" spans="1:10" x14ac:dyDescent="0.25">
      <c r="A644" s="20">
        <v>33281</v>
      </c>
      <c r="B644" s="20" t="s">
        <v>23</v>
      </c>
      <c r="C644" s="22">
        <v>46048</v>
      </c>
      <c r="D644" s="22">
        <v>46048</v>
      </c>
      <c r="E644" s="22" t="s">
        <v>104</v>
      </c>
      <c r="F644" s="20">
        <v>307</v>
      </c>
      <c r="G644" s="20">
        <v>2651</v>
      </c>
      <c r="H644" s="20">
        <v>70</v>
      </c>
      <c r="I644" s="20">
        <v>2.68</v>
      </c>
      <c r="J644" s="20">
        <v>1.88</v>
      </c>
    </row>
    <row r="645" spans="1:10" x14ac:dyDescent="0.25">
      <c r="A645" s="20">
        <v>33281</v>
      </c>
      <c r="B645" s="20" t="s">
        <v>23</v>
      </c>
      <c r="C645" s="22">
        <v>46048</v>
      </c>
      <c r="D645" s="22">
        <v>46048</v>
      </c>
      <c r="E645" s="22" t="s">
        <v>753</v>
      </c>
      <c r="F645" s="20">
        <v>307</v>
      </c>
      <c r="G645" s="20">
        <v>2651</v>
      </c>
      <c r="H645" s="20">
        <v>2</v>
      </c>
      <c r="I645" s="20">
        <v>17.87</v>
      </c>
      <c r="J645" s="20">
        <v>0.36</v>
      </c>
    </row>
    <row r="646" spans="1:10" x14ac:dyDescent="0.25">
      <c r="A646" s="20">
        <v>33282</v>
      </c>
      <c r="B646" s="20" t="s">
        <v>59</v>
      </c>
      <c r="C646" s="22">
        <v>46048</v>
      </c>
      <c r="D646" s="22">
        <v>46048</v>
      </c>
      <c r="E646" s="22" t="s">
        <v>753</v>
      </c>
      <c r="F646" s="20">
        <v>307</v>
      </c>
      <c r="G646" s="20">
        <v>372</v>
      </c>
      <c r="H646" s="20">
        <v>2</v>
      </c>
      <c r="I646" s="20">
        <v>24</v>
      </c>
      <c r="J646" s="20">
        <v>0.48</v>
      </c>
    </row>
    <row r="647" spans="1:10" x14ac:dyDescent="0.25">
      <c r="A647" s="20">
        <v>33283</v>
      </c>
      <c r="B647" s="20" t="s">
        <v>67</v>
      </c>
      <c r="C647" s="22">
        <v>46048</v>
      </c>
      <c r="D647" s="22">
        <v>46048</v>
      </c>
      <c r="E647" s="22" t="s">
        <v>753</v>
      </c>
      <c r="F647" s="20">
        <v>332</v>
      </c>
      <c r="G647" s="20">
        <v>1765</v>
      </c>
      <c r="H647" s="20">
        <v>0</v>
      </c>
      <c r="I647" s="20">
        <v>150</v>
      </c>
      <c r="J647" s="20">
        <v>0</v>
      </c>
    </row>
    <row r="648" spans="1:10" x14ac:dyDescent="0.25">
      <c r="A648" s="20">
        <v>33284</v>
      </c>
      <c r="B648" s="20" t="s">
        <v>67</v>
      </c>
      <c r="C648" s="22">
        <v>46048</v>
      </c>
      <c r="D648" s="22">
        <v>46048</v>
      </c>
      <c r="E648" s="22" t="s">
        <v>753</v>
      </c>
      <c r="F648" s="20">
        <v>332</v>
      </c>
      <c r="G648" s="20">
        <v>1767</v>
      </c>
      <c r="H648" s="20">
        <v>0</v>
      </c>
      <c r="I648" s="20">
        <v>75</v>
      </c>
      <c r="J648" s="20">
        <v>0</v>
      </c>
    </row>
    <row r="649" spans="1:10" x14ac:dyDescent="0.25">
      <c r="A649" s="20">
        <v>33285</v>
      </c>
      <c r="B649" s="20" t="s">
        <v>55</v>
      </c>
      <c r="C649" s="22">
        <v>46048</v>
      </c>
      <c r="D649" s="22">
        <v>46048</v>
      </c>
      <c r="E649" s="22" t="s">
        <v>753</v>
      </c>
      <c r="F649" s="20">
        <v>343</v>
      </c>
      <c r="G649" s="20">
        <v>776</v>
      </c>
      <c r="H649" s="20">
        <v>1</v>
      </c>
      <c r="I649" s="20">
        <v>12</v>
      </c>
      <c r="J649" s="20">
        <v>0.12</v>
      </c>
    </row>
    <row r="650" spans="1:10" x14ac:dyDescent="0.25">
      <c r="A650" s="20">
        <v>33285</v>
      </c>
      <c r="B650" s="20" t="s">
        <v>55</v>
      </c>
      <c r="C650" s="22">
        <v>46048</v>
      </c>
      <c r="D650" s="22">
        <v>46048</v>
      </c>
      <c r="E650" s="22" t="s">
        <v>104</v>
      </c>
      <c r="F650" s="20">
        <v>343</v>
      </c>
      <c r="G650" s="20">
        <v>776</v>
      </c>
      <c r="H650" s="20">
        <v>70</v>
      </c>
      <c r="I650" s="20">
        <v>1.8</v>
      </c>
      <c r="J650" s="20">
        <v>1.26</v>
      </c>
    </row>
    <row r="651" spans="1:10" x14ac:dyDescent="0.25">
      <c r="A651" s="20">
        <v>33286</v>
      </c>
      <c r="B651" s="20" t="s">
        <v>55</v>
      </c>
      <c r="C651" s="22">
        <v>46048</v>
      </c>
      <c r="D651" s="22">
        <v>46048</v>
      </c>
      <c r="E651" s="22" t="s">
        <v>104</v>
      </c>
      <c r="F651" s="20">
        <v>343</v>
      </c>
      <c r="G651" s="20">
        <v>777</v>
      </c>
      <c r="H651" s="20">
        <v>70</v>
      </c>
      <c r="I651" s="20">
        <v>1.5</v>
      </c>
      <c r="J651" s="20">
        <v>1.05</v>
      </c>
    </row>
    <row r="652" spans="1:10" x14ac:dyDescent="0.25">
      <c r="A652" s="20">
        <v>33286</v>
      </c>
      <c r="B652" s="20" t="s">
        <v>55</v>
      </c>
      <c r="C652" s="22">
        <v>46048</v>
      </c>
      <c r="D652" s="22">
        <v>46048</v>
      </c>
      <c r="E652" s="22" t="s">
        <v>753</v>
      </c>
      <c r="F652" s="20">
        <v>343</v>
      </c>
      <c r="G652" s="20">
        <v>777</v>
      </c>
      <c r="H652" s="20">
        <v>1</v>
      </c>
      <c r="I652" s="20">
        <v>10</v>
      </c>
      <c r="J652" s="20">
        <v>0.1</v>
      </c>
    </row>
    <row r="653" spans="1:10" x14ac:dyDescent="0.25">
      <c r="A653" s="20">
        <v>33287</v>
      </c>
      <c r="B653" s="20" t="s">
        <v>67</v>
      </c>
      <c r="C653" s="22">
        <v>46048</v>
      </c>
      <c r="D653" s="22">
        <v>46048</v>
      </c>
      <c r="E653" s="22" t="s">
        <v>753</v>
      </c>
      <c r="F653" s="20">
        <v>332</v>
      </c>
      <c r="G653" s="20">
        <v>1762</v>
      </c>
      <c r="H653" s="20">
        <v>0</v>
      </c>
      <c r="I653" s="20">
        <v>18</v>
      </c>
      <c r="J653" s="20">
        <v>0</v>
      </c>
    </row>
    <row r="654" spans="1:10" x14ac:dyDescent="0.25">
      <c r="A654" s="20">
        <v>33288</v>
      </c>
      <c r="B654" s="20" t="s">
        <v>67</v>
      </c>
      <c r="C654" s="22">
        <v>46048</v>
      </c>
      <c r="D654" s="22">
        <v>46048</v>
      </c>
      <c r="E654" s="22" t="s">
        <v>753</v>
      </c>
      <c r="F654" s="20">
        <v>332</v>
      </c>
      <c r="G654" s="20">
        <v>1763</v>
      </c>
      <c r="H654" s="20">
        <v>0</v>
      </c>
      <c r="I654" s="20">
        <v>24</v>
      </c>
      <c r="J654" s="20">
        <v>0</v>
      </c>
    </row>
    <row r="655" spans="1:10" x14ac:dyDescent="0.25">
      <c r="A655" s="20">
        <v>33289</v>
      </c>
      <c r="B655" s="20" t="s">
        <v>23</v>
      </c>
      <c r="C655" s="22">
        <v>46048</v>
      </c>
      <c r="D655" s="22">
        <v>46048</v>
      </c>
      <c r="E655" s="22" t="s">
        <v>104</v>
      </c>
      <c r="F655" s="20">
        <v>307</v>
      </c>
      <c r="G655" s="20">
        <v>2652</v>
      </c>
      <c r="H655" s="20">
        <v>70</v>
      </c>
      <c r="I655" s="20">
        <v>2.68</v>
      </c>
      <c r="J655" s="20">
        <v>1.88</v>
      </c>
    </row>
    <row r="656" spans="1:10" x14ac:dyDescent="0.25">
      <c r="A656" s="20">
        <v>33289</v>
      </c>
      <c r="B656" s="20" t="s">
        <v>23</v>
      </c>
      <c r="C656" s="22">
        <v>46048</v>
      </c>
      <c r="D656" s="22">
        <v>46048</v>
      </c>
      <c r="E656" s="22" t="s">
        <v>753</v>
      </c>
      <c r="F656" s="20">
        <v>307</v>
      </c>
      <c r="G656" s="20">
        <v>2652</v>
      </c>
      <c r="H656" s="20">
        <v>2</v>
      </c>
      <c r="I656" s="20">
        <v>17.87</v>
      </c>
      <c r="J656" s="20">
        <v>0.36</v>
      </c>
    </row>
    <row r="657" spans="1:10" x14ac:dyDescent="0.25">
      <c r="A657" s="20">
        <v>33290</v>
      </c>
      <c r="B657" s="20" t="s">
        <v>67</v>
      </c>
      <c r="C657" s="22">
        <v>46048</v>
      </c>
      <c r="D657" s="22">
        <v>46048</v>
      </c>
      <c r="E657" s="22" t="s">
        <v>753</v>
      </c>
      <c r="F657" s="20">
        <v>332</v>
      </c>
      <c r="G657" s="20">
        <v>1768</v>
      </c>
      <c r="H657" s="20">
        <v>0</v>
      </c>
      <c r="I657" s="20">
        <v>8</v>
      </c>
      <c r="J657" s="20">
        <v>0</v>
      </c>
    </row>
    <row r="658" spans="1:10" x14ac:dyDescent="0.25">
      <c r="A658" s="20">
        <v>33291</v>
      </c>
      <c r="B658" s="20" t="s">
        <v>23</v>
      </c>
      <c r="C658" s="22">
        <v>46048</v>
      </c>
      <c r="D658" s="22">
        <v>46048</v>
      </c>
      <c r="E658" s="22" t="s">
        <v>753</v>
      </c>
      <c r="F658" s="20">
        <v>307</v>
      </c>
      <c r="G658" s="20">
        <v>2647</v>
      </c>
      <c r="H658" s="20">
        <v>2</v>
      </c>
      <c r="I658" s="20">
        <v>17.87</v>
      </c>
      <c r="J658" s="20">
        <v>0.36</v>
      </c>
    </row>
    <row r="659" spans="1:10" x14ac:dyDescent="0.25">
      <c r="A659" s="20">
        <v>33291</v>
      </c>
      <c r="B659" s="20" t="s">
        <v>23</v>
      </c>
      <c r="C659" s="22">
        <v>46048</v>
      </c>
      <c r="D659" s="22">
        <v>46048</v>
      </c>
      <c r="E659" s="22" t="s">
        <v>104</v>
      </c>
      <c r="F659" s="20">
        <v>307</v>
      </c>
      <c r="G659" s="20">
        <v>2647</v>
      </c>
      <c r="H659" s="20">
        <v>70</v>
      </c>
      <c r="I659" s="20">
        <v>2.68</v>
      </c>
      <c r="J659" s="20">
        <v>1.88</v>
      </c>
    </row>
    <row r="660" spans="1:10" x14ac:dyDescent="0.25">
      <c r="A660" s="20">
        <v>33292</v>
      </c>
      <c r="B660" s="20" t="s">
        <v>67</v>
      </c>
      <c r="C660" s="22">
        <v>46048</v>
      </c>
      <c r="D660" s="22">
        <v>46048</v>
      </c>
      <c r="E660" s="22" t="s">
        <v>753</v>
      </c>
      <c r="F660" s="20">
        <v>332</v>
      </c>
      <c r="G660" s="20">
        <v>1764</v>
      </c>
      <c r="H660" s="20">
        <v>0</v>
      </c>
      <c r="I660" s="20">
        <v>18</v>
      </c>
      <c r="J660" s="20">
        <v>0</v>
      </c>
    </row>
    <row r="661" spans="1:10" x14ac:dyDescent="0.25">
      <c r="A661" s="20">
        <v>33293</v>
      </c>
      <c r="B661" s="20" t="s">
        <v>56</v>
      </c>
      <c r="C661" s="22">
        <v>46048</v>
      </c>
      <c r="D661" s="22">
        <v>46048</v>
      </c>
      <c r="E661" s="22" t="s">
        <v>104</v>
      </c>
      <c r="F661" s="20">
        <v>307</v>
      </c>
      <c r="G661" s="20">
        <v>1510</v>
      </c>
      <c r="H661" s="20">
        <v>70</v>
      </c>
      <c r="I661" s="20">
        <v>1.5</v>
      </c>
      <c r="J661" s="20">
        <v>1.05</v>
      </c>
    </row>
    <row r="662" spans="1:10" x14ac:dyDescent="0.25">
      <c r="A662" s="20">
        <v>33293</v>
      </c>
      <c r="B662" s="20" t="s">
        <v>56</v>
      </c>
      <c r="C662" s="22">
        <v>46048</v>
      </c>
      <c r="D662" s="22">
        <v>46048</v>
      </c>
      <c r="E662" s="22" t="s">
        <v>753</v>
      </c>
      <c r="F662" s="20">
        <v>307</v>
      </c>
      <c r="G662" s="20">
        <v>1510</v>
      </c>
      <c r="H662" s="20">
        <v>2</v>
      </c>
      <c r="I662" s="20">
        <v>10</v>
      </c>
      <c r="J662" s="20">
        <v>0.2</v>
      </c>
    </row>
    <row r="663" spans="1:10" x14ac:dyDescent="0.25">
      <c r="A663" s="20">
        <v>33294</v>
      </c>
      <c r="B663" s="20" t="s">
        <v>56</v>
      </c>
      <c r="C663" s="22">
        <v>46049</v>
      </c>
      <c r="D663" s="22">
        <v>46049</v>
      </c>
      <c r="E663" s="22" t="s">
        <v>104</v>
      </c>
      <c r="F663" s="20">
        <v>307</v>
      </c>
      <c r="G663" s="20">
        <v>1514</v>
      </c>
      <c r="H663" s="20">
        <v>70</v>
      </c>
      <c r="I663" s="20">
        <v>1.5</v>
      </c>
      <c r="J663" s="20">
        <v>1.05</v>
      </c>
    </row>
    <row r="664" spans="1:10" x14ac:dyDescent="0.25">
      <c r="A664" s="20">
        <v>33294</v>
      </c>
      <c r="B664" s="20" t="s">
        <v>56</v>
      </c>
      <c r="C664" s="22">
        <v>46049</v>
      </c>
      <c r="D664" s="22">
        <v>46049</v>
      </c>
      <c r="E664" s="22" t="s">
        <v>753</v>
      </c>
      <c r="F664" s="20">
        <v>307</v>
      </c>
      <c r="G664" s="20">
        <v>1514</v>
      </c>
      <c r="H664" s="20">
        <v>2</v>
      </c>
      <c r="I664" s="20">
        <v>10</v>
      </c>
      <c r="J664" s="20">
        <v>0.2</v>
      </c>
    </row>
    <row r="665" spans="1:10" x14ac:dyDescent="0.25">
      <c r="A665" s="20">
        <v>33295</v>
      </c>
      <c r="B665" s="20" t="s">
        <v>68</v>
      </c>
      <c r="C665" s="22">
        <v>46049</v>
      </c>
      <c r="D665" s="22">
        <v>46049</v>
      </c>
      <c r="E665" s="22" t="s">
        <v>753</v>
      </c>
      <c r="F665" s="20">
        <v>332</v>
      </c>
      <c r="G665" s="20">
        <v>1289</v>
      </c>
      <c r="H665" s="20">
        <v>0</v>
      </c>
      <c r="I665" s="20">
        <v>40</v>
      </c>
      <c r="J665" s="20">
        <v>0</v>
      </c>
    </row>
    <row r="666" spans="1:10" x14ac:dyDescent="0.25">
      <c r="A666" s="20">
        <v>33296</v>
      </c>
      <c r="B666" s="20" t="s">
        <v>56</v>
      </c>
      <c r="C666" s="22">
        <v>46049</v>
      </c>
      <c r="D666" s="22">
        <v>46049</v>
      </c>
      <c r="E666" s="22" t="s">
        <v>753</v>
      </c>
      <c r="F666" s="20">
        <v>307</v>
      </c>
      <c r="G666" s="20">
        <v>1516</v>
      </c>
      <c r="H666" s="20">
        <v>2</v>
      </c>
      <c r="I666" s="20">
        <v>6</v>
      </c>
      <c r="J666" s="20">
        <v>0.12</v>
      </c>
    </row>
    <row r="667" spans="1:10" x14ac:dyDescent="0.25">
      <c r="A667" s="20">
        <v>33296</v>
      </c>
      <c r="B667" s="20" t="s">
        <v>56</v>
      </c>
      <c r="C667" s="22">
        <v>46049</v>
      </c>
      <c r="D667" s="22">
        <v>46049</v>
      </c>
      <c r="E667" s="22" t="s">
        <v>104</v>
      </c>
      <c r="F667" s="20">
        <v>307</v>
      </c>
      <c r="G667" s="20">
        <v>1516</v>
      </c>
      <c r="H667" s="20">
        <v>70</v>
      </c>
      <c r="I667" s="20">
        <v>0.9</v>
      </c>
      <c r="J667" s="20">
        <v>0.63</v>
      </c>
    </row>
    <row r="668" spans="1:10" x14ac:dyDescent="0.25">
      <c r="A668" s="20">
        <v>33297</v>
      </c>
      <c r="B668" s="20" t="s">
        <v>55</v>
      </c>
      <c r="C668" s="22">
        <v>46049</v>
      </c>
      <c r="D668" s="22">
        <v>46049</v>
      </c>
      <c r="E668" s="22" t="s">
        <v>104</v>
      </c>
      <c r="F668" s="20">
        <v>343</v>
      </c>
      <c r="G668" s="20">
        <v>783</v>
      </c>
      <c r="H668" s="20">
        <v>70</v>
      </c>
      <c r="I668" s="20">
        <v>3</v>
      </c>
      <c r="J668" s="20">
        <v>2.1</v>
      </c>
    </row>
    <row r="669" spans="1:10" x14ac:dyDescent="0.25">
      <c r="A669" s="20">
        <v>33297</v>
      </c>
      <c r="B669" s="20" t="s">
        <v>55</v>
      </c>
      <c r="C669" s="22">
        <v>46049</v>
      </c>
      <c r="D669" s="22">
        <v>46049</v>
      </c>
      <c r="E669" s="22" t="s">
        <v>753</v>
      </c>
      <c r="F669" s="20">
        <v>343</v>
      </c>
      <c r="G669" s="20">
        <v>783</v>
      </c>
      <c r="H669" s="20">
        <v>1</v>
      </c>
      <c r="I669" s="20">
        <v>20</v>
      </c>
      <c r="J669" s="20">
        <v>0.2</v>
      </c>
    </row>
    <row r="670" spans="1:10" x14ac:dyDescent="0.25">
      <c r="A670" s="20">
        <v>33298</v>
      </c>
      <c r="B670" s="20" t="s">
        <v>56</v>
      </c>
      <c r="C670" s="22">
        <v>46049</v>
      </c>
      <c r="D670" s="22">
        <v>46049</v>
      </c>
      <c r="E670" s="22" t="s">
        <v>104</v>
      </c>
      <c r="F670" s="20">
        <v>307</v>
      </c>
      <c r="G670" s="20">
        <v>1512</v>
      </c>
      <c r="H670" s="20">
        <v>70</v>
      </c>
      <c r="I670" s="20">
        <v>1.5</v>
      </c>
      <c r="J670" s="20">
        <v>1.05</v>
      </c>
    </row>
    <row r="671" spans="1:10" x14ac:dyDescent="0.25">
      <c r="A671" s="20">
        <v>33298</v>
      </c>
      <c r="B671" s="20" t="s">
        <v>56</v>
      </c>
      <c r="C671" s="22">
        <v>46049</v>
      </c>
      <c r="D671" s="22">
        <v>46049</v>
      </c>
      <c r="E671" s="22" t="s">
        <v>753</v>
      </c>
      <c r="F671" s="20">
        <v>307</v>
      </c>
      <c r="G671" s="20">
        <v>1512</v>
      </c>
      <c r="H671" s="20">
        <v>2</v>
      </c>
      <c r="I671" s="20">
        <v>10</v>
      </c>
      <c r="J671" s="20">
        <v>0.2</v>
      </c>
    </row>
    <row r="672" spans="1:10" x14ac:dyDescent="0.25">
      <c r="A672" s="20">
        <v>33299</v>
      </c>
      <c r="B672" s="20" t="s">
        <v>56</v>
      </c>
      <c r="C672" s="22">
        <v>46049</v>
      </c>
      <c r="D672" s="22">
        <v>46049</v>
      </c>
      <c r="E672" s="22" t="s">
        <v>753</v>
      </c>
      <c r="F672" s="20">
        <v>307</v>
      </c>
      <c r="G672" s="20">
        <v>1513</v>
      </c>
      <c r="H672" s="20">
        <v>2</v>
      </c>
      <c r="I672" s="20">
        <v>10</v>
      </c>
      <c r="J672" s="20">
        <v>0.2</v>
      </c>
    </row>
    <row r="673" spans="1:10" x14ac:dyDescent="0.25">
      <c r="A673" s="20">
        <v>33299</v>
      </c>
      <c r="B673" s="20" t="s">
        <v>56</v>
      </c>
      <c r="C673" s="22">
        <v>46049</v>
      </c>
      <c r="D673" s="22">
        <v>46049</v>
      </c>
      <c r="E673" s="22" t="s">
        <v>104</v>
      </c>
      <c r="F673" s="20">
        <v>307</v>
      </c>
      <c r="G673" s="20">
        <v>1513</v>
      </c>
      <c r="H673" s="20">
        <v>70</v>
      </c>
      <c r="I673" s="20">
        <v>1.5</v>
      </c>
      <c r="J673" s="20">
        <v>1.05</v>
      </c>
    </row>
    <row r="674" spans="1:10" x14ac:dyDescent="0.25">
      <c r="A674" s="20">
        <v>33300</v>
      </c>
      <c r="B674" s="20" t="s">
        <v>23</v>
      </c>
      <c r="C674" s="22">
        <v>46049</v>
      </c>
      <c r="D674" s="22">
        <v>46049</v>
      </c>
      <c r="E674" s="22" t="s">
        <v>753</v>
      </c>
      <c r="F674" s="20">
        <v>307</v>
      </c>
      <c r="G674" s="20">
        <v>2661</v>
      </c>
      <c r="H674" s="20">
        <v>2</v>
      </c>
      <c r="I674" s="20">
        <v>17.87</v>
      </c>
      <c r="J674" s="20">
        <v>0.36</v>
      </c>
    </row>
    <row r="675" spans="1:10" x14ac:dyDescent="0.25">
      <c r="A675" s="20">
        <v>33300</v>
      </c>
      <c r="B675" s="20" t="s">
        <v>23</v>
      </c>
      <c r="C675" s="22">
        <v>46049</v>
      </c>
      <c r="D675" s="22">
        <v>46049</v>
      </c>
      <c r="E675" s="22" t="s">
        <v>104</v>
      </c>
      <c r="F675" s="20">
        <v>307</v>
      </c>
      <c r="G675" s="20">
        <v>2661</v>
      </c>
      <c r="H675" s="20">
        <v>70</v>
      </c>
      <c r="I675" s="20">
        <v>2.68</v>
      </c>
      <c r="J675" s="20">
        <v>1.88</v>
      </c>
    </row>
    <row r="676" spans="1:10" x14ac:dyDescent="0.25">
      <c r="A676" s="20">
        <v>33301</v>
      </c>
      <c r="B676" s="20" t="s">
        <v>68</v>
      </c>
      <c r="C676" s="22">
        <v>46049</v>
      </c>
      <c r="D676" s="22">
        <v>46049</v>
      </c>
      <c r="E676" s="22" t="s">
        <v>753</v>
      </c>
      <c r="F676" s="20">
        <v>332</v>
      </c>
      <c r="G676" s="20">
        <v>1288</v>
      </c>
      <c r="H676" s="20">
        <v>0</v>
      </c>
      <c r="I676" s="20">
        <v>20</v>
      </c>
      <c r="J676" s="20">
        <v>0</v>
      </c>
    </row>
    <row r="677" spans="1:10" x14ac:dyDescent="0.25">
      <c r="A677" s="20">
        <v>33302</v>
      </c>
      <c r="B677" s="20" t="s">
        <v>56</v>
      </c>
      <c r="C677" s="22">
        <v>46049</v>
      </c>
      <c r="D677" s="22">
        <v>46049</v>
      </c>
      <c r="E677" s="22" t="s">
        <v>104</v>
      </c>
      <c r="F677" s="20">
        <v>307</v>
      </c>
      <c r="G677" s="20">
        <v>1515</v>
      </c>
      <c r="H677" s="20">
        <v>70</v>
      </c>
      <c r="I677" s="20">
        <v>1.5</v>
      </c>
      <c r="J677" s="20">
        <v>1.05</v>
      </c>
    </row>
    <row r="678" spans="1:10" x14ac:dyDescent="0.25">
      <c r="A678" s="20">
        <v>33302</v>
      </c>
      <c r="B678" s="20" t="s">
        <v>56</v>
      </c>
      <c r="C678" s="22">
        <v>46049</v>
      </c>
      <c r="D678" s="22">
        <v>46049</v>
      </c>
      <c r="E678" s="22" t="s">
        <v>753</v>
      </c>
      <c r="F678" s="20">
        <v>307</v>
      </c>
      <c r="G678" s="20">
        <v>1515</v>
      </c>
      <c r="H678" s="20">
        <v>2</v>
      </c>
      <c r="I678" s="20">
        <v>10</v>
      </c>
      <c r="J678" s="20">
        <v>0.2</v>
      </c>
    </row>
    <row r="679" spans="1:10" x14ac:dyDescent="0.25">
      <c r="A679" s="20">
        <v>33303</v>
      </c>
      <c r="B679" s="20" t="s">
        <v>67</v>
      </c>
      <c r="C679" s="22">
        <v>46049</v>
      </c>
      <c r="D679" s="22">
        <v>46049</v>
      </c>
      <c r="E679" s="22" t="s">
        <v>753</v>
      </c>
      <c r="F679" s="20">
        <v>332</v>
      </c>
      <c r="G679" s="20">
        <v>1769</v>
      </c>
      <c r="H679" s="20">
        <v>0</v>
      </c>
      <c r="I679" s="20">
        <v>18</v>
      </c>
      <c r="J679" s="20">
        <v>0</v>
      </c>
    </row>
    <row r="680" spans="1:10" x14ac:dyDescent="0.25">
      <c r="A680" s="20">
        <v>33304</v>
      </c>
      <c r="B680" s="20" t="s">
        <v>55</v>
      </c>
      <c r="C680" s="22">
        <v>46049</v>
      </c>
      <c r="D680" s="22">
        <v>46049</v>
      </c>
      <c r="E680" s="22" t="s">
        <v>753</v>
      </c>
      <c r="F680" s="20">
        <v>343</v>
      </c>
      <c r="G680" s="20">
        <v>784</v>
      </c>
      <c r="H680" s="20">
        <v>1</v>
      </c>
      <c r="I680" s="20">
        <v>15</v>
      </c>
      <c r="J680" s="20">
        <v>0.15</v>
      </c>
    </row>
    <row r="681" spans="1:10" x14ac:dyDescent="0.25">
      <c r="A681" s="20">
        <v>33304</v>
      </c>
      <c r="B681" s="20" t="s">
        <v>55</v>
      </c>
      <c r="C681" s="22">
        <v>46049</v>
      </c>
      <c r="D681" s="22">
        <v>46049</v>
      </c>
      <c r="E681" s="22" t="s">
        <v>104</v>
      </c>
      <c r="F681" s="20">
        <v>343</v>
      </c>
      <c r="G681" s="20">
        <v>784</v>
      </c>
      <c r="H681" s="20">
        <v>70</v>
      </c>
      <c r="I681" s="20">
        <v>2.25</v>
      </c>
      <c r="J681" s="20">
        <v>1.58</v>
      </c>
    </row>
    <row r="682" spans="1:10" x14ac:dyDescent="0.25">
      <c r="A682" s="20">
        <v>33305</v>
      </c>
      <c r="B682" s="20" t="s">
        <v>64</v>
      </c>
      <c r="C682" s="22">
        <v>46049</v>
      </c>
      <c r="D682" s="22">
        <v>46049</v>
      </c>
      <c r="E682" s="22" t="s">
        <v>753</v>
      </c>
      <c r="F682" s="20">
        <v>307</v>
      </c>
      <c r="G682" s="20">
        <v>4714</v>
      </c>
      <c r="H682" s="20">
        <v>2</v>
      </c>
      <c r="I682" s="20">
        <v>5</v>
      </c>
      <c r="J682" s="20">
        <v>0.1</v>
      </c>
    </row>
    <row r="683" spans="1:10" x14ac:dyDescent="0.25">
      <c r="A683" s="20">
        <v>33306</v>
      </c>
      <c r="B683" s="20" t="s">
        <v>66</v>
      </c>
      <c r="C683" s="22">
        <v>46050</v>
      </c>
      <c r="D683" s="22">
        <v>46050</v>
      </c>
      <c r="E683" s="22" t="s">
        <v>753</v>
      </c>
      <c r="F683" s="20">
        <v>307</v>
      </c>
      <c r="G683" s="20">
        <v>10475</v>
      </c>
      <c r="H683" s="20">
        <v>2</v>
      </c>
      <c r="I683" s="20">
        <v>45</v>
      </c>
      <c r="J683" s="20">
        <v>0.9</v>
      </c>
    </row>
    <row r="684" spans="1:10" x14ac:dyDescent="0.25">
      <c r="A684" s="20">
        <v>33306</v>
      </c>
      <c r="B684" s="20" t="s">
        <v>66</v>
      </c>
      <c r="C684" s="22">
        <v>46050</v>
      </c>
      <c r="D684" s="22">
        <v>46050</v>
      </c>
      <c r="E684" s="22" t="s">
        <v>104</v>
      </c>
      <c r="F684" s="20">
        <v>307</v>
      </c>
      <c r="G684" s="20">
        <v>10475</v>
      </c>
      <c r="H684" s="20">
        <v>70</v>
      </c>
      <c r="I684" s="20">
        <v>6.75</v>
      </c>
      <c r="J684" s="20">
        <v>4.7300000000000004</v>
      </c>
    </row>
    <row r="685" spans="1:10" x14ac:dyDescent="0.25">
      <c r="A685" s="20">
        <v>33307</v>
      </c>
      <c r="B685" s="20" t="s">
        <v>68</v>
      </c>
      <c r="C685" s="22">
        <v>46050</v>
      </c>
      <c r="D685" s="22">
        <v>46050</v>
      </c>
      <c r="E685" s="22" t="s">
        <v>753</v>
      </c>
      <c r="F685" s="20">
        <v>332</v>
      </c>
      <c r="G685" s="20">
        <v>1290</v>
      </c>
      <c r="H685" s="20">
        <v>0</v>
      </c>
      <c r="I685" s="20">
        <v>20</v>
      </c>
      <c r="J685" s="20">
        <v>0</v>
      </c>
    </row>
    <row r="686" spans="1:10" x14ac:dyDescent="0.25">
      <c r="A686" s="20">
        <v>33308</v>
      </c>
      <c r="B686" s="20" t="s">
        <v>68</v>
      </c>
      <c r="C686" s="22">
        <v>46050</v>
      </c>
      <c r="D686" s="22">
        <v>46050</v>
      </c>
      <c r="E686" s="22" t="s">
        <v>753</v>
      </c>
      <c r="F686" s="20">
        <v>332</v>
      </c>
      <c r="G686" s="20">
        <v>1292</v>
      </c>
      <c r="H686" s="20">
        <v>0</v>
      </c>
      <c r="I686" s="20">
        <v>20</v>
      </c>
      <c r="J686" s="20">
        <v>0</v>
      </c>
    </row>
    <row r="687" spans="1:10" x14ac:dyDescent="0.25">
      <c r="A687" s="20">
        <v>33309</v>
      </c>
      <c r="B687" s="20" t="s">
        <v>68</v>
      </c>
      <c r="C687" s="22">
        <v>46050</v>
      </c>
      <c r="D687" s="22">
        <v>46050</v>
      </c>
      <c r="E687" s="22" t="s">
        <v>753</v>
      </c>
      <c r="F687" s="20">
        <v>332</v>
      </c>
      <c r="G687" s="20">
        <v>1294</v>
      </c>
      <c r="H687" s="20">
        <v>0</v>
      </c>
      <c r="I687" s="20">
        <v>20</v>
      </c>
      <c r="J687" s="20">
        <v>0</v>
      </c>
    </row>
    <row r="688" spans="1:10" x14ac:dyDescent="0.25">
      <c r="A688" s="20">
        <v>33310</v>
      </c>
      <c r="B688" s="20" t="s">
        <v>56</v>
      </c>
      <c r="C688" s="22">
        <v>46050</v>
      </c>
      <c r="D688" s="22">
        <v>46050</v>
      </c>
      <c r="E688" s="22" t="s">
        <v>104</v>
      </c>
      <c r="F688" s="20">
        <v>307</v>
      </c>
      <c r="G688" s="20">
        <v>1524</v>
      </c>
      <c r="H688" s="20">
        <v>70</v>
      </c>
      <c r="I688" s="20">
        <v>0.9</v>
      </c>
      <c r="J688" s="20">
        <v>0.63</v>
      </c>
    </row>
    <row r="689" spans="1:10" x14ac:dyDescent="0.25">
      <c r="A689" s="20">
        <v>33310</v>
      </c>
      <c r="B689" s="20" t="s">
        <v>56</v>
      </c>
      <c r="C689" s="22">
        <v>46050</v>
      </c>
      <c r="D689" s="22">
        <v>46050</v>
      </c>
      <c r="E689" s="22" t="s">
        <v>753</v>
      </c>
      <c r="F689" s="20">
        <v>307</v>
      </c>
      <c r="G689" s="20">
        <v>1524</v>
      </c>
      <c r="H689" s="20">
        <v>2</v>
      </c>
      <c r="I689" s="20">
        <v>6</v>
      </c>
      <c r="J689" s="20">
        <v>0.12</v>
      </c>
    </row>
    <row r="690" spans="1:10" x14ac:dyDescent="0.25">
      <c r="A690" s="20">
        <v>33311</v>
      </c>
      <c r="B690" s="20" t="s">
        <v>77</v>
      </c>
      <c r="C690" s="22">
        <v>46050</v>
      </c>
      <c r="D690" s="22">
        <v>46050</v>
      </c>
      <c r="E690" s="22" t="s">
        <v>753</v>
      </c>
      <c r="F690" s="20">
        <v>307</v>
      </c>
      <c r="G690" s="20">
        <v>82</v>
      </c>
      <c r="H690" s="20">
        <v>2</v>
      </c>
      <c r="I690" s="20">
        <v>25</v>
      </c>
      <c r="J690" s="20">
        <v>0.5</v>
      </c>
    </row>
    <row r="691" spans="1:10" x14ac:dyDescent="0.25">
      <c r="A691" s="20">
        <v>33311</v>
      </c>
      <c r="B691" s="20" t="s">
        <v>77</v>
      </c>
      <c r="C691" s="22">
        <v>46050</v>
      </c>
      <c r="D691" s="22">
        <v>46050</v>
      </c>
      <c r="E691" s="22" t="s">
        <v>104</v>
      </c>
      <c r="F691" s="20">
        <v>307</v>
      </c>
      <c r="G691" s="20">
        <v>82</v>
      </c>
      <c r="H691" s="20">
        <v>70</v>
      </c>
      <c r="I691" s="20">
        <v>3.75</v>
      </c>
      <c r="J691" s="20">
        <v>2.63</v>
      </c>
    </row>
    <row r="692" spans="1:10" x14ac:dyDescent="0.25">
      <c r="A692" s="20">
        <v>33312</v>
      </c>
      <c r="B692" s="20" t="s">
        <v>67</v>
      </c>
      <c r="C692" s="22">
        <v>46050</v>
      </c>
      <c r="D692" s="22">
        <v>46050</v>
      </c>
      <c r="E692" s="22" t="s">
        <v>753</v>
      </c>
      <c r="F692" s="20">
        <v>332</v>
      </c>
      <c r="G692" s="20">
        <v>1770</v>
      </c>
      <c r="H692" s="20">
        <v>0</v>
      </c>
      <c r="I692" s="20">
        <v>18</v>
      </c>
      <c r="J692" s="20">
        <v>0</v>
      </c>
    </row>
    <row r="693" spans="1:10" x14ac:dyDescent="0.25">
      <c r="A693" s="20">
        <v>33313</v>
      </c>
      <c r="B693" s="20" t="s">
        <v>68</v>
      </c>
      <c r="C693" s="22">
        <v>46050</v>
      </c>
      <c r="D693" s="22">
        <v>46050</v>
      </c>
      <c r="E693" s="22" t="s">
        <v>753</v>
      </c>
      <c r="F693" s="20">
        <v>332</v>
      </c>
      <c r="G693" s="20">
        <v>1291</v>
      </c>
      <c r="H693" s="20">
        <v>0</v>
      </c>
      <c r="I693" s="20">
        <v>6</v>
      </c>
      <c r="J693" s="20">
        <v>0</v>
      </c>
    </row>
    <row r="694" spans="1:10" x14ac:dyDescent="0.25">
      <c r="A694" s="20">
        <v>33314</v>
      </c>
      <c r="B694" s="20" t="s">
        <v>56</v>
      </c>
      <c r="C694" s="22">
        <v>46050</v>
      </c>
      <c r="D694" s="22">
        <v>46050</v>
      </c>
      <c r="E694" s="22" t="s">
        <v>753</v>
      </c>
      <c r="F694" s="20">
        <v>307</v>
      </c>
      <c r="G694" s="20">
        <v>1521</v>
      </c>
      <c r="H694" s="20">
        <v>2</v>
      </c>
      <c r="I694" s="20">
        <v>10</v>
      </c>
      <c r="J694" s="20">
        <v>0.2</v>
      </c>
    </row>
    <row r="695" spans="1:10" x14ac:dyDescent="0.25">
      <c r="A695" s="20">
        <v>33314</v>
      </c>
      <c r="B695" s="20" t="s">
        <v>56</v>
      </c>
      <c r="C695" s="22">
        <v>46050</v>
      </c>
      <c r="D695" s="22">
        <v>46050</v>
      </c>
      <c r="E695" s="22" t="s">
        <v>104</v>
      </c>
      <c r="F695" s="20">
        <v>307</v>
      </c>
      <c r="G695" s="20">
        <v>1521</v>
      </c>
      <c r="H695" s="20">
        <v>70</v>
      </c>
      <c r="I695" s="20">
        <v>1.5</v>
      </c>
      <c r="J695" s="20">
        <v>1.05</v>
      </c>
    </row>
    <row r="696" spans="1:10" x14ac:dyDescent="0.25">
      <c r="A696" s="20">
        <v>33315</v>
      </c>
      <c r="B696" s="20" t="s">
        <v>23</v>
      </c>
      <c r="C696" s="22">
        <v>46050</v>
      </c>
      <c r="D696" s="22">
        <v>46050</v>
      </c>
      <c r="E696" s="22" t="s">
        <v>753</v>
      </c>
      <c r="F696" s="20">
        <v>307</v>
      </c>
      <c r="G696" s="20">
        <v>2663</v>
      </c>
      <c r="H696" s="20">
        <v>2</v>
      </c>
      <c r="I696" s="20">
        <v>17.87</v>
      </c>
      <c r="J696" s="20">
        <v>0.36</v>
      </c>
    </row>
    <row r="697" spans="1:10" x14ac:dyDescent="0.25">
      <c r="A697" s="20">
        <v>33315</v>
      </c>
      <c r="B697" s="20" t="s">
        <v>23</v>
      </c>
      <c r="C697" s="22">
        <v>46050</v>
      </c>
      <c r="D697" s="22">
        <v>46050</v>
      </c>
      <c r="E697" s="22" t="s">
        <v>104</v>
      </c>
      <c r="F697" s="20">
        <v>307</v>
      </c>
      <c r="G697" s="20">
        <v>2663</v>
      </c>
      <c r="H697" s="20">
        <v>70</v>
      </c>
      <c r="I697" s="20">
        <v>2.68</v>
      </c>
      <c r="J697" s="20">
        <v>1.88</v>
      </c>
    </row>
    <row r="698" spans="1:10" x14ac:dyDescent="0.25">
      <c r="A698" s="20">
        <v>33316</v>
      </c>
      <c r="B698" s="20" t="s">
        <v>68</v>
      </c>
      <c r="C698" s="22">
        <v>46050</v>
      </c>
      <c r="D698" s="22">
        <v>46050</v>
      </c>
      <c r="E698" s="22" t="s">
        <v>753</v>
      </c>
      <c r="F698" s="20">
        <v>332</v>
      </c>
      <c r="G698" s="20">
        <v>1293</v>
      </c>
      <c r="H698" s="20">
        <v>0</v>
      </c>
      <c r="I698" s="20">
        <v>37</v>
      </c>
      <c r="J698" s="20">
        <v>0</v>
      </c>
    </row>
    <row r="699" spans="1:10" x14ac:dyDescent="0.25">
      <c r="A699" s="20">
        <v>33317</v>
      </c>
      <c r="B699" s="20" t="s">
        <v>56</v>
      </c>
      <c r="C699" s="22">
        <v>46050</v>
      </c>
      <c r="D699" s="22">
        <v>46050</v>
      </c>
      <c r="E699" s="22" t="s">
        <v>753</v>
      </c>
      <c r="F699" s="20">
        <v>307</v>
      </c>
      <c r="G699" s="20">
        <v>1522</v>
      </c>
      <c r="H699" s="20">
        <v>2</v>
      </c>
      <c r="I699" s="20">
        <v>6</v>
      </c>
      <c r="J699" s="20">
        <v>0.12</v>
      </c>
    </row>
    <row r="700" spans="1:10" x14ac:dyDescent="0.25">
      <c r="A700" s="20">
        <v>33317</v>
      </c>
      <c r="B700" s="20" t="s">
        <v>56</v>
      </c>
      <c r="C700" s="22">
        <v>46050</v>
      </c>
      <c r="D700" s="22">
        <v>46050</v>
      </c>
      <c r="E700" s="22" t="s">
        <v>104</v>
      </c>
      <c r="F700" s="20">
        <v>307</v>
      </c>
      <c r="G700" s="20">
        <v>1522</v>
      </c>
      <c r="H700" s="20">
        <v>70</v>
      </c>
      <c r="I700" s="20">
        <v>0.9</v>
      </c>
      <c r="J700" s="20">
        <v>0.63</v>
      </c>
    </row>
    <row r="701" spans="1:10" x14ac:dyDescent="0.25">
      <c r="A701" s="20">
        <v>33318</v>
      </c>
      <c r="B701" s="20" t="s">
        <v>58</v>
      </c>
      <c r="C701" s="22">
        <v>46050</v>
      </c>
      <c r="D701" s="22">
        <v>46050</v>
      </c>
      <c r="E701" s="22" t="s">
        <v>753</v>
      </c>
      <c r="F701" s="20">
        <v>312</v>
      </c>
      <c r="G701" s="20">
        <v>394</v>
      </c>
      <c r="H701" s="20">
        <v>1.75</v>
      </c>
      <c r="I701" s="20">
        <v>814.34</v>
      </c>
      <c r="J701" s="20">
        <v>14.25</v>
      </c>
    </row>
    <row r="702" spans="1:10" x14ac:dyDescent="0.25">
      <c r="A702" s="20">
        <v>33318</v>
      </c>
      <c r="B702" s="20" t="s">
        <v>58</v>
      </c>
      <c r="C702" s="22">
        <v>46050</v>
      </c>
      <c r="D702" s="22">
        <v>46050</v>
      </c>
      <c r="E702" s="22" t="s">
        <v>104</v>
      </c>
      <c r="F702" s="20">
        <v>312</v>
      </c>
      <c r="G702" s="20">
        <v>394</v>
      </c>
      <c r="H702" s="20">
        <v>30</v>
      </c>
      <c r="I702" s="20">
        <v>122.15</v>
      </c>
      <c r="J702" s="20">
        <v>36.65</v>
      </c>
    </row>
    <row r="703" spans="1:10" x14ac:dyDescent="0.25">
      <c r="A703" s="20">
        <v>33319</v>
      </c>
      <c r="B703" s="20" t="s">
        <v>56</v>
      </c>
      <c r="C703" s="22">
        <v>46050</v>
      </c>
      <c r="D703" s="22">
        <v>46050</v>
      </c>
      <c r="E703" s="22" t="s">
        <v>104</v>
      </c>
      <c r="F703" s="20">
        <v>307</v>
      </c>
      <c r="G703" s="20">
        <v>1519</v>
      </c>
      <c r="H703" s="20">
        <v>70</v>
      </c>
      <c r="I703" s="20">
        <v>1.5</v>
      </c>
      <c r="J703" s="20">
        <v>1.05</v>
      </c>
    </row>
    <row r="704" spans="1:10" x14ac:dyDescent="0.25">
      <c r="A704" s="20">
        <v>33319</v>
      </c>
      <c r="B704" s="20" t="s">
        <v>56</v>
      </c>
      <c r="C704" s="22">
        <v>46050</v>
      </c>
      <c r="D704" s="22">
        <v>46050</v>
      </c>
      <c r="E704" s="22" t="s">
        <v>753</v>
      </c>
      <c r="F704" s="20">
        <v>307</v>
      </c>
      <c r="G704" s="20">
        <v>1519</v>
      </c>
      <c r="H704" s="20">
        <v>2</v>
      </c>
      <c r="I704" s="20">
        <v>10</v>
      </c>
      <c r="J704" s="20">
        <v>0.2</v>
      </c>
    </row>
    <row r="705" spans="1:10" x14ac:dyDescent="0.25">
      <c r="A705" s="20">
        <v>33320</v>
      </c>
      <c r="B705" s="20" t="s">
        <v>56</v>
      </c>
      <c r="C705" s="22">
        <v>46050</v>
      </c>
      <c r="D705" s="22">
        <v>46050</v>
      </c>
      <c r="E705" s="22" t="s">
        <v>753</v>
      </c>
      <c r="F705" s="20">
        <v>307</v>
      </c>
      <c r="G705" s="20">
        <v>1523</v>
      </c>
      <c r="H705" s="20">
        <v>2</v>
      </c>
      <c r="I705" s="20">
        <v>10</v>
      </c>
      <c r="J705" s="20">
        <v>0.2</v>
      </c>
    </row>
    <row r="706" spans="1:10" x14ac:dyDescent="0.25">
      <c r="A706" s="20">
        <v>33320</v>
      </c>
      <c r="B706" s="20" t="s">
        <v>56</v>
      </c>
      <c r="C706" s="22">
        <v>46050</v>
      </c>
      <c r="D706" s="22">
        <v>46050</v>
      </c>
      <c r="E706" s="22" t="s">
        <v>104</v>
      </c>
      <c r="F706" s="20">
        <v>307</v>
      </c>
      <c r="G706" s="20">
        <v>1523</v>
      </c>
      <c r="H706" s="20">
        <v>70</v>
      </c>
      <c r="I706" s="20">
        <v>1.5</v>
      </c>
      <c r="J706" s="20">
        <v>1.05</v>
      </c>
    </row>
    <row r="707" spans="1:10" x14ac:dyDescent="0.25">
      <c r="A707" s="20">
        <v>33321</v>
      </c>
      <c r="B707" s="20" t="s">
        <v>56</v>
      </c>
      <c r="C707" s="22">
        <v>46050</v>
      </c>
      <c r="D707" s="22">
        <v>46050</v>
      </c>
      <c r="E707" s="22" t="s">
        <v>753</v>
      </c>
      <c r="F707" s="20">
        <v>307</v>
      </c>
      <c r="G707" s="20">
        <v>1520</v>
      </c>
      <c r="H707" s="20">
        <v>2</v>
      </c>
      <c r="I707" s="20">
        <v>6</v>
      </c>
      <c r="J707" s="20">
        <v>0.12</v>
      </c>
    </row>
    <row r="708" spans="1:10" x14ac:dyDescent="0.25">
      <c r="A708" s="20">
        <v>33321</v>
      </c>
      <c r="B708" s="20" t="s">
        <v>56</v>
      </c>
      <c r="C708" s="22">
        <v>46050</v>
      </c>
      <c r="D708" s="22">
        <v>46050</v>
      </c>
      <c r="E708" s="22" t="s">
        <v>104</v>
      </c>
      <c r="F708" s="20">
        <v>307</v>
      </c>
      <c r="G708" s="20">
        <v>1520</v>
      </c>
      <c r="H708" s="20">
        <v>70</v>
      </c>
      <c r="I708" s="20">
        <v>0.9</v>
      </c>
      <c r="J708" s="20">
        <v>0.63</v>
      </c>
    </row>
    <row r="709" spans="1:10" x14ac:dyDescent="0.25">
      <c r="A709" s="20">
        <v>33322</v>
      </c>
      <c r="B709" s="20" t="s">
        <v>66</v>
      </c>
      <c r="C709" s="22">
        <v>46050</v>
      </c>
      <c r="D709" s="22">
        <v>46050</v>
      </c>
      <c r="E709" s="22" t="s">
        <v>753</v>
      </c>
      <c r="F709" s="20">
        <v>307</v>
      </c>
      <c r="G709" s="20">
        <v>10474</v>
      </c>
      <c r="H709" s="20">
        <v>2</v>
      </c>
      <c r="I709" s="20">
        <v>45</v>
      </c>
      <c r="J709" s="20">
        <v>0.9</v>
      </c>
    </row>
    <row r="710" spans="1:10" x14ac:dyDescent="0.25">
      <c r="A710" s="20">
        <v>33322</v>
      </c>
      <c r="B710" s="20" t="s">
        <v>66</v>
      </c>
      <c r="C710" s="22">
        <v>46050</v>
      </c>
      <c r="D710" s="22">
        <v>46050</v>
      </c>
      <c r="E710" s="22" t="s">
        <v>104</v>
      </c>
      <c r="F710" s="20">
        <v>307</v>
      </c>
      <c r="G710" s="20">
        <v>10474</v>
      </c>
      <c r="H710" s="20">
        <v>70</v>
      </c>
      <c r="I710" s="20">
        <v>6.75</v>
      </c>
      <c r="J710" s="20">
        <v>4.7300000000000004</v>
      </c>
    </row>
    <row r="711" spans="1:10" x14ac:dyDescent="0.25">
      <c r="A711" s="20">
        <v>33323</v>
      </c>
      <c r="B711" s="20" t="s">
        <v>67</v>
      </c>
      <c r="C711" s="22">
        <v>46051</v>
      </c>
      <c r="D711" s="22">
        <v>46051</v>
      </c>
      <c r="E711" s="22" t="s">
        <v>753</v>
      </c>
      <c r="F711" s="20">
        <v>332</v>
      </c>
      <c r="G711" s="20">
        <v>1772</v>
      </c>
      <c r="H711" s="20">
        <v>0</v>
      </c>
      <c r="I711" s="20">
        <v>7</v>
      </c>
      <c r="J711" s="20">
        <v>0</v>
      </c>
    </row>
    <row r="712" spans="1:10" x14ac:dyDescent="0.25">
      <c r="A712" s="20">
        <v>33324</v>
      </c>
      <c r="B712" s="20" t="s">
        <v>68</v>
      </c>
      <c r="C712" s="22">
        <v>46051</v>
      </c>
      <c r="D712" s="22">
        <v>46051</v>
      </c>
      <c r="E712" s="22" t="s">
        <v>753</v>
      </c>
      <c r="F712" s="20">
        <v>332</v>
      </c>
      <c r="G712" s="20">
        <v>1296</v>
      </c>
      <c r="H712" s="20">
        <v>0</v>
      </c>
      <c r="I712" s="20">
        <v>20</v>
      </c>
      <c r="J712" s="20">
        <v>0</v>
      </c>
    </row>
    <row r="713" spans="1:10" x14ac:dyDescent="0.25">
      <c r="A713" s="20">
        <v>33325</v>
      </c>
      <c r="B713" s="20" t="s">
        <v>18</v>
      </c>
      <c r="C713" s="22">
        <v>46051</v>
      </c>
      <c r="D713" s="22">
        <v>46051</v>
      </c>
      <c r="E713" s="22" t="s">
        <v>753</v>
      </c>
      <c r="F713" s="20">
        <v>307</v>
      </c>
      <c r="G713" s="20">
        <v>254</v>
      </c>
      <c r="H713" s="20">
        <v>2</v>
      </c>
      <c r="I713" s="20">
        <v>450</v>
      </c>
      <c r="J713" s="20">
        <v>9</v>
      </c>
    </row>
    <row r="714" spans="1:10" x14ac:dyDescent="0.25">
      <c r="A714" s="20">
        <v>33326</v>
      </c>
      <c r="B714" s="20" t="s">
        <v>23</v>
      </c>
      <c r="C714" s="22">
        <v>46051</v>
      </c>
      <c r="D714" s="22">
        <v>46051</v>
      </c>
      <c r="E714" s="22" t="s">
        <v>753</v>
      </c>
      <c r="F714" s="20">
        <v>307</v>
      </c>
      <c r="G714" s="20">
        <v>2672</v>
      </c>
      <c r="H714" s="20">
        <v>2</v>
      </c>
      <c r="I714" s="20">
        <v>60</v>
      </c>
      <c r="J714" s="20">
        <v>1.2</v>
      </c>
    </row>
    <row r="715" spans="1:10" x14ac:dyDescent="0.25">
      <c r="A715" s="20">
        <v>33326</v>
      </c>
      <c r="B715" s="20" t="s">
        <v>23</v>
      </c>
      <c r="C715" s="22">
        <v>46051</v>
      </c>
      <c r="D715" s="22">
        <v>46051</v>
      </c>
      <c r="E715" s="22" t="s">
        <v>104</v>
      </c>
      <c r="F715" s="20">
        <v>307</v>
      </c>
      <c r="G715" s="20">
        <v>2672</v>
      </c>
      <c r="H715" s="20">
        <v>70</v>
      </c>
      <c r="I715" s="20">
        <v>9</v>
      </c>
      <c r="J715" s="20">
        <v>6.3</v>
      </c>
    </row>
    <row r="716" spans="1:10" x14ac:dyDescent="0.25">
      <c r="A716" s="20">
        <v>33327</v>
      </c>
      <c r="B716" s="20" t="s">
        <v>74</v>
      </c>
      <c r="C716" s="22">
        <v>46051</v>
      </c>
      <c r="D716" s="22">
        <v>46051</v>
      </c>
      <c r="E716" s="22" t="s">
        <v>753</v>
      </c>
      <c r="F716" s="20">
        <v>312</v>
      </c>
      <c r="G716" s="20">
        <v>113</v>
      </c>
      <c r="H716" s="20">
        <v>1.75</v>
      </c>
      <c r="I716" s="20">
        <v>160</v>
      </c>
      <c r="J716" s="20">
        <v>2.8</v>
      </c>
    </row>
    <row r="717" spans="1:10" x14ac:dyDescent="0.25">
      <c r="A717" s="20">
        <v>33327</v>
      </c>
      <c r="B717" s="20" t="s">
        <v>74</v>
      </c>
      <c r="C717" s="22">
        <v>46051</v>
      </c>
      <c r="D717" s="22">
        <v>46051</v>
      </c>
      <c r="E717" s="22" t="s">
        <v>104</v>
      </c>
      <c r="F717" s="20">
        <v>312</v>
      </c>
      <c r="G717" s="20">
        <v>113</v>
      </c>
      <c r="H717" s="20">
        <v>30</v>
      </c>
      <c r="I717" s="20">
        <v>24</v>
      </c>
      <c r="J717" s="20">
        <v>7.2</v>
      </c>
    </row>
    <row r="718" spans="1:10" x14ac:dyDescent="0.25">
      <c r="A718" s="20">
        <v>33328</v>
      </c>
      <c r="B718" s="20" t="s">
        <v>67</v>
      </c>
      <c r="C718" s="22">
        <v>46051</v>
      </c>
      <c r="D718" s="22">
        <v>46051</v>
      </c>
      <c r="E718" s="22" t="s">
        <v>753</v>
      </c>
      <c r="F718" s="20">
        <v>332</v>
      </c>
      <c r="G718" s="20">
        <v>1771</v>
      </c>
      <c r="H718" s="20">
        <v>0</v>
      </c>
      <c r="I718" s="20">
        <v>18</v>
      </c>
      <c r="J718" s="20">
        <v>0</v>
      </c>
    </row>
    <row r="719" spans="1:10" x14ac:dyDescent="0.25">
      <c r="A719" s="20">
        <v>33329</v>
      </c>
      <c r="B719" s="20" t="s">
        <v>68</v>
      </c>
      <c r="C719" s="22">
        <v>46051</v>
      </c>
      <c r="D719" s="22">
        <v>46051</v>
      </c>
      <c r="E719" s="22" t="s">
        <v>753</v>
      </c>
      <c r="F719" s="20">
        <v>332</v>
      </c>
      <c r="G719" s="20">
        <v>1295</v>
      </c>
      <c r="H719" s="20">
        <v>0</v>
      </c>
      <c r="I719" s="20">
        <v>20</v>
      </c>
      <c r="J719" s="20">
        <v>0</v>
      </c>
    </row>
    <row r="720" spans="1:10" x14ac:dyDescent="0.25">
      <c r="A720" s="20">
        <v>33330</v>
      </c>
      <c r="B720" s="20" t="s">
        <v>56</v>
      </c>
      <c r="C720" s="22">
        <v>46051</v>
      </c>
      <c r="D720" s="22">
        <v>46051</v>
      </c>
      <c r="E720" s="22" t="s">
        <v>104</v>
      </c>
      <c r="F720" s="20">
        <v>307</v>
      </c>
      <c r="G720" s="20">
        <v>1529</v>
      </c>
      <c r="H720" s="20">
        <v>70</v>
      </c>
      <c r="I720" s="20">
        <v>1.5</v>
      </c>
      <c r="J720" s="20">
        <v>1.05</v>
      </c>
    </row>
    <row r="721" spans="1:10" x14ac:dyDescent="0.25">
      <c r="A721" s="20">
        <v>33330</v>
      </c>
      <c r="B721" s="20" t="s">
        <v>56</v>
      </c>
      <c r="C721" s="22">
        <v>46051</v>
      </c>
      <c r="D721" s="22">
        <v>46051</v>
      </c>
      <c r="E721" s="22" t="s">
        <v>753</v>
      </c>
      <c r="F721" s="20">
        <v>307</v>
      </c>
      <c r="G721" s="20">
        <v>1529</v>
      </c>
      <c r="H721" s="20">
        <v>2</v>
      </c>
      <c r="I721" s="20">
        <v>10</v>
      </c>
      <c r="J721" s="20">
        <v>0.2</v>
      </c>
    </row>
    <row r="722" spans="1:10" x14ac:dyDescent="0.25">
      <c r="A722" s="20">
        <v>33331</v>
      </c>
      <c r="B722" s="20" t="s">
        <v>16</v>
      </c>
      <c r="C722" s="22">
        <v>46051</v>
      </c>
      <c r="D722" s="22">
        <v>46051</v>
      </c>
      <c r="E722" s="22" t="s">
        <v>753</v>
      </c>
      <c r="F722" s="20">
        <v>332</v>
      </c>
      <c r="G722" s="20">
        <v>632</v>
      </c>
      <c r="H722" s="20">
        <v>0</v>
      </c>
      <c r="I722" s="20">
        <v>10</v>
      </c>
      <c r="J722" s="20">
        <v>0</v>
      </c>
    </row>
    <row r="723" spans="1:10" x14ac:dyDescent="0.25">
      <c r="A723" s="20">
        <v>33332</v>
      </c>
      <c r="B723" s="20" t="s">
        <v>56</v>
      </c>
      <c r="C723" s="22">
        <v>46051</v>
      </c>
      <c r="D723" s="22">
        <v>46051</v>
      </c>
      <c r="E723" s="22" t="s">
        <v>104</v>
      </c>
      <c r="F723" s="20">
        <v>307</v>
      </c>
      <c r="G723" s="20">
        <v>1527</v>
      </c>
      <c r="H723" s="20">
        <v>70</v>
      </c>
      <c r="I723" s="20">
        <v>2.25</v>
      </c>
      <c r="J723" s="20">
        <v>1.58</v>
      </c>
    </row>
    <row r="724" spans="1:10" x14ac:dyDescent="0.25">
      <c r="A724" s="20">
        <v>33332</v>
      </c>
      <c r="B724" s="20" t="s">
        <v>56</v>
      </c>
      <c r="C724" s="22">
        <v>46051</v>
      </c>
      <c r="D724" s="22">
        <v>46051</v>
      </c>
      <c r="E724" s="22" t="s">
        <v>753</v>
      </c>
      <c r="F724" s="20">
        <v>307</v>
      </c>
      <c r="G724" s="20">
        <v>1527</v>
      </c>
      <c r="H724" s="20">
        <v>2</v>
      </c>
      <c r="I724" s="20">
        <v>15</v>
      </c>
      <c r="J724" s="20">
        <v>0.3</v>
      </c>
    </row>
    <row r="725" spans="1:10" x14ac:dyDescent="0.25">
      <c r="A725" s="20">
        <v>33333</v>
      </c>
      <c r="B725" s="20" t="s">
        <v>89</v>
      </c>
      <c r="C725" s="22">
        <v>46051</v>
      </c>
      <c r="D725" s="22">
        <v>46051</v>
      </c>
      <c r="E725" s="22" t="s">
        <v>104</v>
      </c>
      <c r="F725" s="20">
        <v>312</v>
      </c>
      <c r="G725" s="20">
        <v>8230</v>
      </c>
      <c r="H725" s="20">
        <v>30</v>
      </c>
      <c r="I725" s="20">
        <v>250.37</v>
      </c>
      <c r="J725" s="20">
        <v>75.11</v>
      </c>
    </row>
    <row r="726" spans="1:10" x14ac:dyDescent="0.25">
      <c r="A726" s="20">
        <v>33333</v>
      </c>
      <c r="B726" s="20" t="s">
        <v>89</v>
      </c>
      <c r="C726" s="22">
        <v>46051</v>
      </c>
      <c r="D726" s="22">
        <v>46051</v>
      </c>
      <c r="E726" s="22" t="s">
        <v>753</v>
      </c>
      <c r="F726" s="20">
        <v>312</v>
      </c>
      <c r="G726" s="20">
        <v>8230</v>
      </c>
      <c r="H726" s="20">
        <v>1.75</v>
      </c>
      <c r="I726" s="21">
        <v>1669.15</v>
      </c>
      <c r="J726" s="20">
        <v>29.21</v>
      </c>
    </row>
    <row r="727" spans="1:10" x14ac:dyDescent="0.25">
      <c r="A727" s="20">
        <v>33334</v>
      </c>
      <c r="B727" s="20" t="s">
        <v>67</v>
      </c>
      <c r="C727" s="22">
        <v>46051</v>
      </c>
      <c r="D727" s="22">
        <v>46051</v>
      </c>
      <c r="E727" s="22" t="s">
        <v>753</v>
      </c>
      <c r="F727" s="20">
        <v>332</v>
      </c>
      <c r="G727" s="20">
        <v>1774</v>
      </c>
      <c r="H727" s="20">
        <v>0</v>
      </c>
      <c r="I727" s="20">
        <v>8</v>
      </c>
      <c r="J727" s="20">
        <v>0</v>
      </c>
    </row>
    <row r="728" spans="1:10" x14ac:dyDescent="0.25">
      <c r="A728" s="20">
        <v>33335</v>
      </c>
      <c r="B728" s="20" t="s">
        <v>55</v>
      </c>
      <c r="C728" s="22">
        <v>46051</v>
      </c>
      <c r="D728" s="22">
        <v>46051</v>
      </c>
      <c r="E728" s="22" t="s">
        <v>753</v>
      </c>
      <c r="F728" s="20">
        <v>343</v>
      </c>
      <c r="G728" s="20">
        <v>791</v>
      </c>
      <c r="H728" s="20">
        <v>1</v>
      </c>
      <c r="I728" s="20">
        <v>20</v>
      </c>
      <c r="J728" s="20">
        <v>0.2</v>
      </c>
    </row>
    <row r="729" spans="1:10" x14ac:dyDescent="0.25">
      <c r="A729" s="20">
        <v>33335</v>
      </c>
      <c r="B729" s="20" t="s">
        <v>55</v>
      </c>
      <c r="C729" s="22">
        <v>46051</v>
      </c>
      <c r="D729" s="22">
        <v>46051</v>
      </c>
      <c r="E729" s="22" t="s">
        <v>104</v>
      </c>
      <c r="F729" s="20">
        <v>343</v>
      </c>
      <c r="G729" s="20">
        <v>791</v>
      </c>
      <c r="H729" s="20">
        <v>70</v>
      </c>
      <c r="I729" s="20">
        <v>3</v>
      </c>
      <c r="J729" s="20">
        <v>2.1</v>
      </c>
    </row>
    <row r="730" spans="1:10" x14ac:dyDescent="0.25">
      <c r="A730" s="20">
        <v>33336</v>
      </c>
      <c r="B730" s="20" t="s">
        <v>60</v>
      </c>
      <c r="C730" s="22">
        <v>46051</v>
      </c>
      <c r="D730" s="22">
        <v>46051</v>
      </c>
      <c r="E730" s="22" t="s">
        <v>104</v>
      </c>
      <c r="F730" s="20">
        <v>312</v>
      </c>
      <c r="G730" s="20">
        <v>2810</v>
      </c>
      <c r="H730" s="20">
        <v>30</v>
      </c>
      <c r="I730" s="20">
        <v>40.76</v>
      </c>
      <c r="J730" s="20">
        <v>12.23</v>
      </c>
    </row>
    <row r="731" spans="1:10" x14ac:dyDescent="0.25">
      <c r="A731" s="20">
        <v>33336</v>
      </c>
      <c r="B731" s="20" t="s">
        <v>60</v>
      </c>
      <c r="C731" s="22">
        <v>46051</v>
      </c>
      <c r="D731" s="22">
        <v>46051</v>
      </c>
      <c r="E731" s="22" t="s">
        <v>753</v>
      </c>
      <c r="F731" s="20">
        <v>312</v>
      </c>
      <c r="G731" s="20">
        <v>2810</v>
      </c>
      <c r="H731" s="20">
        <v>1.75</v>
      </c>
      <c r="I731" s="20">
        <v>271.74</v>
      </c>
      <c r="J731" s="20">
        <v>4.76</v>
      </c>
    </row>
    <row r="732" spans="1:10" x14ac:dyDescent="0.25">
      <c r="A732" s="20">
        <v>33337</v>
      </c>
      <c r="B732" s="20" t="s">
        <v>55</v>
      </c>
      <c r="C732" s="22">
        <v>46051</v>
      </c>
      <c r="D732" s="22">
        <v>46051</v>
      </c>
      <c r="E732" s="22" t="s">
        <v>753</v>
      </c>
      <c r="F732" s="20">
        <v>343</v>
      </c>
      <c r="G732" s="20">
        <v>793</v>
      </c>
      <c r="H732" s="20">
        <v>1</v>
      </c>
      <c r="I732" s="20">
        <v>4</v>
      </c>
      <c r="J732" s="20">
        <v>0.04</v>
      </c>
    </row>
    <row r="733" spans="1:10" x14ac:dyDescent="0.25">
      <c r="A733" s="20">
        <v>33337</v>
      </c>
      <c r="B733" s="20" t="s">
        <v>55</v>
      </c>
      <c r="C733" s="22">
        <v>46051</v>
      </c>
      <c r="D733" s="22">
        <v>46051</v>
      </c>
      <c r="E733" s="22" t="s">
        <v>104</v>
      </c>
      <c r="F733" s="20">
        <v>343</v>
      </c>
      <c r="G733" s="20">
        <v>793</v>
      </c>
      <c r="H733" s="20">
        <v>70</v>
      </c>
      <c r="I733" s="20">
        <v>0.6</v>
      </c>
      <c r="J733" s="20">
        <v>0.42</v>
      </c>
    </row>
    <row r="734" spans="1:10" x14ac:dyDescent="0.25">
      <c r="A734" s="20">
        <v>33338</v>
      </c>
      <c r="B734" s="20" t="s">
        <v>74</v>
      </c>
      <c r="C734" s="22">
        <v>46051</v>
      </c>
      <c r="D734" s="22">
        <v>46051</v>
      </c>
      <c r="E734" s="22" t="s">
        <v>104</v>
      </c>
      <c r="F734" s="20">
        <v>312</v>
      </c>
      <c r="G734" s="20">
        <v>114</v>
      </c>
      <c r="H734" s="20">
        <v>30</v>
      </c>
      <c r="I734" s="20">
        <v>6</v>
      </c>
      <c r="J734" s="20">
        <v>1.8</v>
      </c>
    </row>
    <row r="735" spans="1:10" x14ac:dyDescent="0.25">
      <c r="A735" s="20">
        <v>33338</v>
      </c>
      <c r="B735" s="20" t="s">
        <v>74</v>
      </c>
      <c r="C735" s="22">
        <v>46051</v>
      </c>
      <c r="D735" s="22">
        <v>46051</v>
      </c>
      <c r="E735" s="22" t="s">
        <v>753</v>
      </c>
      <c r="F735" s="20">
        <v>312</v>
      </c>
      <c r="G735" s="20">
        <v>114</v>
      </c>
      <c r="H735" s="20">
        <v>1.75</v>
      </c>
      <c r="I735" s="20">
        <v>40</v>
      </c>
      <c r="J735" s="20">
        <v>0.7</v>
      </c>
    </row>
    <row r="736" spans="1:10" x14ac:dyDescent="0.25">
      <c r="A736" s="20">
        <v>33339</v>
      </c>
      <c r="B736" s="20" t="s">
        <v>52</v>
      </c>
      <c r="C736" s="22">
        <v>46051</v>
      </c>
      <c r="D736" s="22">
        <v>46051</v>
      </c>
      <c r="E736" s="22" t="s">
        <v>753</v>
      </c>
      <c r="F736" s="20">
        <v>312</v>
      </c>
      <c r="G736" s="20">
        <v>31752</v>
      </c>
      <c r="H736" s="20">
        <v>1.75</v>
      </c>
      <c r="I736" s="20">
        <v>420</v>
      </c>
      <c r="J736" s="20">
        <v>7.35</v>
      </c>
    </row>
    <row r="737" spans="1:10" x14ac:dyDescent="0.25">
      <c r="A737" s="20">
        <v>33339</v>
      </c>
      <c r="B737" s="20" t="s">
        <v>52</v>
      </c>
      <c r="C737" s="22">
        <v>46051</v>
      </c>
      <c r="D737" s="22">
        <v>46051</v>
      </c>
      <c r="E737" s="22" t="s">
        <v>104</v>
      </c>
      <c r="F737" s="20">
        <v>312</v>
      </c>
      <c r="G737" s="20">
        <v>31752</v>
      </c>
      <c r="H737" s="20">
        <v>30</v>
      </c>
      <c r="I737" s="20">
        <v>63</v>
      </c>
      <c r="J737" s="20">
        <v>18.899999999999999</v>
      </c>
    </row>
    <row r="738" spans="1:10" x14ac:dyDescent="0.25">
      <c r="A738" s="20">
        <v>33340</v>
      </c>
      <c r="B738" s="20" t="s">
        <v>67</v>
      </c>
      <c r="C738" s="22">
        <v>46051</v>
      </c>
      <c r="D738" s="22">
        <v>46051</v>
      </c>
      <c r="E738" s="22" t="s">
        <v>753</v>
      </c>
      <c r="F738" s="20">
        <v>332</v>
      </c>
      <c r="G738" s="20">
        <v>1775</v>
      </c>
      <c r="H738" s="20">
        <v>0</v>
      </c>
      <c r="I738" s="20">
        <v>8</v>
      </c>
      <c r="J738" s="20">
        <v>0</v>
      </c>
    </row>
    <row r="739" spans="1:10" x14ac:dyDescent="0.25">
      <c r="A739" s="20">
        <v>33341</v>
      </c>
      <c r="B739" s="20" t="s">
        <v>55</v>
      </c>
      <c r="C739" s="22">
        <v>46051</v>
      </c>
      <c r="D739" s="22">
        <v>46051</v>
      </c>
      <c r="E739" s="22" t="s">
        <v>753</v>
      </c>
      <c r="F739" s="20">
        <v>343</v>
      </c>
      <c r="G739" s="20">
        <v>792</v>
      </c>
      <c r="H739" s="20">
        <v>1</v>
      </c>
      <c r="I739" s="20">
        <v>8</v>
      </c>
      <c r="J739" s="20">
        <v>0.08</v>
      </c>
    </row>
    <row r="740" spans="1:10" x14ac:dyDescent="0.25">
      <c r="A740" s="20">
        <v>33341</v>
      </c>
      <c r="B740" s="20" t="s">
        <v>55</v>
      </c>
      <c r="C740" s="22">
        <v>46051</v>
      </c>
      <c r="D740" s="22">
        <v>46051</v>
      </c>
      <c r="E740" s="22" t="s">
        <v>104</v>
      </c>
      <c r="F740" s="20">
        <v>343</v>
      </c>
      <c r="G740" s="20">
        <v>792</v>
      </c>
      <c r="H740" s="20">
        <v>70</v>
      </c>
      <c r="I740" s="20">
        <v>1.2</v>
      </c>
      <c r="J740" s="20">
        <v>0.84</v>
      </c>
    </row>
    <row r="741" spans="1:10" x14ac:dyDescent="0.25">
      <c r="A741" s="20">
        <v>33342</v>
      </c>
      <c r="B741" s="20" t="s">
        <v>56</v>
      </c>
      <c r="C741" s="22">
        <v>46051</v>
      </c>
      <c r="D741" s="22">
        <v>46051</v>
      </c>
      <c r="E741" s="22" t="s">
        <v>753</v>
      </c>
      <c r="F741" s="20">
        <v>307</v>
      </c>
      <c r="G741" s="20">
        <v>1526</v>
      </c>
      <c r="H741" s="20">
        <v>2</v>
      </c>
      <c r="I741" s="20">
        <v>6</v>
      </c>
      <c r="J741" s="20">
        <v>0.12</v>
      </c>
    </row>
    <row r="742" spans="1:10" x14ac:dyDescent="0.25">
      <c r="A742" s="20">
        <v>33342</v>
      </c>
      <c r="B742" s="20" t="s">
        <v>56</v>
      </c>
      <c r="C742" s="22">
        <v>46051</v>
      </c>
      <c r="D742" s="22">
        <v>46051</v>
      </c>
      <c r="E742" s="22" t="s">
        <v>104</v>
      </c>
      <c r="F742" s="20">
        <v>307</v>
      </c>
      <c r="G742" s="20">
        <v>1526</v>
      </c>
      <c r="H742" s="20">
        <v>70</v>
      </c>
      <c r="I742" s="20">
        <v>0.9</v>
      </c>
      <c r="J742" s="20">
        <v>0.63</v>
      </c>
    </row>
    <row r="743" spans="1:10" x14ac:dyDescent="0.25">
      <c r="A743" s="20">
        <v>33343</v>
      </c>
      <c r="B743" s="20" t="s">
        <v>56</v>
      </c>
      <c r="C743" s="22">
        <v>46051</v>
      </c>
      <c r="D743" s="22">
        <v>46051</v>
      </c>
      <c r="E743" s="22" t="s">
        <v>753</v>
      </c>
      <c r="F743" s="20">
        <v>307</v>
      </c>
      <c r="G743" s="20">
        <v>1528</v>
      </c>
      <c r="H743" s="20">
        <v>2</v>
      </c>
      <c r="I743" s="20">
        <v>15</v>
      </c>
      <c r="J743" s="20">
        <v>0.3</v>
      </c>
    </row>
    <row r="744" spans="1:10" x14ac:dyDescent="0.25">
      <c r="A744" s="20">
        <v>33343</v>
      </c>
      <c r="B744" s="20" t="s">
        <v>56</v>
      </c>
      <c r="C744" s="22">
        <v>46051</v>
      </c>
      <c r="D744" s="22">
        <v>46051</v>
      </c>
      <c r="E744" s="22" t="s">
        <v>104</v>
      </c>
      <c r="F744" s="20">
        <v>307</v>
      </c>
      <c r="G744" s="20">
        <v>1528</v>
      </c>
      <c r="H744" s="20">
        <v>70</v>
      </c>
      <c r="I744" s="20">
        <v>2.25</v>
      </c>
      <c r="J744" s="20">
        <v>1.58</v>
      </c>
    </row>
    <row r="745" spans="1:10" x14ac:dyDescent="0.25">
      <c r="A745" s="20">
        <v>33344</v>
      </c>
      <c r="B745" s="20" t="s">
        <v>42</v>
      </c>
      <c r="C745" s="22">
        <v>46052</v>
      </c>
      <c r="D745" s="22">
        <v>46052</v>
      </c>
      <c r="E745" s="22" t="s">
        <v>753</v>
      </c>
      <c r="F745" s="20">
        <v>312</v>
      </c>
      <c r="G745" s="20">
        <v>19434</v>
      </c>
      <c r="H745" s="20">
        <v>1.75</v>
      </c>
      <c r="I745" s="20">
        <v>225.6</v>
      </c>
      <c r="J745" s="20">
        <v>3.95</v>
      </c>
    </row>
    <row r="746" spans="1:10" x14ac:dyDescent="0.25">
      <c r="A746" s="20">
        <v>33344</v>
      </c>
      <c r="B746" s="20" t="s">
        <v>42</v>
      </c>
      <c r="C746" s="22">
        <v>46052</v>
      </c>
      <c r="D746" s="22">
        <v>46052</v>
      </c>
      <c r="E746" s="22" t="s">
        <v>104</v>
      </c>
      <c r="F746" s="20">
        <v>312</v>
      </c>
      <c r="G746" s="20">
        <v>19434</v>
      </c>
      <c r="H746" s="20">
        <v>30</v>
      </c>
      <c r="I746" s="20">
        <v>33.840000000000003</v>
      </c>
      <c r="J746" s="20">
        <v>10.15</v>
      </c>
    </row>
    <row r="747" spans="1:10" x14ac:dyDescent="0.25">
      <c r="A747" s="20">
        <v>33346</v>
      </c>
      <c r="B747" s="20" t="s">
        <v>67</v>
      </c>
      <c r="C747" s="22">
        <v>46052</v>
      </c>
      <c r="D747" s="22">
        <v>46052</v>
      </c>
      <c r="E747" s="22" t="s">
        <v>753</v>
      </c>
      <c r="F747" s="20">
        <v>332</v>
      </c>
      <c r="G747" s="20">
        <v>1777</v>
      </c>
      <c r="H747" s="20">
        <v>0</v>
      </c>
      <c r="I747" s="20">
        <v>7</v>
      </c>
      <c r="J747" s="20">
        <v>0</v>
      </c>
    </row>
    <row r="748" spans="1:10" x14ac:dyDescent="0.25">
      <c r="A748" s="20">
        <v>33347</v>
      </c>
      <c r="B748" s="20" t="s">
        <v>55</v>
      </c>
      <c r="C748" s="22">
        <v>46052</v>
      </c>
      <c r="D748" s="22">
        <v>46052</v>
      </c>
      <c r="E748" s="22" t="s">
        <v>753</v>
      </c>
      <c r="F748" s="20">
        <v>343</v>
      </c>
      <c r="G748" s="20">
        <v>804</v>
      </c>
      <c r="H748" s="20">
        <v>1</v>
      </c>
      <c r="I748" s="20">
        <v>10</v>
      </c>
      <c r="J748" s="20">
        <v>0.1</v>
      </c>
    </row>
    <row r="749" spans="1:10" x14ac:dyDescent="0.25">
      <c r="A749" s="20">
        <v>33347</v>
      </c>
      <c r="B749" s="20" t="s">
        <v>55</v>
      </c>
      <c r="C749" s="22">
        <v>46052</v>
      </c>
      <c r="D749" s="22">
        <v>46052</v>
      </c>
      <c r="E749" s="22" t="s">
        <v>104</v>
      </c>
      <c r="F749" s="20">
        <v>343</v>
      </c>
      <c r="G749" s="20">
        <v>804</v>
      </c>
      <c r="H749" s="20">
        <v>70</v>
      </c>
      <c r="I749" s="20">
        <v>1.5</v>
      </c>
      <c r="J749" s="20">
        <v>1.05</v>
      </c>
    </row>
    <row r="750" spans="1:10" x14ac:dyDescent="0.25">
      <c r="A750" s="20">
        <v>33348</v>
      </c>
      <c r="B750" s="20" t="s">
        <v>67</v>
      </c>
      <c r="C750" s="22">
        <v>46052</v>
      </c>
      <c r="D750" s="22">
        <v>46052</v>
      </c>
      <c r="E750" s="22" t="s">
        <v>753</v>
      </c>
      <c r="F750" s="20">
        <v>332</v>
      </c>
      <c r="G750" s="20">
        <v>1778</v>
      </c>
      <c r="H750" s="20">
        <v>0</v>
      </c>
      <c r="I750" s="20">
        <v>18</v>
      </c>
      <c r="J750" s="20">
        <v>0</v>
      </c>
    </row>
    <row r="751" spans="1:10" x14ac:dyDescent="0.25">
      <c r="A751" s="20">
        <v>33349</v>
      </c>
      <c r="B751" s="20" t="s">
        <v>55</v>
      </c>
      <c r="C751" s="22">
        <v>46052</v>
      </c>
      <c r="D751" s="22">
        <v>46052</v>
      </c>
      <c r="E751" s="22" t="s">
        <v>753</v>
      </c>
      <c r="F751" s="20">
        <v>343</v>
      </c>
      <c r="G751" s="20">
        <v>802</v>
      </c>
      <c r="H751" s="20">
        <v>1</v>
      </c>
      <c r="I751" s="20">
        <v>8</v>
      </c>
      <c r="J751" s="20">
        <v>0.08</v>
      </c>
    </row>
    <row r="752" spans="1:10" x14ac:dyDescent="0.25">
      <c r="A752" s="20">
        <v>33349</v>
      </c>
      <c r="B752" s="20" t="s">
        <v>55</v>
      </c>
      <c r="C752" s="22">
        <v>46052</v>
      </c>
      <c r="D752" s="22">
        <v>46052</v>
      </c>
      <c r="E752" s="22" t="s">
        <v>104</v>
      </c>
      <c r="F752" s="20">
        <v>343</v>
      </c>
      <c r="G752" s="20">
        <v>802</v>
      </c>
      <c r="H752" s="20">
        <v>70</v>
      </c>
      <c r="I752" s="20">
        <v>1.2</v>
      </c>
      <c r="J752" s="20">
        <v>0.84</v>
      </c>
    </row>
    <row r="753" spans="1:10" x14ac:dyDescent="0.25">
      <c r="A753" s="20">
        <v>33350</v>
      </c>
      <c r="B753" s="20" t="s">
        <v>55</v>
      </c>
      <c r="C753" s="22">
        <v>46052</v>
      </c>
      <c r="D753" s="22">
        <v>46052</v>
      </c>
      <c r="E753" s="22" t="s">
        <v>753</v>
      </c>
      <c r="F753" s="20">
        <v>343</v>
      </c>
      <c r="G753" s="20">
        <v>803</v>
      </c>
      <c r="H753" s="20">
        <v>1</v>
      </c>
      <c r="I753" s="20">
        <v>20</v>
      </c>
      <c r="J753" s="20">
        <v>0.2</v>
      </c>
    </row>
    <row r="754" spans="1:10" x14ac:dyDescent="0.25">
      <c r="A754" s="20">
        <v>33350</v>
      </c>
      <c r="B754" s="20" t="s">
        <v>55</v>
      </c>
      <c r="C754" s="22">
        <v>46052</v>
      </c>
      <c r="D754" s="22">
        <v>46052</v>
      </c>
      <c r="E754" s="22" t="s">
        <v>104</v>
      </c>
      <c r="F754" s="20">
        <v>343</v>
      </c>
      <c r="G754" s="20">
        <v>803</v>
      </c>
      <c r="H754" s="20">
        <v>70</v>
      </c>
      <c r="I754" s="20">
        <v>3</v>
      </c>
      <c r="J754" s="20">
        <v>2.1</v>
      </c>
    </row>
    <row r="755" spans="1:10" x14ac:dyDescent="0.25">
      <c r="A755" s="20">
        <v>33351</v>
      </c>
      <c r="B755" s="20" t="s">
        <v>68</v>
      </c>
      <c r="C755" s="22">
        <v>46052</v>
      </c>
      <c r="D755" s="22">
        <v>46052</v>
      </c>
      <c r="E755" s="22" t="s">
        <v>753</v>
      </c>
      <c r="F755" s="20">
        <v>332</v>
      </c>
      <c r="G755" s="20">
        <v>1301</v>
      </c>
      <c r="H755" s="20">
        <v>0</v>
      </c>
      <c r="I755" s="20">
        <v>20</v>
      </c>
      <c r="J755" s="20">
        <v>0</v>
      </c>
    </row>
    <row r="756" spans="1:10" x14ac:dyDescent="0.25">
      <c r="A756" s="20">
        <v>33352</v>
      </c>
      <c r="B756" s="20" t="s">
        <v>68</v>
      </c>
      <c r="C756" s="22">
        <v>46052</v>
      </c>
      <c r="D756" s="22">
        <v>46052</v>
      </c>
      <c r="E756" s="22" t="s">
        <v>753</v>
      </c>
      <c r="F756" s="20">
        <v>332</v>
      </c>
      <c r="G756" s="20">
        <v>1302</v>
      </c>
      <c r="H756" s="20">
        <v>0</v>
      </c>
      <c r="I756" s="20">
        <v>20</v>
      </c>
      <c r="J756" s="20">
        <v>0</v>
      </c>
    </row>
    <row r="757" spans="1:10" x14ac:dyDescent="0.25">
      <c r="A757" s="20">
        <v>33353</v>
      </c>
      <c r="B757" s="20" t="s">
        <v>56</v>
      </c>
      <c r="C757" s="22">
        <v>46052</v>
      </c>
      <c r="D757" s="22">
        <v>46052</v>
      </c>
      <c r="E757" s="22" t="s">
        <v>104</v>
      </c>
      <c r="F757" s="20">
        <v>307</v>
      </c>
      <c r="G757" s="20">
        <v>1531</v>
      </c>
      <c r="H757" s="20">
        <v>70</v>
      </c>
      <c r="I757" s="20">
        <v>1.5</v>
      </c>
      <c r="J757" s="20">
        <v>1.05</v>
      </c>
    </row>
    <row r="758" spans="1:10" x14ac:dyDescent="0.25">
      <c r="A758" s="20">
        <v>33353</v>
      </c>
      <c r="B758" s="20" t="s">
        <v>56</v>
      </c>
      <c r="C758" s="22">
        <v>46052</v>
      </c>
      <c r="D758" s="22">
        <v>46052</v>
      </c>
      <c r="E758" s="22" t="s">
        <v>753</v>
      </c>
      <c r="F758" s="20">
        <v>307</v>
      </c>
      <c r="G758" s="20">
        <v>1531</v>
      </c>
      <c r="H758" s="20">
        <v>2</v>
      </c>
      <c r="I758" s="20">
        <v>10</v>
      </c>
      <c r="J758" s="20">
        <v>0.2</v>
      </c>
    </row>
    <row r="759" spans="1:10" x14ac:dyDescent="0.25">
      <c r="A759" s="20">
        <v>33354</v>
      </c>
      <c r="B759" s="20" t="s">
        <v>46</v>
      </c>
      <c r="C759" s="22">
        <v>46052</v>
      </c>
      <c r="D759" s="22">
        <v>46052</v>
      </c>
      <c r="E759" s="22" t="s">
        <v>104</v>
      </c>
      <c r="F759" s="20">
        <v>312</v>
      </c>
      <c r="G759" s="20">
        <v>585</v>
      </c>
      <c r="H759" s="20">
        <v>30</v>
      </c>
      <c r="I759" s="20">
        <v>55.45</v>
      </c>
      <c r="J759" s="20">
        <v>16.64</v>
      </c>
    </row>
    <row r="760" spans="1:10" x14ac:dyDescent="0.25">
      <c r="A760" s="20">
        <v>33354</v>
      </c>
      <c r="B760" s="20" t="s">
        <v>46</v>
      </c>
      <c r="C760" s="22">
        <v>46052</v>
      </c>
      <c r="D760" s="22">
        <v>46052</v>
      </c>
      <c r="E760" s="22" t="s">
        <v>753</v>
      </c>
      <c r="F760" s="20">
        <v>312</v>
      </c>
      <c r="G760" s="20">
        <v>585</v>
      </c>
      <c r="H760" s="20">
        <v>1.75</v>
      </c>
      <c r="I760" s="20">
        <v>369.65</v>
      </c>
      <c r="J760" s="20">
        <v>6.47</v>
      </c>
    </row>
    <row r="761" spans="1:10" x14ac:dyDescent="0.25">
      <c r="A761" s="20">
        <v>33355</v>
      </c>
      <c r="B761" s="20" t="s">
        <v>67</v>
      </c>
      <c r="C761" s="22">
        <v>46052</v>
      </c>
      <c r="D761" s="22">
        <v>46052</v>
      </c>
      <c r="E761" s="22" t="s">
        <v>753</v>
      </c>
      <c r="F761" s="20">
        <v>332</v>
      </c>
      <c r="G761" s="20">
        <v>1779</v>
      </c>
      <c r="H761" s="20">
        <v>0</v>
      </c>
      <c r="I761" s="20">
        <v>7</v>
      </c>
      <c r="J761" s="20">
        <v>0</v>
      </c>
    </row>
    <row r="762" spans="1:10" x14ac:dyDescent="0.25">
      <c r="A762" s="20">
        <v>33356</v>
      </c>
      <c r="B762" s="20" t="s">
        <v>46</v>
      </c>
      <c r="C762" s="22">
        <v>46052</v>
      </c>
      <c r="D762" s="22">
        <v>46052</v>
      </c>
      <c r="E762" s="22" t="s">
        <v>753</v>
      </c>
      <c r="F762" s="20">
        <v>312</v>
      </c>
      <c r="G762" s="20">
        <v>576</v>
      </c>
      <c r="H762" s="20">
        <v>1.75</v>
      </c>
      <c r="I762" s="21">
        <v>1326.44</v>
      </c>
      <c r="J762" s="20">
        <v>23.21</v>
      </c>
    </row>
    <row r="763" spans="1:10" x14ac:dyDescent="0.25">
      <c r="A763" s="20">
        <v>33356</v>
      </c>
      <c r="B763" s="20" t="s">
        <v>46</v>
      </c>
      <c r="C763" s="22">
        <v>46052</v>
      </c>
      <c r="D763" s="22">
        <v>46052</v>
      </c>
      <c r="E763" s="22" t="s">
        <v>104</v>
      </c>
      <c r="F763" s="20">
        <v>312</v>
      </c>
      <c r="G763" s="20">
        <v>576</v>
      </c>
      <c r="H763" s="20">
        <v>30</v>
      </c>
      <c r="I763" s="20">
        <v>198.97</v>
      </c>
      <c r="J763" s="20">
        <v>59.69</v>
      </c>
    </row>
    <row r="764" spans="1:10" x14ac:dyDescent="0.25">
      <c r="A764" s="20">
        <v>33357</v>
      </c>
      <c r="B764" s="20" t="s">
        <v>46</v>
      </c>
      <c r="C764" s="22">
        <v>46052</v>
      </c>
      <c r="D764" s="22">
        <v>46052</v>
      </c>
      <c r="E764" s="22" t="s">
        <v>104</v>
      </c>
      <c r="F764" s="20">
        <v>312</v>
      </c>
      <c r="G764" s="20">
        <v>583</v>
      </c>
      <c r="H764" s="20">
        <v>30</v>
      </c>
      <c r="I764" s="20">
        <v>3.01</v>
      </c>
      <c r="J764" s="20">
        <v>0.9</v>
      </c>
    </row>
    <row r="765" spans="1:10" x14ac:dyDescent="0.25">
      <c r="A765" s="20">
        <v>33357</v>
      </c>
      <c r="B765" s="20" t="s">
        <v>46</v>
      </c>
      <c r="C765" s="22">
        <v>46052</v>
      </c>
      <c r="D765" s="22">
        <v>46052</v>
      </c>
      <c r="E765" s="22" t="s">
        <v>753</v>
      </c>
      <c r="F765" s="20">
        <v>312</v>
      </c>
      <c r="G765" s="20">
        <v>583</v>
      </c>
      <c r="H765" s="20">
        <v>1.75</v>
      </c>
      <c r="I765" s="20">
        <v>20.09</v>
      </c>
      <c r="J765" s="20">
        <v>0.35</v>
      </c>
    </row>
    <row r="766" spans="1:10" x14ac:dyDescent="0.25">
      <c r="A766" s="20">
        <v>33358</v>
      </c>
      <c r="B766" s="20" t="s">
        <v>60</v>
      </c>
      <c r="C766" s="22">
        <v>46052</v>
      </c>
      <c r="D766" s="22">
        <v>46052</v>
      </c>
      <c r="E766" s="22" t="s">
        <v>104</v>
      </c>
      <c r="F766" s="20">
        <v>312</v>
      </c>
      <c r="G766" s="20">
        <v>2818</v>
      </c>
      <c r="H766" s="20">
        <v>30</v>
      </c>
      <c r="I766" s="20">
        <v>72</v>
      </c>
      <c r="J766" s="20">
        <v>21.6</v>
      </c>
    </row>
    <row r="767" spans="1:10" x14ac:dyDescent="0.25">
      <c r="A767" s="20">
        <v>33358</v>
      </c>
      <c r="B767" s="20" t="s">
        <v>60</v>
      </c>
      <c r="C767" s="22">
        <v>46052</v>
      </c>
      <c r="D767" s="22">
        <v>46052</v>
      </c>
      <c r="E767" s="22" t="s">
        <v>753</v>
      </c>
      <c r="F767" s="20">
        <v>312</v>
      </c>
      <c r="G767" s="20">
        <v>2818</v>
      </c>
      <c r="H767" s="20">
        <v>1.75</v>
      </c>
      <c r="I767" s="20">
        <v>480</v>
      </c>
      <c r="J767" s="20">
        <v>8.4</v>
      </c>
    </row>
    <row r="768" spans="1:10" x14ac:dyDescent="0.25">
      <c r="A768" s="20">
        <v>33359</v>
      </c>
      <c r="B768" s="20" t="s">
        <v>52</v>
      </c>
      <c r="C768" s="22">
        <v>46052</v>
      </c>
      <c r="D768" s="22">
        <v>46052</v>
      </c>
      <c r="E768" s="22" t="s">
        <v>753</v>
      </c>
      <c r="F768" s="20">
        <v>312</v>
      </c>
      <c r="G768" s="20">
        <v>31770</v>
      </c>
      <c r="H768" s="20">
        <v>1.75</v>
      </c>
      <c r="I768" s="20">
        <v>880</v>
      </c>
      <c r="J768" s="20">
        <v>15.4</v>
      </c>
    </row>
    <row r="769" spans="1:10" x14ac:dyDescent="0.25">
      <c r="A769" s="20">
        <v>33359</v>
      </c>
      <c r="B769" s="20" t="s">
        <v>52</v>
      </c>
      <c r="C769" s="22">
        <v>46052</v>
      </c>
      <c r="D769" s="22">
        <v>46052</v>
      </c>
      <c r="E769" s="22" t="s">
        <v>104</v>
      </c>
      <c r="F769" s="20">
        <v>312</v>
      </c>
      <c r="G769" s="20">
        <v>31770</v>
      </c>
      <c r="H769" s="20">
        <v>30</v>
      </c>
      <c r="I769" s="20">
        <v>132</v>
      </c>
      <c r="J769" s="20">
        <v>39.6</v>
      </c>
    </row>
    <row r="770" spans="1:10" x14ac:dyDescent="0.25">
      <c r="A770" s="20">
        <v>33360</v>
      </c>
      <c r="B770" s="20" t="s">
        <v>67</v>
      </c>
      <c r="C770" s="22">
        <v>46052</v>
      </c>
      <c r="D770" s="22">
        <v>46052</v>
      </c>
      <c r="E770" s="22" t="s">
        <v>753</v>
      </c>
      <c r="F770" s="20">
        <v>332</v>
      </c>
      <c r="G770" s="20">
        <v>1776</v>
      </c>
      <c r="H770" s="20">
        <v>0</v>
      </c>
      <c r="I770" s="20">
        <v>7</v>
      </c>
      <c r="J770" s="20">
        <v>0</v>
      </c>
    </row>
    <row r="771" spans="1:10" x14ac:dyDescent="0.25">
      <c r="A771" s="20">
        <v>33361</v>
      </c>
      <c r="B771" s="20" t="s">
        <v>55</v>
      </c>
      <c r="C771" s="22">
        <v>46052</v>
      </c>
      <c r="D771" s="22">
        <v>46052</v>
      </c>
      <c r="E771" s="22" t="s">
        <v>104</v>
      </c>
      <c r="F771" s="20">
        <v>343</v>
      </c>
      <c r="G771" s="20">
        <v>797</v>
      </c>
      <c r="H771" s="20">
        <v>70</v>
      </c>
      <c r="I771" s="20">
        <v>3</v>
      </c>
      <c r="J771" s="20">
        <v>2.1</v>
      </c>
    </row>
    <row r="772" spans="1:10" x14ac:dyDescent="0.25">
      <c r="A772" s="20">
        <v>33361</v>
      </c>
      <c r="B772" s="20" t="s">
        <v>55</v>
      </c>
      <c r="C772" s="22">
        <v>46052</v>
      </c>
      <c r="D772" s="22">
        <v>46052</v>
      </c>
      <c r="E772" s="22" t="s">
        <v>753</v>
      </c>
      <c r="F772" s="20">
        <v>343</v>
      </c>
      <c r="G772" s="20">
        <v>797</v>
      </c>
      <c r="H772" s="20">
        <v>1</v>
      </c>
      <c r="I772" s="20">
        <v>20</v>
      </c>
      <c r="J772" s="20">
        <v>0.2</v>
      </c>
    </row>
    <row r="773" spans="1:10" x14ac:dyDescent="0.25">
      <c r="A773" s="20">
        <v>33362</v>
      </c>
      <c r="B773" s="20" t="s">
        <v>55</v>
      </c>
      <c r="C773" s="22">
        <v>46052</v>
      </c>
      <c r="D773" s="22">
        <v>46052</v>
      </c>
      <c r="E773" s="22" t="s">
        <v>104</v>
      </c>
      <c r="F773" s="20">
        <v>343</v>
      </c>
      <c r="G773" s="20">
        <v>798</v>
      </c>
      <c r="H773" s="20">
        <v>70</v>
      </c>
      <c r="I773" s="20">
        <v>2.25</v>
      </c>
      <c r="J773" s="20">
        <v>1.58</v>
      </c>
    </row>
    <row r="774" spans="1:10" x14ac:dyDescent="0.25">
      <c r="A774" s="20">
        <v>33362</v>
      </c>
      <c r="B774" s="20" t="s">
        <v>55</v>
      </c>
      <c r="C774" s="22">
        <v>46052</v>
      </c>
      <c r="D774" s="22">
        <v>46052</v>
      </c>
      <c r="E774" s="22" t="s">
        <v>753</v>
      </c>
      <c r="F774" s="20">
        <v>343</v>
      </c>
      <c r="G774" s="20">
        <v>798</v>
      </c>
      <c r="H774" s="20">
        <v>1</v>
      </c>
      <c r="I774" s="20">
        <v>15</v>
      </c>
      <c r="J774" s="20">
        <v>0.15</v>
      </c>
    </row>
    <row r="775" spans="1:10" x14ac:dyDescent="0.25">
      <c r="A775" s="20">
        <v>33363</v>
      </c>
      <c r="B775" s="20" t="s">
        <v>46</v>
      </c>
      <c r="C775" s="22">
        <v>46052</v>
      </c>
      <c r="D775" s="22">
        <v>46052</v>
      </c>
      <c r="E775" s="22" t="s">
        <v>753</v>
      </c>
      <c r="F775" s="20">
        <v>312</v>
      </c>
      <c r="G775" s="20">
        <v>571</v>
      </c>
      <c r="H775" s="20">
        <v>1.75</v>
      </c>
      <c r="I775" s="20">
        <v>854.88</v>
      </c>
      <c r="J775" s="20">
        <v>14.96</v>
      </c>
    </row>
    <row r="776" spans="1:10" x14ac:dyDescent="0.25">
      <c r="A776" s="20">
        <v>33363</v>
      </c>
      <c r="B776" s="20" t="s">
        <v>46</v>
      </c>
      <c r="C776" s="22">
        <v>46052</v>
      </c>
      <c r="D776" s="22">
        <v>46052</v>
      </c>
      <c r="E776" s="22" t="s">
        <v>104</v>
      </c>
      <c r="F776" s="20">
        <v>312</v>
      </c>
      <c r="G776" s="20">
        <v>571</v>
      </c>
      <c r="H776" s="20">
        <v>30</v>
      </c>
      <c r="I776" s="20">
        <v>128.22999999999999</v>
      </c>
      <c r="J776" s="20">
        <v>38.47</v>
      </c>
    </row>
    <row r="777" spans="1:10" x14ac:dyDescent="0.25">
      <c r="A777" s="20">
        <v>33364</v>
      </c>
      <c r="B777" s="20" t="s">
        <v>67</v>
      </c>
      <c r="C777" s="22">
        <v>46052</v>
      </c>
      <c r="D777" s="22">
        <v>46052</v>
      </c>
      <c r="E777" s="22" t="s">
        <v>753</v>
      </c>
      <c r="F777" s="20">
        <v>332</v>
      </c>
      <c r="G777" s="20">
        <v>1780</v>
      </c>
      <c r="H777" s="20">
        <v>0</v>
      </c>
      <c r="I777" s="20">
        <v>18</v>
      </c>
      <c r="J777" s="20">
        <v>0</v>
      </c>
    </row>
    <row r="778" spans="1:10" x14ac:dyDescent="0.25">
      <c r="A778" s="20">
        <v>33365</v>
      </c>
      <c r="B778" s="20" t="s">
        <v>55</v>
      </c>
      <c r="C778" s="22">
        <v>46052</v>
      </c>
      <c r="D778" s="22">
        <v>46052</v>
      </c>
      <c r="E778" s="22" t="s">
        <v>753</v>
      </c>
      <c r="F778" s="20">
        <v>343</v>
      </c>
      <c r="G778" s="20">
        <v>801</v>
      </c>
      <c r="H778" s="20">
        <v>1</v>
      </c>
      <c r="I778" s="20">
        <v>20</v>
      </c>
      <c r="J778" s="20">
        <v>0.2</v>
      </c>
    </row>
    <row r="779" spans="1:10" x14ac:dyDescent="0.25">
      <c r="A779" s="20">
        <v>33365</v>
      </c>
      <c r="B779" s="20" t="s">
        <v>55</v>
      </c>
      <c r="C779" s="22">
        <v>46052</v>
      </c>
      <c r="D779" s="22">
        <v>46052</v>
      </c>
      <c r="E779" s="22" t="s">
        <v>104</v>
      </c>
      <c r="F779" s="20">
        <v>343</v>
      </c>
      <c r="G779" s="20">
        <v>801</v>
      </c>
      <c r="H779" s="20">
        <v>70</v>
      </c>
      <c r="I779" s="20">
        <v>3</v>
      </c>
      <c r="J779" s="20">
        <v>2.1</v>
      </c>
    </row>
    <row r="780" spans="1:10" x14ac:dyDescent="0.25">
      <c r="A780" s="20">
        <v>33366</v>
      </c>
      <c r="B780" s="20" t="s">
        <v>46</v>
      </c>
      <c r="C780" s="22">
        <v>46053</v>
      </c>
      <c r="D780" s="22">
        <v>46053</v>
      </c>
      <c r="E780" s="22" t="s">
        <v>753</v>
      </c>
      <c r="F780" s="20">
        <v>312</v>
      </c>
      <c r="G780" s="20">
        <v>587</v>
      </c>
      <c r="H780" s="20">
        <v>1.75</v>
      </c>
      <c r="I780" s="20">
        <v>30.43</v>
      </c>
      <c r="J780" s="20">
        <v>0.53</v>
      </c>
    </row>
    <row r="781" spans="1:10" x14ac:dyDescent="0.25">
      <c r="A781" s="20">
        <v>33366</v>
      </c>
      <c r="B781" s="20" t="s">
        <v>46</v>
      </c>
      <c r="C781" s="22">
        <v>46053</v>
      </c>
      <c r="D781" s="22">
        <v>46053</v>
      </c>
      <c r="E781" s="22" t="s">
        <v>104</v>
      </c>
      <c r="F781" s="20">
        <v>312</v>
      </c>
      <c r="G781" s="20">
        <v>587</v>
      </c>
      <c r="H781" s="20">
        <v>30</v>
      </c>
      <c r="I781" s="20">
        <v>4.5599999999999996</v>
      </c>
      <c r="J781" s="20">
        <v>1.37</v>
      </c>
    </row>
    <row r="782" spans="1:10" x14ac:dyDescent="0.25">
      <c r="A782" s="20">
        <v>33367</v>
      </c>
      <c r="B782" s="20" t="s">
        <v>68</v>
      </c>
      <c r="C782" s="22">
        <v>46053</v>
      </c>
      <c r="D782" s="22">
        <v>46053</v>
      </c>
      <c r="E782" s="22" t="s">
        <v>753</v>
      </c>
      <c r="F782" s="20">
        <v>332</v>
      </c>
      <c r="G782" s="20">
        <v>1306</v>
      </c>
      <c r="H782" s="20">
        <v>0</v>
      </c>
      <c r="I782" s="20">
        <v>37</v>
      </c>
      <c r="J782" s="20">
        <v>0</v>
      </c>
    </row>
    <row r="783" spans="1:10" x14ac:dyDescent="0.25">
      <c r="A783" s="20">
        <v>33368</v>
      </c>
      <c r="B783" s="20" t="s">
        <v>56</v>
      </c>
      <c r="C783" s="22">
        <v>46053</v>
      </c>
      <c r="D783" s="22">
        <v>46053</v>
      </c>
      <c r="E783" s="22" t="s">
        <v>753</v>
      </c>
      <c r="F783" s="20">
        <v>307</v>
      </c>
      <c r="G783" s="20">
        <v>1532</v>
      </c>
      <c r="H783" s="20">
        <v>2</v>
      </c>
      <c r="I783" s="20">
        <v>10</v>
      </c>
      <c r="J783" s="20">
        <v>0.2</v>
      </c>
    </row>
    <row r="784" spans="1:10" x14ac:dyDescent="0.25">
      <c r="A784" s="20">
        <v>33368</v>
      </c>
      <c r="B784" s="20" t="s">
        <v>56</v>
      </c>
      <c r="C784" s="22">
        <v>46053</v>
      </c>
      <c r="D784" s="22">
        <v>46053</v>
      </c>
      <c r="E784" s="22" t="s">
        <v>104</v>
      </c>
      <c r="F784" s="20">
        <v>307</v>
      </c>
      <c r="G784" s="20">
        <v>1532</v>
      </c>
      <c r="H784" s="20">
        <v>70</v>
      </c>
      <c r="I784" s="20">
        <v>1.5</v>
      </c>
      <c r="J784" s="20">
        <v>1.05</v>
      </c>
    </row>
    <row r="785" spans="1:10" x14ac:dyDescent="0.25">
      <c r="A785" s="20">
        <v>33369</v>
      </c>
      <c r="B785" s="20" t="s">
        <v>68</v>
      </c>
      <c r="C785" s="22">
        <v>46053</v>
      </c>
      <c r="D785" s="22">
        <v>46053</v>
      </c>
      <c r="E785" s="22" t="s">
        <v>753</v>
      </c>
      <c r="F785" s="20">
        <v>332</v>
      </c>
      <c r="G785" s="20">
        <v>1304</v>
      </c>
      <c r="H785" s="20">
        <v>0</v>
      </c>
      <c r="I785" s="20">
        <v>20</v>
      </c>
      <c r="J785" s="20">
        <v>0</v>
      </c>
    </row>
    <row r="786" spans="1:10" x14ac:dyDescent="0.25">
      <c r="A786" s="20">
        <v>33370</v>
      </c>
      <c r="B786" s="20" t="s">
        <v>68</v>
      </c>
      <c r="C786" s="22">
        <v>46053</v>
      </c>
      <c r="D786" s="22">
        <v>46053</v>
      </c>
      <c r="E786" s="22" t="s">
        <v>753</v>
      </c>
      <c r="F786" s="20">
        <v>332</v>
      </c>
      <c r="G786" s="20">
        <v>1305</v>
      </c>
      <c r="H786" s="20">
        <v>0</v>
      </c>
      <c r="I786" s="20">
        <v>11</v>
      </c>
      <c r="J786" s="20">
        <v>0</v>
      </c>
    </row>
    <row r="787" spans="1:10" x14ac:dyDescent="0.25">
      <c r="A787" s="20">
        <v>33371</v>
      </c>
      <c r="B787" s="20" t="s">
        <v>68</v>
      </c>
      <c r="C787" s="22">
        <v>46053</v>
      </c>
      <c r="D787" s="22">
        <v>46053</v>
      </c>
      <c r="E787" s="22" t="s">
        <v>753</v>
      </c>
      <c r="F787" s="20">
        <v>332</v>
      </c>
      <c r="G787" s="20">
        <v>1303</v>
      </c>
      <c r="H787" s="20">
        <v>0</v>
      </c>
      <c r="I787" s="20">
        <v>6</v>
      </c>
      <c r="J787" s="20">
        <v>0</v>
      </c>
    </row>
    <row r="788" spans="1:10" x14ac:dyDescent="0.25">
      <c r="A788" s="20">
        <v>33372</v>
      </c>
      <c r="B788" s="20" t="s">
        <v>67</v>
      </c>
      <c r="C788" s="22">
        <v>46053</v>
      </c>
      <c r="D788" s="22">
        <v>46053</v>
      </c>
      <c r="E788" s="22" t="s">
        <v>753</v>
      </c>
      <c r="F788" s="20">
        <v>332</v>
      </c>
      <c r="G788" s="20">
        <v>1781</v>
      </c>
      <c r="H788" s="20">
        <v>0</v>
      </c>
      <c r="I788" s="20">
        <v>7</v>
      </c>
      <c r="J788" s="20">
        <v>0</v>
      </c>
    </row>
    <row r="797" spans="1:10" x14ac:dyDescent="0.25">
      <c r="A797">
        <v>999999999</v>
      </c>
      <c r="B797" t="s">
        <v>75</v>
      </c>
      <c r="C797" s="1">
        <v>46029</v>
      </c>
      <c r="D797" s="1">
        <v>46029</v>
      </c>
      <c r="E797" s="1"/>
      <c r="F797">
        <v>332</v>
      </c>
      <c r="G797" t="s">
        <v>76</v>
      </c>
      <c r="H797">
        <v>0</v>
      </c>
      <c r="I797">
        <v>180</v>
      </c>
      <c r="J797">
        <v>0</v>
      </c>
    </row>
    <row r="798" spans="1:10" x14ac:dyDescent="0.25">
      <c r="A798">
        <v>999999999</v>
      </c>
      <c r="B798" t="s">
        <v>40</v>
      </c>
      <c r="C798" s="1">
        <v>46052</v>
      </c>
      <c r="D798" s="1">
        <v>46052</v>
      </c>
      <c r="E798" s="1"/>
      <c r="F798">
        <v>312</v>
      </c>
      <c r="G798" t="s">
        <v>41</v>
      </c>
      <c r="H798">
        <v>30</v>
      </c>
      <c r="I798">
        <v>3</v>
      </c>
      <c r="J798">
        <v>0.9</v>
      </c>
    </row>
    <row r="799" spans="1:10" x14ac:dyDescent="0.25">
      <c r="A799">
        <v>999999999</v>
      </c>
      <c r="B799" t="s">
        <v>40</v>
      </c>
      <c r="C799" s="1">
        <v>46052</v>
      </c>
      <c r="D799" s="1">
        <v>46052</v>
      </c>
      <c r="E799" s="1"/>
      <c r="F799">
        <v>312</v>
      </c>
      <c r="G799" t="s">
        <v>41</v>
      </c>
      <c r="H799">
        <v>1.75</v>
      </c>
      <c r="I799">
        <v>20</v>
      </c>
      <c r="J799">
        <v>0.35</v>
      </c>
    </row>
  </sheetData>
  <autoFilter ref="A1:J788" xr:uid="{333F4A75-0290-4FAB-963A-17A04F0E35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77C8-4764-44AE-BEDB-C93245525FB2}">
  <dimension ref="A1:Q309"/>
  <sheetViews>
    <sheetView topLeftCell="D13" workbookViewId="0">
      <selection activeCell="J21" sqref="J21"/>
    </sheetView>
  </sheetViews>
  <sheetFormatPr baseColWidth="10" defaultRowHeight="15" x14ac:dyDescent="0.25"/>
  <cols>
    <col min="1" max="1" width="15.28515625" bestFit="1" customWidth="1"/>
    <col min="2" max="2" width="29.42578125" bestFit="1" customWidth="1"/>
    <col min="3" max="3" width="4.7109375" bestFit="1" customWidth="1"/>
    <col min="13" max="13" width="29.42578125" bestFit="1" customWidth="1"/>
    <col min="14" max="14" width="15.85546875" bestFit="1" customWidth="1"/>
    <col min="15" max="15" width="17.5703125" bestFit="1" customWidth="1"/>
  </cols>
  <sheetData>
    <row r="1" spans="1:17" x14ac:dyDescent="0.25">
      <c r="A1" t="s">
        <v>765</v>
      </c>
      <c r="B1" t="s">
        <v>766</v>
      </c>
      <c r="C1" t="s">
        <v>767</v>
      </c>
      <c r="D1" t="s">
        <v>768</v>
      </c>
      <c r="E1" t="s">
        <v>769</v>
      </c>
      <c r="F1">
        <v>247</v>
      </c>
      <c r="G1">
        <v>56970273</v>
      </c>
      <c r="H1" t="s">
        <v>770</v>
      </c>
      <c r="I1" s="2">
        <v>1119.24</v>
      </c>
      <c r="J1">
        <v>0</v>
      </c>
      <c r="K1" s="2">
        <v>1119.24</v>
      </c>
    </row>
    <row r="2" spans="1:17" x14ac:dyDescent="0.25">
      <c r="A2" t="s">
        <v>860</v>
      </c>
      <c r="B2" t="s">
        <v>861</v>
      </c>
      <c r="C2" t="s">
        <v>767</v>
      </c>
      <c r="D2" t="s">
        <v>768</v>
      </c>
      <c r="E2" t="s">
        <v>769</v>
      </c>
      <c r="F2">
        <v>247</v>
      </c>
      <c r="G2">
        <v>56970273</v>
      </c>
      <c r="H2" t="s">
        <v>770</v>
      </c>
      <c r="I2" s="2">
        <v>3421.22</v>
      </c>
      <c r="J2">
        <v>0</v>
      </c>
      <c r="K2" s="2">
        <v>3421.22</v>
      </c>
    </row>
    <row r="3" spans="1:17" x14ac:dyDescent="0.25">
      <c r="A3" t="s">
        <v>883</v>
      </c>
      <c r="B3" t="s">
        <v>884</v>
      </c>
      <c r="C3" t="s">
        <v>767</v>
      </c>
      <c r="D3" t="s">
        <v>768</v>
      </c>
      <c r="E3" t="s">
        <v>769</v>
      </c>
      <c r="F3">
        <v>247</v>
      </c>
      <c r="G3">
        <v>56970273</v>
      </c>
      <c r="H3" t="s">
        <v>770</v>
      </c>
      <c r="I3">
        <v>383.33</v>
      </c>
      <c r="J3">
        <v>0</v>
      </c>
      <c r="K3">
        <v>383.33</v>
      </c>
    </row>
    <row r="4" spans="1:17" x14ac:dyDescent="0.25">
      <c r="A4" t="s">
        <v>888</v>
      </c>
      <c r="B4" t="s">
        <v>889</v>
      </c>
      <c r="C4" t="s">
        <v>767</v>
      </c>
      <c r="D4" t="s">
        <v>768</v>
      </c>
      <c r="E4" t="s">
        <v>769</v>
      </c>
      <c r="F4">
        <v>247</v>
      </c>
      <c r="G4">
        <v>56744543</v>
      </c>
      <c r="H4" t="s">
        <v>890</v>
      </c>
      <c r="I4">
        <v>9.26</v>
      </c>
      <c r="J4">
        <v>0</v>
      </c>
      <c r="K4">
        <v>9.26</v>
      </c>
    </row>
    <row r="5" spans="1:17" x14ac:dyDescent="0.25">
      <c r="A5" t="s">
        <v>892</v>
      </c>
      <c r="B5" t="s">
        <v>893</v>
      </c>
      <c r="C5" t="s">
        <v>767</v>
      </c>
      <c r="D5" t="s">
        <v>768</v>
      </c>
      <c r="E5" t="s">
        <v>769</v>
      </c>
      <c r="F5">
        <v>247</v>
      </c>
      <c r="G5">
        <v>56744543</v>
      </c>
      <c r="H5" t="s">
        <v>890</v>
      </c>
      <c r="I5">
        <v>89.38</v>
      </c>
      <c r="J5">
        <v>0</v>
      </c>
      <c r="K5">
        <v>89.38</v>
      </c>
    </row>
    <row r="6" spans="1:17" x14ac:dyDescent="0.25">
      <c r="A6" t="s">
        <v>894</v>
      </c>
      <c r="B6" t="s">
        <v>895</v>
      </c>
      <c r="C6" t="s">
        <v>767</v>
      </c>
      <c r="D6" t="s">
        <v>768</v>
      </c>
      <c r="E6" t="s">
        <v>769</v>
      </c>
      <c r="F6">
        <v>247</v>
      </c>
      <c r="G6">
        <v>56744543</v>
      </c>
      <c r="H6" t="s">
        <v>890</v>
      </c>
      <c r="I6" s="2">
        <v>1616.36</v>
      </c>
      <c r="J6">
        <v>0</v>
      </c>
      <c r="K6" s="2">
        <v>1616.36</v>
      </c>
    </row>
    <row r="7" spans="1:17" x14ac:dyDescent="0.25">
      <c r="A7" t="s">
        <v>896</v>
      </c>
      <c r="B7" t="s">
        <v>897</v>
      </c>
      <c r="C7" t="s">
        <v>767</v>
      </c>
      <c r="D7" t="s">
        <v>768</v>
      </c>
      <c r="E7" t="s">
        <v>769</v>
      </c>
      <c r="F7">
        <v>247</v>
      </c>
      <c r="G7">
        <v>56744543</v>
      </c>
      <c r="H7" t="s">
        <v>890</v>
      </c>
      <c r="I7">
        <v>33.39</v>
      </c>
      <c r="J7">
        <v>0</v>
      </c>
      <c r="K7">
        <v>33.39</v>
      </c>
    </row>
    <row r="8" spans="1:17" x14ac:dyDescent="0.25">
      <c r="A8" t="s">
        <v>900</v>
      </c>
      <c r="B8" t="s">
        <v>901</v>
      </c>
      <c r="C8" t="s">
        <v>767</v>
      </c>
      <c r="D8" t="s">
        <v>768</v>
      </c>
      <c r="E8" t="s">
        <v>769</v>
      </c>
      <c r="F8">
        <v>247</v>
      </c>
      <c r="G8">
        <v>56744543</v>
      </c>
      <c r="H8" t="s">
        <v>890</v>
      </c>
      <c r="I8">
        <v>497.9</v>
      </c>
      <c r="J8">
        <v>0</v>
      </c>
      <c r="K8">
        <v>497.9</v>
      </c>
    </row>
    <row r="9" spans="1:17" x14ac:dyDescent="0.25">
      <c r="A9" t="s">
        <v>904</v>
      </c>
      <c r="B9" t="s">
        <v>905</v>
      </c>
      <c r="C9" t="s">
        <v>767</v>
      </c>
      <c r="D9" t="s">
        <v>768</v>
      </c>
      <c r="E9" t="s">
        <v>769</v>
      </c>
      <c r="F9">
        <v>247</v>
      </c>
      <c r="G9">
        <v>56744543</v>
      </c>
      <c r="H9" t="s">
        <v>890</v>
      </c>
      <c r="I9">
        <v>3.58</v>
      </c>
      <c r="J9">
        <v>0</v>
      </c>
      <c r="K9">
        <v>3.58</v>
      </c>
    </row>
    <row r="10" spans="1:17" x14ac:dyDescent="0.25">
      <c r="A10" t="s">
        <v>906</v>
      </c>
      <c r="B10" t="s">
        <v>907</v>
      </c>
      <c r="C10" t="s">
        <v>767</v>
      </c>
      <c r="D10" t="s">
        <v>768</v>
      </c>
      <c r="E10" t="s">
        <v>769</v>
      </c>
      <c r="F10">
        <v>247</v>
      </c>
      <c r="G10">
        <v>56744543</v>
      </c>
      <c r="H10" t="s">
        <v>890</v>
      </c>
      <c r="I10">
        <v>469.87</v>
      </c>
      <c r="J10">
        <v>0</v>
      </c>
      <c r="K10">
        <v>469.87</v>
      </c>
    </row>
    <row r="14" spans="1:17" x14ac:dyDescent="0.25">
      <c r="A14" s="19" t="s">
        <v>758</v>
      </c>
      <c r="B14" s="19" t="s">
        <v>2</v>
      </c>
      <c r="C14" s="19" t="s">
        <v>759</v>
      </c>
      <c r="D14" s="19" t="s">
        <v>3</v>
      </c>
      <c r="E14" s="19" t="s">
        <v>4</v>
      </c>
      <c r="F14" s="19" t="s">
        <v>760</v>
      </c>
      <c r="G14" s="19" t="s">
        <v>761</v>
      </c>
      <c r="H14" s="19" t="s">
        <v>762</v>
      </c>
      <c r="I14" s="19" t="s">
        <v>763</v>
      </c>
      <c r="J14" s="19" t="s">
        <v>764</v>
      </c>
      <c r="K14" s="19" t="s">
        <v>9</v>
      </c>
      <c r="M14" s="14" t="s">
        <v>754</v>
      </c>
      <c r="N14" t="s">
        <v>898</v>
      </c>
      <c r="O14" t="s">
        <v>899</v>
      </c>
    </row>
    <row r="15" spans="1:17" x14ac:dyDescent="0.25">
      <c r="A15" s="20" t="s">
        <v>765</v>
      </c>
      <c r="B15" s="20" t="s">
        <v>766</v>
      </c>
      <c r="C15" s="20" t="s">
        <v>767</v>
      </c>
      <c r="D15" s="20" t="s">
        <v>771</v>
      </c>
      <c r="E15" s="20" t="s">
        <v>772</v>
      </c>
      <c r="F15" s="20">
        <v>113</v>
      </c>
      <c r="G15" s="20">
        <v>268</v>
      </c>
      <c r="H15" s="20" t="s">
        <v>773</v>
      </c>
      <c r="I15" s="20">
        <v>0</v>
      </c>
      <c r="J15" s="20">
        <v>24.37</v>
      </c>
      <c r="K15" s="20">
        <v>1094.8699999999999</v>
      </c>
      <c r="M15" s="15" t="s">
        <v>889</v>
      </c>
      <c r="N15">
        <v>0</v>
      </c>
      <c r="O15">
        <v>15.770000000000003</v>
      </c>
      <c r="P15">
        <f>+GETPIVOTDATA("Suma de VALOR RETEN",'RET PROV'!$L$1,"TIPO","RENTA","% RETEN",1)</f>
        <v>15.769999999999987</v>
      </c>
    </row>
    <row r="16" spans="1:17" x14ac:dyDescent="0.25">
      <c r="A16" s="20" t="s">
        <v>765</v>
      </c>
      <c r="B16" s="20" t="s">
        <v>766</v>
      </c>
      <c r="C16" s="20" t="s">
        <v>767</v>
      </c>
      <c r="D16" s="20" t="s">
        <v>771</v>
      </c>
      <c r="E16" s="20" t="s">
        <v>772</v>
      </c>
      <c r="F16" s="20">
        <v>113</v>
      </c>
      <c r="G16" s="20">
        <v>269</v>
      </c>
      <c r="H16" s="20" t="s">
        <v>774</v>
      </c>
      <c r="I16" s="20">
        <v>0</v>
      </c>
      <c r="J16" s="20">
        <v>5.44</v>
      </c>
      <c r="K16" s="21">
        <v>1089.43</v>
      </c>
      <c r="M16" s="15" t="s">
        <v>901</v>
      </c>
      <c r="N16">
        <v>0.35</v>
      </c>
      <c r="O16">
        <v>500.76999999999992</v>
      </c>
      <c r="P16">
        <f>+N16-O16</f>
        <v>-500.4199999999999</v>
      </c>
      <c r="Q16">
        <f>+GETPIVOTDATA("Suma de VALOR RETEN",'RET PROV'!$L$1,"TIPO","RENTA","% RETEN",1.75)</f>
        <v>500.41999999999985</v>
      </c>
    </row>
    <row r="17" spans="1:17" x14ac:dyDescent="0.25">
      <c r="A17" s="20" t="s">
        <v>765</v>
      </c>
      <c r="B17" s="20" t="s">
        <v>766</v>
      </c>
      <c r="C17" s="20" t="s">
        <v>767</v>
      </c>
      <c r="D17" s="20" t="s">
        <v>771</v>
      </c>
      <c r="E17" s="20" t="s">
        <v>772</v>
      </c>
      <c r="F17" s="20">
        <v>113</v>
      </c>
      <c r="G17" s="20">
        <v>270</v>
      </c>
      <c r="H17" s="20" t="s">
        <v>775</v>
      </c>
      <c r="I17" s="20">
        <v>0</v>
      </c>
      <c r="J17" s="20">
        <v>3.04</v>
      </c>
      <c r="K17" s="21">
        <v>1086.3900000000001</v>
      </c>
      <c r="M17" s="15" t="s">
        <v>895</v>
      </c>
      <c r="N17">
        <v>0</v>
      </c>
      <c r="O17">
        <v>1616.36</v>
      </c>
      <c r="P17" t="e">
        <f>+GETPIVOTDATA("Suma de VALOR RETEN",'RET PROV'!$L$1,"TIPO","IVA","% RETEN",10)</f>
        <v>#REF!</v>
      </c>
    </row>
    <row r="18" spans="1:17" x14ac:dyDescent="0.25">
      <c r="A18" s="20" t="s">
        <v>765</v>
      </c>
      <c r="B18" s="20" t="s">
        <v>766</v>
      </c>
      <c r="C18" s="20" t="s">
        <v>767</v>
      </c>
      <c r="D18" s="20" t="s">
        <v>771</v>
      </c>
      <c r="E18" s="20" t="s">
        <v>772</v>
      </c>
      <c r="F18" s="20">
        <v>113</v>
      </c>
      <c r="G18" s="20">
        <v>271</v>
      </c>
      <c r="H18" s="20" t="s">
        <v>776</v>
      </c>
      <c r="I18" s="20">
        <v>0</v>
      </c>
      <c r="J18" s="20">
        <v>13.81</v>
      </c>
      <c r="K18" s="21">
        <v>1072.58</v>
      </c>
      <c r="M18" s="15" t="s">
        <v>884</v>
      </c>
      <c r="N18">
        <v>0</v>
      </c>
      <c r="O18">
        <v>383.33</v>
      </c>
      <c r="P18">
        <f>+GETPIVOTDATA("Suma de VALOR RETEN",'RET PROV'!$L$1,"TIPO","IVA","% RETEN",100)</f>
        <v>383.33</v>
      </c>
    </row>
    <row r="19" spans="1:17" x14ac:dyDescent="0.25">
      <c r="A19" s="20" t="s">
        <v>765</v>
      </c>
      <c r="B19" s="20" t="s">
        <v>766</v>
      </c>
      <c r="C19" s="20" t="s">
        <v>767</v>
      </c>
      <c r="D19" s="20" t="s">
        <v>777</v>
      </c>
      <c r="E19" s="20" t="s">
        <v>772</v>
      </c>
      <c r="F19" s="20">
        <v>166</v>
      </c>
      <c r="G19" s="20">
        <v>1345</v>
      </c>
      <c r="H19" s="20" t="s">
        <v>778</v>
      </c>
      <c r="I19" s="20">
        <v>0</v>
      </c>
      <c r="J19" s="20">
        <v>8.1199999999999992</v>
      </c>
      <c r="K19" s="21">
        <v>1064.46</v>
      </c>
      <c r="M19" s="15" t="s">
        <v>893</v>
      </c>
      <c r="N19">
        <v>0</v>
      </c>
      <c r="O19">
        <v>66.92</v>
      </c>
      <c r="P19">
        <f>+GETPIVOTDATA("Suma de VALOR RETEN",'RET PROV'!$L$1,"TIPO","RENTA","% RETEN",2)</f>
        <v>66.920000000000044</v>
      </c>
    </row>
    <row r="20" spans="1:17" x14ac:dyDescent="0.25">
      <c r="A20" s="20" t="s">
        <v>765</v>
      </c>
      <c r="B20" s="20" t="s">
        <v>766</v>
      </c>
      <c r="C20" s="20" t="s">
        <v>767</v>
      </c>
      <c r="D20" s="20" t="s">
        <v>777</v>
      </c>
      <c r="E20" s="20" t="s">
        <v>772</v>
      </c>
      <c r="F20" s="20">
        <v>166</v>
      </c>
      <c r="G20" s="20">
        <v>1347</v>
      </c>
      <c r="H20" s="20" t="s">
        <v>779</v>
      </c>
      <c r="I20" s="20">
        <v>0</v>
      </c>
      <c r="J20" s="20">
        <v>4.28</v>
      </c>
      <c r="K20" s="21">
        <v>1060.18</v>
      </c>
      <c r="M20" s="15" t="s">
        <v>907</v>
      </c>
      <c r="N20">
        <v>0</v>
      </c>
      <c r="O20">
        <v>400.32</v>
      </c>
      <c r="P20">
        <f>+GETPIVOTDATA("Suma de VALOR RETEN",'RET PROV'!$L$1,"TIPO","RENTA","% RETEN",3)</f>
        <v>400.32000000000005</v>
      </c>
    </row>
    <row r="21" spans="1:17" x14ac:dyDescent="0.25">
      <c r="A21" s="20" t="s">
        <v>765</v>
      </c>
      <c r="B21" s="20" t="s">
        <v>766</v>
      </c>
      <c r="C21" s="20" t="s">
        <v>767</v>
      </c>
      <c r="D21" s="20" t="s">
        <v>777</v>
      </c>
      <c r="E21" s="20" t="s">
        <v>772</v>
      </c>
      <c r="F21" s="20">
        <v>166</v>
      </c>
      <c r="G21" s="20">
        <v>267</v>
      </c>
      <c r="H21" s="20" t="s">
        <v>780</v>
      </c>
      <c r="I21" s="20">
        <v>0</v>
      </c>
      <c r="J21" s="20">
        <v>84.9</v>
      </c>
      <c r="K21" s="20">
        <v>975.28</v>
      </c>
      <c r="M21" s="15" t="s">
        <v>766</v>
      </c>
      <c r="N21">
        <v>0.9</v>
      </c>
      <c r="O21">
        <v>1284.1599999999999</v>
      </c>
      <c r="P21">
        <f>+N21-O21</f>
        <v>-1283.2599999999998</v>
      </c>
      <c r="Q21">
        <f>+GETPIVOTDATA("Suma de VALOR RETEN",'RET PROV'!$L$1,"TIPO","IVA","% RETEN",30)</f>
        <v>1283.26</v>
      </c>
    </row>
    <row r="22" spans="1:17" x14ac:dyDescent="0.25">
      <c r="A22" s="20" t="s">
        <v>765</v>
      </c>
      <c r="B22" s="20" t="s">
        <v>766</v>
      </c>
      <c r="C22" s="20" t="s">
        <v>767</v>
      </c>
      <c r="D22" s="20" t="s">
        <v>781</v>
      </c>
      <c r="E22" s="20" t="s">
        <v>772</v>
      </c>
      <c r="F22" s="20">
        <v>186</v>
      </c>
      <c r="G22" s="20">
        <v>1349</v>
      </c>
      <c r="H22" s="20" t="s">
        <v>782</v>
      </c>
      <c r="I22" s="20">
        <v>0</v>
      </c>
      <c r="J22" s="20">
        <v>1.92</v>
      </c>
      <c r="K22" s="20">
        <v>973.36</v>
      </c>
      <c r="M22" s="15" t="s">
        <v>861</v>
      </c>
      <c r="N22">
        <v>0</v>
      </c>
      <c r="O22">
        <v>3033.6300000000024</v>
      </c>
      <c r="P22">
        <f>+GETPIVOTDATA("Suma de VALOR RETEN",'RET PROV'!$L$1,"TIPO","IVA","% RETEN",70)</f>
        <v>3033.6300000000165</v>
      </c>
    </row>
    <row r="23" spans="1:17" x14ac:dyDescent="0.25">
      <c r="A23" s="20" t="s">
        <v>765</v>
      </c>
      <c r="B23" s="20" t="s">
        <v>766</v>
      </c>
      <c r="C23" s="20" t="s">
        <v>767</v>
      </c>
      <c r="D23" s="20" t="s">
        <v>781</v>
      </c>
      <c r="E23" s="20" t="s">
        <v>772</v>
      </c>
      <c r="F23" s="20">
        <v>186</v>
      </c>
      <c r="G23" s="20">
        <v>62991</v>
      </c>
      <c r="H23" s="20" t="s">
        <v>783</v>
      </c>
      <c r="I23" s="20">
        <v>0</v>
      </c>
      <c r="J23" s="20">
        <v>3.89</v>
      </c>
      <c r="K23" s="20">
        <v>969.47</v>
      </c>
      <c r="M23" s="15" t="s">
        <v>755</v>
      </c>
      <c r="N23">
        <v>1.25</v>
      </c>
      <c r="O23">
        <v>7301.260000000002</v>
      </c>
    </row>
    <row r="24" spans="1:17" x14ac:dyDescent="0.25">
      <c r="A24" s="20" t="s">
        <v>765</v>
      </c>
      <c r="B24" s="20" t="s">
        <v>766</v>
      </c>
      <c r="C24" s="20" t="s">
        <v>767</v>
      </c>
      <c r="D24" s="20" t="s">
        <v>781</v>
      </c>
      <c r="E24" s="20" t="s">
        <v>772</v>
      </c>
      <c r="F24" s="20">
        <v>186</v>
      </c>
      <c r="G24" s="20">
        <v>3567</v>
      </c>
      <c r="H24" s="20" t="s">
        <v>784</v>
      </c>
      <c r="I24" s="20">
        <v>0</v>
      </c>
      <c r="J24" s="20">
        <v>4.05</v>
      </c>
      <c r="K24" s="20">
        <v>965.42</v>
      </c>
    </row>
    <row r="25" spans="1:17" x14ac:dyDescent="0.25">
      <c r="A25" s="20" t="s">
        <v>765</v>
      </c>
      <c r="B25" s="20" t="s">
        <v>766</v>
      </c>
      <c r="C25" s="20" t="s">
        <v>767</v>
      </c>
      <c r="D25" s="20" t="s">
        <v>785</v>
      </c>
      <c r="E25" s="20" t="s">
        <v>772</v>
      </c>
      <c r="F25" s="20">
        <v>231</v>
      </c>
      <c r="G25" s="20">
        <v>1429</v>
      </c>
      <c r="H25" s="20" t="s">
        <v>786</v>
      </c>
      <c r="I25" s="20">
        <v>0</v>
      </c>
      <c r="J25" s="20">
        <v>1.1299999999999999</v>
      </c>
      <c r="K25" s="20">
        <v>964.29</v>
      </c>
    </row>
    <row r="26" spans="1:17" x14ac:dyDescent="0.25">
      <c r="A26" s="20" t="s">
        <v>765</v>
      </c>
      <c r="B26" s="20" t="s">
        <v>766</v>
      </c>
      <c r="C26" s="20" t="s">
        <v>767</v>
      </c>
      <c r="D26" s="20" t="s">
        <v>785</v>
      </c>
      <c r="E26" s="20" t="s">
        <v>772</v>
      </c>
      <c r="F26" s="20">
        <v>231</v>
      </c>
      <c r="G26" s="20">
        <v>2987</v>
      </c>
      <c r="H26" s="20" t="s">
        <v>787</v>
      </c>
      <c r="I26" s="20">
        <v>0</v>
      </c>
      <c r="J26" s="20">
        <v>1.31</v>
      </c>
      <c r="K26" s="20">
        <v>962.98</v>
      </c>
    </row>
    <row r="27" spans="1:17" x14ac:dyDescent="0.25">
      <c r="A27" s="20" t="s">
        <v>765</v>
      </c>
      <c r="B27" s="20" t="s">
        <v>766</v>
      </c>
      <c r="C27" s="20" t="s">
        <v>767</v>
      </c>
      <c r="D27" s="20" t="s">
        <v>788</v>
      </c>
      <c r="E27" s="20" t="s">
        <v>772</v>
      </c>
      <c r="F27" s="20">
        <v>299</v>
      </c>
      <c r="G27" s="20">
        <v>167</v>
      </c>
      <c r="H27" s="20" t="s">
        <v>789</v>
      </c>
      <c r="I27" s="20">
        <v>0</v>
      </c>
      <c r="J27" s="20">
        <v>7.92</v>
      </c>
      <c r="K27" s="20">
        <v>955.06</v>
      </c>
    </row>
    <row r="28" spans="1:17" x14ac:dyDescent="0.25">
      <c r="A28" s="20" t="s">
        <v>765</v>
      </c>
      <c r="B28" s="20" t="s">
        <v>766</v>
      </c>
      <c r="C28" s="20" t="s">
        <v>767</v>
      </c>
      <c r="D28" s="20" t="s">
        <v>788</v>
      </c>
      <c r="E28" s="20" t="s">
        <v>772</v>
      </c>
      <c r="F28" s="20">
        <v>299</v>
      </c>
      <c r="G28" s="20">
        <v>3579</v>
      </c>
      <c r="H28" s="20" t="s">
        <v>790</v>
      </c>
      <c r="I28" s="20">
        <v>0</v>
      </c>
      <c r="J28" s="20">
        <v>2.7</v>
      </c>
      <c r="K28" s="20">
        <v>952.36</v>
      </c>
    </row>
    <row r="29" spans="1:17" x14ac:dyDescent="0.25">
      <c r="A29" s="20" t="s">
        <v>765</v>
      </c>
      <c r="B29" s="20" t="s">
        <v>766</v>
      </c>
      <c r="C29" s="20" t="s">
        <v>767</v>
      </c>
      <c r="D29" s="20" t="s">
        <v>788</v>
      </c>
      <c r="E29" s="20" t="s">
        <v>772</v>
      </c>
      <c r="F29" s="20">
        <v>299</v>
      </c>
      <c r="G29" s="20">
        <v>3580</v>
      </c>
      <c r="H29" s="20" t="s">
        <v>791</v>
      </c>
      <c r="I29" s="20">
        <v>0</v>
      </c>
      <c r="J29" s="20">
        <v>2.7</v>
      </c>
      <c r="K29" s="20">
        <v>949.66</v>
      </c>
    </row>
    <row r="30" spans="1:17" x14ac:dyDescent="0.25">
      <c r="A30" s="20" t="s">
        <v>765</v>
      </c>
      <c r="B30" s="20" t="s">
        <v>766</v>
      </c>
      <c r="C30" s="20" t="s">
        <v>767</v>
      </c>
      <c r="D30" s="20" t="s">
        <v>788</v>
      </c>
      <c r="E30" s="20" t="s">
        <v>772</v>
      </c>
      <c r="F30" s="20">
        <v>299</v>
      </c>
      <c r="G30" s="20">
        <v>3585</v>
      </c>
      <c r="H30" s="20" t="s">
        <v>792</v>
      </c>
      <c r="I30" s="20">
        <v>0</v>
      </c>
      <c r="J30" s="20">
        <v>0.68</v>
      </c>
      <c r="K30" s="20">
        <v>948.98</v>
      </c>
    </row>
    <row r="31" spans="1:17" x14ac:dyDescent="0.25">
      <c r="A31" s="20" t="s">
        <v>765</v>
      </c>
      <c r="B31" s="20" t="s">
        <v>766</v>
      </c>
      <c r="C31" s="20" t="s">
        <v>767</v>
      </c>
      <c r="D31" s="20" t="s">
        <v>793</v>
      </c>
      <c r="E31" s="20" t="s">
        <v>772</v>
      </c>
      <c r="F31" s="20">
        <v>479</v>
      </c>
      <c r="G31" s="20">
        <v>1751</v>
      </c>
      <c r="H31" s="20" t="s">
        <v>794</v>
      </c>
      <c r="I31" s="20">
        <v>0.9</v>
      </c>
      <c r="J31" s="20">
        <v>0</v>
      </c>
      <c r="K31" s="20">
        <v>949.88</v>
      </c>
    </row>
    <row r="32" spans="1:17" x14ac:dyDescent="0.25">
      <c r="A32" s="20" t="s">
        <v>765</v>
      </c>
      <c r="B32" s="20" t="s">
        <v>766</v>
      </c>
      <c r="C32" s="20" t="s">
        <v>767</v>
      </c>
      <c r="D32" s="20" t="s">
        <v>795</v>
      </c>
      <c r="E32" s="20" t="s">
        <v>772</v>
      </c>
      <c r="F32" s="20">
        <v>61</v>
      </c>
      <c r="G32" s="20">
        <v>3553</v>
      </c>
      <c r="H32" s="20" t="s">
        <v>796</v>
      </c>
      <c r="I32" s="20">
        <v>0</v>
      </c>
      <c r="J32" s="20">
        <v>0.23</v>
      </c>
      <c r="K32" s="20">
        <v>949.65</v>
      </c>
    </row>
    <row r="33" spans="1:11" x14ac:dyDescent="0.25">
      <c r="A33" s="20" t="s">
        <v>765</v>
      </c>
      <c r="B33" s="20" t="s">
        <v>766</v>
      </c>
      <c r="C33" s="20" t="s">
        <v>767</v>
      </c>
      <c r="D33" s="20" t="s">
        <v>797</v>
      </c>
      <c r="E33" s="20" t="s">
        <v>798</v>
      </c>
      <c r="F33" s="20">
        <v>123</v>
      </c>
      <c r="G33" s="20">
        <v>521</v>
      </c>
      <c r="H33" s="20" t="s">
        <v>799</v>
      </c>
      <c r="I33" s="20">
        <v>0</v>
      </c>
      <c r="J33" s="20">
        <v>9.32</v>
      </c>
      <c r="K33" s="20">
        <v>940.33</v>
      </c>
    </row>
    <row r="34" spans="1:11" x14ac:dyDescent="0.25">
      <c r="A34" s="20" t="s">
        <v>765</v>
      </c>
      <c r="B34" s="20" t="s">
        <v>766</v>
      </c>
      <c r="C34" s="20" t="s">
        <v>767</v>
      </c>
      <c r="D34" s="20" t="s">
        <v>800</v>
      </c>
      <c r="E34" s="20" t="s">
        <v>798</v>
      </c>
      <c r="F34" s="20">
        <v>128</v>
      </c>
      <c r="G34" s="20">
        <v>1049</v>
      </c>
      <c r="H34" s="20" t="s">
        <v>801</v>
      </c>
      <c r="I34" s="20">
        <v>0</v>
      </c>
      <c r="J34" s="20">
        <v>1.8</v>
      </c>
      <c r="K34" s="20">
        <v>938.53</v>
      </c>
    </row>
    <row r="35" spans="1:11" x14ac:dyDescent="0.25">
      <c r="A35" s="20" t="s">
        <v>765</v>
      </c>
      <c r="B35" s="20" t="s">
        <v>766</v>
      </c>
      <c r="C35" s="20" t="s">
        <v>767</v>
      </c>
      <c r="D35" s="20" t="s">
        <v>800</v>
      </c>
      <c r="E35" s="20" t="s">
        <v>798</v>
      </c>
      <c r="F35" s="20">
        <v>128</v>
      </c>
      <c r="G35" s="20">
        <v>2759</v>
      </c>
      <c r="H35" s="20" t="s">
        <v>802</v>
      </c>
      <c r="I35" s="20">
        <v>0</v>
      </c>
      <c r="J35" s="20">
        <v>66.98</v>
      </c>
      <c r="K35" s="20">
        <v>871.55</v>
      </c>
    </row>
    <row r="36" spans="1:11" x14ac:dyDescent="0.25">
      <c r="A36" s="20" t="s">
        <v>765</v>
      </c>
      <c r="B36" s="20" t="s">
        <v>766</v>
      </c>
      <c r="C36" s="20" t="s">
        <v>767</v>
      </c>
      <c r="D36" s="20" t="s">
        <v>777</v>
      </c>
      <c r="E36" s="20" t="s">
        <v>798</v>
      </c>
      <c r="F36" s="20">
        <v>145</v>
      </c>
      <c r="G36" s="20">
        <v>523</v>
      </c>
      <c r="H36" s="20" t="s">
        <v>803</v>
      </c>
      <c r="I36" s="20">
        <v>0</v>
      </c>
      <c r="J36" s="20">
        <v>9.0500000000000007</v>
      </c>
      <c r="K36" s="20">
        <v>862.5</v>
      </c>
    </row>
    <row r="37" spans="1:11" x14ac:dyDescent="0.25">
      <c r="A37" s="20" t="s">
        <v>765</v>
      </c>
      <c r="B37" s="20" t="s">
        <v>766</v>
      </c>
      <c r="C37" s="20" t="s">
        <v>767</v>
      </c>
      <c r="D37" s="20" t="s">
        <v>777</v>
      </c>
      <c r="E37" s="20" t="s">
        <v>798</v>
      </c>
      <c r="F37" s="20">
        <v>145</v>
      </c>
      <c r="G37" s="20">
        <v>528</v>
      </c>
      <c r="H37" s="20" t="s">
        <v>804</v>
      </c>
      <c r="I37" s="20">
        <v>0</v>
      </c>
      <c r="J37" s="20">
        <v>4.59</v>
      </c>
      <c r="K37" s="20">
        <v>857.91</v>
      </c>
    </row>
    <row r="38" spans="1:11" x14ac:dyDescent="0.25">
      <c r="A38" s="20" t="s">
        <v>765</v>
      </c>
      <c r="B38" s="20" t="s">
        <v>766</v>
      </c>
      <c r="C38" s="20" t="s">
        <v>767</v>
      </c>
      <c r="D38" s="20" t="s">
        <v>781</v>
      </c>
      <c r="E38" s="20" t="s">
        <v>798</v>
      </c>
      <c r="F38" s="20">
        <v>167</v>
      </c>
      <c r="G38" s="20">
        <v>535</v>
      </c>
      <c r="H38" s="20" t="s">
        <v>805</v>
      </c>
      <c r="I38" s="20">
        <v>0</v>
      </c>
      <c r="J38" s="20">
        <v>0.48</v>
      </c>
      <c r="K38" s="20">
        <v>857.43</v>
      </c>
    </row>
    <row r="39" spans="1:11" x14ac:dyDescent="0.25">
      <c r="A39" s="20" t="s">
        <v>765</v>
      </c>
      <c r="B39" s="20" t="s">
        <v>766</v>
      </c>
      <c r="C39" s="20" t="s">
        <v>767</v>
      </c>
      <c r="D39" s="20" t="s">
        <v>781</v>
      </c>
      <c r="E39" s="20" t="s">
        <v>798</v>
      </c>
      <c r="F39" s="20">
        <v>167</v>
      </c>
      <c r="G39" s="20">
        <v>536</v>
      </c>
      <c r="H39" s="20" t="s">
        <v>806</v>
      </c>
      <c r="I39" s="20">
        <v>0</v>
      </c>
      <c r="J39" s="20">
        <v>5.54</v>
      </c>
      <c r="K39" s="20">
        <v>851.89</v>
      </c>
    </row>
    <row r="40" spans="1:11" x14ac:dyDescent="0.25">
      <c r="A40" s="20" t="s">
        <v>765</v>
      </c>
      <c r="B40" s="20" t="s">
        <v>766</v>
      </c>
      <c r="C40" s="20" t="s">
        <v>767</v>
      </c>
      <c r="D40" s="20" t="s">
        <v>781</v>
      </c>
      <c r="E40" s="20" t="s">
        <v>798</v>
      </c>
      <c r="F40" s="20">
        <v>168</v>
      </c>
      <c r="G40" s="20">
        <v>31613</v>
      </c>
      <c r="H40" s="20" t="s">
        <v>807</v>
      </c>
      <c r="I40" s="20">
        <v>0</v>
      </c>
      <c r="J40" s="20">
        <v>120.83</v>
      </c>
      <c r="K40" s="20">
        <v>731.06</v>
      </c>
    </row>
    <row r="41" spans="1:11" x14ac:dyDescent="0.25">
      <c r="A41" s="20" t="s">
        <v>765</v>
      </c>
      <c r="B41" s="20" t="s">
        <v>766</v>
      </c>
      <c r="C41" s="20" t="s">
        <v>767</v>
      </c>
      <c r="D41" s="20" t="s">
        <v>785</v>
      </c>
      <c r="E41" s="20" t="s">
        <v>798</v>
      </c>
      <c r="F41" s="20">
        <v>222</v>
      </c>
      <c r="G41" s="20">
        <v>2</v>
      </c>
      <c r="H41" s="20" t="s">
        <v>808</v>
      </c>
      <c r="I41" s="20">
        <v>0</v>
      </c>
      <c r="J41" s="20">
        <v>5.48</v>
      </c>
      <c r="K41" s="20">
        <v>725.58</v>
      </c>
    </row>
    <row r="42" spans="1:11" x14ac:dyDescent="0.25">
      <c r="A42" s="20" t="s">
        <v>765</v>
      </c>
      <c r="B42" s="20" t="s">
        <v>766</v>
      </c>
      <c r="C42" s="20" t="s">
        <v>767</v>
      </c>
      <c r="D42" s="20" t="s">
        <v>785</v>
      </c>
      <c r="E42" s="20" t="s">
        <v>798</v>
      </c>
      <c r="F42" s="20">
        <v>223</v>
      </c>
      <c r="G42" s="20">
        <v>104</v>
      </c>
      <c r="H42" s="20" t="s">
        <v>809</v>
      </c>
      <c r="I42" s="20">
        <v>0</v>
      </c>
      <c r="J42" s="20">
        <v>1.8</v>
      </c>
      <c r="K42" s="20">
        <v>723.78</v>
      </c>
    </row>
    <row r="43" spans="1:11" x14ac:dyDescent="0.25">
      <c r="A43" s="20" t="s">
        <v>765</v>
      </c>
      <c r="B43" s="20" t="s">
        <v>766</v>
      </c>
      <c r="C43" s="20" t="s">
        <v>767</v>
      </c>
      <c r="D43" s="20" t="s">
        <v>785</v>
      </c>
      <c r="E43" s="20" t="s">
        <v>798</v>
      </c>
      <c r="F43" s="20">
        <v>224</v>
      </c>
      <c r="G43" s="20">
        <v>9674</v>
      </c>
      <c r="H43" s="20" t="s">
        <v>810</v>
      </c>
      <c r="I43" s="20">
        <v>0</v>
      </c>
      <c r="J43" s="20">
        <v>16.43</v>
      </c>
      <c r="K43" s="20">
        <v>707.35</v>
      </c>
    </row>
    <row r="44" spans="1:11" x14ac:dyDescent="0.25">
      <c r="A44" s="20" t="s">
        <v>765</v>
      </c>
      <c r="B44" s="20" t="s">
        <v>766</v>
      </c>
      <c r="C44" s="20" t="s">
        <v>767</v>
      </c>
      <c r="D44" s="20" t="s">
        <v>811</v>
      </c>
      <c r="E44" s="20" t="s">
        <v>798</v>
      </c>
      <c r="F44" s="20">
        <v>232</v>
      </c>
      <c r="G44" s="20">
        <v>4672</v>
      </c>
      <c r="H44" s="20" t="s">
        <v>812</v>
      </c>
      <c r="I44" s="20">
        <v>0</v>
      </c>
      <c r="J44" s="20">
        <v>12.83</v>
      </c>
      <c r="K44" s="20">
        <v>694.52</v>
      </c>
    </row>
    <row r="45" spans="1:11" x14ac:dyDescent="0.25">
      <c r="A45" s="20" t="s">
        <v>765</v>
      </c>
      <c r="B45" s="20" t="s">
        <v>766</v>
      </c>
      <c r="C45" s="20" t="s">
        <v>767</v>
      </c>
      <c r="D45" s="20" t="s">
        <v>811</v>
      </c>
      <c r="E45" s="20" t="s">
        <v>798</v>
      </c>
      <c r="F45" s="20">
        <v>232</v>
      </c>
      <c r="G45" s="20">
        <v>31647</v>
      </c>
      <c r="H45" s="20" t="s">
        <v>813</v>
      </c>
      <c r="I45" s="20">
        <v>0</v>
      </c>
      <c r="J45" s="20">
        <v>9</v>
      </c>
      <c r="K45" s="20">
        <v>685.52</v>
      </c>
    </row>
    <row r="46" spans="1:11" x14ac:dyDescent="0.25">
      <c r="A46" s="20" t="s">
        <v>765</v>
      </c>
      <c r="B46" s="20" t="s">
        <v>766</v>
      </c>
      <c r="C46" s="20" t="s">
        <v>767</v>
      </c>
      <c r="D46" s="20" t="s">
        <v>768</v>
      </c>
      <c r="E46" s="20" t="s">
        <v>798</v>
      </c>
      <c r="F46" s="20">
        <v>261</v>
      </c>
      <c r="G46" s="20">
        <v>549</v>
      </c>
      <c r="H46" s="20" t="s">
        <v>814</v>
      </c>
      <c r="I46" s="20">
        <v>0</v>
      </c>
      <c r="J46" s="20">
        <v>20.81</v>
      </c>
      <c r="K46" s="20">
        <v>664.71</v>
      </c>
    </row>
    <row r="47" spans="1:11" x14ac:dyDescent="0.25">
      <c r="A47" s="20" t="s">
        <v>765</v>
      </c>
      <c r="B47" s="20" t="s">
        <v>766</v>
      </c>
      <c r="C47" s="20" t="s">
        <v>767</v>
      </c>
      <c r="D47" s="20" t="s">
        <v>768</v>
      </c>
      <c r="E47" s="20" t="s">
        <v>798</v>
      </c>
      <c r="F47" s="20">
        <v>261</v>
      </c>
      <c r="G47" s="20">
        <v>553</v>
      </c>
      <c r="H47" s="20" t="s">
        <v>815</v>
      </c>
      <c r="I47" s="20">
        <v>0</v>
      </c>
      <c r="J47" s="20">
        <v>5.57</v>
      </c>
      <c r="K47" s="20">
        <v>659.14</v>
      </c>
    </row>
    <row r="48" spans="1:11" x14ac:dyDescent="0.25">
      <c r="A48" s="20" t="s">
        <v>765</v>
      </c>
      <c r="B48" s="20" t="s">
        <v>766</v>
      </c>
      <c r="C48" s="20" t="s">
        <v>767</v>
      </c>
      <c r="D48" s="20" t="s">
        <v>768</v>
      </c>
      <c r="E48" s="20" t="s">
        <v>798</v>
      </c>
      <c r="F48" s="20">
        <v>261</v>
      </c>
      <c r="G48" s="20">
        <v>554</v>
      </c>
      <c r="H48" s="20" t="s">
        <v>816</v>
      </c>
      <c r="I48" s="20">
        <v>0</v>
      </c>
      <c r="J48" s="20">
        <v>22.67</v>
      </c>
      <c r="K48" s="20">
        <v>636.47</v>
      </c>
    </row>
    <row r="49" spans="1:11" x14ac:dyDescent="0.25">
      <c r="A49" s="20" t="s">
        <v>765</v>
      </c>
      <c r="B49" s="20" t="s">
        <v>766</v>
      </c>
      <c r="C49" s="20" t="s">
        <v>767</v>
      </c>
      <c r="D49" s="20" t="s">
        <v>817</v>
      </c>
      <c r="E49" s="20" t="s">
        <v>798</v>
      </c>
      <c r="F49" s="20">
        <v>279</v>
      </c>
      <c r="G49" s="20">
        <v>558</v>
      </c>
      <c r="H49" s="20" t="s">
        <v>818</v>
      </c>
      <c r="I49" s="20">
        <v>0</v>
      </c>
      <c r="J49" s="20">
        <v>0.51</v>
      </c>
      <c r="K49" s="20">
        <v>635.96</v>
      </c>
    </row>
    <row r="50" spans="1:11" x14ac:dyDescent="0.25">
      <c r="A50" s="20" t="s">
        <v>765</v>
      </c>
      <c r="B50" s="20" t="s">
        <v>766</v>
      </c>
      <c r="C50" s="20" t="s">
        <v>767</v>
      </c>
      <c r="D50" s="20" t="s">
        <v>817</v>
      </c>
      <c r="E50" s="20" t="s">
        <v>798</v>
      </c>
      <c r="F50" s="20">
        <v>280</v>
      </c>
      <c r="G50" s="20">
        <v>4700</v>
      </c>
      <c r="H50" s="20" t="s">
        <v>819</v>
      </c>
      <c r="I50" s="20">
        <v>0</v>
      </c>
      <c r="J50" s="20">
        <v>92.7</v>
      </c>
      <c r="K50" s="20">
        <v>543.26</v>
      </c>
    </row>
    <row r="51" spans="1:11" x14ac:dyDescent="0.25">
      <c r="A51" s="20" t="s">
        <v>765</v>
      </c>
      <c r="B51" s="20" t="s">
        <v>766</v>
      </c>
      <c r="C51" s="20" t="s">
        <v>767</v>
      </c>
      <c r="D51" s="20" t="s">
        <v>817</v>
      </c>
      <c r="E51" s="20" t="s">
        <v>798</v>
      </c>
      <c r="F51" s="20">
        <v>280</v>
      </c>
      <c r="G51" s="20">
        <v>31673</v>
      </c>
      <c r="H51" s="20" t="s">
        <v>820</v>
      </c>
      <c r="I51" s="20">
        <v>0</v>
      </c>
      <c r="J51" s="20">
        <v>9</v>
      </c>
      <c r="K51" s="20">
        <v>534.26</v>
      </c>
    </row>
    <row r="52" spans="1:11" x14ac:dyDescent="0.25">
      <c r="A52" s="20" t="s">
        <v>765</v>
      </c>
      <c r="B52" s="20" t="s">
        <v>766</v>
      </c>
      <c r="C52" s="20" t="s">
        <v>767</v>
      </c>
      <c r="D52" s="20" t="s">
        <v>788</v>
      </c>
      <c r="E52" s="20" t="s">
        <v>798</v>
      </c>
      <c r="F52" s="20">
        <v>295</v>
      </c>
      <c r="G52" s="20">
        <v>7347</v>
      </c>
      <c r="H52" s="20" t="s">
        <v>821</v>
      </c>
      <c r="I52" s="20">
        <v>0</v>
      </c>
      <c r="J52" s="20">
        <v>4.7300000000000004</v>
      </c>
      <c r="K52" s="20">
        <v>529.53</v>
      </c>
    </row>
    <row r="53" spans="1:11" x14ac:dyDescent="0.25">
      <c r="A53" s="20" t="s">
        <v>765</v>
      </c>
      <c r="B53" s="20" t="s">
        <v>766</v>
      </c>
      <c r="C53" s="20" t="s">
        <v>767</v>
      </c>
      <c r="D53" s="20" t="s">
        <v>822</v>
      </c>
      <c r="E53" s="20" t="s">
        <v>798</v>
      </c>
      <c r="F53" s="20">
        <v>301</v>
      </c>
      <c r="G53" s="20">
        <v>565</v>
      </c>
      <c r="H53" s="20" t="s">
        <v>823</v>
      </c>
      <c r="I53" s="20">
        <v>0</v>
      </c>
      <c r="J53" s="20">
        <v>0.16</v>
      </c>
      <c r="K53" s="20">
        <v>529.37</v>
      </c>
    </row>
    <row r="54" spans="1:11" x14ac:dyDescent="0.25">
      <c r="A54" s="20" t="s">
        <v>765</v>
      </c>
      <c r="B54" s="20" t="s">
        <v>766</v>
      </c>
      <c r="C54" s="20" t="s">
        <v>767</v>
      </c>
      <c r="D54" s="20" t="s">
        <v>824</v>
      </c>
      <c r="E54" s="20" t="s">
        <v>798</v>
      </c>
      <c r="F54" s="20">
        <v>380</v>
      </c>
      <c r="G54" s="20">
        <v>113</v>
      </c>
      <c r="H54" s="20" t="s">
        <v>825</v>
      </c>
      <c r="I54" s="20">
        <v>0</v>
      </c>
      <c r="J54" s="20">
        <v>7.2</v>
      </c>
      <c r="K54" s="20">
        <v>522.16999999999996</v>
      </c>
    </row>
    <row r="55" spans="1:11" x14ac:dyDescent="0.25">
      <c r="A55" s="20" t="s">
        <v>765</v>
      </c>
      <c r="B55" s="20" t="s">
        <v>766</v>
      </c>
      <c r="C55" s="20" t="s">
        <v>767</v>
      </c>
      <c r="D55" s="20" t="s">
        <v>824</v>
      </c>
      <c r="E55" s="20" t="s">
        <v>798</v>
      </c>
      <c r="F55" s="20">
        <v>380</v>
      </c>
      <c r="G55" s="20">
        <v>114</v>
      </c>
      <c r="H55" s="20" t="s">
        <v>826</v>
      </c>
      <c r="I55" s="20">
        <v>0</v>
      </c>
      <c r="J55" s="20">
        <v>1.8</v>
      </c>
      <c r="K55" s="20">
        <v>520.37</v>
      </c>
    </row>
    <row r="56" spans="1:11" x14ac:dyDescent="0.25">
      <c r="A56" s="20" t="s">
        <v>765</v>
      </c>
      <c r="B56" s="20" t="s">
        <v>766</v>
      </c>
      <c r="C56" s="20" t="s">
        <v>767</v>
      </c>
      <c r="D56" s="20" t="s">
        <v>824</v>
      </c>
      <c r="E56" s="20" t="s">
        <v>798</v>
      </c>
      <c r="F56" s="20">
        <v>380</v>
      </c>
      <c r="G56" s="20">
        <v>2810</v>
      </c>
      <c r="H56" s="20" t="s">
        <v>827</v>
      </c>
      <c r="I56" s="20">
        <v>0</v>
      </c>
      <c r="J56" s="20">
        <v>12.23</v>
      </c>
      <c r="K56" s="20">
        <v>508.14</v>
      </c>
    </row>
    <row r="57" spans="1:11" x14ac:dyDescent="0.25">
      <c r="A57" s="20" t="s">
        <v>765</v>
      </c>
      <c r="B57" s="20" t="s">
        <v>766</v>
      </c>
      <c r="C57" s="20" t="s">
        <v>767</v>
      </c>
      <c r="D57" s="20" t="s">
        <v>824</v>
      </c>
      <c r="E57" s="20" t="s">
        <v>798</v>
      </c>
      <c r="F57" s="20">
        <v>380</v>
      </c>
      <c r="G57" s="20">
        <v>31752</v>
      </c>
      <c r="H57" s="20" t="s">
        <v>828</v>
      </c>
      <c r="I57" s="20">
        <v>0</v>
      </c>
      <c r="J57" s="20">
        <v>18.899999999999999</v>
      </c>
      <c r="K57" s="20">
        <v>489.24</v>
      </c>
    </row>
    <row r="58" spans="1:11" x14ac:dyDescent="0.25">
      <c r="A58" s="20" t="s">
        <v>765</v>
      </c>
      <c r="B58" s="20" t="s">
        <v>766</v>
      </c>
      <c r="C58" s="20" t="s">
        <v>767</v>
      </c>
      <c r="D58" s="20" t="s">
        <v>829</v>
      </c>
      <c r="E58" s="20" t="s">
        <v>798</v>
      </c>
      <c r="F58" s="20">
        <v>390</v>
      </c>
      <c r="G58" s="20">
        <v>19434</v>
      </c>
      <c r="H58" s="20" t="s">
        <v>830</v>
      </c>
      <c r="I58" s="20">
        <v>0</v>
      </c>
      <c r="J58" s="20">
        <v>10.15</v>
      </c>
      <c r="K58" s="20">
        <v>479.09</v>
      </c>
    </row>
    <row r="59" spans="1:11" x14ac:dyDescent="0.25">
      <c r="A59" s="20" t="s">
        <v>765</v>
      </c>
      <c r="B59" s="20" t="s">
        <v>766</v>
      </c>
      <c r="C59" s="20" t="s">
        <v>767</v>
      </c>
      <c r="D59" s="20" t="s">
        <v>829</v>
      </c>
      <c r="E59" s="20" t="s">
        <v>798</v>
      </c>
      <c r="F59" s="20">
        <v>390</v>
      </c>
      <c r="G59" s="20">
        <v>571</v>
      </c>
      <c r="H59" s="20" t="s">
        <v>831</v>
      </c>
      <c r="I59" s="20">
        <v>0</v>
      </c>
      <c r="J59" s="20">
        <v>38.47</v>
      </c>
      <c r="K59" s="20">
        <v>440.62</v>
      </c>
    </row>
    <row r="60" spans="1:11" x14ac:dyDescent="0.25">
      <c r="A60" s="20" t="s">
        <v>765</v>
      </c>
      <c r="B60" s="20" t="s">
        <v>766</v>
      </c>
      <c r="C60" s="20" t="s">
        <v>767</v>
      </c>
      <c r="D60" s="20" t="s">
        <v>829</v>
      </c>
      <c r="E60" s="20" t="s">
        <v>798</v>
      </c>
      <c r="F60" s="20">
        <v>390</v>
      </c>
      <c r="G60" s="20">
        <v>576</v>
      </c>
      <c r="H60" s="20" t="s">
        <v>832</v>
      </c>
      <c r="I60" s="20">
        <v>0</v>
      </c>
      <c r="J60" s="20">
        <v>59.69</v>
      </c>
      <c r="K60" s="20">
        <v>380.93</v>
      </c>
    </row>
    <row r="61" spans="1:11" x14ac:dyDescent="0.25">
      <c r="A61" s="20" t="s">
        <v>765</v>
      </c>
      <c r="B61" s="20" t="s">
        <v>766</v>
      </c>
      <c r="C61" s="20" t="s">
        <v>767</v>
      </c>
      <c r="D61" s="20" t="s">
        <v>829</v>
      </c>
      <c r="E61" s="20" t="s">
        <v>798</v>
      </c>
      <c r="F61" s="20">
        <v>390</v>
      </c>
      <c r="G61" s="20">
        <v>583</v>
      </c>
      <c r="H61" s="20" t="s">
        <v>833</v>
      </c>
      <c r="I61" s="20">
        <v>0</v>
      </c>
      <c r="J61" s="20">
        <v>0.9</v>
      </c>
      <c r="K61" s="20">
        <v>380.03</v>
      </c>
    </row>
    <row r="62" spans="1:11" x14ac:dyDescent="0.25">
      <c r="A62" s="20" t="s">
        <v>765</v>
      </c>
      <c r="B62" s="20" t="s">
        <v>766</v>
      </c>
      <c r="C62" s="20" t="s">
        <v>767</v>
      </c>
      <c r="D62" s="20" t="s">
        <v>829</v>
      </c>
      <c r="E62" s="20" t="s">
        <v>798</v>
      </c>
      <c r="F62" s="20">
        <v>390</v>
      </c>
      <c r="G62" s="20">
        <v>585</v>
      </c>
      <c r="H62" s="20" t="s">
        <v>834</v>
      </c>
      <c r="I62" s="20">
        <v>0</v>
      </c>
      <c r="J62" s="20">
        <v>16.64</v>
      </c>
      <c r="K62" s="20">
        <v>363.39</v>
      </c>
    </row>
    <row r="63" spans="1:11" x14ac:dyDescent="0.25">
      <c r="A63" s="20" t="s">
        <v>765</v>
      </c>
      <c r="B63" s="20" t="s">
        <v>766</v>
      </c>
      <c r="C63" s="20" t="s">
        <v>767</v>
      </c>
      <c r="D63" s="20" t="s">
        <v>829</v>
      </c>
      <c r="E63" s="20" t="s">
        <v>798</v>
      </c>
      <c r="F63" s="20">
        <v>391</v>
      </c>
      <c r="G63" s="20">
        <v>2818</v>
      </c>
      <c r="H63" s="20" t="s">
        <v>835</v>
      </c>
      <c r="I63" s="20">
        <v>0</v>
      </c>
      <c r="J63" s="20">
        <v>21.6</v>
      </c>
      <c r="K63" s="20">
        <v>341.79</v>
      </c>
    </row>
    <row r="64" spans="1:11" x14ac:dyDescent="0.25">
      <c r="A64" s="20" t="s">
        <v>765</v>
      </c>
      <c r="B64" s="20" t="s">
        <v>766</v>
      </c>
      <c r="C64" s="20" t="s">
        <v>767</v>
      </c>
      <c r="D64" s="20" t="s">
        <v>829</v>
      </c>
      <c r="E64" s="20" t="s">
        <v>798</v>
      </c>
      <c r="F64" s="20">
        <v>391</v>
      </c>
      <c r="G64" s="20">
        <v>31770</v>
      </c>
      <c r="H64" s="20" t="s">
        <v>836</v>
      </c>
      <c r="I64" s="20">
        <v>0</v>
      </c>
      <c r="J64" s="20">
        <v>39.6</v>
      </c>
      <c r="K64" s="20">
        <v>302.19</v>
      </c>
    </row>
    <row r="65" spans="1:11" x14ac:dyDescent="0.25">
      <c r="A65" s="20" t="s">
        <v>765</v>
      </c>
      <c r="B65" s="20" t="s">
        <v>766</v>
      </c>
      <c r="C65" s="20" t="s">
        <v>767</v>
      </c>
      <c r="D65" s="20" t="s">
        <v>829</v>
      </c>
      <c r="E65" s="20" t="s">
        <v>798</v>
      </c>
      <c r="F65" s="20">
        <v>392</v>
      </c>
      <c r="G65" s="20">
        <v>1751</v>
      </c>
      <c r="H65" s="20" t="s">
        <v>837</v>
      </c>
      <c r="I65" s="20">
        <v>0</v>
      </c>
      <c r="J65" s="20">
        <v>0.9</v>
      </c>
      <c r="K65" s="20">
        <v>301.29000000000002</v>
      </c>
    </row>
    <row r="66" spans="1:11" x14ac:dyDescent="0.25">
      <c r="A66" s="20" t="s">
        <v>765</v>
      </c>
      <c r="B66" s="20" t="s">
        <v>766</v>
      </c>
      <c r="C66" s="20" t="s">
        <v>767</v>
      </c>
      <c r="D66" s="20" t="s">
        <v>793</v>
      </c>
      <c r="E66" s="20" t="s">
        <v>798</v>
      </c>
      <c r="F66" s="20">
        <v>395</v>
      </c>
      <c r="G66" s="20">
        <v>587</v>
      </c>
      <c r="H66" s="20" t="s">
        <v>838</v>
      </c>
      <c r="I66" s="20">
        <v>0</v>
      </c>
      <c r="J66" s="20">
        <v>1.37</v>
      </c>
      <c r="K66" s="20">
        <v>299.92</v>
      </c>
    </row>
    <row r="67" spans="1:11" x14ac:dyDescent="0.25">
      <c r="A67" s="20" t="s">
        <v>765</v>
      </c>
      <c r="B67" s="20" t="s">
        <v>766</v>
      </c>
      <c r="C67" s="20" t="s">
        <v>767</v>
      </c>
      <c r="D67" s="20" t="s">
        <v>795</v>
      </c>
      <c r="E67" s="20" t="s">
        <v>798</v>
      </c>
      <c r="F67" s="20">
        <v>54</v>
      </c>
      <c r="G67" s="20">
        <v>6232</v>
      </c>
      <c r="H67" s="20" t="s">
        <v>839</v>
      </c>
      <c r="I67" s="20">
        <v>0</v>
      </c>
      <c r="J67" s="20">
        <v>1.76</v>
      </c>
      <c r="K67" s="20">
        <v>298.16000000000003</v>
      </c>
    </row>
    <row r="68" spans="1:11" x14ac:dyDescent="0.25">
      <c r="A68" s="20" t="s">
        <v>765</v>
      </c>
      <c r="B68" s="20" t="s">
        <v>766</v>
      </c>
      <c r="C68" s="20" t="s">
        <v>767</v>
      </c>
      <c r="D68" s="20" t="s">
        <v>795</v>
      </c>
      <c r="E68" s="20" t="s">
        <v>798</v>
      </c>
      <c r="F68" s="20">
        <v>55</v>
      </c>
      <c r="G68" s="20">
        <v>70816</v>
      </c>
      <c r="H68" s="20" t="s">
        <v>840</v>
      </c>
      <c r="I68" s="20">
        <v>0</v>
      </c>
      <c r="J68" s="20">
        <v>3.58</v>
      </c>
      <c r="K68" s="20">
        <v>294.58</v>
      </c>
    </row>
    <row r="69" spans="1:11" x14ac:dyDescent="0.25">
      <c r="A69" s="20" t="s">
        <v>765</v>
      </c>
      <c r="B69" s="20" t="s">
        <v>766</v>
      </c>
      <c r="C69" s="20" t="s">
        <v>767</v>
      </c>
      <c r="D69" s="20" t="s">
        <v>841</v>
      </c>
      <c r="E69" s="20" t="s">
        <v>798</v>
      </c>
      <c r="F69" s="20">
        <v>62</v>
      </c>
      <c r="G69" s="20">
        <v>4556</v>
      </c>
      <c r="H69" s="20" t="s">
        <v>842</v>
      </c>
      <c r="I69" s="20">
        <v>0</v>
      </c>
      <c r="J69" s="20">
        <v>46.35</v>
      </c>
      <c r="K69" s="20">
        <v>248.23</v>
      </c>
    </row>
    <row r="70" spans="1:11" x14ac:dyDescent="0.25">
      <c r="A70" s="20" t="s">
        <v>765</v>
      </c>
      <c r="B70" s="20" t="s">
        <v>766</v>
      </c>
      <c r="C70" s="20" t="s">
        <v>767</v>
      </c>
      <c r="D70" s="20" t="s">
        <v>841</v>
      </c>
      <c r="E70" s="20" t="s">
        <v>798</v>
      </c>
      <c r="F70" s="20">
        <v>62</v>
      </c>
      <c r="G70" s="20">
        <v>1037</v>
      </c>
      <c r="H70" s="20" t="s">
        <v>843</v>
      </c>
      <c r="I70" s="20">
        <v>0</v>
      </c>
      <c r="J70" s="20">
        <v>54</v>
      </c>
      <c r="K70" s="20">
        <v>194.23</v>
      </c>
    </row>
    <row r="71" spans="1:11" x14ac:dyDescent="0.25">
      <c r="A71" s="20" t="s">
        <v>765</v>
      </c>
      <c r="B71" s="20" t="s">
        <v>766</v>
      </c>
      <c r="C71" s="20" t="s">
        <v>767</v>
      </c>
      <c r="D71" s="20" t="s">
        <v>841</v>
      </c>
      <c r="E71" s="20" t="s">
        <v>798</v>
      </c>
      <c r="F71" s="20">
        <v>62</v>
      </c>
      <c r="G71" s="20">
        <v>31473</v>
      </c>
      <c r="H71" s="20" t="s">
        <v>844</v>
      </c>
      <c r="I71" s="20">
        <v>0</v>
      </c>
      <c r="J71" s="20">
        <v>43.2</v>
      </c>
      <c r="K71" s="20">
        <v>151.03</v>
      </c>
    </row>
    <row r="72" spans="1:11" x14ac:dyDescent="0.25">
      <c r="A72" s="20" t="s">
        <v>765</v>
      </c>
      <c r="B72" s="20" t="s">
        <v>766</v>
      </c>
      <c r="C72" s="20" t="s">
        <v>767</v>
      </c>
      <c r="D72" s="20" t="s">
        <v>845</v>
      </c>
      <c r="E72" s="20" t="s">
        <v>798</v>
      </c>
      <c r="F72" s="20">
        <v>73</v>
      </c>
      <c r="G72" s="20">
        <v>62845</v>
      </c>
      <c r="H72" s="20" t="s">
        <v>846</v>
      </c>
      <c r="I72" s="20">
        <v>0</v>
      </c>
      <c r="J72" s="20">
        <v>5.14</v>
      </c>
      <c r="K72" s="20">
        <v>145.88999999999999</v>
      </c>
    </row>
    <row r="73" spans="1:11" x14ac:dyDescent="0.25">
      <c r="A73" s="20" t="s">
        <v>765</v>
      </c>
      <c r="B73" s="20" t="s">
        <v>766</v>
      </c>
      <c r="C73" s="20" t="s">
        <v>767</v>
      </c>
      <c r="D73" s="20" t="s">
        <v>845</v>
      </c>
      <c r="E73" s="20" t="s">
        <v>798</v>
      </c>
      <c r="F73" s="20">
        <v>75</v>
      </c>
      <c r="G73" s="20">
        <v>383</v>
      </c>
      <c r="H73" s="20" t="s">
        <v>847</v>
      </c>
      <c r="I73" s="20">
        <v>0</v>
      </c>
      <c r="J73" s="20">
        <v>19.05</v>
      </c>
      <c r="K73" s="20">
        <v>126.84</v>
      </c>
    </row>
    <row r="74" spans="1:11" x14ac:dyDescent="0.25">
      <c r="A74" s="20" t="s">
        <v>765</v>
      </c>
      <c r="B74" s="20" t="s">
        <v>766</v>
      </c>
      <c r="C74" s="20" t="s">
        <v>767</v>
      </c>
      <c r="D74" s="20" t="s">
        <v>845</v>
      </c>
      <c r="E74" s="20" t="s">
        <v>798</v>
      </c>
      <c r="F74" s="20">
        <v>75</v>
      </c>
      <c r="G74" s="20">
        <v>1841</v>
      </c>
      <c r="H74" s="20" t="s">
        <v>848</v>
      </c>
      <c r="I74" s="20">
        <v>0</v>
      </c>
      <c r="J74" s="20">
        <v>1.02</v>
      </c>
      <c r="K74" s="20">
        <v>125.82</v>
      </c>
    </row>
    <row r="75" spans="1:11" x14ac:dyDescent="0.25">
      <c r="A75" s="20" t="s">
        <v>765</v>
      </c>
      <c r="B75" s="20" t="s">
        <v>766</v>
      </c>
      <c r="C75" s="20" t="s">
        <v>767</v>
      </c>
      <c r="D75" s="20" t="s">
        <v>771</v>
      </c>
      <c r="E75" s="20" t="s">
        <v>798</v>
      </c>
      <c r="F75" s="20">
        <v>90</v>
      </c>
      <c r="G75" s="20">
        <v>508</v>
      </c>
      <c r="H75" s="20" t="s">
        <v>849</v>
      </c>
      <c r="I75" s="20">
        <v>0</v>
      </c>
      <c r="J75" s="20">
        <v>6.46</v>
      </c>
      <c r="K75" s="20">
        <v>119.36</v>
      </c>
    </row>
    <row r="76" spans="1:11" x14ac:dyDescent="0.25">
      <c r="A76" s="20" t="s">
        <v>765</v>
      </c>
      <c r="B76" s="20" t="s">
        <v>766</v>
      </c>
      <c r="C76" s="20" t="s">
        <v>767</v>
      </c>
      <c r="D76" s="20" t="s">
        <v>771</v>
      </c>
      <c r="E76" s="20" t="s">
        <v>798</v>
      </c>
      <c r="F76" s="20">
        <v>90</v>
      </c>
      <c r="G76" s="20">
        <v>509</v>
      </c>
      <c r="H76" s="20" t="s">
        <v>850</v>
      </c>
      <c r="I76" s="20">
        <v>0</v>
      </c>
      <c r="J76" s="20">
        <v>9.42</v>
      </c>
      <c r="K76" s="20">
        <v>109.94</v>
      </c>
    </row>
    <row r="77" spans="1:11" x14ac:dyDescent="0.25">
      <c r="A77" s="20" t="s">
        <v>765</v>
      </c>
      <c r="B77" s="20" t="s">
        <v>766</v>
      </c>
      <c r="C77" s="20" t="s">
        <v>767</v>
      </c>
      <c r="D77" s="20" t="s">
        <v>771</v>
      </c>
      <c r="E77" s="20" t="s">
        <v>798</v>
      </c>
      <c r="F77" s="20">
        <v>92</v>
      </c>
      <c r="G77" s="20">
        <v>2087</v>
      </c>
      <c r="H77" s="20" t="s">
        <v>851</v>
      </c>
      <c r="I77" s="20">
        <v>0</v>
      </c>
      <c r="J77" s="20">
        <v>9</v>
      </c>
      <c r="K77" s="20">
        <v>100.94</v>
      </c>
    </row>
    <row r="78" spans="1:11" x14ac:dyDescent="0.25">
      <c r="A78" s="20" t="s">
        <v>765</v>
      </c>
      <c r="B78" s="20" t="s">
        <v>766</v>
      </c>
      <c r="C78" s="20" t="s">
        <v>767</v>
      </c>
      <c r="D78" s="20" t="s">
        <v>852</v>
      </c>
      <c r="E78" s="20" t="s">
        <v>798</v>
      </c>
      <c r="F78" s="20">
        <v>96</v>
      </c>
      <c r="G78" s="20">
        <v>514</v>
      </c>
      <c r="H78" s="20" t="s">
        <v>853</v>
      </c>
      <c r="I78" s="20">
        <v>0</v>
      </c>
      <c r="J78" s="20">
        <v>15.52</v>
      </c>
      <c r="K78" s="20">
        <v>85.42</v>
      </c>
    </row>
    <row r="79" spans="1:11" x14ac:dyDescent="0.25">
      <c r="A79" s="20" t="s">
        <v>765</v>
      </c>
      <c r="B79" s="20" t="s">
        <v>766</v>
      </c>
      <c r="C79" s="20" t="s">
        <v>767</v>
      </c>
      <c r="D79" s="20" t="s">
        <v>852</v>
      </c>
      <c r="E79" s="20" t="s">
        <v>798</v>
      </c>
      <c r="F79" s="20">
        <v>96</v>
      </c>
      <c r="G79" s="20">
        <v>515</v>
      </c>
      <c r="H79" s="20" t="s">
        <v>854</v>
      </c>
      <c r="I79" s="20">
        <v>0</v>
      </c>
      <c r="J79" s="20">
        <v>6.35</v>
      </c>
      <c r="K79" s="20">
        <v>79.069999999999993</v>
      </c>
    </row>
    <row r="80" spans="1:11" x14ac:dyDescent="0.25">
      <c r="A80" s="20" t="s">
        <v>765</v>
      </c>
      <c r="B80" s="20" t="s">
        <v>766</v>
      </c>
      <c r="C80" s="20" t="s">
        <v>767</v>
      </c>
      <c r="D80" s="20" t="s">
        <v>852</v>
      </c>
      <c r="E80" s="20" t="s">
        <v>798</v>
      </c>
      <c r="F80" s="20">
        <v>96</v>
      </c>
      <c r="G80" s="20">
        <v>519</v>
      </c>
      <c r="H80" s="20" t="s">
        <v>855</v>
      </c>
      <c r="I80" s="20">
        <v>0</v>
      </c>
      <c r="J80" s="20">
        <v>4.9400000000000004</v>
      </c>
      <c r="K80" s="20">
        <v>74.13</v>
      </c>
    </row>
    <row r="81" spans="1:11" x14ac:dyDescent="0.25">
      <c r="A81" s="20" t="s">
        <v>765</v>
      </c>
      <c r="B81" s="20" t="s">
        <v>766</v>
      </c>
      <c r="C81" s="20" t="s">
        <v>767</v>
      </c>
      <c r="D81" s="20" t="s">
        <v>856</v>
      </c>
      <c r="E81" s="20" t="s">
        <v>857</v>
      </c>
      <c r="F81" s="20">
        <v>108</v>
      </c>
      <c r="G81" s="20"/>
      <c r="H81" s="20" t="s">
        <v>858</v>
      </c>
      <c r="I81" s="20">
        <v>0</v>
      </c>
      <c r="J81" s="20">
        <v>4.05</v>
      </c>
      <c r="K81" s="20">
        <v>70.08</v>
      </c>
    </row>
    <row r="82" spans="1:11" x14ac:dyDescent="0.25">
      <c r="A82" s="20" t="s">
        <v>765</v>
      </c>
      <c r="B82" s="20" t="s">
        <v>766</v>
      </c>
      <c r="C82" s="20" t="s">
        <v>767</v>
      </c>
      <c r="D82" s="20" t="s">
        <v>797</v>
      </c>
      <c r="E82" s="20" t="s">
        <v>857</v>
      </c>
      <c r="F82" s="20">
        <v>126</v>
      </c>
      <c r="G82" s="20"/>
      <c r="H82" s="20" t="s">
        <v>858</v>
      </c>
      <c r="I82" s="20">
        <v>0</v>
      </c>
      <c r="J82" s="20">
        <v>15.03</v>
      </c>
      <c r="K82" s="20">
        <v>55.05</v>
      </c>
    </row>
    <row r="83" spans="1:11" x14ac:dyDescent="0.25">
      <c r="A83" s="20" t="s">
        <v>765</v>
      </c>
      <c r="B83" s="20" t="s">
        <v>766</v>
      </c>
      <c r="C83" s="20" t="s">
        <v>767</v>
      </c>
      <c r="D83" s="20" t="s">
        <v>777</v>
      </c>
      <c r="E83" s="20" t="s">
        <v>857</v>
      </c>
      <c r="F83" s="20">
        <v>153</v>
      </c>
      <c r="G83" s="20"/>
      <c r="H83" s="20" t="s">
        <v>858</v>
      </c>
      <c r="I83" s="20">
        <v>0</v>
      </c>
      <c r="J83" s="20">
        <v>34.729999999999997</v>
      </c>
      <c r="K83" s="20">
        <v>20.32</v>
      </c>
    </row>
    <row r="84" spans="1:11" x14ac:dyDescent="0.25">
      <c r="A84" s="20" t="s">
        <v>765</v>
      </c>
      <c r="B84" s="20" t="s">
        <v>766</v>
      </c>
      <c r="C84" s="20" t="s">
        <v>767</v>
      </c>
      <c r="D84" s="20" t="s">
        <v>788</v>
      </c>
      <c r="E84" s="20" t="s">
        <v>857</v>
      </c>
      <c r="F84" s="20">
        <v>297</v>
      </c>
      <c r="G84" s="20"/>
      <c r="H84" s="20" t="s">
        <v>858</v>
      </c>
      <c r="I84" s="20">
        <v>0</v>
      </c>
      <c r="J84" s="20">
        <v>27.39</v>
      </c>
      <c r="K84" s="20">
        <v>-7.07</v>
      </c>
    </row>
    <row r="85" spans="1:11" x14ac:dyDescent="0.25">
      <c r="A85" s="20" t="s">
        <v>765</v>
      </c>
      <c r="B85" s="20" t="s">
        <v>766</v>
      </c>
      <c r="C85" s="20" t="s">
        <v>767</v>
      </c>
      <c r="D85" s="20" t="s">
        <v>822</v>
      </c>
      <c r="E85" s="20" t="s">
        <v>857</v>
      </c>
      <c r="F85" s="20">
        <v>305</v>
      </c>
      <c r="G85" s="20"/>
      <c r="H85" s="20" t="s">
        <v>858</v>
      </c>
      <c r="I85" s="20">
        <v>0</v>
      </c>
      <c r="J85" s="20">
        <v>10.59</v>
      </c>
      <c r="K85" s="20">
        <v>-17.66</v>
      </c>
    </row>
    <row r="86" spans="1:11" x14ac:dyDescent="0.25">
      <c r="A86" s="20" t="s">
        <v>765</v>
      </c>
      <c r="B86" s="20" t="s">
        <v>766</v>
      </c>
      <c r="C86" s="20" t="s">
        <v>767</v>
      </c>
      <c r="D86" s="20" t="s">
        <v>859</v>
      </c>
      <c r="E86" s="20" t="s">
        <v>857</v>
      </c>
      <c r="F86" s="20">
        <v>350</v>
      </c>
      <c r="G86" s="20"/>
      <c r="H86" s="20" t="s">
        <v>858</v>
      </c>
      <c r="I86" s="20">
        <v>0</v>
      </c>
      <c r="J86" s="20">
        <v>36.65</v>
      </c>
      <c r="K86" s="20">
        <v>-54.31</v>
      </c>
    </row>
    <row r="87" spans="1:11" x14ac:dyDescent="0.25">
      <c r="A87" s="20" t="s">
        <v>765</v>
      </c>
      <c r="B87" s="20" t="s">
        <v>766</v>
      </c>
      <c r="C87" s="20" t="s">
        <v>767</v>
      </c>
      <c r="D87" s="20" t="s">
        <v>824</v>
      </c>
      <c r="E87" s="20" t="s">
        <v>857</v>
      </c>
      <c r="F87" s="20">
        <v>386</v>
      </c>
      <c r="G87" s="20"/>
      <c r="H87" s="20" t="s">
        <v>858</v>
      </c>
      <c r="I87" s="20">
        <v>0</v>
      </c>
      <c r="J87" s="20">
        <v>75.11</v>
      </c>
      <c r="K87" s="20">
        <v>-129.41999999999999</v>
      </c>
    </row>
    <row r="88" spans="1:11" x14ac:dyDescent="0.25">
      <c r="A88" s="20" t="s">
        <v>765</v>
      </c>
      <c r="B88" s="20" t="s">
        <v>766</v>
      </c>
      <c r="C88" s="20" t="s">
        <v>767</v>
      </c>
      <c r="D88" s="20" t="s">
        <v>841</v>
      </c>
      <c r="E88" s="20" t="s">
        <v>857</v>
      </c>
      <c r="F88" s="20">
        <v>69</v>
      </c>
      <c r="G88" s="20"/>
      <c r="H88" s="20" t="s">
        <v>858</v>
      </c>
      <c r="I88" s="20">
        <v>0</v>
      </c>
      <c r="J88" s="20">
        <v>34.6</v>
      </c>
      <c r="K88" s="20">
        <v>-164.02</v>
      </c>
    </row>
    <row r="89" spans="1:11" x14ac:dyDescent="0.25">
      <c r="A89" s="20" t="s">
        <v>860</v>
      </c>
      <c r="B89" s="20" t="s">
        <v>861</v>
      </c>
      <c r="C89" s="20" t="s">
        <v>767</v>
      </c>
      <c r="D89" s="20" t="s">
        <v>777</v>
      </c>
      <c r="E89" s="20" t="s">
        <v>772</v>
      </c>
      <c r="F89" s="20">
        <v>166</v>
      </c>
      <c r="G89" s="20">
        <v>1344</v>
      </c>
      <c r="H89" s="20" t="s">
        <v>862</v>
      </c>
      <c r="I89" s="20">
        <v>0</v>
      </c>
      <c r="J89" s="20">
        <v>12.7</v>
      </c>
      <c r="K89" s="21">
        <v>3408.52</v>
      </c>
    </row>
    <row r="90" spans="1:11" x14ac:dyDescent="0.25">
      <c r="A90" s="20" t="s">
        <v>860</v>
      </c>
      <c r="B90" s="20" t="s">
        <v>861</v>
      </c>
      <c r="C90" s="20" t="s">
        <v>767</v>
      </c>
      <c r="D90" s="20" t="s">
        <v>777</v>
      </c>
      <c r="E90" s="20" t="s">
        <v>772</v>
      </c>
      <c r="F90" s="20">
        <v>166</v>
      </c>
      <c r="G90" s="20">
        <v>1346</v>
      </c>
      <c r="H90" s="20" t="s">
        <v>863</v>
      </c>
      <c r="I90" s="20">
        <v>0</v>
      </c>
      <c r="J90" s="20">
        <v>7.21</v>
      </c>
      <c r="K90" s="21">
        <v>3401.31</v>
      </c>
    </row>
    <row r="91" spans="1:11" x14ac:dyDescent="0.25">
      <c r="A91" s="20" t="s">
        <v>860</v>
      </c>
      <c r="B91" s="20" t="s">
        <v>861</v>
      </c>
      <c r="C91" s="20" t="s">
        <v>767</v>
      </c>
      <c r="D91" s="20" t="s">
        <v>781</v>
      </c>
      <c r="E91" s="20" t="s">
        <v>772</v>
      </c>
      <c r="F91" s="20">
        <v>186</v>
      </c>
      <c r="G91" s="20">
        <v>163</v>
      </c>
      <c r="H91" s="20" t="s">
        <v>864</v>
      </c>
      <c r="I91" s="20">
        <v>0</v>
      </c>
      <c r="J91" s="20">
        <v>6.72</v>
      </c>
      <c r="K91" s="21">
        <v>3394.59</v>
      </c>
    </row>
    <row r="92" spans="1:11" x14ac:dyDescent="0.25">
      <c r="A92" s="20" t="s">
        <v>860</v>
      </c>
      <c r="B92" s="20" t="s">
        <v>861</v>
      </c>
      <c r="C92" s="20" t="s">
        <v>767</v>
      </c>
      <c r="D92" s="20" t="s">
        <v>781</v>
      </c>
      <c r="E92" s="20" t="s">
        <v>772</v>
      </c>
      <c r="F92" s="20">
        <v>186</v>
      </c>
      <c r="G92" s="20">
        <v>164</v>
      </c>
      <c r="H92" s="20" t="s">
        <v>865</v>
      </c>
      <c r="I92" s="20">
        <v>0</v>
      </c>
      <c r="J92" s="20">
        <v>8.56</v>
      </c>
      <c r="K92" s="21">
        <v>3386.03</v>
      </c>
    </row>
    <row r="93" spans="1:11" x14ac:dyDescent="0.25">
      <c r="A93" s="20" t="s">
        <v>860</v>
      </c>
      <c r="B93" s="20" t="s">
        <v>861</v>
      </c>
      <c r="C93" s="20" t="s">
        <v>767</v>
      </c>
      <c r="D93" s="20" t="s">
        <v>781</v>
      </c>
      <c r="E93" s="20" t="s">
        <v>772</v>
      </c>
      <c r="F93" s="20">
        <v>186</v>
      </c>
      <c r="G93" s="20">
        <v>165</v>
      </c>
      <c r="H93" s="20" t="s">
        <v>866</v>
      </c>
      <c r="I93" s="20">
        <v>0</v>
      </c>
      <c r="J93" s="20">
        <v>4.38</v>
      </c>
      <c r="K93" s="21">
        <v>3381.65</v>
      </c>
    </row>
    <row r="94" spans="1:11" x14ac:dyDescent="0.25">
      <c r="A94" s="20" t="s">
        <v>860</v>
      </c>
      <c r="B94" s="20" t="s">
        <v>861</v>
      </c>
      <c r="C94" s="20" t="s">
        <v>767</v>
      </c>
      <c r="D94" s="20" t="s">
        <v>781</v>
      </c>
      <c r="E94" s="20" t="s">
        <v>772</v>
      </c>
      <c r="F94" s="20">
        <v>186</v>
      </c>
      <c r="G94" s="20">
        <v>20594</v>
      </c>
      <c r="H94" s="20" t="s">
        <v>867</v>
      </c>
      <c r="I94" s="20">
        <v>0</v>
      </c>
      <c r="J94" s="20">
        <v>17.12</v>
      </c>
      <c r="K94" s="21">
        <v>3364.53</v>
      </c>
    </row>
    <row r="95" spans="1:11" x14ac:dyDescent="0.25">
      <c r="A95" s="20" t="s">
        <v>860</v>
      </c>
      <c r="B95" s="20" t="s">
        <v>861</v>
      </c>
      <c r="C95" s="20" t="s">
        <v>767</v>
      </c>
      <c r="D95" s="20" t="s">
        <v>781</v>
      </c>
      <c r="E95" s="20" t="s">
        <v>772</v>
      </c>
      <c r="F95" s="20">
        <v>186</v>
      </c>
      <c r="G95" s="20">
        <v>1348</v>
      </c>
      <c r="H95" s="20" t="s">
        <v>868</v>
      </c>
      <c r="I95" s="20">
        <v>0</v>
      </c>
      <c r="J95" s="20">
        <v>5.73</v>
      </c>
      <c r="K95" s="21">
        <v>3358.8</v>
      </c>
    </row>
    <row r="96" spans="1:11" x14ac:dyDescent="0.25">
      <c r="A96" s="20" t="s">
        <v>860</v>
      </c>
      <c r="B96" s="20" t="s">
        <v>861</v>
      </c>
      <c r="C96" s="20" t="s">
        <v>767</v>
      </c>
      <c r="D96" s="20" t="s">
        <v>869</v>
      </c>
      <c r="E96" s="20" t="s">
        <v>772</v>
      </c>
      <c r="F96" s="20">
        <v>215</v>
      </c>
      <c r="G96" s="20">
        <v>441</v>
      </c>
      <c r="H96" s="20" t="s">
        <v>870</v>
      </c>
      <c r="I96" s="20">
        <v>0</v>
      </c>
      <c r="J96" s="20">
        <v>16.149999999999999</v>
      </c>
      <c r="K96" s="21">
        <v>3342.65</v>
      </c>
    </row>
    <row r="97" spans="1:11" x14ac:dyDescent="0.25">
      <c r="A97" s="20" t="s">
        <v>860</v>
      </c>
      <c r="B97" s="20" t="s">
        <v>861</v>
      </c>
      <c r="C97" s="20" t="s">
        <v>767</v>
      </c>
      <c r="D97" s="20" t="s">
        <v>869</v>
      </c>
      <c r="E97" s="20" t="s">
        <v>772</v>
      </c>
      <c r="F97" s="20">
        <v>215</v>
      </c>
      <c r="G97" s="20">
        <v>443</v>
      </c>
      <c r="H97" s="20" t="s">
        <v>871</v>
      </c>
      <c r="I97" s="20">
        <v>0</v>
      </c>
      <c r="J97" s="20">
        <v>47.64</v>
      </c>
      <c r="K97" s="21">
        <v>3295.01</v>
      </c>
    </row>
    <row r="98" spans="1:11" x14ac:dyDescent="0.25">
      <c r="A98" s="20" t="s">
        <v>860</v>
      </c>
      <c r="B98" s="20" t="s">
        <v>861</v>
      </c>
      <c r="C98" s="20" t="s">
        <v>767</v>
      </c>
      <c r="D98" s="20" t="s">
        <v>869</v>
      </c>
      <c r="E98" s="20" t="s">
        <v>772</v>
      </c>
      <c r="F98" s="20">
        <v>215</v>
      </c>
      <c r="G98" s="20">
        <v>445</v>
      </c>
      <c r="H98" s="20" t="s">
        <v>872</v>
      </c>
      <c r="I98" s="20">
        <v>0</v>
      </c>
      <c r="J98" s="20">
        <v>24.87</v>
      </c>
      <c r="K98" s="21">
        <v>3270.14</v>
      </c>
    </row>
    <row r="99" spans="1:11" x14ac:dyDescent="0.25">
      <c r="A99" s="20" t="s">
        <v>860</v>
      </c>
      <c r="B99" s="20" t="s">
        <v>861</v>
      </c>
      <c r="C99" s="20" t="s">
        <v>767</v>
      </c>
      <c r="D99" s="20" t="s">
        <v>795</v>
      </c>
      <c r="E99" s="20" t="s">
        <v>772</v>
      </c>
      <c r="F99" s="20">
        <v>61</v>
      </c>
      <c r="G99" s="20">
        <v>192</v>
      </c>
      <c r="H99" s="20" t="s">
        <v>873</v>
      </c>
      <c r="I99" s="20">
        <v>0</v>
      </c>
      <c r="J99" s="20">
        <v>875.72</v>
      </c>
      <c r="K99" s="21">
        <v>2394.42</v>
      </c>
    </row>
    <row r="100" spans="1:11" x14ac:dyDescent="0.25">
      <c r="A100" s="20" t="s">
        <v>860</v>
      </c>
      <c r="B100" s="20" t="s">
        <v>861</v>
      </c>
      <c r="C100" s="20" t="s">
        <v>767</v>
      </c>
      <c r="D100" s="20" t="s">
        <v>795</v>
      </c>
      <c r="E100" s="20" t="s">
        <v>772</v>
      </c>
      <c r="F100" s="20">
        <v>61</v>
      </c>
      <c r="G100" s="20">
        <v>193</v>
      </c>
      <c r="H100" s="20" t="s">
        <v>874</v>
      </c>
      <c r="I100" s="20">
        <v>0</v>
      </c>
      <c r="J100" s="20">
        <v>553.13</v>
      </c>
      <c r="K100" s="21">
        <v>1841.29</v>
      </c>
    </row>
    <row r="101" spans="1:11" x14ac:dyDescent="0.25">
      <c r="A101" s="20" t="s">
        <v>860</v>
      </c>
      <c r="B101" s="20" t="s">
        <v>861</v>
      </c>
      <c r="C101" s="20" t="s">
        <v>767</v>
      </c>
      <c r="D101" s="20" t="s">
        <v>795</v>
      </c>
      <c r="E101" s="20" t="s">
        <v>772</v>
      </c>
      <c r="F101" s="20">
        <v>61</v>
      </c>
      <c r="G101" s="20">
        <v>47</v>
      </c>
      <c r="H101" s="20" t="s">
        <v>875</v>
      </c>
      <c r="I101" s="20">
        <v>0</v>
      </c>
      <c r="J101" s="20">
        <v>94.02</v>
      </c>
      <c r="K101" s="21">
        <v>1747.27</v>
      </c>
    </row>
    <row r="102" spans="1:11" x14ac:dyDescent="0.25">
      <c r="A102" s="20" t="s">
        <v>860</v>
      </c>
      <c r="B102" s="20" t="s">
        <v>861</v>
      </c>
      <c r="C102" s="20" t="s">
        <v>767</v>
      </c>
      <c r="D102" s="20" t="s">
        <v>795</v>
      </c>
      <c r="E102" s="20" t="s">
        <v>772</v>
      </c>
      <c r="F102" s="20">
        <v>61</v>
      </c>
      <c r="G102" s="20">
        <v>438</v>
      </c>
      <c r="H102" s="20" t="s">
        <v>876</v>
      </c>
      <c r="I102" s="20">
        <v>0</v>
      </c>
      <c r="J102" s="21">
        <v>1050</v>
      </c>
      <c r="K102" s="20">
        <v>697.27</v>
      </c>
    </row>
    <row r="103" spans="1:11" x14ac:dyDescent="0.25">
      <c r="A103" s="20" t="s">
        <v>860</v>
      </c>
      <c r="B103" s="20" t="s">
        <v>861</v>
      </c>
      <c r="C103" s="20" t="s">
        <v>767</v>
      </c>
      <c r="D103" s="20" t="s">
        <v>841</v>
      </c>
      <c r="E103" s="20" t="s">
        <v>772</v>
      </c>
      <c r="F103" s="20">
        <v>71</v>
      </c>
      <c r="G103" s="20">
        <v>161</v>
      </c>
      <c r="H103" s="20" t="s">
        <v>877</v>
      </c>
      <c r="I103" s="20">
        <v>0</v>
      </c>
      <c r="J103" s="20">
        <v>3.4</v>
      </c>
      <c r="K103" s="20">
        <v>693.87</v>
      </c>
    </row>
    <row r="104" spans="1:11" x14ac:dyDescent="0.25">
      <c r="A104" s="20" t="s">
        <v>860</v>
      </c>
      <c r="B104" s="20" t="s">
        <v>861</v>
      </c>
      <c r="C104" s="20" t="s">
        <v>767</v>
      </c>
      <c r="D104" s="20" t="s">
        <v>771</v>
      </c>
      <c r="E104" s="20" t="s">
        <v>878</v>
      </c>
      <c r="F104" s="20">
        <v>102</v>
      </c>
      <c r="G104" s="20"/>
      <c r="H104" s="20" t="s">
        <v>879</v>
      </c>
      <c r="I104" s="20">
        <v>0</v>
      </c>
      <c r="J104" s="20">
        <v>16.8</v>
      </c>
      <c r="K104" s="20">
        <v>677.07</v>
      </c>
    </row>
    <row r="105" spans="1:11" x14ac:dyDescent="0.25">
      <c r="A105" s="20" t="s">
        <v>860</v>
      </c>
      <c r="B105" s="20" t="s">
        <v>861</v>
      </c>
      <c r="C105" s="20" t="s">
        <v>767</v>
      </c>
      <c r="D105" s="20" t="s">
        <v>771</v>
      </c>
      <c r="E105" s="20" t="s">
        <v>878</v>
      </c>
      <c r="F105" s="20">
        <v>103</v>
      </c>
      <c r="G105" s="20"/>
      <c r="H105" s="20" t="s">
        <v>879</v>
      </c>
      <c r="I105" s="20">
        <v>0</v>
      </c>
      <c r="J105" s="20">
        <v>5.64</v>
      </c>
      <c r="K105" s="20">
        <v>671.43</v>
      </c>
    </row>
    <row r="106" spans="1:11" x14ac:dyDescent="0.25">
      <c r="A106" s="20" t="s">
        <v>860</v>
      </c>
      <c r="B106" s="20" t="s">
        <v>861</v>
      </c>
      <c r="C106" s="20" t="s">
        <v>767</v>
      </c>
      <c r="D106" s="20" t="s">
        <v>856</v>
      </c>
      <c r="E106" s="20" t="s">
        <v>878</v>
      </c>
      <c r="F106" s="20">
        <v>107</v>
      </c>
      <c r="G106" s="20"/>
      <c r="H106" s="20" t="s">
        <v>879</v>
      </c>
      <c r="I106" s="20">
        <v>0</v>
      </c>
      <c r="J106" s="20">
        <v>9.98</v>
      </c>
      <c r="K106" s="20">
        <v>661.45</v>
      </c>
    </row>
    <row r="107" spans="1:11" x14ac:dyDescent="0.25">
      <c r="A107" s="20" t="s">
        <v>860</v>
      </c>
      <c r="B107" s="20" t="s">
        <v>861</v>
      </c>
      <c r="C107" s="20" t="s">
        <v>767</v>
      </c>
      <c r="D107" s="20" t="s">
        <v>856</v>
      </c>
      <c r="E107" s="20" t="s">
        <v>878</v>
      </c>
      <c r="F107" s="20">
        <v>109</v>
      </c>
      <c r="G107" s="20"/>
      <c r="H107" s="20" t="s">
        <v>879</v>
      </c>
      <c r="I107" s="20">
        <v>0</v>
      </c>
      <c r="J107" s="20">
        <v>3.76</v>
      </c>
      <c r="K107" s="20">
        <v>657.69</v>
      </c>
    </row>
    <row r="108" spans="1:11" x14ac:dyDescent="0.25">
      <c r="A108" s="20" t="s">
        <v>860</v>
      </c>
      <c r="B108" s="20" t="s">
        <v>861</v>
      </c>
      <c r="C108" s="20" t="s">
        <v>767</v>
      </c>
      <c r="D108" s="20" t="s">
        <v>852</v>
      </c>
      <c r="E108" s="20" t="s">
        <v>878</v>
      </c>
      <c r="F108" s="20">
        <v>111</v>
      </c>
      <c r="G108" s="20"/>
      <c r="H108" s="20" t="s">
        <v>879</v>
      </c>
      <c r="I108" s="20">
        <v>0</v>
      </c>
      <c r="J108" s="20">
        <v>5.88</v>
      </c>
      <c r="K108" s="20">
        <v>651.80999999999995</v>
      </c>
    </row>
    <row r="109" spans="1:11" x14ac:dyDescent="0.25">
      <c r="A109" s="20" t="s">
        <v>860</v>
      </c>
      <c r="B109" s="20" t="s">
        <v>861</v>
      </c>
      <c r="C109" s="20" t="s">
        <v>767</v>
      </c>
      <c r="D109" s="20" t="s">
        <v>797</v>
      </c>
      <c r="E109" s="20" t="s">
        <v>878</v>
      </c>
      <c r="F109" s="20">
        <v>125</v>
      </c>
      <c r="G109" s="20"/>
      <c r="H109" s="20" t="s">
        <v>879</v>
      </c>
      <c r="I109" s="20">
        <v>0</v>
      </c>
      <c r="J109" s="20">
        <v>18.8</v>
      </c>
      <c r="K109" s="20">
        <v>633.01</v>
      </c>
    </row>
    <row r="110" spans="1:11" x14ac:dyDescent="0.25">
      <c r="A110" s="20" t="s">
        <v>860</v>
      </c>
      <c r="B110" s="20" t="s">
        <v>861</v>
      </c>
      <c r="C110" s="20" t="s">
        <v>767</v>
      </c>
      <c r="D110" s="20" t="s">
        <v>800</v>
      </c>
      <c r="E110" s="20" t="s">
        <v>878</v>
      </c>
      <c r="F110" s="20">
        <v>134</v>
      </c>
      <c r="G110" s="20"/>
      <c r="H110" s="20" t="s">
        <v>879</v>
      </c>
      <c r="I110" s="20">
        <v>0</v>
      </c>
      <c r="J110" s="20">
        <v>5.36</v>
      </c>
      <c r="K110" s="20">
        <v>627.65</v>
      </c>
    </row>
    <row r="111" spans="1:11" x14ac:dyDescent="0.25">
      <c r="A111" s="20" t="s">
        <v>860</v>
      </c>
      <c r="B111" s="20" t="s">
        <v>861</v>
      </c>
      <c r="C111" s="20" t="s">
        <v>767</v>
      </c>
      <c r="D111" s="20" t="s">
        <v>777</v>
      </c>
      <c r="E111" s="20" t="s">
        <v>878</v>
      </c>
      <c r="F111" s="20">
        <v>150</v>
      </c>
      <c r="G111" s="20"/>
      <c r="H111" s="20" t="s">
        <v>879</v>
      </c>
      <c r="I111" s="20">
        <v>0</v>
      </c>
      <c r="J111" s="20">
        <v>7.35</v>
      </c>
      <c r="K111" s="20">
        <v>620.29999999999995</v>
      </c>
    </row>
    <row r="112" spans="1:11" x14ac:dyDescent="0.25">
      <c r="A112" s="20" t="s">
        <v>860</v>
      </c>
      <c r="B112" s="20" t="s">
        <v>861</v>
      </c>
      <c r="C112" s="20" t="s">
        <v>767</v>
      </c>
      <c r="D112" s="20" t="s">
        <v>777</v>
      </c>
      <c r="E112" s="20" t="s">
        <v>878</v>
      </c>
      <c r="F112" s="20">
        <v>152</v>
      </c>
      <c r="G112" s="20"/>
      <c r="H112" s="20" t="s">
        <v>879</v>
      </c>
      <c r="I112" s="20">
        <v>0</v>
      </c>
      <c r="J112" s="20">
        <v>5.46</v>
      </c>
      <c r="K112" s="20">
        <v>614.84</v>
      </c>
    </row>
    <row r="113" spans="1:11" x14ac:dyDescent="0.25">
      <c r="A113" s="20" t="s">
        <v>860</v>
      </c>
      <c r="B113" s="20" t="s">
        <v>861</v>
      </c>
      <c r="C113" s="20" t="s">
        <v>767</v>
      </c>
      <c r="D113" s="20" t="s">
        <v>781</v>
      </c>
      <c r="E113" s="20" t="s">
        <v>878</v>
      </c>
      <c r="F113" s="20">
        <v>183</v>
      </c>
      <c r="G113" s="20"/>
      <c r="H113" s="20" t="s">
        <v>879</v>
      </c>
      <c r="I113" s="20">
        <v>0</v>
      </c>
      <c r="J113" s="20">
        <v>2.73</v>
      </c>
      <c r="K113" s="20">
        <v>612.11</v>
      </c>
    </row>
    <row r="114" spans="1:11" x14ac:dyDescent="0.25">
      <c r="A114" s="20" t="s">
        <v>860</v>
      </c>
      <c r="B114" s="20" t="s">
        <v>861</v>
      </c>
      <c r="C114" s="20" t="s">
        <v>767</v>
      </c>
      <c r="D114" s="20" t="s">
        <v>781</v>
      </c>
      <c r="E114" s="20" t="s">
        <v>878</v>
      </c>
      <c r="F114" s="20">
        <v>185</v>
      </c>
      <c r="G114" s="20"/>
      <c r="H114" s="20" t="s">
        <v>879</v>
      </c>
      <c r="I114" s="20">
        <v>0</v>
      </c>
      <c r="J114" s="20">
        <v>2.14</v>
      </c>
      <c r="K114" s="20">
        <v>609.97</v>
      </c>
    </row>
    <row r="115" spans="1:11" x14ac:dyDescent="0.25">
      <c r="A115" s="20" t="s">
        <v>860</v>
      </c>
      <c r="B115" s="20" t="s">
        <v>861</v>
      </c>
      <c r="C115" s="20" t="s">
        <v>767</v>
      </c>
      <c r="D115" s="20" t="s">
        <v>880</v>
      </c>
      <c r="E115" s="20" t="s">
        <v>878</v>
      </c>
      <c r="F115" s="20">
        <v>191</v>
      </c>
      <c r="G115" s="20"/>
      <c r="H115" s="20" t="s">
        <v>879</v>
      </c>
      <c r="I115" s="20">
        <v>0</v>
      </c>
      <c r="J115" s="20">
        <v>13.86</v>
      </c>
      <c r="K115" s="20">
        <v>596.11</v>
      </c>
    </row>
    <row r="116" spans="1:11" x14ac:dyDescent="0.25">
      <c r="A116" s="20" t="s">
        <v>860</v>
      </c>
      <c r="B116" s="20" t="s">
        <v>861</v>
      </c>
      <c r="C116" s="20" t="s">
        <v>767</v>
      </c>
      <c r="D116" s="20" t="s">
        <v>880</v>
      </c>
      <c r="E116" s="20" t="s">
        <v>878</v>
      </c>
      <c r="F116" s="20">
        <v>192</v>
      </c>
      <c r="G116" s="20"/>
      <c r="H116" s="20" t="s">
        <v>879</v>
      </c>
      <c r="I116" s="20">
        <v>0</v>
      </c>
      <c r="J116" s="20">
        <v>5.64</v>
      </c>
      <c r="K116" s="20">
        <v>590.47</v>
      </c>
    </row>
    <row r="117" spans="1:11" x14ac:dyDescent="0.25">
      <c r="A117" s="20" t="s">
        <v>860</v>
      </c>
      <c r="B117" s="20" t="s">
        <v>861</v>
      </c>
      <c r="C117" s="20" t="s">
        <v>767</v>
      </c>
      <c r="D117" s="20" t="s">
        <v>785</v>
      </c>
      <c r="E117" s="20" t="s">
        <v>878</v>
      </c>
      <c r="F117" s="20">
        <v>226</v>
      </c>
      <c r="G117" s="20"/>
      <c r="H117" s="20" t="s">
        <v>879</v>
      </c>
      <c r="I117" s="20">
        <v>0</v>
      </c>
      <c r="J117" s="20">
        <v>3.15</v>
      </c>
      <c r="K117" s="20">
        <v>587.32000000000005</v>
      </c>
    </row>
    <row r="118" spans="1:11" x14ac:dyDescent="0.25">
      <c r="A118" s="20" t="s">
        <v>860</v>
      </c>
      <c r="B118" s="20" t="s">
        <v>861</v>
      </c>
      <c r="C118" s="20" t="s">
        <v>767</v>
      </c>
      <c r="D118" s="20" t="s">
        <v>785</v>
      </c>
      <c r="E118" s="20" t="s">
        <v>878</v>
      </c>
      <c r="F118" s="20">
        <v>227</v>
      </c>
      <c r="G118" s="20"/>
      <c r="H118" s="20" t="s">
        <v>879</v>
      </c>
      <c r="I118" s="20">
        <v>0</v>
      </c>
      <c r="J118" s="20">
        <v>3.76</v>
      </c>
      <c r="K118" s="20">
        <v>583.55999999999995</v>
      </c>
    </row>
    <row r="119" spans="1:11" x14ac:dyDescent="0.25">
      <c r="A119" s="20" t="s">
        <v>860</v>
      </c>
      <c r="B119" s="20" t="s">
        <v>861</v>
      </c>
      <c r="C119" s="20" t="s">
        <v>767</v>
      </c>
      <c r="D119" s="20" t="s">
        <v>811</v>
      </c>
      <c r="E119" s="20" t="s">
        <v>878</v>
      </c>
      <c r="F119" s="20">
        <v>235</v>
      </c>
      <c r="G119" s="20"/>
      <c r="H119" s="20" t="s">
        <v>879</v>
      </c>
      <c r="I119" s="20">
        <v>0</v>
      </c>
      <c r="J119" s="20">
        <v>4.7300000000000004</v>
      </c>
      <c r="K119" s="20">
        <v>578.83000000000004</v>
      </c>
    </row>
    <row r="120" spans="1:11" x14ac:dyDescent="0.25">
      <c r="A120" s="20" t="s">
        <v>860</v>
      </c>
      <c r="B120" s="20" t="s">
        <v>861</v>
      </c>
      <c r="C120" s="20" t="s">
        <v>767</v>
      </c>
      <c r="D120" s="20" t="s">
        <v>811</v>
      </c>
      <c r="E120" s="20" t="s">
        <v>878</v>
      </c>
      <c r="F120" s="20">
        <v>236</v>
      </c>
      <c r="G120" s="20"/>
      <c r="H120" s="20" t="s">
        <v>879</v>
      </c>
      <c r="I120" s="20">
        <v>0</v>
      </c>
      <c r="J120" s="20">
        <v>11.76</v>
      </c>
      <c r="K120" s="20">
        <v>567.07000000000005</v>
      </c>
    </row>
    <row r="121" spans="1:11" x14ac:dyDescent="0.25">
      <c r="A121" s="20" t="s">
        <v>860</v>
      </c>
      <c r="B121" s="20" t="s">
        <v>861</v>
      </c>
      <c r="C121" s="20" t="s">
        <v>767</v>
      </c>
      <c r="D121" s="20" t="s">
        <v>811</v>
      </c>
      <c r="E121" s="20" t="s">
        <v>878</v>
      </c>
      <c r="F121" s="20">
        <v>237</v>
      </c>
      <c r="G121" s="20"/>
      <c r="H121" s="20" t="s">
        <v>879</v>
      </c>
      <c r="I121" s="20">
        <v>0</v>
      </c>
      <c r="J121" s="20">
        <v>3.76</v>
      </c>
      <c r="K121" s="20">
        <v>563.30999999999995</v>
      </c>
    </row>
    <row r="122" spans="1:11" x14ac:dyDescent="0.25">
      <c r="A122" s="20" t="s">
        <v>860</v>
      </c>
      <c r="B122" s="20" t="s">
        <v>861</v>
      </c>
      <c r="C122" s="20" t="s">
        <v>767</v>
      </c>
      <c r="D122" s="20" t="s">
        <v>768</v>
      </c>
      <c r="E122" s="20" t="s">
        <v>878</v>
      </c>
      <c r="F122" s="20">
        <v>266</v>
      </c>
      <c r="G122" s="20"/>
      <c r="H122" s="20" t="s">
        <v>879</v>
      </c>
      <c r="I122" s="20">
        <v>0</v>
      </c>
      <c r="J122" s="20">
        <v>15.12</v>
      </c>
      <c r="K122" s="20">
        <v>548.19000000000005</v>
      </c>
    </row>
    <row r="123" spans="1:11" x14ac:dyDescent="0.25">
      <c r="A123" s="20" t="s">
        <v>860</v>
      </c>
      <c r="B123" s="20" t="s">
        <v>861</v>
      </c>
      <c r="C123" s="20" t="s">
        <v>767</v>
      </c>
      <c r="D123" s="20" t="s">
        <v>768</v>
      </c>
      <c r="E123" s="20" t="s">
        <v>878</v>
      </c>
      <c r="F123" s="20">
        <v>267</v>
      </c>
      <c r="G123" s="20"/>
      <c r="H123" s="20" t="s">
        <v>879</v>
      </c>
      <c r="I123" s="20">
        <v>0</v>
      </c>
      <c r="J123" s="20">
        <v>7.52</v>
      </c>
      <c r="K123" s="20">
        <v>540.66999999999996</v>
      </c>
    </row>
    <row r="124" spans="1:11" x14ac:dyDescent="0.25">
      <c r="A124" s="20" t="s">
        <v>860</v>
      </c>
      <c r="B124" s="20" t="s">
        <v>861</v>
      </c>
      <c r="C124" s="20" t="s">
        <v>767</v>
      </c>
      <c r="D124" s="20" t="s">
        <v>817</v>
      </c>
      <c r="E124" s="20" t="s">
        <v>878</v>
      </c>
      <c r="F124" s="20">
        <v>283</v>
      </c>
      <c r="G124" s="20"/>
      <c r="H124" s="20" t="s">
        <v>879</v>
      </c>
      <c r="I124" s="20">
        <v>0</v>
      </c>
      <c r="J124" s="20">
        <v>14.91</v>
      </c>
      <c r="K124" s="20">
        <v>525.76</v>
      </c>
    </row>
    <row r="125" spans="1:11" x14ac:dyDescent="0.25">
      <c r="A125" s="20" t="s">
        <v>860</v>
      </c>
      <c r="B125" s="20" t="s">
        <v>861</v>
      </c>
      <c r="C125" s="20" t="s">
        <v>767</v>
      </c>
      <c r="D125" s="20" t="s">
        <v>817</v>
      </c>
      <c r="E125" s="20" t="s">
        <v>878</v>
      </c>
      <c r="F125" s="20">
        <v>285</v>
      </c>
      <c r="G125" s="20"/>
      <c r="H125" s="20" t="s">
        <v>879</v>
      </c>
      <c r="I125" s="20">
        <v>0</v>
      </c>
      <c r="J125" s="20">
        <v>1.88</v>
      </c>
      <c r="K125" s="20">
        <v>523.88</v>
      </c>
    </row>
    <row r="126" spans="1:11" x14ac:dyDescent="0.25">
      <c r="A126" s="20" t="s">
        <v>860</v>
      </c>
      <c r="B126" s="20" t="s">
        <v>861</v>
      </c>
      <c r="C126" s="20" t="s">
        <v>767</v>
      </c>
      <c r="D126" s="20" t="s">
        <v>788</v>
      </c>
      <c r="E126" s="20" t="s">
        <v>878</v>
      </c>
      <c r="F126" s="20">
        <v>298</v>
      </c>
      <c r="G126" s="20"/>
      <c r="H126" s="20" t="s">
        <v>879</v>
      </c>
      <c r="I126" s="20">
        <v>0</v>
      </c>
      <c r="J126" s="20">
        <v>10.51</v>
      </c>
      <c r="K126" s="20">
        <v>513.37</v>
      </c>
    </row>
    <row r="127" spans="1:11" x14ac:dyDescent="0.25">
      <c r="A127" s="20" t="s">
        <v>860</v>
      </c>
      <c r="B127" s="20" t="s">
        <v>861</v>
      </c>
      <c r="C127" s="20" t="s">
        <v>767</v>
      </c>
      <c r="D127" s="20" t="s">
        <v>822</v>
      </c>
      <c r="E127" s="20" t="s">
        <v>878</v>
      </c>
      <c r="F127" s="20">
        <v>304</v>
      </c>
      <c r="G127" s="20"/>
      <c r="H127" s="20" t="s">
        <v>879</v>
      </c>
      <c r="I127" s="20">
        <v>0</v>
      </c>
      <c r="J127" s="20">
        <v>2.31</v>
      </c>
      <c r="K127" s="20">
        <v>511.06</v>
      </c>
    </row>
    <row r="128" spans="1:11" x14ac:dyDescent="0.25">
      <c r="A128" s="20" t="s">
        <v>860</v>
      </c>
      <c r="B128" s="20" t="s">
        <v>861</v>
      </c>
      <c r="C128" s="20" t="s">
        <v>767</v>
      </c>
      <c r="D128" s="20" t="s">
        <v>881</v>
      </c>
      <c r="E128" s="20" t="s">
        <v>878</v>
      </c>
      <c r="F128" s="20">
        <v>336</v>
      </c>
      <c r="G128" s="20"/>
      <c r="H128" s="20" t="s">
        <v>879</v>
      </c>
      <c r="I128" s="20">
        <v>0</v>
      </c>
      <c r="J128" s="20">
        <v>3.36</v>
      </c>
      <c r="K128" s="20">
        <v>507.7</v>
      </c>
    </row>
    <row r="129" spans="1:11" x14ac:dyDescent="0.25">
      <c r="A129" s="20" t="s">
        <v>860</v>
      </c>
      <c r="B129" s="20" t="s">
        <v>861</v>
      </c>
      <c r="C129" s="20" t="s">
        <v>767</v>
      </c>
      <c r="D129" s="20" t="s">
        <v>881</v>
      </c>
      <c r="E129" s="20" t="s">
        <v>878</v>
      </c>
      <c r="F129" s="20">
        <v>337</v>
      </c>
      <c r="G129" s="20"/>
      <c r="H129" s="20" t="s">
        <v>879</v>
      </c>
      <c r="I129" s="20">
        <v>0</v>
      </c>
      <c r="J129" s="20">
        <v>5.64</v>
      </c>
      <c r="K129" s="20">
        <v>502.06</v>
      </c>
    </row>
    <row r="130" spans="1:11" x14ac:dyDescent="0.25">
      <c r="A130" s="20" t="s">
        <v>860</v>
      </c>
      <c r="B130" s="20" t="s">
        <v>861</v>
      </c>
      <c r="C130" s="20" t="s">
        <v>767</v>
      </c>
      <c r="D130" s="20" t="s">
        <v>882</v>
      </c>
      <c r="E130" s="20" t="s">
        <v>878</v>
      </c>
      <c r="F130" s="20">
        <v>343</v>
      </c>
      <c r="G130" s="20"/>
      <c r="H130" s="20" t="s">
        <v>879</v>
      </c>
      <c r="I130" s="20">
        <v>0</v>
      </c>
      <c r="J130" s="20">
        <v>8.51</v>
      </c>
      <c r="K130" s="20">
        <v>493.55</v>
      </c>
    </row>
    <row r="131" spans="1:11" x14ac:dyDescent="0.25">
      <c r="A131" s="20" t="s">
        <v>860</v>
      </c>
      <c r="B131" s="20" t="s">
        <v>861</v>
      </c>
      <c r="C131" s="20" t="s">
        <v>767</v>
      </c>
      <c r="D131" s="20" t="s">
        <v>882</v>
      </c>
      <c r="E131" s="20" t="s">
        <v>878</v>
      </c>
      <c r="F131" s="20">
        <v>344</v>
      </c>
      <c r="G131" s="20"/>
      <c r="H131" s="20" t="s">
        <v>879</v>
      </c>
      <c r="I131" s="20">
        <v>0</v>
      </c>
      <c r="J131" s="20">
        <v>1.88</v>
      </c>
      <c r="K131" s="20">
        <v>491.67</v>
      </c>
    </row>
    <row r="132" spans="1:11" x14ac:dyDescent="0.25">
      <c r="A132" s="20" t="s">
        <v>860</v>
      </c>
      <c r="B132" s="20" t="s">
        <v>861</v>
      </c>
      <c r="C132" s="20" t="s">
        <v>767</v>
      </c>
      <c r="D132" s="20" t="s">
        <v>859</v>
      </c>
      <c r="E132" s="20" t="s">
        <v>878</v>
      </c>
      <c r="F132" s="20">
        <v>348</v>
      </c>
      <c r="G132" s="20"/>
      <c r="H132" s="20" t="s">
        <v>879</v>
      </c>
      <c r="I132" s="20">
        <v>0</v>
      </c>
      <c r="J132" s="20">
        <v>2.63</v>
      </c>
      <c r="K132" s="20">
        <v>489.04</v>
      </c>
    </row>
    <row r="133" spans="1:11" x14ac:dyDescent="0.25">
      <c r="A133" s="20" t="s">
        <v>860</v>
      </c>
      <c r="B133" s="20" t="s">
        <v>861</v>
      </c>
      <c r="C133" s="20" t="s">
        <v>767</v>
      </c>
      <c r="D133" s="20" t="s">
        <v>859</v>
      </c>
      <c r="E133" s="20" t="s">
        <v>878</v>
      </c>
      <c r="F133" s="20">
        <v>349</v>
      </c>
      <c r="G133" s="20"/>
      <c r="H133" s="20" t="s">
        <v>879</v>
      </c>
      <c r="I133" s="20">
        <v>0</v>
      </c>
      <c r="J133" s="20">
        <v>14.5</v>
      </c>
      <c r="K133" s="20">
        <v>474.54</v>
      </c>
    </row>
    <row r="134" spans="1:11" x14ac:dyDescent="0.25">
      <c r="A134" s="20" t="s">
        <v>860</v>
      </c>
      <c r="B134" s="20" t="s">
        <v>861</v>
      </c>
      <c r="C134" s="20" t="s">
        <v>767</v>
      </c>
      <c r="D134" s="20" t="s">
        <v>859</v>
      </c>
      <c r="E134" s="20" t="s">
        <v>878</v>
      </c>
      <c r="F134" s="20">
        <v>351</v>
      </c>
      <c r="G134" s="20"/>
      <c r="H134" s="20" t="s">
        <v>879</v>
      </c>
      <c r="I134" s="20">
        <v>0</v>
      </c>
      <c r="J134" s="20">
        <v>1.88</v>
      </c>
      <c r="K134" s="20">
        <v>472.66</v>
      </c>
    </row>
    <row r="135" spans="1:11" x14ac:dyDescent="0.25">
      <c r="A135" s="20" t="s">
        <v>860</v>
      </c>
      <c r="B135" s="20" t="s">
        <v>861</v>
      </c>
      <c r="C135" s="20" t="s">
        <v>767</v>
      </c>
      <c r="D135" s="20" t="s">
        <v>824</v>
      </c>
      <c r="E135" s="20" t="s">
        <v>878</v>
      </c>
      <c r="F135" s="20">
        <v>387</v>
      </c>
      <c r="G135" s="20"/>
      <c r="H135" s="20" t="s">
        <v>879</v>
      </c>
      <c r="I135" s="20">
        <v>0</v>
      </c>
      <c r="J135" s="20">
        <v>8.1999999999999993</v>
      </c>
      <c r="K135" s="20">
        <v>464.46</v>
      </c>
    </row>
    <row r="136" spans="1:11" x14ac:dyDescent="0.25">
      <c r="A136" s="20" t="s">
        <v>860</v>
      </c>
      <c r="B136" s="20" t="s">
        <v>861</v>
      </c>
      <c r="C136" s="20" t="s">
        <v>767</v>
      </c>
      <c r="D136" s="20" t="s">
        <v>824</v>
      </c>
      <c r="E136" s="20" t="s">
        <v>878</v>
      </c>
      <c r="F136" s="20">
        <v>388</v>
      </c>
      <c r="G136" s="20"/>
      <c r="H136" s="20" t="s">
        <v>879</v>
      </c>
      <c r="I136" s="20">
        <v>0</v>
      </c>
      <c r="J136" s="20">
        <v>6.3</v>
      </c>
      <c r="K136" s="20">
        <v>458.16</v>
      </c>
    </row>
    <row r="137" spans="1:11" x14ac:dyDescent="0.25">
      <c r="A137" s="20" t="s">
        <v>860</v>
      </c>
      <c r="B137" s="20" t="s">
        <v>861</v>
      </c>
      <c r="C137" s="20" t="s">
        <v>767</v>
      </c>
      <c r="D137" s="20" t="s">
        <v>829</v>
      </c>
      <c r="E137" s="20" t="s">
        <v>878</v>
      </c>
      <c r="F137" s="20">
        <v>394</v>
      </c>
      <c r="G137" s="20"/>
      <c r="H137" s="20" t="s">
        <v>879</v>
      </c>
      <c r="I137" s="20">
        <v>0</v>
      </c>
      <c r="J137" s="20">
        <v>10.82</v>
      </c>
      <c r="K137" s="20">
        <v>447.34</v>
      </c>
    </row>
    <row r="138" spans="1:11" x14ac:dyDescent="0.25">
      <c r="A138" s="20" t="s">
        <v>860</v>
      </c>
      <c r="B138" s="20" t="s">
        <v>861</v>
      </c>
      <c r="C138" s="20" t="s">
        <v>767</v>
      </c>
      <c r="D138" s="20" t="s">
        <v>793</v>
      </c>
      <c r="E138" s="20" t="s">
        <v>878</v>
      </c>
      <c r="F138" s="20">
        <v>399</v>
      </c>
      <c r="G138" s="20"/>
      <c r="H138" s="20" t="s">
        <v>879</v>
      </c>
      <c r="I138" s="20">
        <v>0</v>
      </c>
      <c r="J138" s="20">
        <v>1.05</v>
      </c>
      <c r="K138" s="20">
        <v>446.29</v>
      </c>
    </row>
    <row r="139" spans="1:11" x14ac:dyDescent="0.25">
      <c r="A139" s="20" t="s">
        <v>860</v>
      </c>
      <c r="B139" s="20" t="s">
        <v>861</v>
      </c>
      <c r="C139" s="20" t="s">
        <v>767</v>
      </c>
      <c r="D139" s="20" t="s">
        <v>795</v>
      </c>
      <c r="E139" s="20" t="s">
        <v>878</v>
      </c>
      <c r="F139" s="20">
        <v>57</v>
      </c>
      <c r="G139" s="20"/>
      <c r="H139" s="20" t="s">
        <v>879</v>
      </c>
      <c r="I139" s="20">
        <v>0</v>
      </c>
      <c r="J139" s="20">
        <v>2.42</v>
      </c>
      <c r="K139" s="20">
        <v>443.87</v>
      </c>
    </row>
    <row r="140" spans="1:11" x14ac:dyDescent="0.25">
      <c r="A140" s="20" t="s">
        <v>860</v>
      </c>
      <c r="B140" s="20" t="s">
        <v>861</v>
      </c>
      <c r="C140" s="20" t="s">
        <v>767</v>
      </c>
      <c r="D140" s="20" t="s">
        <v>795</v>
      </c>
      <c r="E140" s="20" t="s">
        <v>878</v>
      </c>
      <c r="F140" s="20">
        <v>59</v>
      </c>
      <c r="G140" s="20"/>
      <c r="H140" s="20" t="s">
        <v>879</v>
      </c>
      <c r="I140" s="20">
        <v>0</v>
      </c>
      <c r="J140" s="20">
        <v>11.29</v>
      </c>
      <c r="K140" s="20">
        <v>432.58</v>
      </c>
    </row>
    <row r="141" spans="1:11" x14ac:dyDescent="0.25">
      <c r="A141" s="20" t="s">
        <v>860</v>
      </c>
      <c r="B141" s="20" t="s">
        <v>861</v>
      </c>
      <c r="C141" s="20" t="s">
        <v>767</v>
      </c>
      <c r="D141" s="20" t="s">
        <v>795</v>
      </c>
      <c r="E141" s="20" t="s">
        <v>878</v>
      </c>
      <c r="F141" s="20">
        <v>60</v>
      </c>
      <c r="G141" s="20"/>
      <c r="H141" s="20" t="s">
        <v>879</v>
      </c>
      <c r="I141" s="20">
        <v>0</v>
      </c>
      <c r="J141" s="20">
        <v>5.64</v>
      </c>
      <c r="K141" s="20">
        <v>426.94</v>
      </c>
    </row>
    <row r="142" spans="1:11" x14ac:dyDescent="0.25">
      <c r="A142" s="20" t="s">
        <v>860</v>
      </c>
      <c r="B142" s="20" t="s">
        <v>861</v>
      </c>
      <c r="C142" s="20" t="s">
        <v>767</v>
      </c>
      <c r="D142" s="20" t="s">
        <v>841</v>
      </c>
      <c r="E142" s="20" t="s">
        <v>878</v>
      </c>
      <c r="F142" s="20">
        <v>67</v>
      </c>
      <c r="G142" s="20"/>
      <c r="H142" s="20" t="s">
        <v>879</v>
      </c>
      <c r="I142" s="20">
        <v>0</v>
      </c>
      <c r="J142" s="20">
        <v>2.74</v>
      </c>
      <c r="K142" s="20">
        <v>424.2</v>
      </c>
    </row>
    <row r="143" spans="1:11" x14ac:dyDescent="0.25">
      <c r="A143" s="20" t="s">
        <v>860</v>
      </c>
      <c r="B143" s="20" t="s">
        <v>861</v>
      </c>
      <c r="C143" s="20" t="s">
        <v>767</v>
      </c>
      <c r="D143" s="20" t="s">
        <v>841</v>
      </c>
      <c r="E143" s="20" t="s">
        <v>878</v>
      </c>
      <c r="F143" s="20">
        <v>68</v>
      </c>
      <c r="G143" s="20"/>
      <c r="H143" s="20" t="s">
        <v>879</v>
      </c>
      <c r="I143" s="20">
        <v>0</v>
      </c>
      <c r="J143" s="20">
        <v>18.07</v>
      </c>
      <c r="K143" s="20">
        <v>406.13</v>
      </c>
    </row>
    <row r="144" spans="1:11" x14ac:dyDescent="0.25">
      <c r="A144" s="20" t="s">
        <v>860</v>
      </c>
      <c r="B144" s="20" t="s">
        <v>861</v>
      </c>
      <c r="C144" s="20" t="s">
        <v>767</v>
      </c>
      <c r="D144" s="20" t="s">
        <v>841</v>
      </c>
      <c r="E144" s="20" t="s">
        <v>878</v>
      </c>
      <c r="F144" s="20">
        <v>70</v>
      </c>
      <c r="G144" s="20"/>
      <c r="H144" s="20" t="s">
        <v>879</v>
      </c>
      <c r="I144" s="20">
        <v>0</v>
      </c>
      <c r="J144" s="20">
        <v>1.88</v>
      </c>
      <c r="K144" s="20">
        <v>404.25</v>
      </c>
    </row>
    <row r="145" spans="1:11" x14ac:dyDescent="0.25">
      <c r="A145" s="20" t="s">
        <v>860</v>
      </c>
      <c r="B145" s="20" t="s">
        <v>861</v>
      </c>
      <c r="C145" s="20" t="s">
        <v>767</v>
      </c>
      <c r="D145" s="20" t="s">
        <v>845</v>
      </c>
      <c r="E145" s="20" t="s">
        <v>878</v>
      </c>
      <c r="F145" s="20">
        <v>77</v>
      </c>
      <c r="G145" s="20"/>
      <c r="H145" s="20" t="s">
        <v>879</v>
      </c>
      <c r="I145" s="20">
        <v>0</v>
      </c>
      <c r="J145" s="20">
        <v>8.82</v>
      </c>
      <c r="K145" s="20">
        <v>395.43</v>
      </c>
    </row>
    <row r="146" spans="1:11" x14ac:dyDescent="0.25">
      <c r="A146" s="20" t="s">
        <v>860</v>
      </c>
      <c r="B146" s="20" t="s">
        <v>861</v>
      </c>
      <c r="C146" s="20" t="s">
        <v>767</v>
      </c>
      <c r="D146" s="20" t="s">
        <v>845</v>
      </c>
      <c r="E146" s="20" t="s">
        <v>878</v>
      </c>
      <c r="F146" s="20">
        <v>79</v>
      </c>
      <c r="G146" s="20"/>
      <c r="H146" s="20" t="s">
        <v>879</v>
      </c>
      <c r="I146" s="20">
        <v>0</v>
      </c>
      <c r="J146" s="20">
        <v>7.84</v>
      </c>
      <c r="K146" s="20">
        <v>387.59</v>
      </c>
    </row>
    <row r="147" spans="1:11" x14ac:dyDescent="0.25">
      <c r="A147" s="20" t="s">
        <v>883</v>
      </c>
      <c r="B147" s="20" t="s">
        <v>884</v>
      </c>
      <c r="C147" s="20" t="s">
        <v>767</v>
      </c>
      <c r="D147" s="20" t="s">
        <v>771</v>
      </c>
      <c r="E147" s="20" t="s">
        <v>772</v>
      </c>
      <c r="F147" s="20">
        <v>113</v>
      </c>
      <c r="G147" s="20">
        <v>77</v>
      </c>
      <c r="H147" s="20" t="s">
        <v>885</v>
      </c>
      <c r="I147" s="20">
        <v>0</v>
      </c>
      <c r="J147" s="20">
        <v>270</v>
      </c>
      <c r="K147" s="20">
        <v>113.33</v>
      </c>
    </row>
    <row r="148" spans="1:11" x14ac:dyDescent="0.25">
      <c r="A148" s="20" t="s">
        <v>883</v>
      </c>
      <c r="B148" s="20" t="s">
        <v>884</v>
      </c>
      <c r="C148" s="20" t="s">
        <v>767</v>
      </c>
      <c r="D148" s="20" t="s">
        <v>771</v>
      </c>
      <c r="E148" s="20" t="s">
        <v>772</v>
      </c>
      <c r="F148" s="20">
        <v>113</v>
      </c>
      <c r="G148" s="20">
        <v>2</v>
      </c>
      <c r="H148" s="20" t="s">
        <v>886</v>
      </c>
      <c r="I148" s="20">
        <v>0</v>
      </c>
      <c r="J148" s="20">
        <v>30</v>
      </c>
      <c r="K148" s="20">
        <v>83.33</v>
      </c>
    </row>
    <row r="149" spans="1:11" x14ac:dyDescent="0.25">
      <c r="A149" s="20" t="s">
        <v>883</v>
      </c>
      <c r="B149" s="20" t="s">
        <v>884</v>
      </c>
      <c r="C149" s="20" t="s">
        <v>767</v>
      </c>
      <c r="D149" s="20" t="s">
        <v>841</v>
      </c>
      <c r="E149" s="20" t="s">
        <v>772</v>
      </c>
      <c r="F149" s="20">
        <v>71</v>
      </c>
      <c r="G149" s="20">
        <v>1555</v>
      </c>
      <c r="H149" s="20" t="s">
        <v>887</v>
      </c>
      <c r="I149" s="20">
        <v>0</v>
      </c>
      <c r="J149" s="20">
        <v>83.33</v>
      </c>
      <c r="K149" s="20">
        <v>0</v>
      </c>
    </row>
    <row r="150" spans="1:11" x14ac:dyDescent="0.25">
      <c r="A150" s="20" t="s">
        <v>888</v>
      </c>
      <c r="B150" s="20" t="s">
        <v>889</v>
      </c>
      <c r="C150" s="20" t="s">
        <v>767</v>
      </c>
      <c r="D150" s="20" t="s">
        <v>817</v>
      </c>
      <c r="E150" s="20" t="s">
        <v>772</v>
      </c>
      <c r="F150" s="20">
        <v>286</v>
      </c>
      <c r="G150" s="20">
        <v>627</v>
      </c>
      <c r="H150" s="20" t="s">
        <v>891</v>
      </c>
      <c r="I150" s="20">
        <v>0</v>
      </c>
      <c r="J150" s="20">
        <v>2.0099999999999998</v>
      </c>
      <c r="K150" s="20">
        <v>7.25</v>
      </c>
    </row>
    <row r="151" spans="1:11" x14ac:dyDescent="0.25">
      <c r="A151" s="20" t="s">
        <v>888</v>
      </c>
      <c r="B151" s="20" t="s">
        <v>889</v>
      </c>
      <c r="C151" s="20" t="s">
        <v>767</v>
      </c>
      <c r="D151" s="20" t="s">
        <v>785</v>
      </c>
      <c r="E151" s="20" t="s">
        <v>798</v>
      </c>
      <c r="F151" s="20">
        <v>222</v>
      </c>
      <c r="G151" s="20">
        <v>2</v>
      </c>
      <c r="H151" s="20" t="s">
        <v>808</v>
      </c>
      <c r="I151" s="20">
        <v>0</v>
      </c>
      <c r="J151" s="20">
        <v>1.22</v>
      </c>
      <c r="K151" s="20">
        <v>6.03</v>
      </c>
    </row>
    <row r="152" spans="1:11" x14ac:dyDescent="0.25">
      <c r="A152" s="20" t="s">
        <v>888</v>
      </c>
      <c r="B152" s="20" t="s">
        <v>889</v>
      </c>
      <c r="C152" s="20" t="s">
        <v>767</v>
      </c>
      <c r="D152" s="20" t="s">
        <v>771</v>
      </c>
      <c r="E152" s="20" t="s">
        <v>878</v>
      </c>
      <c r="F152" s="20">
        <v>102</v>
      </c>
      <c r="G152" s="20"/>
      <c r="H152" s="20" t="s">
        <v>879</v>
      </c>
      <c r="I152" s="20">
        <v>0</v>
      </c>
      <c r="J152" s="20">
        <v>1</v>
      </c>
      <c r="K152" s="20">
        <v>5.03</v>
      </c>
    </row>
    <row r="153" spans="1:11" x14ac:dyDescent="0.25">
      <c r="A153" s="20" t="s">
        <v>888</v>
      </c>
      <c r="B153" s="20" t="s">
        <v>889</v>
      </c>
      <c r="C153" s="20" t="s">
        <v>767</v>
      </c>
      <c r="D153" s="20" t="s">
        <v>856</v>
      </c>
      <c r="E153" s="20" t="s">
        <v>878</v>
      </c>
      <c r="F153" s="20">
        <v>107</v>
      </c>
      <c r="G153" s="20"/>
      <c r="H153" s="20" t="s">
        <v>879</v>
      </c>
      <c r="I153" s="20">
        <v>0</v>
      </c>
      <c r="J153" s="20">
        <v>0.59</v>
      </c>
      <c r="K153" s="20">
        <v>4.4400000000000004</v>
      </c>
    </row>
    <row r="154" spans="1:11" x14ac:dyDescent="0.25">
      <c r="A154" s="20" t="s">
        <v>888</v>
      </c>
      <c r="B154" s="20" t="s">
        <v>889</v>
      </c>
      <c r="C154" s="20" t="s">
        <v>767</v>
      </c>
      <c r="D154" s="20" t="s">
        <v>852</v>
      </c>
      <c r="E154" s="20" t="s">
        <v>878</v>
      </c>
      <c r="F154" s="20">
        <v>111</v>
      </c>
      <c r="G154" s="20"/>
      <c r="H154" s="20" t="s">
        <v>879</v>
      </c>
      <c r="I154" s="20">
        <v>0</v>
      </c>
      <c r="J154" s="20">
        <v>0.4</v>
      </c>
      <c r="K154" s="20">
        <v>4.04</v>
      </c>
    </row>
    <row r="155" spans="1:11" x14ac:dyDescent="0.25">
      <c r="A155" s="20" t="s">
        <v>888</v>
      </c>
      <c r="B155" s="20" t="s">
        <v>889</v>
      </c>
      <c r="C155" s="20" t="s">
        <v>767</v>
      </c>
      <c r="D155" s="20" t="s">
        <v>797</v>
      </c>
      <c r="E155" s="20" t="s">
        <v>878</v>
      </c>
      <c r="F155" s="20">
        <v>125</v>
      </c>
      <c r="G155" s="20"/>
      <c r="H155" s="20" t="s">
        <v>879</v>
      </c>
      <c r="I155" s="20">
        <v>0</v>
      </c>
      <c r="J155" s="20">
        <v>1.25</v>
      </c>
      <c r="K155" s="20">
        <v>2.79</v>
      </c>
    </row>
    <row r="156" spans="1:11" x14ac:dyDescent="0.25">
      <c r="A156" s="20" t="s">
        <v>888</v>
      </c>
      <c r="B156" s="20" t="s">
        <v>889</v>
      </c>
      <c r="C156" s="20" t="s">
        <v>767</v>
      </c>
      <c r="D156" s="20" t="s">
        <v>800</v>
      </c>
      <c r="E156" s="20" t="s">
        <v>878</v>
      </c>
      <c r="F156" s="20">
        <v>134</v>
      </c>
      <c r="G156" s="20"/>
      <c r="H156" s="20" t="s">
        <v>879</v>
      </c>
      <c r="I156" s="20">
        <v>0</v>
      </c>
      <c r="J156" s="20">
        <v>0.35</v>
      </c>
      <c r="K156" s="20">
        <v>2.44</v>
      </c>
    </row>
    <row r="157" spans="1:11" x14ac:dyDescent="0.25">
      <c r="A157" s="20" t="s">
        <v>888</v>
      </c>
      <c r="B157" s="20" t="s">
        <v>889</v>
      </c>
      <c r="C157" s="20" t="s">
        <v>767</v>
      </c>
      <c r="D157" s="20" t="s">
        <v>777</v>
      </c>
      <c r="E157" s="20" t="s">
        <v>878</v>
      </c>
      <c r="F157" s="20">
        <v>152</v>
      </c>
      <c r="G157" s="20"/>
      <c r="H157" s="20" t="s">
        <v>879</v>
      </c>
      <c r="I157" s="20">
        <v>0</v>
      </c>
      <c r="J157" s="20">
        <v>0.3</v>
      </c>
      <c r="K157" s="20">
        <v>2.14</v>
      </c>
    </row>
    <row r="158" spans="1:11" x14ac:dyDescent="0.25">
      <c r="A158" s="20" t="s">
        <v>888</v>
      </c>
      <c r="B158" s="20" t="s">
        <v>889</v>
      </c>
      <c r="C158" s="20" t="s">
        <v>767</v>
      </c>
      <c r="D158" s="20" t="s">
        <v>880</v>
      </c>
      <c r="E158" s="20" t="s">
        <v>878</v>
      </c>
      <c r="F158" s="20">
        <v>191</v>
      </c>
      <c r="G158" s="20"/>
      <c r="H158" s="20" t="s">
        <v>879</v>
      </c>
      <c r="I158" s="20">
        <v>0</v>
      </c>
      <c r="J158" s="20">
        <v>0.9</v>
      </c>
      <c r="K158" s="20">
        <v>1.24</v>
      </c>
    </row>
    <row r="159" spans="1:11" x14ac:dyDescent="0.25">
      <c r="A159" s="20" t="s">
        <v>888</v>
      </c>
      <c r="B159" s="20" t="s">
        <v>889</v>
      </c>
      <c r="C159" s="20" t="s">
        <v>767</v>
      </c>
      <c r="D159" s="20" t="s">
        <v>811</v>
      </c>
      <c r="E159" s="20" t="s">
        <v>878</v>
      </c>
      <c r="F159" s="20">
        <v>236</v>
      </c>
      <c r="G159" s="20"/>
      <c r="H159" s="20" t="s">
        <v>879</v>
      </c>
      <c r="I159" s="20">
        <v>0</v>
      </c>
      <c r="J159" s="20">
        <v>0.8</v>
      </c>
      <c r="K159" s="20">
        <v>0.44</v>
      </c>
    </row>
    <row r="160" spans="1:11" x14ac:dyDescent="0.25">
      <c r="A160" s="20" t="s">
        <v>888</v>
      </c>
      <c r="B160" s="20" t="s">
        <v>889</v>
      </c>
      <c r="C160" s="20" t="s">
        <v>767</v>
      </c>
      <c r="D160" s="20" t="s">
        <v>768</v>
      </c>
      <c r="E160" s="20" t="s">
        <v>878</v>
      </c>
      <c r="F160" s="20">
        <v>266</v>
      </c>
      <c r="G160" s="20"/>
      <c r="H160" s="20" t="s">
        <v>879</v>
      </c>
      <c r="I160" s="20">
        <v>0</v>
      </c>
      <c r="J160" s="20">
        <v>1.24</v>
      </c>
      <c r="K160" s="20">
        <v>-0.8</v>
      </c>
    </row>
    <row r="161" spans="1:11" x14ac:dyDescent="0.25">
      <c r="A161" s="20" t="s">
        <v>888</v>
      </c>
      <c r="B161" s="20" t="s">
        <v>889</v>
      </c>
      <c r="C161" s="20" t="s">
        <v>767</v>
      </c>
      <c r="D161" s="20" t="s">
        <v>817</v>
      </c>
      <c r="E161" s="20" t="s">
        <v>878</v>
      </c>
      <c r="F161" s="20">
        <v>283</v>
      </c>
      <c r="G161" s="20"/>
      <c r="H161" s="20" t="s">
        <v>879</v>
      </c>
      <c r="I161" s="20">
        <v>0</v>
      </c>
      <c r="J161" s="20">
        <v>0.88</v>
      </c>
      <c r="K161" s="20">
        <v>-1.68</v>
      </c>
    </row>
    <row r="162" spans="1:11" x14ac:dyDescent="0.25">
      <c r="A162" s="20" t="s">
        <v>888</v>
      </c>
      <c r="B162" s="20" t="s">
        <v>889</v>
      </c>
      <c r="C162" s="20" t="s">
        <v>767</v>
      </c>
      <c r="D162" s="20" t="s">
        <v>788</v>
      </c>
      <c r="E162" s="20" t="s">
        <v>878</v>
      </c>
      <c r="F162" s="20">
        <v>298</v>
      </c>
      <c r="G162" s="20"/>
      <c r="H162" s="20" t="s">
        <v>879</v>
      </c>
      <c r="I162" s="20">
        <v>0</v>
      </c>
      <c r="J162" s="20">
        <v>0.6</v>
      </c>
      <c r="K162" s="20">
        <v>-2.2799999999999998</v>
      </c>
    </row>
    <row r="163" spans="1:11" x14ac:dyDescent="0.25">
      <c r="A163" s="20" t="s">
        <v>888</v>
      </c>
      <c r="B163" s="20" t="s">
        <v>889</v>
      </c>
      <c r="C163" s="20" t="s">
        <v>767</v>
      </c>
      <c r="D163" s="20" t="s">
        <v>881</v>
      </c>
      <c r="E163" s="20" t="s">
        <v>878</v>
      </c>
      <c r="F163" s="20">
        <v>336</v>
      </c>
      <c r="G163" s="20"/>
      <c r="H163" s="20" t="s">
        <v>879</v>
      </c>
      <c r="I163" s="20">
        <v>0</v>
      </c>
      <c r="J163" s="20">
        <v>0.22</v>
      </c>
      <c r="K163" s="20">
        <v>-2.5</v>
      </c>
    </row>
    <row r="164" spans="1:11" x14ac:dyDescent="0.25">
      <c r="A164" s="20" t="s">
        <v>888</v>
      </c>
      <c r="B164" s="20" t="s">
        <v>889</v>
      </c>
      <c r="C164" s="20" t="s">
        <v>767</v>
      </c>
      <c r="D164" s="20" t="s">
        <v>882</v>
      </c>
      <c r="E164" s="20" t="s">
        <v>878</v>
      </c>
      <c r="F164" s="20">
        <v>343</v>
      </c>
      <c r="G164" s="20"/>
      <c r="H164" s="20" t="s">
        <v>879</v>
      </c>
      <c r="I164" s="20">
        <v>0</v>
      </c>
      <c r="J164" s="20">
        <v>0.35</v>
      </c>
      <c r="K164" s="20">
        <v>-2.85</v>
      </c>
    </row>
    <row r="165" spans="1:11" x14ac:dyDescent="0.25">
      <c r="A165" s="20" t="s">
        <v>888</v>
      </c>
      <c r="B165" s="20" t="s">
        <v>889</v>
      </c>
      <c r="C165" s="20" t="s">
        <v>767</v>
      </c>
      <c r="D165" s="20" t="s">
        <v>824</v>
      </c>
      <c r="E165" s="20" t="s">
        <v>878</v>
      </c>
      <c r="F165" s="20">
        <v>387</v>
      </c>
      <c r="G165" s="20"/>
      <c r="H165" s="20" t="s">
        <v>879</v>
      </c>
      <c r="I165" s="20">
        <v>0</v>
      </c>
      <c r="J165" s="20">
        <v>0.32</v>
      </c>
      <c r="K165" s="20">
        <v>-3.17</v>
      </c>
    </row>
    <row r="166" spans="1:11" x14ac:dyDescent="0.25">
      <c r="A166" s="20" t="s">
        <v>888</v>
      </c>
      <c r="B166" s="20" t="s">
        <v>889</v>
      </c>
      <c r="C166" s="20" t="s">
        <v>767</v>
      </c>
      <c r="D166" s="20" t="s">
        <v>829</v>
      </c>
      <c r="E166" s="20" t="s">
        <v>878</v>
      </c>
      <c r="F166" s="20">
        <v>394</v>
      </c>
      <c r="G166" s="20"/>
      <c r="H166" s="20" t="s">
        <v>879</v>
      </c>
      <c r="I166" s="20">
        <v>0</v>
      </c>
      <c r="J166" s="20">
        <v>0.93</v>
      </c>
      <c r="K166" s="20">
        <v>-4.0999999999999996</v>
      </c>
    </row>
    <row r="167" spans="1:11" x14ac:dyDescent="0.25">
      <c r="A167" s="20" t="s">
        <v>888</v>
      </c>
      <c r="B167" s="20" t="s">
        <v>889</v>
      </c>
      <c r="C167" s="20" t="s">
        <v>767</v>
      </c>
      <c r="D167" s="20" t="s">
        <v>795</v>
      </c>
      <c r="E167" s="20" t="s">
        <v>878</v>
      </c>
      <c r="F167" s="20">
        <v>59</v>
      </c>
      <c r="G167" s="20"/>
      <c r="H167" s="20" t="s">
        <v>879</v>
      </c>
      <c r="I167" s="20">
        <v>0</v>
      </c>
      <c r="J167" s="20">
        <v>0.82</v>
      </c>
      <c r="K167" s="20">
        <v>-4.92</v>
      </c>
    </row>
    <row r="168" spans="1:11" x14ac:dyDescent="0.25">
      <c r="A168" s="20" t="s">
        <v>888</v>
      </c>
      <c r="B168" s="20" t="s">
        <v>889</v>
      </c>
      <c r="C168" s="20" t="s">
        <v>767</v>
      </c>
      <c r="D168" s="20" t="s">
        <v>841</v>
      </c>
      <c r="E168" s="20" t="s">
        <v>878</v>
      </c>
      <c r="F168" s="20">
        <v>68</v>
      </c>
      <c r="G168" s="20"/>
      <c r="H168" s="20" t="s">
        <v>879</v>
      </c>
      <c r="I168" s="20">
        <v>0</v>
      </c>
      <c r="J168" s="20">
        <v>1.05</v>
      </c>
      <c r="K168" s="20">
        <v>-5.97</v>
      </c>
    </row>
    <row r="169" spans="1:11" x14ac:dyDescent="0.25">
      <c r="A169" s="20" t="s">
        <v>888</v>
      </c>
      <c r="B169" s="20" t="s">
        <v>889</v>
      </c>
      <c r="C169" s="20" t="s">
        <v>767</v>
      </c>
      <c r="D169" s="20" t="s">
        <v>845</v>
      </c>
      <c r="E169" s="20" t="s">
        <v>878</v>
      </c>
      <c r="F169" s="20">
        <v>77</v>
      </c>
      <c r="G169" s="20"/>
      <c r="H169" s="20" t="s">
        <v>879</v>
      </c>
      <c r="I169" s="20">
        <v>0</v>
      </c>
      <c r="J169" s="20">
        <v>0.54</v>
      </c>
      <c r="K169" s="20">
        <v>-6.51</v>
      </c>
    </row>
    <row r="170" spans="1:11" x14ac:dyDescent="0.25">
      <c r="A170" s="20" t="s">
        <v>892</v>
      </c>
      <c r="B170" s="20" t="s">
        <v>893</v>
      </c>
      <c r="C170" s="20" t="s">
        <v>767</v>
      </c>
      <c r="D170" s="20" t="s">
        <v>777</v>
      </c>
      <c r="E170" s="20" t="s">
        <v>772</v>
      </c>
      <c r="F170" s="20">
        <v>166</v>
      </c>
      <c r="G170" s="20">
        <v>1344</v>
      </c>
      <c r="H170" s="20" t="s">
        <v>862</v>
      </c>
      <c r="I170" s="20">
        <v>0</v>
      </c>
      <c r="J170" s="20">
        <v>2.42</v>
      </c>
      <c r="K170" s="20">
        <v>86.96</v>
      </c>
    </row>
    <row r="171" spans="1:11" x14ac:dyDescent="0.25">
      <c r="A171" s="20" t="s">
        <v>892</v>
      </c>
      <c r="B171" s="20" t="s">
        <v>893</v>
      </c>
      <c r="C171" s="20" t="s">
        <v>767</v>
      </c>
      <c r="D171" s="20" t="s">
        <v>777</v>
      </c>
      <c r="E171" s="20" t="s">
        <v>772</v>
      </c>
      <c r="F171" s="20">
        <v>166</v>
      </c>
      <c r="G171" s="20">
        <v>1346</v>
      </c>
      <c r="H171" s="20" t="s">
        <v>863</v>
      </c>
      <c r="I171" s="20">
        <v>0</v>
      </c>
      <c r="J171" s="20">
        <v>1.37</v>
      </c>
      <c r="K171" s="20">
        <v>85.59</v>
      </c>
    </row>
    <row r="172" spans="1:11" x14ac:dyDescent="0.25">
      <c r="A172" s="20" t="s">
        <v>892</v>
      </c>
      <c r="B172" s="20" t="s">
        <v>893</v>
      </c>
      <c r="C172" s="20" t="s">
        <v>767</v>
      </c>
      <c r="D172" s="20" t="s">
        <v>781</v>
      </c>
      <c r="E172" s="20" t="s">
        <v>772</v>
      </c>
      <c r="F172" s="20">
        <v>186</v>
      </c>
      <c r="G172" s="20">
        <v>163</v>
      </c>
      <c r="H172" s="20" t="s">
        <v>864</v>
      </c>
      <c r="I172" s="20">
        <v>0</v>
      </c>
      <c r="J172" s="20">
        <v>1.28</v>
      </c>
      <c r="K172" s="20">
        <v>84.31</v>
      </c>
    </row>
    <row r="173" spans="1:11" x14ac:dyDescent="0.25">
      <c r="A173" s="20" t="s">
        <v>892</v>
      </c>
      <c r="B173" s="20" t="s">
        <v>893</v>
      </c>
      <c r="C173" s="20" t="s">
        <v>767</v>
      </c>
      <c r="D173" s="20" t="s">
        <v>781</v>
      </c>
      <c r="E173" s="20" t="s">
        <v>772</v>
      </c>
      <c r="F173" s="20">
        <v>186</v>
      </c>
      <c r="G173" s="20">
        <v>164</v>
      </c>
      <c r="H173" s="20" t="s">
        <v>865</v>
      </c>
      <c r="I173" s="20">
        <v>0</v>
      </c>
      <c r="J173" s="20">
        <v>1.63</v>
      </c>
      <c r="K173" s="20">
        <v>82.68</v>
      </c>
    </row>
    <row r="174" spans="1:11" x14ac:dyDescent="0.25">
      <c r="A174" s="20" t="s">
        <v>892</v>
      </c>
      <c r="B174" s="20" t="s">
        <v>893</v>
      </c>
      <c r="C174" s="20" t="s">
        <v>767</v>
      </c>
      <c r="D174" s="20" t="s">
        <v>781</v>
      </c>
      <c r="E174" s="20" t="s">
        <v>772</v>
      </c>
      <c r="F174" s="20">
        <v>186</v>
      </c>
      <c r="G174" s="20">
        <v>165</v>
      </c>
      <c r="H174" s="20" t="s">
        <v>866</v>
      </c>
      <c r="I174" s="20">
        <v>0</v>
      </c>
      <c r="J174" s="20">
        <v>0.83</v>
      </c>
      <c r="K174" s="20">
        <v>81.849999999999994</v>
      </c>
    </row>
    <row r="175" spans="1:11" x14ac:dyDescent="0.25">
      <c r="A175" s="20" t="s">
        <v>892</v>
      </c>
      <c r="B175" s="20" t="s">
        <v>893</v>
      </c>
      <c r="C175" s="20" t="s">
        <v>767</v>
      </c>
      <c r="D175" s="20" t="s">
        <v>781</v>
      </c>
      <c r="E175" s="20" t="s">
        <v>772</v>
      </c>
      <c r="F175" s="20">
        <v>186</v>
      </c>
      <c r="G175" s="20">
        <v>1348</v>
      </c>
      <c r="H175" s="20" t="s">
        <v>868</v>
      </c>
      <c r="I175" s="20">
        <v>0</v>
      </c>
      <c r="J175" s="20">
        <v>1.0900000000000001</v>
      </c>
      <c r="K175" s="20">
        <v>80.760000000000005</v>
      </c>
    </row>
    <row r="176" spans="1:11" x14ac:dyDescent="0.25">
      <c r="A176" s="20" t="s">
        <v>892</v>
      </c>
      <c r="B176" s="20" t="s">
        <v>893</v>
      </c>
      <c r="C176" s="20" t="s">
        <v>767</v>
      </c>
      <c r="D176" s="20" t="s">
        <v>841</v>
      </c>
      <c r="E176" s="20" t="s">
        <v>772</v>
      </c>
      <c r="F176" s="20">
        <v>71</v>
      </c>
      <c r="G176" s="20">
        <v>161</v>
      </c>
      <c r="H176" s="20" t="s">
        <v>877</v>
      </c>
      <c r="I176" s="20">
        <v>0</v>
      </c>
      <c r="J176" s="20">
        <v>0.65</v>
      </c>
      <c r="K176" s="20">
        <v>80.11</v>
      </c>
    </row>
    <row r="177" spans="1:11" x14ac:dyDescent="0.25">
      <c r="A177" s="20" t="s">
        <v>892</v>
      </c>
      <c r="B177" s="20" t="s">
        <v>893</v>
      </c>
      <c r="C177" s="20" t="s">
        <v>767</v>
      </c>
      <c r="D177" s="20" t="s">
        <v>771</v>
      </c>
      <c r="E177" s="20" t="s">
        <v>878</v>
      </c>
      <c r="F177" s="20">
        <v>102</v>
      </c>
      <c r="G177" s="20"/>
      <c r="H177" s="20" t="s">
        <v>879</v>
      </c>
      <c r="I177" s="20">
        <v>0</v>
      </c>
      <c r="J177" s="20">
        <v>1.2</v>
      </c>
      <c r="K177" s="20">
        <v>78.91</v>
      </c>
    </row>
    <row r="178" spans="1:11" x14ac:dyDescent="0.25">
      <c r="A178" s="20" t="s">
        <v>892</v>
      </c>
      <c r="B178" s="20" t="s">
        <v>893</v>
      </c>
      <c r="C178" s="20" t="s">
        <v>767</v>
      </c>
      <c r="D178" s="20" t="s">
        <v>771</v>
      </c>
      <c r="E178" s="20" t="s">
        <v>878</v>
      </c>
      <c r="F178" s="20">
        <v>103</v>
      </c>
      <c r="G178" s="20"/>
      <c r="H178" s="20" t="s">
        <v>879</v>
      </c>
      <c r="I178" s="20">
        <v>0</v>
      </c>
      <c r="J178" s="20">
        <v>1.08</v>
      </c>
      <c r="K178" s="20">
        <v>77.83</v>
      </c>
    </row>
    <row r="179" spans="1:11" x14ac:dyDescent="0.25">
      <c r="A179" s="20" t="s">
        <v>892</v>
      </c>
      <c r="B179" s="20" t="s">
        <v>893</v>
      </c>
      <c r="C179" s="20" t="s">
        <v>767</v>
      </c>
      <c r="D179" s="20" t="s">
        <v>856</v>
      </c>
      <c r="E179" s="20" t="s">
        <v>878</v>
      </c>
      <c r="F179" s="20">
        <v>107</v>
      </c>
      <c r="G179" s="20"/>
      <c r="H179" s="20" t="s">
        <v>879</v>
      </c>
      <c r="I179" s="20">
        <v>0</v>
      </c>
      <c r="J179" s="20">
        <v>1.92</v>
      </c>
      <c r="K179" s="20">
        <v>75.91</v>
      </c>
    </row>
    <row r="180" spans="1:11" x14ac:dyDescent="0.25">
      <c r="A180" s="20" t="s">
        <v>892</v>
      </c>
      <c r="B180" s="20" t="s">
        <v>893</v>
      </c>
      <c r="C180" s="20" t="s">
        <v>767</v>
      </c>
      <c r="D180" s="20" t="s">
        <v>856</v>
      </c>
      <c r="E180" s="20" t="s">
        <v>878</v>
      </c>
      <c r="F180" s="20">
        <v>109</v>
      </c>
      <c r="G180" s="20"/>
      <c r="H180" s="20" t="s">
        <v>879</v>
      </c>
      <c r="I180" s="20">
        <v>0</v>
      </c>
      <c r="J180" s="20">
        <v>0.72</v>
      </c>
      <c r="K180" s="20">
        <v>75.19</v>
      </c>
    </row>
    <row r="181" spans="1:11" x14ac:dyDescent="0.25">
      <c r="A181" s="20" t="s">
        <v>892</v>
      </c>
      <c r="B181" s="20" t="s">
        <v>893</v>
      </c>
      <c r="C181" s="20" t="s">
        <v>767</v>
      </c>
      <c r="D181" s="20" t="s">
        <v>852</v>
      </c>
      <c r="E181" s="20" t="s">
        <v>878</v>
      </c>
      <c r="F181" s="20">
        <v>111</v>
      </c>
      <c r="G181" s="20"/>
      <c r="H181" s="20" t="s">
        <v>879</v>
      </c>
      <c r="I181" s="20">
        <v>0</v>
      </c>
      <c r="J181" s="20">
        <v>0.32</v>
      </c>
      <c r="K181" s="20">
        <v>74.87</v>
      </c>
    </row>
    <row r="182" spans="1:11" x14ac:dyDescent="0.25">
      <c r="A182" s="20" t="s">
        <v>892</v>
      </c>
      <c r="B182" s="20" t="s">
        <v>893</v>
      </c>
      <c r="C182" s="20" t="s">
        <v>767</v>
      </c>
      <c r="D182" s="20" t="s">
        <v>797</v>
      </c>
      <c r="E182" s="20" t="s">
        <v>878</v>
      </c>
      <c r="F182" s="20">
        <v>125</v>
      </c>
      <c r="G182" s="20"/>
      <c r="H182" s="20" t="s">
        <v>879</v>
      </c>
      <c r="I182" s="20">
        <v>0</v>
      </c>
      <c r="J182" s="20">
        <v>1.08</v>
      </c>
      <c r="K182" s="20">
        <v>73.790000000000006</v>
      </c>
    </row>
    <row r="183" spans="1:11" x14ac:dyDescent="0.25">
      <c r="A183" s="20" t="s">
        <v>892</v>
      </c>
      <c r="B183" s="20" t="s">
        <v>893</v>
      </c>
      <c r="C183" s="20" t="s">
        <v>767</v>
      </c>
      <c r="D183" s="20" t="s">
        <v>800</v>
      </c>
      <c r="E183" s="20" t="s">
        <v>878</v>
      </c>
      <c r="F183" s="20">
        <v>134</v>
      </c>
      <c r="G183" s="20"/>
      <c r="H183" s="20" t="s">
        <v>879</v>
      </c>
      <c r="I183" s="20">
        <v>0</v>
      </c>
      <c r="J183" s="20">
        <v>0.32</v>
      </c>
      <c r="K183" s="20">
        <v>73.47</v>
      </c>
    </row>
    <row r="184" spans="1:11" x14ac:dyDescent="0.25">
      <c r="A184" s="20" t="s">
        <v>892</v>
      </c>
      <c r="B184" s="20" t="s">
        <v>893</v>
      </c>
      <c r="C184" s="20" t="s">
        <v>767</v>
      </c>
      <c r="D184" s="20" t="s">
        <v>777</v>
      </c>
      <c r="E184" s="20" t="s">
        <v>878</v>
      </c>
      <c r="F184" s="20">
        <v>150</v>
      </c>
      <c r="G184" s="20"/>
      <c r="H184" s="20" t="s">
        <v>879</v>
      </c>
      <c r="I184" s="20">
        <v>0</v>
      </c>
      <c r="J184" s="20">
        <v>1.4</v>
      </c>
      <c r="K184" s="20">
        <v>72.069999999999993</v>
      </c>
    </row>
    <row r="185" spans="1:11" x14ac:dyDescent="0.25">
      <c r="A185" s="20" t="s">
        <v>892</v>
      </c>
      <c r="B185" s="20" t="s">
        <v>893</v>
      </c>
      <c r="C185" s="20" t="s">
        <v>767</v>
      </c>
      <c r="D185" s="20" t="s">
        <v>777</v>
      </c>
      <c r="E185" s="20" t="s">
        <v>878</v>
      </c>
      <c r="F185" s="20">
        <v>152</v>
      </c>
      <c r="G185" s="20"/>
      <c r="H185" s="20" t="s">
        <v>879</v>
      </c>
      <c r="I185" s="20">
        <v>0</v>
      </c>
      <c r="J185" s="20">
        <v>0.44</v>
      </c>
      <c r="K185" s="20">
        <v>71.63</v>
      </c>
    </row>
    <row r="186" spans="1:11" x14ac:dyDescent="0.25">
      <c r="A186" s="20" t="s">
        <v>892</v>
      </c>
      <c r="B186" s="20" t="s">
        <v>893</v>
      </c>
      <c r="C186" s="20" t="s">
        <v>767</v>
      </c>
      <c r="D186" s="20" t="s">
        <v>781</v>
      </c>
      <c r="E186" s="20" t="s">
        <v>878</v>
      </c>
      <c r="F186" s="20">
        <v>183</v>
      </c>
      <c r="G186" s="20"/>
      <c r="H186" s="20" t="s">
        <v>879</v>
      </c>
      <c r="I186" s="20">
        <v>0</v>
      </c>
      <c r="J186" s="20">
        <v>0.52</v>
      </c>
      <c r="K186" s="20">
        <v>71.11</v>
      </c>
    </row>
    <row r="187" spans="1:11" x14ac:dyDescent="0.25">
      <c r="A187" s="20" t="s">
        <v>892</v>
      </c>
      <c r="B187" s="20" t="s">
        <v>893</v>
      </c>
      <c r="C187" s="20" t="s">
        <v>767</v>
      </c>
      <c r="D187" s="20" t="s">
        <v>781</v>
      </c>
      <c r="E187" s="20" t="s">
        <v>878</v>
      </c>
      <c r="F187" s="20">
        <v>185</v>
      </c>
      <c r="G187" s="20"/>
      <c r="H187" s="20" t="s">
        <v>879</v>
      </c>
      <c r="I187" s="20">
        <v>0</v>
      </c>
      <c r="J187" s="20">
        <v>0.41</v>
      </c>
      <c r="K187" s="20">
        <v>70.7</v>
      </c>
    </row>
    <row r="188" spans="1:11" x14ac:dyDescent="0.25">
      <c r="A188" s="20" t="s">
        <v>892</v>
      </c>
      <c r="B188" s="20" t="s">
        <v>893</v>
      </c>
      <c r="C188" s="20" t="s">
        <v>767</v>
      </c>
      <c r="D188" s="20" t="s">
        <v>880</v>
      </c>
      <c r="E188" s="20" t="s">
        <v>878</v>
      </c>
      <c r="F188" s="20">
        <v>191</v>
      </c>
      <c r="G188" s="20"/>
      <c r="H188" s="20" t="s">
        <v>879</v>
      </c>
      <c r="I188" s="20">
        <v>0</v>
      </c>
      <c r="J188" s="20">
        <v>0.84</v>
      </c>
      <c r="K188" s="20">
        <v>69.86</v>
      </c>
    </row>
    <row r="189" spans="1:11" x14ac:dyDescent="0.25">
      <c r="A189" s="20" t="s">
        <v>892</v>
      </c>
      <c r="B189" s="20" t="s">
        <v>893</v>
      </c>
      <c r="C189" s="20" t="s">
        <v>767</v>
      </c>
      <c r="D189" s="20" t="s">
        <v>880</v>
      </c>
      <c r="E189" s="20" t="s">
        <v>878</v>
      </c>
      <c r="F189" s="20">
        <v>192</v>
      </c>
      <c r="G189" s="20"/>
      <c r="H189" s="20" t="s">
        <v>879</v>
      </c>
      <c r="I189" s="20">
        <v>0</v>
      </c>
      <c r="J189" s="20">
        <v>1.08</v>
      </c>
      <c r="K189" s="20">
        <v>68.78</v>
      </c>
    </row>
    <row r="190" spans="1:11" x14ac:dyDescent="0.25">
      <c r="A190" s="20" t="s">
        <v>892</v>
      </c>
      <c r="B190" s="20" t="s">
        <v>893</v>
      </c>
      <c r="C190" s="20" t="s">
        <v>767</v>
      </c>
      <c r="D190" s="20" t="s">
        <v>785</v>
      </c>
      <c r="E190" s="20" t="s">
        <v>878</v>
      </c>
      <c r="F190" s="20">
        <v>225</v>
      </c>
      <c r="G190" s="20"/>
      <c r="H190" s="20" t="s">
        <v>879</v>
      </c>
      <c r="I190" s="20">
        <v>0</v>
      </c>
      <c r="J190" s="20">
        <v>1.36</v>
      </c>
      <c r="K190" s="20">
        <v>67.42</v>
      </c>
    </row>
    <row r="191" spans="1:11" x14ac:dyDescent="0.25">
      <c r="A191" s="20" t="s">
        <v>892</v>
      </c>
      <c r="B191" s="20" t="s">
        <v>893</v>
      </c>
      <c r="C191" s="20" t="s">
        <v>767</v>
      </c>
      <c r="D191" s="20" t="s">
        <v>785</v>
      </c>
      <c r="E191" s="20" t="s">
        <v>878</v>
      </c>
      <c r="F191" s="20">
        <v>226</v>
      </c>
      <c r="G191" s="20"/>
      <c r="H191" s="20" t="s">
        <v>879</v>
      </c>
      <c r="I191" s="20">
        <v>0</v>
      </c>
      <c r="J191" s="20">
        <v>0.6</v>
      </c>
      <c r="K191" s="20">
        <v>66.819999999999993</v>
      </c>
    </row>
    <row r="192" spans="1:11" x14ac:dyDescent="0.25">
      <c r="A192" s="20" t="s">
        <v>892</v>
      </c>
      <c r="B192" s="20" t="s">
        <v>893</v>
      </c>
      <c r="C192" s="20" t="s">
        <v>767</v>
      </c>
      <c r="D192" s="20" t="s">
        <v>785</v>
      </c>
      <c r="E192" s="20" t="s">
        <v>878</v>
      </c>
      <c r="F192" s="20">
        <v>227</v>
      </c>
      <c r="G192" s="20"/>
      <c r="H192" s="20" t="s">
        <v>879</v>
      </c>
      <c r="I192" s="20">
        <v>0</v>
      </c>
      <c r="J192" s="20">
        <v>1.72</v>
      </c>
      <c r="K192" s="20">
        <v>65.099999999999994</v>
      </c>
    </row>
    <row r="193" spans="1:11" x14ac:dyDescent="0.25">
      <c r="A193" s="20" t="s">
        <v>892</v>
      </c>
      <c r="B193" s="20" t="s">
        <v>893</v>
      </c>
      <c r="C193" s="20" t="s">
        <v>767</v>
      </c>
      <c r="D193" s="20" t="s">
        <v>811</v>
      </c>
      <c r="E193" s="20" t="s">
        <v>878</v>
      </c>
      <c r="F193" s="20">
        <v>235</v>
      </c>
      <c r="G193" s="20"/>
      <c r="H193" s="20" t="s">
        <v>879</v>
      </c>
      <c r="I193" s="20">
        <v>0</v>
      </c>
      <c r="J193" s="20">
        <v>0.9</v>
      </c>
      <c r="K193" s="20">
        <v>64.2</v>
      </c>
    </row>
    <row r="194" spans="1:11" x14ac:dyDescent="0.25">
      <c r="A194" s="20" t="s">
        <v>892</v>
      </c>
      <c r="B194" s="20" t="s">
        <v>893</v>
      </c>
      <c r="C194" s="20" t="s">
        <v>767</v>
      </c>
      <c r="D194" s="20" t="s">
        <v>811</v>
      </c>
      <c r="E194" s="20" t="s">
        <v>878</v>
      </c>
      <c r="F194" s="20">
        <v>236</v>
      </c>
      <c r="G194" s="20"/>
      <c r="H194" s="20" t="s">
        <v>879</v>
      </c>
      <c r="I194" s="20">
        <v>0</v>
      </c>
      <c r="J194" s="20">
        <v>0.64</v>
      </c>
      <c r="K194" s="20">
        <v>63.56</v>
      </c>
    </row>
    <row r="195" spans="1:11" x14ac:dyDescent="0.25">
      <c r="A195" s="20" t="s">
        <v>892</v>
      </c>
      <c r="B195" s="20" t="s">
        <v>893</v>
      </c>
      <c r="C195" s="20" t="s">
        <v>767</v>
      </c>
      <c r="D195" s="20" t="s">
        <v>811</v>
      </c>
      <c r="E195" s="20" t="s">
        <v>878</v>
      </c>
      <c r="F195" s="20">
        <v>237</v>
      </c>
      <c r="G195" s="20"/>
      <c r="H195" s="20" t="s">
        <v>879</v>
      </c>
      <c r="I195" s="20">
        <v>0</v>
      </c>
      <c r="J195" s="20">
        <v>0.72</v>
      </c>
      <c r="K195" s="20">
        <v>62.84</v>
      </c>
    </row>
    <row r="196" spans="1:11" x14ac:dyDescent="0.25">
      <c r="A196" s="20" t="s">
        <v>892</v>
      </c>
      <c r="B196" s="20" t="s">
        <v>893</v>
      </c>
      <c r="C196" s="20" t="s">
        <v>767</v>
      </c>
      <c r="D196" s="20" t="s">
        <v>768</v>
      </c>
      <c r="E196" s="20" t="s">
        <v>878</v>
      </c>
      <c r="F196" s="20">
        <v>266</v>
      </c>
      <c r="G196" s="20"/>
      <c r="H196" s="20" t="s">
        <v>879</v>
      </c>
      <c r="I196" s="20">
        <v>0</v>
      </c>
      <c r="J196" s="20">
        <v>0.4</v>
      </c>
      <c r="K196" s="20">
        <v>62.44</v>
      </c>
    </row>
    <row r="197" spans="1:11" x14ac:dyDescent="0.25">
      <c r="A197" s="20" t="s">
        <v>892</v>
      </c>
      <c r="B197" s="20" t="s">
        <v>893</v>
      </c>
      <c r="C197" s="20" t="s">
        <v>767</v>
      </c>
      <c r="D197" s="20" t="s">
        <v>768</v>
      </c>
      <c r="E197" s="20" t="s">
        <v>878</v>
      </c>
      <c r="F197" s="20">
        <v>267</v>
      </c>
      <c r="G197" s="20"/>
      <c r="H197" s="20" t="s">
        <v>879</v>
      </c>
      <c r="I197" s="20">
        <v>0</v>
      </c>
      <c r="J197" s="20">
        <v>1.44</v>
      </c>
      <c r="K197" s="20">
        <v>61</v>
      </c>
    </row>
    <row r="198" spans="1:11" x14ac:dyDescent="0.25">
      <c r="A198" s="20" t="s">
        <v>892</v>
      </c>
      <c r="B198" s="20" t="s">
        <v>893</v>
      </c>
      <c r="C198" s="20" t="s">
        <v>767</v>
      </c>
      <c r="D198" s="20" t="s">
        <v>817</v>
      </c>
      <c r="E198" s="20" t="s">
        <v>878</v>
      </c>
      <c r="F198" s="20">
        <v>282</v>
      </c>
      <c r="G198" s="20"/>
      <c r="H198" s="20" t="s">
        <v>879</v>
      </c>
      <c r="I198" s="20">
        <v>0</v>
      </c>
      <c r="J198" s="20">
        <v>2</v>
      </c>
      <c r="K198" s="20">
        <v>59</v>
      </c>
    </row>
    <row r="199" spans="1:11" x14ac:dyDescent="0.25">
      <c r="A199" s="20" t="s">
        <v>892</v>
      </c>
      <c r="B199" s="20" t="s">
        <v>893</v>
      </c>
      <c r="C199" s="20" t="s">
        <v>767</v>
      </c>
      <c r="D199" s="20" t="s">
        <v>817</v>
      </c>
      <c r="E199" s="20" t="s">
        <v>878</v>
      </c>
      <c r="F199" s="20">
        <v>283</v>
      </c>
      <c r="G199" s="20"/>
      <c r="H199" s="20" t="s">
        <v>879</v>
      </c>
      <c r="I199" s="20">
        <v>0</v>
      </c>
      <c r="J199" s="20">
        <v>1.08</v>
      </c>
      <c r="K199" s="20">
        <v>57.92</v>
      </c>
    </row>
    <row r="200" spans="1:11" x14ac:dyDescent="0.25">
      <c r="A200" s="20" t="s">
        <v>892</v>
      </c>
      <c r="B200" s="20" t="s">
        <v>893</v>
      </c>
      <c r="C200" s="20" t="s">
        <v>767</v>
      </c>
      <c r="D200" s="20" t="s">
        <v>817</v>
      </c>
      <c r="E200" s="20" t="s">
        <v>878</v>
      </c>
      <c r="F200" s="20">
        <v>285</v>
      </c>
      <c r="G200" s="20"/>
      <c r="H200" s="20" t="s">
        <v>879</v>
      </c>
      <c r="I200" s="20">
        <v>0</v>
      </c>
      <c r="J200" s="20">
        <v>0.36</v>
      </c>
      <c r="K200" s="20">
        <v>57.56</v>
      </c>
    </row>
    <row r="201" spans="1:11" x14ac:dyDescent="0.25">
      <c r="A201" s="20" t="s">
        <v>892</v>
      </c>
      <c r="B201" s="20" t="s">
        <v>893</v>
      </c>
      <c r="C201" s="20" t="s">
        <v>767</v>
      </c>
      <c r="D201" s="20" t="s">
        <v>788</v>
      </c>
      <c r="E201" s="20" t="s">
        <v>878</v>
      </c>
      <c r="F201" s="20">
        <v>298</v>
      </c>
      <c r="G201" s="20"/>
      <c r="H201" s="20" t="s">
        <v>879</v>
      </c>
      <c r="I201" s="20">
        <v>0</v>
      </c>
      <c r="J201" s="20">
        <v>0.8</v>
      </c>
      <c r="K201" s="20">
        <v>56.76</v>
      </c>
    </row>
    <row r="202" spans="1:11" x14ac:dyDescent="0.25">
      <c r="A202" s="20" t="s">
        <v>892</v>
      </c>
      <c r="B202" s="20" t="s">
        <v>893</v>
      </c>
      <c r="C202" s="20" t="s">
        <v>767</v>
      </c>
      <c r="D202" s="20" t="s">
        <v>822</v>
      </c>
      <c r="E202" s="20" t="s">
        <v>878</v>
      </c>
      <c r="F202" s="20">
        <v>304</v>
      </c>
      <c r="G202" s="20"/>
      <c r="H202" s="20" t="s">
        <v>879</v>
      </c>
      <c r="I202" s="20">
        <v>0</v>
      </c>
      <c r="J202" s="20">
        <v>0.44</v>
      </c>
      <c r="K202" s="20">
        <v>56.32</v>
      </c>
    </row>
    <row r="203" spans="1:11" x14ac:dyDescent="0.25">
      <c r="A203" s="20" t="s">
        <v>892</v>
      </c>
      <c r="B203" s="20" t="s">
        <v>893</v>
      </c>
      <c r="C203" s="20" t="s">
        <v>767</v>
      </c>
      <c r="D203" s="20" t="s">
        <v>881</v>
      </c>
      <c r="E203" s="20" t="s">
        <v>878</v>
      </c>
      <c r="F203" s="20">
        <v>333</v>
      </c>
      <c r="G203" s="20"/>
      <c r="H203" s="20" t="s">
        <v>879</v>
      </c>
      <c r="I203" s="20">
        <v>0</v>
      </c>
      <c r="J203" s="20">
        <v>0.48</v>
      </c>
      <c r="K203" s="20">
        <v>55.84</v>
      </c>
    </row>
    <row r="204" spans="1:11" x14ac:dyDescent="0.25">
      <c r="A204" s="20" t="s">
        <v>892</v>
      </c>
      <c r="B204" s="20" t="s">
        <v>893</v>
      </c>
      <c r="C204" s="20" t="s">
        <v>767</v>
      </c>
      <c r="D204" s="20" t="s">
        <v>881</v>
      </c>
      <c r="E204" s="20" t="s">
        <v>878</v>
      </c>
      <c r="F204" s="20">
        <v>336</v>
      </c>
      <c r="G204" s="20"/>
      <c r="H204" s="20" t="s">
        <v>879</v>
      </c>
      <c r="I204" s="20">
        <v>0</v>
      </c>
      <c r="J204" s="20">
        <v>0.2</v>
      </c>
      <c r="K204" s="20">
        <v>55.64</v>
      </c>
    </row>
    <row r="205" spans="1:11" x14ac:dyDescent="0.25">
      <c r="A205" s="20" t="s">
        <v>892</v>
      </c>
      <c r="B205" s="20" t="s">
        <v>893</v>
      </c>
      <c r="C205" s="20" t="s">
        <v>767</v>
      </c>
      <c r="D205" s="20" t="s">
        <v>881</v>
      </c>
      <c r="E205" s="20" t="s">
        <v>878</v>
      </c>
      <c r="F205" s="20">
        <v>337</v>
      </c>
      <c r="G205" s="20"/>
      <c r="H205" s="20" t="s">
        <v>879</v>
      </c>
      <c r="I205" s="20">
        <v>0</v>
      </c>
      <c r="J205" s="20">
        <v>1.08</v>
      </c>
      <c r="K205" s="20">
        <v>54.56</v>
      </c>
    </row>
    <row r="206" spans="1:11" x14ac:dyDescent="0.25">
      <c r="A206" s="20" t="s">
        <v>892</v>
      </c>
      <c r="B206" s="20" t="s">
        <v>893</v>
      </c>
      <c r="C206" s="20" t="s">
        <v>767</v>
      </c>
      <c r="D206" s="20" t="s">
        <v>882</v>
      </c>
      <c r="E206" s="20" t="s">
        <v>878</v>
      </c>
      <c r="F206" s="20">
        <v>342</v>
      </c>
      <c r="G206" s="20"/>
      <c r="H206" s="20" t="s">
        <v>879</v>
      </c>
      <c r="I206" s="20">
        <v>0</v>
      </c>
      <c r="J206" s="20">
        <v>0.1</v>
      </c>
      <c r="K206" s="20">
        <v>54.46</v>
      </c>
    </row>
    <row r="207" spans="1:11" x14ac:dyDescent="0.25">
      <c r="A207" s="20" t="s">
        <v>892</v>
      </c>
      <c r="B207" s="20" t="s">
        <v>893</v>
      </c>
      <c r="C207" s="20" t="s">
        <v>767</v>
      </c>
      <c r="D207" s="20" t="s">
        <v>882</v>
      </c>
      <c r="E207" s="20" t="s">
        <v>878</v>
      </c>
      <c r="F207" s="20">
        <v>343</v>
      </c>
      <c r="G207" s="20"/>
      <c r="H207" s="20" t="s">
        <v>879</v>
      </c>
      <c r="I207" s="20">
        <v>0</v>
      </c>
      <c r="J207" s="20">
        <v>0.92</v>
      </c>
      <c r="K207" s="20">
        <v>53.54</v>
      </c>
    </row>
    <row r="208" spans="1:11" x14ac:dyDescent="0.25">
      <c r="A208" s="20" t="s">
        <v>892</v>
      </c>
      <c r="B208" s="20" t="s">
        <v>893</v>
      </c>
      <c r="C208" s="20" t="s">
        <v>767</v>
      </c>
      <c r="D208" s="20" t="s">
        <v>882</v>
      </c>
      <c r="E208" s="20" t="s">
        <v>878</v>
      </c>
      <c r="F208" s="20">
        <v>344</v>
      </c>
      <c r="G208" s="20"/>
      <c r="H208" s="20" t="s">
        <v>879</v>
      </c>
      <c r="I208" s="20">
        <v>0</v>
      </c>
      <c r="J208" s="20">
        <v>0.36</v>
      </c>
      <c r="K208" s="20">
        <v>53.18</v>
      </c>
    </row>
    <row r="209" spans="1:11" x14ac:dyDescent="0.25">
      <c r="A209" s="20" t="s">
        <v>892</v>
      </c>
      <c r="B209" s="20" t="s">
        <v>893</v>
      </c>
      <c r="C209" s="20" t="s">
        <v>767</v>
      </c>
      <c r="D209" s="20" t="s">
        <v>859</v>
      </c>
      <c r="E209" s="20" t="s">
        <v>878</v>
      </c>
      <c r="F209" s="20">
        <v>348</v>
      </c>
      <c r="G209" s="20"/>
      <c r="H209" s="20" t="s">
        <v>879</v>
      </c>
      <c r="I209" s="20">
        <v>0</v>
      </c>
      <c r="J209" s="20">
        <v>0.5</v>
      </c>
      <c r="K209" s="20">
        <v>52.68</v>
      </c>
    </row>
    <row r="210" spans="1:11" x14ac:dyDescent="0.25">
      <c r="A210" s="20" t="s">
        <v>892</v>
      </c>
      <c r="B210" s="20" t="s">
        <v>893</v>
      </c>
      <c r="C210" s="20" t="s">
        <v>767</v>
      </c>
      <c r="D210" s="20" t="s">
        <v>859</v>
      </c>
      <c r="E210" s="20" t="s">
        <v>878</v>
      </c>
      <c r="F210" s="20">
        <v>349</v>
      </c>
      <c r="G210" s="20"/>
      <c r="H210" s="20" t="s">
        <v>879</v>
      </c>
      <c r="I210" s="20">
        <v>0</v>
      </c>
      <c r="J210" s="20">
        <v>2.76</v>
      </c>
      <c r="K210" s="20">
        <v>49.92</v>
      </c>
    </row>
    <row r="211" spans="1:11" x14ac:dyDescent="0.25">
      <c r="A211" s="20" t="s">
        <v>892</v>
      </c>
      <c r="B211" s="20" t="s">
        <v>893</v>
      </c>
      <c r="C211" s="20" t="s">
        <v>767</v>
      </c>
      <c r="D211" s="20" t="s">
        <v>859</v>
      </c>
      <c r="E211" s="20" t="s">
        <v>878</v>
      </c>
      <c r="F211" s="20">
        <v>351</v>
      </c>
      <c r="G211" s="20"/>
      <c r="H211" s="20" t="s">
        <v>879</v>
      </c>
      <c r="I211" s="20">
        <v>0</v>
      </c>
      <c r="J211" s="20">
        <v>0.36</v>
      </c>
      <c r="K211" s="20">
        <v>49.56</v>
      </c>
    </row>
    <row r="212" spans="1:11" x14ac:dyDescent="0.25">
      <c r="A212" s="20" t="s">
        <v>892</v>
      </c>
      <c r="B212" s="20" t="s">
        <v>893</v>
      </c>
      <c r="C212" s="20" t="s">
        <v>767</v>
      </c>
      <c r="D212" s="20" t="s">
        <v>824</v>
      </c>
      <c r="E212" s="20" t="s">
        <v>878</v>
      </c>
      <c r="F212" s="20">
        <v>387</v>
      </c>
      <c r="G212" s="20"/>
      <c r="H212" s="20" t="s">
        <v>879</v>
      </c>
      <c r="I212" s="20">
        <v>0</v>
      </c>
      <c r="J212" s="20">
        <v>0.92</v>
      </c>
      <c r="K212" s="20">
        <v>48.64</v>
      </c>
    </row>
    <row r="213" spans="1:11" x14ac:dyDescent="0.25">
      <c r="A213" s="20" t="s">
        <v>892</v>
      </c>
      <c r="B213" s="20" t="s">
        <v>893</v>
      </c>
      <c r="C213" s="20" t="s">
        <v>767</v>
      </c>
      <c r="D213" s="20" t="s">
        <v>824</v>
      </c>
      <c r="E213" s="20" t="s">
        <v>878</v>
      </c>
      <c r="F213" s="20">
        <v>388</v>
      </c>
      <c r="G213" s="20"/>
      <c r="H213" s="20" t="s">
        <v>879</v>
      </c>
      <c r="I213" s="20">
        <v>0</v>
      </c>
      <c r="J213" s="20">
        <v>10.199999999999999</v>
      </c>
      <c r="K213" s="20">
        <v>38.44</v>
      </c>
    </row>
    <row r="214" spans="1:11" x14ac:dyDescent="0.25">
      <c r="A214" s="20" t="s">
        <v>892</v>
      </c>
      <c r="B214" s="20" t="s">
        <v>893</v>
      </c>
      <c r="C214" s="20" t="s">
        <v>767</v>
      </c>
      <c r="D214" s="20" t="s">
        <v>829</v>
      </c>
      <c r="E214" s="20" t="s">
        <v>878</v>
      </c>
      <c r="F214" s="20">
        <v>394</v>
      </c>
      <c r="G214" s="20"/>
      <c r="H214" s="20" t="s">
        <v>879</v>
      </c>
      <c r="I214" s="20">
        <v>0</v>
      </c>
      <c r="J214" s="20">
        <v>0.2</v>
      </c>
      <c r="K214" s="20">
        <v>38.24</v>
      </c>
    </row>
    <row r="215" spans="1:11" x14ac:dyDescent="0.25">
      <c r="A215" s="20" t="s">
        <v>892</v>
      </c>
      <c r="B215" s="20" t="s">
        <v>893</v>
      </c>
      <c r="C215" s="20" t="s">
        <v>767</v>
      </c>
      <c r="D215" s="20" t="s">
        <v>793</v>
      </c>
      <c r="E215" s="20" t="s">
        <v>878</v>
      </c>
      <c r="F215" s="20">
        <v>399</v>
      </c>
      <c r="G215" s="20"/>
      <c r="H215" s="20" t="s">
        <v>879</v>
      </c>
      <c r="I215" s="20">
        <v>0</v>
      </c>
      <c r="J215" s="20">
        <v>0.2</v>
      </c>
      <c r="K215" s="20">
        <v>38.04</v>
      </c>
    </row>
    <row r="216" spans="1:11" x14ac:dyDescent="0.25">
      <c r="A216" s="20" t="s">
        <v>892</v>
      </c>
      <c r="B216" s="20" t="s">
        <v>893</v>
      </c>
      <c r="C216" s="20" t="s">
        <v>767</v>
      </c>
      <c r="D216" s="20" t="s">
        <v>795</v>
      </c>
      <c r="E216" s="20" t="s">
        <v>878</v>
      </c>
      <c r="F216" s="20">
        <v>57</v>
      </c>
      <c r="G216" s="20"/>
      <c r="H216" s="20" t="s">
        <v>879</v>
      </c>
      <c r="I216" s="20">
        <v>0</v>
      </c>
      <c r="J216" s="20">
        <v>0.46</v>
      </c>
      <c r="K216" s="20">
        <v>37.58</v>
      </c>
    </row>
    <row r="217" spans="1:11" x14ac:dyDescent="0.25">
      <c r="A217" s="20" t="s">
        <v>892</v>
      </c>
      <c r="B217" s="20" t="s">
        <v>893</v>
      </c>
      <c r="C217" s="20" t="s">
        <v>767</v>
      </c>
      <c r="D217" s="20" t="s">
        <v>795</v>
      </c>
      <c r="E217" s="20" t="s">
        <v>878</v>
      </c>
      <c r="F217" s="20">
        <v>59</v>
      </c>
      <c r="G217" s="20"/>
      <c r="H217" s="20" t="s">
        <v>879</v>
      </c>
      <c r="I217" s="20">
        <v>0</v>
      </c>
      <c r="J217" s="20">
        <v>0.52</v>
      </c>
      <c r="K217" s="20">
        <v>37.06</v>
      </c>
    </row>
    <row r="218" spans="1:11" x14ac:dyDescent="0.25">
      <c r="A218" s="20" t="s">
        <v>892</v>
      </c>
      <c r="B218" s="20" t="s">
        <v>893</v>
      </c>
      <c r="C218" s="20" t="s">
        <v>767</v>
      </c>
      <c r="D218" s="20" t="s">
        <v>795</v>
      </c>
      <c r="E218" s="20" t="s">
        <v>878</v>
      </c>
      <c r="F218" s="20">
        <v>60</v>
      </c>
      <c r="G218" s="20"/>
      <c r="H218" s="20" t="s">
        <v>879</v>
      </c>
      <c r="I218" s="20">
        <v>0</v>
      </c>
      <c r="J218" s="20">
        <v>1.08</v>
      </c>
      <c r="K218" s="20">
        <v>35.979999999999997</v>
      </c>
    </row>
    <row r="219" spans="1:11" x14ac:dyDescent="0.25">
      <c r="A219" s="20" t="s">
        <v>892</v>
      </c>
      <c r="B219" s="20" t="s">
        <v>893</v>
      </c>
      <c r="C219" s="20" t="s">
        <v>767</v>
      </c>
      <c r="D219" s="20" t="s">
        <v>841</v>
      </c>
      <c r="E219" s="20" t="s">
        <v>878</v>
      </c>
      <c r="F219" s="20">
        <v>67</v>
      </c>
      <c r="G219" s="20"/>
      <c r="H219" s="20" t="s">
        <v>879</v>
      </c>
      <c r="I219" s="20">
        <v>0</v>
      </c>
      <c r="J219" s="20">
        <v>0.52</v>
      </c>
      <c r="K219" s="20">
        <v>35.46</v>
      </c>
    </row>
    <row r="220" spans="1:11" x14ac:dyDescent="0.25">
      <c r="A220" s="20" t="s">
        <v>892</v>
      </c>
      <c r="B220" s="20" t="s">
        <v>893</v>
      </c>
      <c r="C220" s="20" t="s">
        <v>767</v>
      </c>
      <c r="D220" s="20" t="s">
        <v>841</v>
      </c>
      <c r="E220" s="20" t="s">
        <v>878</v>
      </c>
      <c r="F220" s="20">
        <v>68</v>
      </c>
      <c r="G220" s="20"/>
      <c r="H220" s="20" t="s">
        <v>879</v>
      </c>
      <c r="I220" s="20">
        <v>0</v>
      </c>
      <c r="J220" s="20">
        <v>1.34</v>
      </c>
      <c r="K220" s="20">
        <v>34.119999999999997</v>
      </c>
    </row>
    <row r="221" spans="1:11" x14ac:dyDescent="0.25">
      <c r="A221" s="20" t="s">
        <v>892</v>
      </c>
      <c r="B221" s="20" t="s">
        <v>893</v>
      </c>
      <c r="C221" s="20" t="s">
        <v>767</v>
      </c>
      <c r="D221" s="20" t="s">
        <v>841</v>
      </c>
      <c r="E221" s="20" t="s">
        <v>878</v>
      </c>
      <c r="F221" s="20">
        <v>70</v>
      </c>
      <c r="G221" s="20"/>
      <c r="H221" s="20" t="s">
        <v>879</v>
      </c>
      <c r="I221" s="20">
        <v>0</v>
      </c>
      <c r="J221" s="20">
        <v>9.56</v>
      </c>
      <c r="K221" s="20">
        <v>24.56</v>
      </c>
    </row>
    <row r="222" spans="1:11" x14ac:dyDescent="0.25">
      <c r="A222" s="20" t="s">
        <v>892</v>
      </c>
      <c r="B222" s="20" t="s">
        <v>893</v>
      </c>
      <c r="C222" s="20" t="s">
        <v>767</v>
      </c>
      <c r="D222" s="20" t="s">
        <v>845</v>
      </c>
      <c r="E222" s="20" t="s">
        <v>878</v>
      </c>
      <c r="F222" s="20">
        <v>77</v>
      </c>
      <c r="G222" s="20"/>
      <c r="H222" s="20" t="s">
        <v>879</v>
      </c>
      <c r="I222" s="20">
        <v>0</v>
      </c>
      <c r="J222" s="20">
        <v>0.6</v>
      </c>
      <c r="K222" s="20">
        <v>23.96</v>
      </c>
    </row>
    <row r="223" spans="1:11" x14ac:dyDescent="0.25">
      <c r="A223" s="20" t="s">
        <v>892</v>
      </c>
      <c r="B223" s="20" t="s">
        <v>893</v>
      </c>
      <c r="C223" s="20" t="s">
        <v>767</v>
      </c>
      <c r="D223" s="20" t="s">
        <v>845</v>
      </c>
      <c r="E223" s="20" t="s">
        <v>878</v>
      </c>
      <c r="F223" s="20">
        <v>79</v>
      </c>
      <c r="G223" s="20"/>
      <c r="H223" s="20" t="s">
        <v>879</v>
      </c>
      <c r="I223" s="20">
        <v>0</v>
      </c>
      <c r="J223" s="20">
        <v>1.5</v>
      </c>
      <c r="K223" s="20">
        <v>22.46</v>
      </c>
    </row>
    <row r="224" spans="1:11" x14ac:dyDescent="0.25">
      <c r="A224" s="20" t="s">
        <v>894</v>
      </c>
      <c r="B224" s="20" t="s">
        <v>895</v>
      </c>
      <c r="C224" s="20" t="s">
        <v>767</v>
      </c>
      <c r="D224" s="20" t="s">
        <v>771</v>
      </c>
      <c r="E224" s="20" t="s">
        <v>772</v>
      </c>
      <c r="F224" s="20">
        <v>113</v>
      </c>
      <c r="G224" s="20">
        <v>77</v>
      </c>
      <c r="H224" s="20" t="s">
        <v>885</v>
      </c>
      <c r="I224" s="20">
        <v>0</v>
      </c>
      <c r="J224" s="20">
        <v>180</v>
      </c>
      <c r="K224" s="21">
        <v>1436.36</v>
      </c>
    </row>
    <row r="225" spans="1:11" x14ac:dyDescent="0.25">
      <c r="A225" s="20" t="s">
        <v>894</v>
      </c>
      <c r="B225" s="20" t="s">
        <v>895</v>
      </c>
      <c r="C225" s="20" t="s">
        <v>767</v>
      </c>
      <c r="D225" s="20" t="s">
        <v>771</v>
      </c>
      <c r="E225" s="20" t="s">
        <v>772</v>
      </c>
      <c r="F225" s="20">
        <v>113</v>
      </c>
      <c r="G225" s="20">
        <v>2</v>
      </c>
      <c r="H225" s="20" t="s">
        <v>886</v>
      </c>
      <c r="I225" s="20">
        <v>0</v>
      </c>
      <c r="J225" s="20">
        <v>20</v>
      </c>
      <c r="K225" s="21">
        <v>1416.36</v>
      </c>
    </row>
    <row r="226" spans="1:11" x14ac:dyDescent="0.25">
      <c r="A226" s="20" t="s">
        <v>894</v>
      </c>
      <c r="B226" s="20" t="s">
        <v>895</v>
      </c>
      <c r="C226" s="20" t="s">
        <v>767</v>
      </c>
      <c r="D226" s="20" t="s">
        <v>795</v>
      </c>
      <c r="E226" s="20" t="s">
        <v>772</v>
      </c>
      <c r="F226" s="20">
        <v>61</v>
      </c>
      <c r="G226" s="20">
        <v>192</v>
      </c>
      <c r="H226" s="20" t="s">
        <v>873</v>
      </c>
      <c r="I226" s="20">
        <v>0</v>
      </c>
      <c r="J226" s="20">
        <v>834.02</v>
      </c>
      <c r="K226" s="20">
        <v>582.34</v>
      </c>
    </row>
    <row r="227" spans="1:11" x14ac:dyDescent="0.25">
      <c r="A227" s="20" t="s">
        <v>894</v>
      </c>
      <c r="B227" s="20" t="s">
        <v>895</v>
      </c>
      <c r="C227" s="20" t="s">
        <v>767</v>
      </c>
      <c r="D227" s="20" t="s">
        <v>795</v>
      </c>
      <c r="E227" s="20" t="s">
        <v>772</v>
      </c>
      <c r="F227" s="20">
        <v>61</v>
      </c>
      <c r="G227" s="20">
        <v>193</v>
      </c>
      <c r="H227" s="20" t="s">
        <v>874</v>
      </c>
      <c r="I227" s="20">
        <v>0</v>
      </c>
      <c r="J227" s="20">
        <v>526.78</v>
      </c>
      <c r="K227" s="20">
        <v>55.56</v>
      </c>
    </row>
    <row r="228" spans="1:11" x14ac:dyDescent="0.25">
      <c r="A228" s="20" t="s">
        <v>894</v>
      </c>
      <c r="B228" s="20" t="s">
        <v>895</v>
      </c>
      <c r="C228" s="20" t="s">
        <v>767</v>
      </c>
      <c r="D228" s="20" t="s">
        <v>841</v>
      </c>
      <c r="E228" s="20" t="s">
        <v>772</v>
      </c>
      <c r="F228" s="20">
        <v>71</v>
      </c>
      <c r="G228" s="20">
        <v>1555</v>
      </c>
      <c r="H228" s="20" t="s">
        <v>887</v>
      </c>
      <c r="I228" s="20">
        <v>0</v>
      </c>
      <c r="J228" s="20">
        <v>55.56</v>
      </c>
      <c r="K228" s="20">
        <v>0</v>
      </c>
    </row>
    <row r="229" spans="1:11" x14ac:dyDescent="0.25">
      <c r="A229" s="20" t="s">
        <v>900</v>
      </c>
      <c r="B229" s="20" t="s">
        <v>901</v>
      </c>
      <c r="C229" s="20" t="s">
        <v>767</v>
      </c>
      <c r="D229" s="20" t="s">
        <v>771</v>
      </c>
      <c r="E229" s="20" t="s">
        <v>772</v>
      </c>
      <c r="F229" s="20">
        <v>113</v>
      </c>
      <c r="G229" s="20">
        <v>268</v>
      </c>
      <c r="H229" s="20" t="s">
        <v>773</v>
      </c>
      <c r="I229" s="20">
        <v>0</v>
      </c>
      <c r="J229" s="20">
        <v>9.48</v>
      </c>
      <c r="K229" s="20">
        <v>488.42</v>
      </c>
    </row>
    <row r="230" spans="1:11" x14ac:dyDescent="0.25">
      <c r="A230" s="20" t="s">
        <v>900</v>
      </c>
      <c r="B230" s="20" t="s">
        <v>901</v>
      </c>
      <c r="C230" s="20" t="s">
        <v>767</v>
      </c>
      <c r="D230" s="20" t="s">
        <v>771</v>
      </c>
      <c r="E230" s="20" t="s">
        <v>772</v>
      </c>
      <c r="F230" s="20">
        <v>113</v>
      </c>
      <c r="G230" s="20">
        <v>269</v>
      </c>
      <c r="H230" s="20" t="s">
        <v>774</v>
      </c>
      <c r="I230" s="20">
        <v>0</v>
      </c>
      <c r="J230" s="20">
        <v>2.12</v>
      </c>
      <c r="K230" s="20">
        <v>486.3</v>
      </c>
    </row>
    <row r="231" spans="1:11" x14ac:dyDescent="0.25">
      <c r="A231" s="20" t="s">
        <v>900</v>
      </c>
      <c r="B231" s="20" t="s">
        <v>901</v>
      </c>
      <c r="C231" s="20" t="s">
        <v>767</v>
      </c>
      <c r="D231" s="20" t="s">
        <v>771</v>
      </c>
      <c r="E231" s="20" t="s">
        <v>772</v>
      </c>
      <c r="F231" s="20">
        <v>113</v>
      </c>
      <c r="G231" s="20">
        <v>270</v>
      </c>
      <c r="H231" s="20" t="s">
        <v>775</v>
      </c>
      <c r="I231" s="20">
        <v>0</v>
      </c>
      <c r="J231" s="20">
        <v>1.18</v>
      </c>
      <c r="K231" s="20">
        <v>485.12</v>
      </c>
    </row>
    <row r="232" spans="1:11" x14ac:dyDescent="0.25">
      <c r="A232" s="20" t="s">
        <v>900</v>
      </c>
      <c r="B232" s="20" t="s">
        <v>901</v>
      </c>
      <c r="C232" s="20" t="s">
        <v>767</v>
      </c>
      <c r="D232" s="20" t="s">
        <v>771</v>
      </c>
      <c r="E232" s="20" t="s">
        <v>772</v>
      </c>
      <c r="F232" s="20">
        <v>113</v>
      </c>
      <c r="G232" s="20">
        <v>271</v>
      </c>
      <c r="H232" s="20" t="s">
        <v>776</v>
      </c>
      <c r="I232" s="20">
        <v>0</v>
      </c>
      <c r="J232" s="20">
        <v>5.37</v>
      </c>
      <c r="K232" s="20">
        <v>479.75</v>
      </c>
    </row>
    <row r="233" spans="1:11" x14ac:dyDescent="0.25">
      <c r="A233" s="20" t="s">
        <v>900</v>
      </c>
      <c r="B233" s="20" t="s">
        <v>901</v>
      </c>
      <c r="C233" s="20" t="s">
        <v>767</v>
      </c>
      <c r="D233" s="20" t="s">
        <v>777</v>
      </c>
      <c r="E233" s="20" t="s">
        <v>772</v>
      </c>
      <c r="F233" s="20">
        <v>166</v>
      </c>
      <c r="G233" s="20">
        <v>1345</v>
      </c>
      <c r="H233" s="20" t="s">
        <v>778</v>
      </c>
      <c r="I233" s="20">
        <v>0</v>
      </c>
      <c r="J233" s="20">
        <v>3.16</v>
      </c>
      <c r="K233" s="20">
        <v>476.59</v>
      </c>
    </row>
    <row r="234" spans="1:11" x14ac:dyDescent="0.25">
      <c r="A234" s="20" t="s">
        <v>900</v>
      </c>
      <c r="B234" s="20" t="s">
        <v>901</v>
      </c>
      <c r="C234" s="20" t="s">
        <v>767</v>
      </c>
      <c r="D234" s="20" t="s">
        <v>777</v>
      </c>
      <c r="E234" s="20" t="s">
        <v>772</v>
      </c>
      <c r="F234" s="20">
        <v>166</v>
      </c>
      <c r="G234" s="20">
        <v>1347</v>
      </c>
      <c r="H234" s="20" t="s">
        <v>779</v>
      </c>
      <c r="I234" s="20">
        <v>0</v>
      </c>
      <c r="J234" s="20">
        <v>1.66</v>
      </c>
      <c r="K234" s="20">
        <v>474.93</v>
      </c>
    </row>
    <row r="235" spans="1:11" x14ac:dyDescent="0.25">
      <c r="A235" s="20" t="s">
        <v>900</v>
      </c>
      <c r="B235" s="20" t="s">
        <v>901</v>
      </c>
      <c r="C235" s="20" t="s">
        <v>767</v>
      </c>
      <c r="D235" s="20" t="s">
        <v>777</v>
      </c>
      <c r="E235" s="20" t="s">
        <v>772</v>
      </c>
      <c r="F235" s="20">
        <v>166</v>
      </c>
      <c r="G235" s="20">
        <v>267</v>
      </c>
      <c r="H235" s="20" t="s">
        <v>780</v>
      </c>
      <c r="I235" s="20">
        <v>0</v>
      </c>
      <c r="J235" s="20">
        <v>33.020000000000003</v>
      </c>
      <c r="K235" s="20">
        <v>441.91</v>
      </c>
    </row>
    <row r="236" spans="1:11" x14ac:dyDescent="0.25">
      <c r="A236" s="20" t="s">
        <v>900</v>
      </c>
      <c r="B236" s="20" t="s">
        <v>901</v>
      </c>
      <c r="C236" s="20" t="s">
        <v>767</v>
      </c>
      <c r="D236" s="20" t="s">
        <v>781</v>
      </c>
      <c r="E236" s="20" t="s">
        <v>772</v>
      </c>
      <c r="F236" s="20">
        <v>186</v>
      </c>
      <c r="G236" s="20">
        <v>1349</v>
      </c>
      <c r="H236" s="20" t="s">
        <v>782</v>
      </c>
      <c r="I236" s="20">
        <v>0</v>
      </c>
      <c r="J236" s="20">
        <v>0.75</v>
      </c>
      <c r="K236" s="20">
        <v>441.16</v>
      </c>
    </row>
    <row r="237" spans="1:11" x14ac:dyDescent="0.25">
      <c r="A237" s="20" t="s">
        <v>900</v>
      </c>
      <c r="B237" s="20" t="s">
        <v>901</v>
      </c>
      <c r="C237" s="20" t="s">
        <v>767</v>
      </c>
      <c r="D237" s="20" t="s">
        <v>781</v>
      </c>
      <c r="E237" s="20" t="s">
        <v>772</v>
      </c>
      <c r="F237" s="20">
        <v>186</v>
      </c>
      <c r="G237" s="20">
        <v>62991</v>
      </c>
      <c r="H237" s="20" t="s">
        <v>783</v>
      </c>
      <c r="I237" s="20">
        <v>0</v>
      </c>
      <c r="J237" s="20">
        <v>1.51</v>
      </c>
      <c r="K237" s="20">
        <v>439.65</v>
      </c>
    </row>
    <row r="238" spans="1:11" x14ac:dyDescent="0.25">
      <c r="A238" s="20" t="s">
        <v>900</v>
      </c>
      <c r="B238" s="20" t="s">
        <v>901</v>
      </c>
      <c r="C238" s="20" t="s">
        <v>767</v>
      </c>
      <c r="D238" s="20" t="s">
        <v>781</v>
      </c>
      <c r="E238" s="20" t="s">
        <v>772</v>
      </c>
      <c r="F238" s="20">
        <v>186</v>
      </c>
      <c r="G238" s="20">
        <v>3567</v>
      </c>
      <c r="H238" s="20" t="s">
        <v>784</v>
      </c>
      <c r="I238" s="20">
        <v>0</v>
      </c>
      <c r="J238" s="20">
        <v>1.58</v>
      </c>
      <c r="K238" s="20">
        <v>438.07</v>
      </c>
    </row>
    <row r="239" spans="1:11" x14ac:dyDescent="0.25">
      <c r="A239" s="20" t="s">
        <v>900</v>
      </c>
      <c r="B239" s="20" t="s">
        <v>901</v>
      </c>
      <c r="C239" s="20" t="s">
        <v>767</v>
      </c>
      <c r="D239" s="20" t="s">
        <v>785</v>
      </c>
      <c r="E239" s="20" t="s">
        <v>772</v>
      </c>
      <c r="F239" s="20">
        <v>231</v>
      </c>
      <c r="G239" s="20">
        <v>1429</v>
      </c>
      <c r="H239" s="20" t="s">
        <v>786</v>
      </c>
      <c r="I239" s="20">
        <v>0</v>
      </c>
      <c r="J239" s="20">
        <v>0.44</v>
      </c>
      <c r="K239" s="20">
        <v>437.63</v>
      </c>
    </row>
    <row r="240" spans="1:11" x14ac:dyDescent="0.25">
      <c r="A240" s="20" t="s">
        <v>900</v>
      </c>
      <c r="B240" s="20" t="s">
        <v>901</v>
      </c>
      <c r="C240" s="20" t="s">
        <v>767</v>
      </c>
      <c r="D240" s="20" t="s">
        <v>785</v>
      </c>
      <c r="E240" s="20" t="s">
        <v>772</v>
      </c>
      <c r="F240" s="20">
        <v>231</v>
      </c>
      <c r="G240" s="20">
        <v>2987</v>
      </c>
      <c r="H240" s="20" t="s">
        <v>787</v>
      </c>
      <c r="I240" s="20">
        <v>0</v>
      </c>
      <c r="J240" s="20">
        <v>0.51</v>
      </c>
      <c r="K240" s="20">
        <v>437.12</v>
      </c>
    </row>
    <row r="241" spans="1:11" x14ac:dyDescent="0.25">
      <c r="A241" s="20" t="s">
        <v>900</v>
      </c>
      <c r="B241" s="20" t="s">
        <v>901</v>
      </c>
      <c r="C241" s="20" t="s">
        <v>767</v>
      </c>
      <c r="D241" s="20" t="s">
        <v>817</v>
      </c>
      <c r="E241" s="20" t="s">
        <v>772</v>
      </c>
      <c r="F241" s="20">
        <v>286</v>
      </c>
      <c r="G241" s="20">
        <v>238</v>
      </c>
      <c r="H241" s="20" t="s">
        <v>902</v>
      </c>
      <c r="I241" s="20">
        <v>0</v>
      </c>
      <c r="J241" s="20">
        <v>1.75</v>
      </c>
      <c r="K241" s="20">
        <v>435.37</v>
      </c>
    </row>
    <row r="242" spans="1:11" x14ac:dyDescent="0.25">
      <c r="A242" s="20" t="s">
        <v>900</v>
      </c>
      <c r="B242" s="20" t="s">
        <v>901</v>
      </c>
      <c r="C242" s="20" t="s">
        <v>767</v>
      </c>
      <c r="D242" s="20" t="s">
        <v>817</v>
      </c>
      <c r="E242" s="20" t="s">
        <v>772</v>
      </c>
      <c r="F242" s="20">
        <v>286</v>
      </c>
      <c r="G242" s="20">
        <v>240</v>
      </c>
      <c r="H242" s="20" t="s">
        <v>903</v>
      </c>
      <c r="I242" s="20">
        <v>0</v>
      </c>
      <c r="J242" s="20">
        <v>1.75</v>
      </c>
      <c r="K242" s="20">
        <v>433.62</v>
      </c>
    </row>
    <row r="243" spans="1:11" x14ac:dyDescent="0.25">
      <c r="A243" s="20" t="s">
        <v>900</v>
      </c>
      <c r="B243" s="20" t="s">
        <v>901</v>
      </c>
      <c r="C243" s="20" t="s">
        <v>767</v>
      </c>
      <c r="D243" s="20" t="s">
        <v>788</v>
      </c>
      <c r="E243" s="20" t="s">
        <v>772</v>
      </c>
      <c r="F243" s="20">
        <v>299</v>
      </c>
      <c r="G243" s="20">
        <v>167</v>
      </c>
      <c r="H243" s="20" t="s">
        <v>789</v>
      </c>
      <c r="I243" s="20">
        <v>0</v>
      </c>
      <c r="J243" s="20">
        <v>3.08</v>
      </c>
      <c r="K243" s="20">
        <v>430.54</v>
      </c>
    </row>
    <row r="244" spans="1:11" x14ac:dyDescent="0.25">
      <c r="A244" s="20" t="s">
        <v>900</v>
      </c>
      <c r="B244" s="20" t="s">
        <v>901</v>
      </c>
      <c r="C244" s="20" t="s">
        <v>767</v>
      </c>
      <c r="D244" s="20" t="s">
        <v>788</v>
      </c>
      <c r="E244" s="20" t="s">
        <v>772</v>
      </c>
      <c r="F244" s="20">
        <v>299</v>
      </c>
      <c r="G244" s="20">
        <v>3579</v>
      </c>
      <c r="H244" s="20" t="s">
        <v>790</v>
      </c>
      <c r="I244" s="20">
        <v>0</v>
      </c>
      <c r="J244" s="20">
        <v>1.05</v>
      </c>
      <c r="K244" s="20">
        <v>429.49</v>
      </c>
    </row>
    <row r="245" spans="1:11" x14ac:dyDescent="0.25">
      <c r="A245" s="20" t="s">
        <v>900</v>
      </c>
      <c r="B245" s="20" t="s">
        <v>901</v>
      </c>
      <c r="C245" s="20" t="s">
        <v>767</v>
      </c>
      <c r="D245" s="20" t="s">
        <v>788</v>
      </c>
      <c r="E245" s="20" t="s">
        <v>772</v>
      </c>
      <c r="F245" s="20">
        <v>299</v>
      </c>
      <c r="G245" s="20">
        <v>3580</v>
      </c>
      <c r="H245" s="20" t="s">
        <v>791</v>
      </c>
      <c r="I245" s="20">
        <v>0</v>
      </c>
      <c r="J245" s="20">
        <v>1.05</v>
      </c>
      <c r="K245" s="20">
        <v>428.44</v>
      </c>
    </row>
    <row r="246" spans="1:11" x14ac:dyDescent="0.25">
      <c r="A246" s="20" t="s">
        <v>900</v>
      </c>
      <c r="B246" s="20" t="s">
        <v>901</v>
      </c>
      <c r="C246" s="20" t="s">
        <v>767</v>
      </c>
      <c r="D246" s="20" t="s">
        <v>788</v>
      </c>
      <c r="E246" s="20" t="s">
        <v>772</v>
      </c>
      <c r="F246" s="20">
        <v>299</v>
      </c>
      <c r="G246" s="20">
        <v>3585</v>
      </c>
      <c r="H246" s="20" t="s">
        <v>792</v>
      </c>
      <c r="I246" s="20">
        <v>0</v>
      </c>
      <c r="J246" s="20">
        <v>0.26</v>
      </c>
      <c r="K246" s="20">
        <v>428.18</v>
      </c>
    </row>
    <row r="247" spans="1:11" x14ac:dyDescent="0.25">
      <c r="A247" s="20" t="s">
        <v>900</v>
      </c>
      <c r="B247" s="20" t="s">
        <v>901</v>
      </c>
      <c r="C247" s="20" t="s">
        <v>767</v>
      </c>
      <c r="D247" s="20" t="s">
        <v>793</v>
      </c>
      <c r="E247" s="20" t="s">
        <v>772</v>
      </c>
      <c r="F247" s="20">
        <v>479</v>
      </c>
      <c r="G247" s="20">
        <v>1751</v>
      </c>
      <c r="H247" s="20" t="s">
        <v>794</v>
      </c>
      <c r="I247" s="20">
        <v>0.35</v>
      </c>
      <c r="J247" s="20">
        <v>0</v>
      </c>
      <c r="K247" s="20">
        <v>428.53</v>
      </c>
    </row>
    <row r="248" spans="1:11" x14ac:dyDescent="0.25">
      <c r="A248" s="20" t="s">
        <v>900</v>
      </c>
      <c r="B248" s="20" t="s">
        <v>901</v>
      </c>
      <c r="C248" s="20" t="s">
        <v>767</v>
      </c>
      <c r="D248" s="20" t="s">
        <v>795</v>
      </c>
      <c r="E248" s="20" t="s">
        <v>772</v>
      </c>
      <c r="F248" s="20">
        <v>61</v>
      </c>
      <c r="G248" s="20">
        <v>3553</v>
      </c>
      <c r="H248" s="20" t="s">
        <v>796</v>
      </c>
      <c r="I248" s="20">
        <v>0</v>
      </c>
      <c r="J248" s="20">
        <v>0.09</v>
      </c>
      <c r="K248" s="20">
        <v>428.44</v>
      </c>
    </row>
    <row r="249" spans="1:11" x14ac:dyDescent="0.25">
      <c r="A249" s="20" t="s">
        <v>900</v>
      </c>
      <c r="B249" s="20" t="s">
        <v>901</v>
      </c>
      <c r="C249" s="20" t="s">
        <v>767</v>
      </c>
      <c r="D249" s="20" t="s">
        <v>797</v>
      </c>
      <c r="E249" s="20" t="s">
        <v>798</v>
      </c>
      <c r="F249" s="20">
        <v>123</v>
      </c>
      <c r="G249" s="20">
        <v>521</v>
      </c>
      <c r="H249" s="20" t="s">
        <v>799</v>
      </c>
      <c r="I249" s="20">
        <v>0</v>
      </c>
      <c r="J249" s="20">
        <v>3.62</v>
      </c>
      <c r="K249" s="20">
        <v>424.82</v>
      </c>
    </row>
    <row r="250" spans="1:11" x14ac:dyDescent="0.25">
      <c r="A250" s="20" t="s">
        <v>900</v>
      </c>
      <c r="B250" s="20" t="s">
        <v>901</v>
      </c>
      <c r="C250" s="20" t="s">
        <v>767</v>
      </c>
      <c r="D250" s="20" t="s">
        <v>800</v>
      </c>
      <c r="E250" s="20" t="s">
        <v>798</v>
      </c>
      <c r="F250" s="20">
        <v>128</v>
      </c>
      <c r="G250" s="20">
        <v>1049</v>
      </c>
      <c r="H250" s="20" t="s">
        <v>801</v>
      </c>
      <c r="I250" s="20">
        <v>0</v>
      </c>
      <c r="J250" s="20">
        <v>0.7</v>
      </c>
      <c r="K250" s="20">
        <v>424.12</v>
      </c>
    </row>
    <row r="251" spans="1:11" x14ac:dyDescent="0.25">
      <c r="A251" s="20" t="s">
        <v>900</v>
      </c>
      <c r="B251" s="20" t="s">
        <v>901</v>
      </c>
      <c r="C251" s="20" t="s">
        <v>767</v>
      </c>
      <c r="D251" s="20" t="s">
        <v>800</v>
      </c>
      <c r="E251" s="20" t="s">
        <v>798</v>
      </c>
      <c r="F251" s="20">
        <v>128</v>
      </c>
      <c r="G251" s="20">
        <v>2759</v>
      </c>
      <c r="H251" s="20" t="s">
        <v>802</v>
      </c>
      <c r="I251" s="20">
        <v>0</v>
      </c>
      <c r="J251" s="20">
        <v>26.05</v>
      </c>
      <c r="K251" s="20">
        <v>398.07</v>
      </c>
    </row>
    <row r="252" spans="1:11" x14ac:dyDescent="0.25">
      <c r="A252" s="20" t="s">
        <v>900</v>
      </c>
      <c r="B252" s="20" t="s">
        <v>901</v>
      </c>
      <c r="C252" s="20" t="s">
        <v>767</v>
      </c>
      <c r="D252" s="20" t="s">
        <v>777</v>
      </c>
      <c r="E252" s="20" t="s">
        <v>798</v>
      </c>
      <c r="F252" s="20">
        <v>145</v>
      </c>
      <c r="G252" s="20">
        <v>523</v>
      </c>
      <c r="H252" s="20" t="s">
        <v>803</v>
      </c>
      <c r="I252" s="20">
        <v>0</v>
      </c>
      <c r="J252" s="20">
        <v>3.52</v>
      </c>
      <c r="K252" s="20">
        <v>394.55</v>
      </c>
    </row>
    <row r="253" spans="1:11" x14ac:dyDescent="0.25">
      <c r="A253" s="20" t="s">
        <v>900</v>
      </c>
      <c r="B253" s="20" t="s">
        <v>901</v>
      </c>
      <c r="C253" s="20" t="s">
        <v>767</v>
      </c>
      <c r="D253" s="20" t="s">
        <v>777</v>
      </c>
      <c r="E253" s="20" t="s">
        <v>798</v>
      </c>
      <c r="F253" s="20">
        <v>145</v>
      </c>
      <c r="G253" s="20">
        <v>528</v>
      </c>
      <c r="H253" s="20" t="s">
        <v>804</v>
      </c>
      <c r="I253" s="20">
        <v>0</v>
      </c>
      <c r="J253" s="20">
        <v>1.79</v>
      </c>
      <c r="K253" s="20">
        <v>392.76</v>
      </c>
    </row>
    <row r="254" spans="1:11" x14ac:dyDescent="0.25">
      <c r="A254" s="20" t="s">
        <v>900</v>
      </c>
      <c r="B254" s="20" t="s">
        <v>901</v>
      </c>
      <c r="C254" s="20" t="s">
        <v>767</v>
      </c>
      <c r="D254" s="20" t="s">
        <v>781</v>
      </c>
      <c r="E254" s="20" t="s">
        <v>798</v>
      </c>
      <c r="F254" s="20">
        <v>167</v>
      </c>
      <c r="G254" s="20">
        <v>535</v>
      </c>
      <c r="H254" s="20" t="s">
        <v>805</v>
      </c>
      <c r="I254" s="20">
        <v>0</v>
      </c>
      <c r="J254" s="20">
        <v>0.19</v>
      </c>
      <c r="K254" s="20">
        <v>392.57</v>
      </c>
    </row>
    <row r="255" spans="1:11" x14ac:dyDescent="0.25">
      <c r="A255" s="20" t="s">
        <v>900</v>
      </c>
      <c r="B255" s="20" t="s">
        <v>901</v>
      </c>
      <c r="C255" s="20" t="s">
        <v>767</v>
      </c>
      <c r="D255" s="20" t="s">
        <v>781</v>
      </c>
      <c r="E255" s="20" t="s">
        <v>798</v>
      </c>
      <c r="F255" s="20">
        <v>167</v>
      </c>
      <c r="G255" s="20">
        <v>536</v>
      </c>
      <c r="H255" s="20" t="s">
        <v>806</v>
      </c>
      <c r="I255" s="20">
        <v>0</v>
      </c>
      <c r="J255" s="20">
        <v>2.16</v>
      </c>
      <c r="K255" s="20">
        <v>390.41</v>
      </c>
    </row>
    <row r="256" spans="1:11" x14ac:dyDescent="0.25">
      <c r="A256" s="20" t="s">
        <v>900</v>
      </c>
      <c r="B256" s="20" t="s">
        <v>901</v>
      </c>
      <c r="C256" s="20" t="s">
        <v>767</v>
      </c>
      <c r="D256" s="20" t="s">
        <v>781</v>
      </c>
      <c r="E256" s="20" t="s">
        <v>798</v>
      </c>
      <c r="F256" s="20">
        <v>168</v>
      </c>
      <c r="G256" s="20">
        <v>31613</v>
      </c>
      <c r="H256" s="20" t="s">
        <v>807</v>
      </c>
      <c r="I256" s="20">
        <v>0</v>
      </c>
      <c r="J256" s="20">
        <v>46.99</v>
      </c>
      <c r="K256" s="20">
        <v>343.42</v>
      </c>
    </row>
    <row r="257" spans="1:11" x14ac:dyDescent="0.25">
      <c r="A257" s="20" t="s">
        <v>900</v>
      </c>
      <c r="B257" s="20" t="s">
        <v>901</v>
      </c>
      <c r="C257" s="20" t="s">
        <v>767</v>
      </c>
      <c r="D257" s="20" t="s">
        <v>785</v>
      </c>
      <c r="E257" s="20" t="s">
        <v>798</v>
      </c>
      <c r="F257" s="20">
        <v>223</v>
      </c>
      <c r="G257" s="20">
        <v>104</v>
      </c>
      <c r="H257" s="20" t="s">
        <v>809</v>
      </c>
      <c r="I257" s="20">
        <v>0</v>
      </c>
      <c r="J257" s="20">
        <v>0.7</v>
      </c>
      <c r="K257" s="20">
        <v>342.72</v>
      </c>
    </row>
    <row r="258" spans="1:11" x14ac:dyDescent="0.25">
      <c r="A258" s="20" t="s">
        <v>900</v>
      </c>
      <c r="B258" s="20" t="s">
        <v>901</v>
      </c>
      <c r="C258" s="20" t="s">
        <v>767</v>
      </c>
      <c r="D258" s="20" t="s">
        <v>785</v>
      </c>
      <c r="E258" s="20" t="s">
        <v>798</v>
      </c>
      <c r="F258" s="20">
        <v>224</v>
      </c>
      <c r="G258" s="20">
        <v>9674</v>
      </c>
      <c r="H258" s="20" t="s">
        <v>810</v>
      </c>
      <c r="I258" s="20">
        <v>0</v>
      </c>
      <c r="J258" s="20">
        <v>6.39</v>
      </c>
      <c r="K258" s="20">
        <v>336.33</v>
      </c>
    </row>
    <row r="259" spans="1:11" x14ac:dyDescent="0.25">
      <c r="A259" s="20" t="s">
        <v>900</v>
      </c>
      <c r="B259" s="20" t="s">
        <v>901</v>
      </c>
      <c r="C259" s="20" t="s">
        <v>767</v>
      </c>
      <c r="D259" s="20" t="s">
        <v>811</v>
      </c>
      <c r="E259" s="20" t="s">
        <v>798</v>
      </c>
      <c r="F259" s="20">
        <v>232</v>
      </c>
      <c r="G259" s="20">
        <v>4672</v>
      </c>
      <c r="H259" s="20" t="s">
        <v>812</v>
      </c>
      <c r="I259" s="20">
        <v>0</v>
      </c>
      <c r="J259" s="20">
        <v>4.99</v>
      </c>
      <c r="K259" s="20">
        <v>331.34</v>
      </c>
    </row>
    <row r="260" spans="1:11" x14ac:dyDescent="0.25">
      <c r="A260" s="20" t="s">
        <v>900</v>
      </c>
      <c r="B260" s="20" t="s">
        <v>901</v>
      </c>
      <c r="C260" s="20" t="s">
        <v>767</v>
      </c>
      <c r="D260" s="20" t="s">
        <v>811</v>
      </c>
      <c r="E260" s="20" t="s">
        <v>798</v>
      </c>
      <c r="F260" s="20">
        <v>232</v>
      </c>
      <c r="G260" s="20">
        <v>31647</v>
      </c>
      <c r="H260" s="20" t="s">
        <v>813</v>
      </c>
      <c r="I260" s="20">
        <v>0</v>
      </c>
      <c r="J260" s="20">
        <v>3.5</v>
      </c>
      <c r="K260" s="20">
        <v>327.84</v>
      </c>
    </row>
    <row r="261" spans="1:11" x14ac:dyDescent="0.25">
      <c r="A261" s="20" t="s">
        <v>900</v>
      </c>
      <c r="B261" s="20" t="s">
        <v>901</v>
      </c>
      <c r="C261" s="20" t="s">
        <v>767</v>
      </c>
      <c r="D261" s="20" t="s">
        <v>768</v>
      </c>
      <c r="E261" s="20" t="s">
        <v>798</v>
      </c>
      <c r="F261" s="20">
        <v>261</v>
      </c>
      <c r="G261" s="20">
        <v>549</v>
      </c>
      <c r="H261" s="20" t="s">
        <v>814</v>
      </c>
      <c r="I261" s="20">
        <v>0</v>
      </c>
      <c r="J261" s="20">
        <v>8.09</v>
      </c>
      <c r="K261" s="20">
        <v>319.75</v>
      </c>
    </row>
    <row r="262" spans="1:11" x14ac:dyDescent="0.25">
      <c r="A262" s="20" t="s">
        <v>900</v>
      </c>
      <c r="B262" s="20" t="s">
        <v>901</v>
      </c>
      <c r="C262" s="20" t="s">
        <v>767</v>
      </c>
      <c r="D262" s="20" t="s">
        <v>768</v>
      </c>
      <c r="E262" s="20" t="s">
        <v>798</v>
      </c>
      <c r="F262" s="20">
        <v>261</v>
      </c>
      <c r="G262" s="20">
        <v>553</v>
      </c>
      <c r="H262" s="20" t="s">
        <v>815</v>
      </c>
      <c r="I262" s="20">
        <v>0</v>
      </c>
      <c r="J262" s="20">
        <v>2.17</v>
      </c>
      <c r="K262" s="20">
        <v>317.58</v>
      </c>
    </row>
    <row r="263" spans="1:11" x14ac:dyDescent="0.25">
      <c r="A263" s="20" t="s">
        <v>900</v>
      </c>
      <c r="B263" s="20" t="s">
        <v>901</v>
      </c>
      <c r="C263" s="20" t="s">
        <v>767</v>
      </c>
      <c r="D263" s="20" t="s">
        <v>768</v>
      </c>
      <c r="E263" s="20" t="s">
        <v>798</v>
      </c>
      <c r="F263" s="20">
        <v>261</v>
      </c>
      <c r="G263" s="20">
        <v>554</v>
      </c>
      <c r="H263" s="20" t="s">
        <v>816</v>
      </c>
      <c r="I263" s="20">
        <v>0</v>
      </c>
      <c r="J263" s="20">
        <v>8.81</v>
      </c>
      <c r="K263" s="20">
        <v>308.77</v>
      </c>
    </row>
    <row r="264" spans="1:11" x14ac:dyDescent="0.25">
      <c r="A264" s="20" t="s">
        <v>900</v>
      </c>
      <c r="B264" s="20" t="s">
        <v>901</v>
      </c>
      <c r="C264" s="20" t="s">
        <v>767</v>
      </c>
      <c r="D264" s="20" t="s">
        <v>817</v>
      </c>
      <c r="E264" s="20" t="s">
        <v>798</v>
      </c>
      <c r="F264" s="20">
        <v>279</v>
      </c>
      <c r="G264" s="20">
        <v>558</v>
      </c>
      <c r="H264" s="20" t="s">
        <v>818</v>
      </c>
      <c r="I264" s="20">
        <v>0</v>
      </c>
      <c r="J264" s="20">
        <v>0.2</v>
      </c>
      <c r="K264" s="20">
        <v>308.57</v>
      </c>
    </row>
    <row r="265" spans="1:11" x14ac:dyDescent="0.25">
      <c r="A265" s="20" t="s">
        <v>900</v>
      </c>
      <c r="B265" s="20" t="s">
        <v>901</v>
      </c>
      <c r="C265" s="20" t="s">
        <v>767</v>
      </c>
      <c r="D265" s="20" t="s">
        <v>817</v>
      </c>
      <c r="E265" s="20" t="s">
        <v>798</v>
      </c>
      <c r="F265" s="20">
        <v>280</v>
      </c>
      <c r="G265" s="20">
        <v>4700</v>
      </c>
      <c r="H265" s="20" t="s">
        <v>819</v>
      </c>
      <c r="I265" s="20">
        <v>0</v>
      </c>
      <c r="J265" s="20">
        <v>36.049999999999997</v>
      </c>
      <c r="K265" s="20">
        <v>272.52</v>
      </c>
    </row>
    <row r="266" spans="1:11" x14ac:dyDescent="0.25">
      <c r="A266" s="20" t="s">
        <v>900</v>
      </c>
      <c r="B266" s="20" t="s">
        <v>901</v>
      </c>
      <c r="C266" s="20" t="s">
        <v>767</v>
      </c>
      <c r="D266" s="20" t="s">
        <v>817</v>
      </c>
      <c r="E266" s="20" t="s">
        <v>798</v>
      </c>
      <c r="F266" s="20">
        <v>280</v>
      </c>
      <c r="G266" s="20">
        <v>31673</v>
      </c>
      <c r="H266" s="20" t="s">
        <v>820</v>
      </c>
      <c r="I266" s="20">
        <v>0</v>
      </c>
      <c r="J266" s="20">
        <v>3.5</v>
      </c>
      <c r="K266" s="20">
        <v>269.02</v>
      </c>
    </row>
    <row r="267" spans="1:11" x14ac:dyDescent="0.25">
      <c r="A267" s="20" t="s">
        <v>900</v>
      </c>
      <c r="B267" s="20" t="s">
        <v>901</v>
      </c>
      <c r="C267" s="20" t="s">
        <v>767</v>
      </c>
      <c r="D267" s="20" t="s">
        <v>788</v>
      </c>
      <c r="E267" s="20" t="s">
        <v>798</v>
      </c>
      <c r="F267" s="20">
        <v>295</v>
      </c>
      <c r="G267" s="20">
        <v>7347</v>
      </c>
      <c r="H267" s="20" t="s">
        <v>821</v>
      </c>
      <c r="I267" s="20">
        <v>0</v>
      </c>
      <c r="J267" s="20">
        <v>1.84</v>
      </c>
      <c r="K267" s="20">
        <v>267.18</v>
      </c>
    </row>
    <row r="268" spans="1:11" x14ac:dyDescent="0.25">
      <c r="A268" s="20" t="s">
        <v>900</v>
      </c>
      <c r="B268" s="20" t="s">
        <v>901</v>
      </c>
      <c r="C268" s="20" t="s">
        <v>767</v>
      </c>
      <c r="D268" s="20" t="s">
        <v>822</v>
      </c>
      <c r="E268" s="20" t="s">
        <v>798</v>
      </c>
      <c r="F268" s="20">
        <v>301</v>
      </c>
      <c r="G268" s="20">
        <v>565</v>
      </c>
      <c r="H268" s="20" t="s">
        <v>823</v>
      </c>
      <c r="I268" s="20">
        <v>0</v>
      </c>
      <c r="J268" s="20">
        <v>0.06</v>
      </c>
      <c r="K268" s="20">
        <v>267.12</v>
      </c>
    </row>
    <row r="269" spans="1:11" x14ac:dyDescent="0.25">
      <c r="A269" s="20" t="s">
        <v>900</v>
      </c>
      <c r="B269" s="20" t="s">
        <v>901</v>
      </c>
      <c r="C269" s="20" t="s">
        <v>767</v>
      </c>
      <c r="D269" s="20" t="s">
        <v>824</v>
      </c>
      <c r="E269" s="20" t="s">
        <v>798</v>
      </c>
      <c r="F269" s="20">
        <v>380</v>
      </c>
      <c r="G269" s="20">
        <v>113</v>
      </c>
      <c r="H269" s="20" t="s">
        <v>825</v>
      </c>
      <c r="I269" s="20">
        <v>0</v>
      </c>
      <c r="J269" s="20">
        <v>2.8</v>
      </c>
      <c r="K269" s="20">
        <v>264.32</v>
      </c>
    </row>
    <row r="270" spans="1:11" x14ac:dyDescent="0.25">
      <c r="A270" s="20" t="s">
        <v>900</v>
      </c>
      <c r="B270" s="20" t="s">
        <v>901</v>
      </c>
      <c r="C270" s="20" t="s">
        <v>767</v>
      </c>
      <c r="D270" s="20" t="s">
        <v>824</v>
      </c>
      <c r="E270" s="20" t="s">
        <v>798</v>
      </c>
      <c r="F270" s="20">
        <v>380</v>
      </c>
      <c r="G270" s="20">
        <v>114</v>
      </c>
      <c r="H270" s="20" t="s">
        <v>826</v>
      </c>
      <c r="I270" s="20">
        <v>0</v>
      </c>
      <c r="J270" s="20">
        <v>0.7</v>
      </c>
      <c r="K270" s="20">
        <v>263.62</v>
      </c>
    </row>
    <row r="271" spans="1:11" x14ac:dyDescent="0.25">
      <c r="A271" s="20" t="s">
        <v>900</v>
      </c>
      <c r="B271" s="20" t="s">
        <v>901</v>
      </c>
      <c r="C271" s="20" t="s">
        <v>767</v>
      </c>
      <c r="D271" s="20" t="s">
        <v>824</v>
      </c>
      <c r="E271" s="20" t="s">
        <v>798</v>
      </c>
      <c r="F271" s="20">
        <v>380</v>
      </c>
      <c r="G271" s="20">
        <v>2810</v>
      </c>
      <c r="H271" s="20" t="s">
        <v>827</v>
      </c>
      <c r="I271" s="20">
        <v>0</v>
      </c>
      <c r="J271" s="20">
        <v>4.76</v>
      </c>
      <c r="K271" s="20">
        <v>258.86</v>
      </c>
    </row>
    <row r="272" spans="1:11" x14ac:dyDescent="0.25">
      <c r="A272" s="20" t="s">
        <v>900</v>
      </c>
      <c r="B272" s="20" t="s">
        <v>901</v>
      </c>
      <c r="C272" s="20" t="s">
        <v>767</v>
      </c>
      <c r="D272" s="20" t="s">
        <v>824</v>
      </c>
      <c r="E272" s="20" t="s">
        <v>798</v>
      </c>
      <c r="F272" s="20">
        <v>380</v>
      </c>
      <c r="G272" s="20">
        <v>31752</v>
      </c>
      <c r="H272" s="20" t="s">
        <v>828</v>
      </c>
      <c r="I272" s="20">
        <v>0</v>
      </c>
      <c r="J272" s="20">
        <v>7.35</v>
      </c>
      <c r="K272" s="20">
        <v>251.51</v>
      </c>
    </row>
    <row r="273" spans="1:11" x14ac:dyDescent="0.25">
      <c r="A273" s="20" t="s">
        <v>900</v>
      </c>
      <c r="B273" s="20" t="s">
        <v>901</v>
      </c>
      <c r="C273" s="20" t="s">
        <v>767</v>
      </c>
      <c r="D273" s="20" t="s">
        <v>829</v>
      </c>
      <c r="E273" s="20" t="s">
        <v>798</v>
      </c>
      <c r="F273" s="20">
        <v>390</v>
      </c>
      <c r="G273" s="20">
        <v>19434</v>
      </c>
      <c r="H273" s="20" t="s">
        <v>830</v>
      </c>
      <c r="I273" s="20">
        <v>0</v>
      </c>
      <c r="J273" s="20">
        <v>3.95</v>
      </c>
      <c r="K273" s="20">
        <v>247.56</v>
      </c>
    </row>
    <row r="274" spans="1:11" x14ac:dyDescent="0.25">
      <c r="A274" s="20" t="s">
        <v>900</v>
      </c>
      <c r="B274" s="20" t="s">
        <v>901</v>
      </c>
      <c r="C274" s="20" t="s">
        <v>767</v>
      </c>
      <c r="D274" s="20" t="s">
        <v>829</v>
      </c>
      <c r="E274" s="20" t="s">
        <v>798</v>
      </c>
      <c r="F274" s="20">
        <v>390</v>
      </c>
      <c r="G274" s="20">
        <v>571</v>
      </c>
      <c r="H274" s="20" t="s">
        <v>831</v>
      </c>
      <c r="I274" s="20">
        <v>0</v>
      </c>
      <c r="J274" s="20">
        <v>14.96</v>
      </c>
      <c r="K274" s="20">
        <v>232.6</v>
      </c>
    </row>
    <row r="275" spans="1:11" x14ac:dyDescent="0.25">
      <c r="A275" s="20" t="s">
        <v>900</v>
      </c>
      <c r="B275" s="20" t="s">
        <v>901</v>
      </c>
      <c r="C275" s="20" t="s">
        <v>767</v>
      </c>
      <c r="D275" s="20" t="s">
        <v>829</v>
      </c>
      <c r="E275" s="20" t="s">
        <v>798</v>
      </c>
      <c r="F275" s="20">
        <v>390</v>
      </c>
      <c r="G275" s="20">
        <v>576</v>
      </c>
      <c r="H275" s="20" t="s">
        <v>832</v>
      </c>
      <c r="I275" s="20">
        <v>0</v>
      </c>
      <c r="J275" s="20">
        <v>23.21</v>
      </c>
      <c r="K275" s="20">
        <v>209.39</v>
      </c>
    </row>
    <row r="276" spans="1:11" x14ac:dyDescent="0.25">
      <c r="A276" s="20" t="s">
        <v>900</v>
      </c>
      <c r="B276" s="20" t="s">
        <v>901</v>
      </c>
      <c r="C276" s="20" t="s">
        <v>767</v>
      </c>
      <c r="D276" s="20" t="s">
        <v>829</v>
      </c>
      <c r="E276" s="20" t="s">
        <v>798</v>
      </c>
      <c r="F276" s="20">
        <v>390</v>
      </c>
      <c r="G276" s="20">
        <v>583</v>
      </c>
      <c r="H276" s="20" t="s">
        <v>833</v>
      </c>
      <c r="I276" s="20">
        <v>0</v>
      </c>
      <c r="J276" s="20">
        <v>0.35</v>
      </c>
      <c r="K276" s="20">
        <v>209.04</v>
      </c>
    </row>
    <row r="277" spans="1:11" x14ac:dyDescent="0.25">
      <c r="A277" s="20" t="s">
        <v>900</v>
      </c>
      <c r="B277" s="20" t="s">
        <v>901</v>
      </c>
      <c r="C277" s="20" t="s">
        <v>767</v>
      </c>
      <c r="D277" s="20" t="s">
        <v>829</v>
      </c>
      <c r="E277" s="20" t="s">
        <v>798</v>
      </c>
      <c r="F277" s="20">
        <v>390</v>
      </c>
      <c r="G277" s="20">
        <v>585</v>
      </c>
      <c r="H277" s="20" t="s">
        <v>834</v>
      </c>
      <c r="I277" s="20">
        <v>0</v>
      </c>
      <c r="J277" s="20">
        <v>6.47</v>
      </c>
      <c r="K277" s="20">
        <v>202.57</v>
      </c>
    </row>
    <row r="278" spans="1:11" x14ac:dyDescent="0.25">
      <c r="A278" s="20" t="s">
        <v>900</v>
      </c>
      <c r="B278" s="20" t="s">
        <v>901</v>
      </c>
      <c r="C278" s="20" t="s">
        <v>767</v>
      </c>
      <c r="D278" s="20" t="s">
        <v>829</v>
      </c>
      <c r="E278" s="20" t="s">
        <v>798</v>
      </c>
      <c r="F278" s="20">
        <v>391</v>
      </c>
      <c r="G278" s="20">
        <v>2818</v>
      </c>
      <c r="H278" s="20" t="s">
        <v>835</v>
      </c>
      <c r="I278" s="20">
        <v>0</v>
      </c>
      <c r="J278" s="20">
        <v>8.4</v>
      </c>
      <c r="K278" s="20">
        <v>194.17</v>
      </c>
    </row>
    <row r="279" spans="1:11" x14ac:dyDescent="0.25">
      <c r="A279" s="20" t="s">
        <v>900</v>
      </c>
      <c r="B279" s="20" t="s">
        <v>901</v>
      </c>
      <c r="C279" s="20" t="s">
        <v>767</v>
      </c>
      <c r="D279" s="20" t="s">
        <v>829</v>
      </c>
      <c r="E279" s="20" t="s">
        <v>798</v>
      </c>
      <c r="F279" s="20">
        <v>391</v>
      </c>
      <c r="G279" s="20">
        <v>31770</v>
      </c>
      <c r="H279" s="20" t="s">
        <v>836</v>
      </c>
      <c r="I279" s="20">
        <v>0</v>
      </c>
      <c r="J279" s="20">
        <v>15.4</v>
      </c>
      <c r="K279" s="20">
        <v>178.77</v>
      </c>
    </row>
    <row r="280" spans="1:11" x14ac:dyDescent="0.25">
      <c r="A280" s="20" t="s">
        <v>900</v>
      </c>
      <c r="B280" s="20" t="s">
        <v>901</v>
      </c>
      <c r="C280" s="20" t="s">
        <v>767</v>
      </c>
      <c r="D280" s="20" t="s">
        <v>829</v>
      </c>
      <c r="E280" s="20" t="s">
        <v>798</v>
      </c>
      <c r="F280" s="20">
        <v>392</v>
      </c>
      <c r="G280" s="20">
        <v>1751</v>
      </c>
      <c r="H280" s="20" t="s">
        <v>837</v>
      </c>
      <c r="I280" s="20">
        <v>0</v>
      </c>
      <c r="J280" s="20">
        <v>0.35</v>
      </c>
      <c r="K280" s="20">
        <v>178.42</v>
      </c>
    </row>
    <row r="281" spans="1:11" x14ac:dyDescent="0.25">
      <c r="A281" s="20" t="s">
        <v>900</v>
      </c>
      <c r="B281" s="20" t="s">
        <v>901</v>
      </c>
      <c r="C281" s="20" t="s">
        <v>767</v>
      </c>
      <c r="D281" s="20" t="s">
        <v>793</v>
      </c>
      <c r="E281" s="20" t="s">
        <v>798</v>
      </c>
      <c r="F281" s="20">
        <v>395</v>
      </c>
      <c r="G281" s="20">
        <v>587</v>
      </c>
      <c r="H281" s="20" t="s">
        <v>838</v>
      </c>
      <c r="I281" s="20">
        <v>0</v>
      </c>
      <c r="J281" s="20">
        <v>0.53</v>
      </c>
      <c r="K281" s="20">
        <v>177.89</v>
      </c>
    </row>
    <row r="282" spans="1:11" x14ac:dyDescent="0.25">
      <c r="A282" s="20" t="s">
        <v>900</v>
      </c>
      <c r="B282" s="20" t="s">
        <v>901</v>
      </c>
      <c r="C282" s="20" t="s">
        <v>767</v>
      </c>
      <c r="D282" s="20" t="s">
        <v>795</v>
      </c>
      <c r="E282" s="20" t="s">
        <v>798</v>
      </c>
      <c r="F282" s="20">
        <v>54</v>
      </c>
      <c r="G282" s="20">
        <v>6232</v>
      </c>
      <c r="H282" s="20" t="s">
        <v>839</v>
      </c>
      <c r="I282" s="20">
        <v>0</v>
      </c>
      <c r="J282" s="20">
        <v>0.68</v>
      </c>
      <c r="K282" s="20">
        <v>177.21</v>
      </c>
    </row>
    <row r="283" spans="1:11" x14ac:dyDescent="0.25">
      <c r="A283" s="20" t="s">
        <v>900</v>
      </c>
      <c r="B283" s="20" t="s">
        <v>901</v>
      </c>
      <c r="C283" s="20" t="s">
        <v>767</v>
      </c>
      <c r="D283" s="20" t="s">
        <v>795</v>
      </c>
      <c r="E283" s="20" t="s">
        <v>798</v>
      </c>
      <c r="F283" s="20">
        <v>55</v>
      </c>
      <c r="G283" s="20">
        <v>70816</v>
      </c>
      <c r="H283" s="20" t="s">
        <v>840</v>
      </c>
      <c r="I283" s="20">
        <v>0</v>
      </c>
      <c r="J283" s="20">
        <v>1.39</v>
      </c>
      <c r="K283" s="20">
        <v>175.82</v>
      </c>
    </row>
    <row r="284" spans="1:11" x14ac:dyDescent="0.25">
      <c r="A284" s="20" t="s">
        <v>900</v>
      </c>
      <c r="B284" s="20" t="s">
        <v>901</v>
      </c>
      <c r="C284" s="20" t="s">
        <v>767</v>
      </c>
      <c r="D284" s="20" t="s">
        <v>841</v>
      </c>
      <c r="E284" s="20" t="s">
        <v>798</v>
      </c>
      <c r="F284" s="20">
        <v>62</v>
      </c>
      <c r="G284" s="20">
        <v>4556</v>
      </c>
      <c r="H284" s="20" t="s">
        <v>842</v>
      </c>
      <c r="I284" s="20">
        <v>0</v>
      </c>
      <c r="J284" s="20">
        <v>18.03</v>
      </c>
      <c r="K284" s="20">
        <v>157.79</v>
      </c>
    </row>
    <row r="285" spans="1:11" x14ac:dyDescent="0.25">
      <c r="A285" s="20" t="s">
        <v>900</v>
      </c>
      <c r="B285" s="20" t="s">
        <v>901</v>
      </c>
      <c r="C285" s="20" t="s">
        <v>767</v>
      </c>
      <c r="D285" s="20" t="s">
        <v>841</v>
      </c>
      <c r="E285" s="20" t="s">
        <v>798</v>
      </c>
      <c r="F285" s="20">
        <v>62</v>
      </c>
      <c r="G285" s="20">
        <v>1037</v>
      </c>
      <c r="H285" s="20" t="s">
        <v>843</v>
      </c>
      <c r="I285" s="20">
        <v>0</v>
      </c>
      <c r="J285" s="20">
        <v>21</v>
      </c>
      <c r="K285" s="20">
        <v>136.79</v>
      </c>
    </row>
    <row r="286" spans="1:11" x14ac:dyDescent="0.25">
      <c r="A286" s="20" t="s">
        <v>900</v>
      </c>
      <c r="B286" s="20" t="s">
        <v>901</v>
      </c>
      <c r="C286" s="20" t="s">
        <v>767</v>
      </c>
      <c r="D286" s="20" t="s">
        <v>841</v>
      </c>
      <c r="E286" s="20" t="s">
        <v>798</v>
      </c>
      <c r="F286" s="20">
        <v>62</v>
      </c>
      <c r="G286" s="20">
        <v>31473</v>
      </c>
      <c r="H286" s="20" t="s">
        <v>844</v>
      </c>
      <c r="I286" s="20">
        <v>0</v>
      </c>
      <c r="J286" s="20">
        <v>16.8</v>
      </c>
      <c r="K286" s="20">
        <v>119.99</v>
      </c>
    </row>
    <row r="287" spans="1:11" x14ac:dyDescent="0.25">
      <c r="A287" s="20" t="s">
        <v>900</v>
      </c>
      <c r="B287" s="20" t="s">
        <v>901</v>
      </c>
      <c r="C287" s="20" t="s">
        <v>767</v>
      </c>
      <c r="D287" s="20" t="s">
        <v>845</v>
      </c>
      <c r="E287" s="20" t="s">
        <v>798</v>
      </c>
      <c r="F287" s="20">
        <v>73</v>
      </c>
      <c r="G287" s="20">
        <v>62845</v>
      </c>
      <c r="H287" s="20" t="s">
        <v>846</v>
      </c>
      <c r="I287" s="20">
        <v>0</v>
      </c>
      <c r="J287" s="20">
        <v>2</v>
      </c>
      <c r="K287" s="20">
        <v>117.99</v>
      </c>
    </row>
    <row r="288" spans="1:11" x14ac:dyDescent="0.25">
      <c r="A288" s="20" t="s">
        <v>900</v>
      </c>
      <c r="B288" s="20" t="s">
        <v>901</v>
      </c>
      <c r="C288" s="20" t="s">
        <v>767</v>
      </c>
      <c r="D288" s="20" t="s">
        <v>845</v>
      </c>
      <c r="E288" s="20" t="s">
        <v>798</v>
      </c>
      <c r="F288" s="20">
        <v>75</v>
      </c>
      <c r="G288" s="20">
        <v>383</v>
      </c>
      <c r="H288" s="20" t="s">
        <v>847</v>
      </c>
      <c r="I288" s="20">
        <v>0</v>
      </c>
      <c r="J288" s="20">
        <v>7.41</v>
      </c>
      <c r="K288" s="20">
        <v>110.58</v>
      </c>
    </row>
    <row r="289" spans="1:11" x14ac:dyDescent="0.25">
      <c r="A289" s="20" t="s">
        <v>900</v>
      </c>
      <c r="B289" s="20" t="s">
        <v>901</v>
      </c>
      <c r="C289" s="20" t="s">
        <v>767</v>
      </c>
      <c r="D289" s="20" t="s">
        <v>845</v>
      </c>
      <c r="E289" s="20" t="s">
        <v>798</v>
      </c>
      <c r="F289" s="20">
        <v>75</v>
      </c>
      <c r="G289" s="20">
        <v>1841</v>
      </c>
      <c r="H289" s="20" t="s">
        <v>848</v>
      </c>
      <c r="I289" s="20">
        <v>0</v>
      </c>
      <c r="J289" s="20">
        <v>0.4</v>
      </c>
      <c r="K289" s="20">
        <v>110.18</v>
      </c>
    </row>
    <row r="290" spans="1:11" x14ac:dyDescent="0.25">
      <c r="A290" s="20" t="s">
        <v>900</v>
      </c>
      <c r="B290" s="20" t="s">
        <v>901</v>
      </c>
      <c r="C290" s="20" t="s">
        <v>767</v>
      </c>
      <c r="D290" s="20" t="s">
        <v>771</v>
      </c>
      <c r="E290" s="20" t="s">
        <v>798</v>
      </c>
      <c r="F290" s="20">
        <v>90</v>
      </c>
      <c r="G290" s="20">
        <v>508</v>
      </c>
      <c r="H290" s="20" t="s">
        <v>849</v>
      </c>
      <c r="I290" s="20">
        <v>0</v>
      </c>
      <c r="J290" s="20">
        <v>2.5099999999999998</v>
      </c>
      <c r="K290" s="20">
        <v>107.67</v>
      </c>
    </row>
    <row r="291" spans="1:11" x14ac:dyDescent="0.25">
      <c r="A291" s="20" t="s">
        <v>900</v>
      </c>
      <c r="B291" s="20" t="s">
        <v>901</v>
      </c>
      <c r="C291" s="20" t="s">
        <v>767</v>
      </c>
      <c r="D291" s="20" t="s">
        <v>771</v>
      </c>
      <c r="E291" s="20" t="s">
        <v>798</v>
      </c>
      <c r="F291" s="20">
        <v>90</v>
      </c>
      <c r="G291" s="20">
        <v>509</v>
      </c>
      <c r="H291" s="20" t="s">
        <v>850</v>
      </c>
      <c r="I291" s="20">
        <v>0</v>
      </c>
      <c r="J291" s="20">
        <v>3.66</v>
      </c>
      <c r="K291" s="20">
        <v>104.01</v>
      </c>
    </row>
    <row r="292" spans="1:11" x14ac:dyDescent="0.25">
      <c r="A292" s="20" t="s">
        <v>900</v>
      </c>
      <c r="B292" s="20" t="s">
        <v>901</v>
      </c>
      <c r="C292" s="20" t="s">
        <v>767</v>
      </c>
      <c r="D292" s="20" t="s">
        <v>771</v>
      </c>
      <c r="E292" s="20" t="s">
        <v>798</v>
      </c>
      <c r="F292" s="20">
        <v>92</v>
      </c>
      <c r="G292" s="20">
        <v>2087</v>
      </c>
      <c r="H292" s="20" t="s">
        <v>851</v>
      </c>
      <c r="I292" s="20">
        <v>0</v>
      </c>
      <c r="J292" s="20">
        <v>3.5</v>
      </c>
      <c r="K292" s="20">
        <v>100.51</v>
      </c>
    </row>
    <row r="293" spans="1:11" x14ac:dyDescent="0.25">
      <c r="A293" s="20" t="s">
        <v>900</v>
      </c>
      <c r="B293" s="20" t="s">
        <v>901</v>
      </c>
      <c r="C293" s="20" t="s">
        <v>767</v>
      </c>
      <c r="D293" s="20" t="s">
        <v>852</v>
      </c>
      <c r="E293" s="20" t="s">
        <v>798</v>
      </c>
      <c r="F293" s="20">
        <v>96</v>
      </c>
      <c r="G293" s="20">
        <v>514</v>
      </c>
      <c r="H293" s="20" t="s">
        <v>853</v>
      </c>
      <c r="I293" s="20">
        <v>0</v>
      </c>
      <c r="J293" s="20">
        <v>6.04</v>
      </c>
      <c r="K293" s="20">
        <v>94.47</v>
      </c>
    </row>
    <row r="294" spans="1:11" x14ac:dyDescent="0.25">
      <c r="A294" s="20" t="s">
        <v>900</v>
      </c>
      <c r="B294" s="20" t="s">
        <v>901</v>
      </c>
      <c r="C294" s="20" t="s">
        <v>767</v>
      </c>
      <c r="D294" s="20" t="s">
        <v>852</v>
      </c>
      <c r="E294" s="20" t="s">
        <v>798</v>
      </c>
      <c r="F294" s="20">
        <v>96</v>
      </c>
      <c r="G294" s="20">
        <v>515</v>
      </c>
      <c r="H294" s="20" t="s">
        <v>854</v>
      </c>
      <c r="I294" s="20">
        <v>0</v>
      </c>
      <c r="J294" s="20">
        <v>2.4700000000000002</v>
      </c>
      <c r="K294" s="20">
        <v>92</v>
      </c>
    </row>
    <row r="295" spans="1:11" x14ac:dyDescent="0.25">
      <c r="A295" s="20" t="s">
        <v>900</v>
      </c>
      <c r="B295" s="20" t="s">
        <v>901</v>
      </c>
      <c r="C295" s="20" t="s">
        <v>767</v>
      </c>
      <c r="D295" s="20" t="s">
        <v>852</v>
      </c>
      <c r="E295" s="20" t="s">
        <v>798</v>
      </c>
      <c r="F295" s="20">
        <v>96</v>
      </c>
      <c r="G295" s="20">
        <v>519</v>
      </c>
      <c r="H295" s="20" t="s">
        <v>855</v>
      </c>
      <c r="I295" s="20">
        <v>0</v>
      </c>
      <c r="J295" s="20">
        <v>1.92</v>
      </c>
      <c r="K295" s="20">
        <v>90.08</v>
      </c>
    </row>
    <row r="296" spans="1:11" x14ac:dyDescent="0.25">
      <c r="A296" s="20" t="s">
        <v>900</v>
      </c>
      <c r="B296" s="20" t="s">
        <v>901</v>
      </c>
      <c r="C296" s="20" t="s">
        <v>767</v>
      </c>
      <c r="D296" s="20" t="s">
        <v>856</v>
      </c>
      <c r="E296" s="20" t="s">
        <v>857</v>
      </c>
      <c r="F296" s="20">
        <v>108</v>
      </c>
      <c r="G296" s="20"/>
      <c r="H296" s="20" t="s">
        <v>858</v>
      </c>
      <c r="I296" s="20">
        <v>0</v>
      </c>
      <c r="J296" s="20">
        <v>1.58</v>
      </c>
      <c r="K296" s="20">
        <v>88.5</v>
      </c>
    </row>
    <row r="297" spans="1:11" x14ac:dyDescent="0.25">
      <c r="A297" s="20" t="s">
        <v>900</v>
      </c>
      <c r="B297" s="20" t="s">
        <v>901</v>
      </c>
      <c r="C297" s="20" t="s">
        <v>767</v>
      </c>
      <c r="D297" s="20" t="s">
        <v>797</v>
      </c>
      <c r="E297" s="20" t="s">
        <v>857</v>
      </c>
      <c r="F297" s="20">
        <v>126</v>
      </c>
      <c r="G297" s="20"/>
      <c r="H297" s="20" t="s">
        <v>858</v>
      </c>
      <c r="I297" s="20">
        <v>0</v>
      </c>
      <c r="J297" s="20">
        <v>5.84</v>
      </c>
      <c r="K297" s="20">
        <v>82.66</v>
      </c>
    </row>
    <row r="298" spans="1:11" x14ac:dyDescent="0.25">
      <c r="A298" s="20" t="s">
        <v>900</v>
      </c>
      <c r="B298" s="20" t="s">
        <v>901</v>
      </c>
      <c r="C298" s="20" t="s">
        <v>767</v>
      </c>
      <c r="D298" s="20" t="s">
        <v>777</v>
      </c>
      <c r="E298" s="20" t="s">
        <v>857</v>
      </c>
      <c r="F298" s="20">
        <v>153</v>
      </c>
      <c r="G298" s="20"/>
      <c r="H298" s="20" t="s">
        <v>858</v>
      </c>
      <c r="I298" s="20">
        <v>0</v>
      </c>
      <c r="J298" s="20">
        <v>13.5</v>
      </c>
      <c r="K298" s="20">
        <v>69.16</v>
      </c>
    </row>
    <row r="299" spans="1:11" x14ac:dyDescent="0.25">
      <c r="A299" s="20" t="s">
        <v>900</v>
      </c>
      <c r="B299" s="20" t="s">
        <v>901</v>
      </c>
      <c r="C299" s="20" t="s">
        <v>767</v>
      </c>
      <c r="D299" s="20" t="s">
        <v>788</v>
      </c>
      <c r="E299" s="20" t="s">
        <v>857</v>
      </c>
      <c r="F299" s="20">
        <v>297</v>
      </c>
      <c r="G299" s="20"/>
      <c r="H299" s="20" t="s">
        <v>858</v>
      </c>
      <c r="I299" s="20">
        <v>0</v>
      </c>
      <c r="J299" s="20">
        <v>10.65</v>
      </c>
      <c r="K299" s="20">
        <v>58.51</v>
      </c>
    </row>
    <row r="300" spans="1:11" x14ac:dyDescent="0.25">
      <c r="A300" s="20" t="s">
        <v>900</v>
      </c>
      <c r="B300" s="20" t="s">
        <v>901</v>
      </c>
      <c r="C300" s="20" t="s">
        <v>767</v>
      </c>
      <c r="D300" s="20" t="s">
        <v>822</v>
      </c>
      <c r="E300" s="20" t="s">
        <v>857</v>
      </c>
      <c r="F300" s="20">
        <v>305</v>
      </c>
      <c r="G300" s="20"/>
      <c r="H300" s="20" t="s">
        <v>858</v>
      </c>
      <c r="I300" s="20">
        <v>0</v>
      </c>
      <c r="J300" s="20">
        <v>4.12</v>
      </c>
      <c r="K300" s="20">
        <v>54.39</v>
      </c>
    </row>
    <row r="301" spans="1:11" x14ac:dyDescent="0.25">
      <c r="A301" s="20" t="s">
        <v>900</v>
      </c>
      <c r="B301" s="20" t="s">
        <v>901</v>
      </c>
      <c r="C301" s="20" t="s">
        <v>767</v>
      </c>
      <c r="D301" s="20" t="s">
        <v>859</v>
      </c>
      <c r="E301" s="20" t="s">
        <v>857</v>
      </c>
      <c r="F301" s="20">
        <v>350</v>
      </c>
      <c r="G301" s="20"/>
      <c r="H301" s="20" t="s">
        <v>858</v>
      </c>
      <c r="I301" s="20">
        <v>0</v>
      </c>
      <c r="J301" s="20">
        <v>14.25</v>
      </c>
      <c r="K301" s="20">
        <v>40.14</v>
      </c>
    </row>
    <row r="302" spans="1:11" x14ac:dyDescent="0.25">
      <c r="A302" s="20" t="s">
        <v>900</v>
      </c>
      <c r="B302" s="20" t="s">
        <v>901</v>
      </c>
      <c r="C302" s="20" t="s">
        <v>767</v>
      </c>
      <c r="D302" s="20" t="s">
        <v>824</v>
      </c>
      <c r="E302" s="20" t="s">
        <v>857</v>
      </c>
      <c r="F302" s="20">
        <v>386</v>
      </c>
      <c r="G302" s="20"/>
      <c r="H302" s="20" t="s">
        <v>858</v>
      </c>
      <c r="I302" s="20">
        <v>0</v>
      </c>
      <c r="J302" s="20">
        <v>29.21</v>
      </c>
      <c r="K302" s="20">
        <v>10.93</v>
      </c>
    </row>
    <row r="303" spans="1:11" x14ac:dyDescent="0.25">
      <c r="A303" s="20" t="s">
        <v>900</v>
      </c>
      <c r="B303" s="20" t="s">
        <v>901</v>
      </c>
      <c r="C303" s="20" t="s">
        <v>767</v>
      </c>
      <c r="D303" s="20" t="s">
        <v>841</v>
      </c>
      <c r="E303" s="20" t="s">
        <v>857</v>
      </c>
      <c r="F303" s="20">
        <v>69</v>
      </c>
      <c r="G303" s="20"/>
      <c r="H303" s="20" t="s">
        <v>858</v>
      </c>
      <c r="I303" s="20">
        <v>0</v>
      </c>
      <c r="J303" s="20">
        <v>13.45</v>
      </c>
      <c r="K303" s="20">
        <v>-2.52</v>
      </c>
    </row>
    <row r="304" spans="1:11" x14ac:dyDescent="0.25">
      <c r="A304" s="20" t="s">
        <v>906</v>
      </c>
      <c r="B304" s="20" t="s">
        <v>907</v>
      </c>
      <c r="C304" s="20" t="s">
        <v>767</v>
      </c>
      <c r="D304" s="20" t="s">
        <v>856</v>
      </c>
      <c r="E304" s="20" t="s">
        <v>772</v>
      </c>
      <c r="F304" s="20">
        <v>114</v>
      </c>
      <c r="G304" s="20">
        <v>919</v>
      </c>
      <c r="H304" s="20" t="s">
        <v>908</v>
      </c>
      <c r="I304" s="20">
        <v>0</v>
      </c>
      <c r="J304" s="20">
        <v>48.13</v>
      </c>
      <c r="K304" s="20">
        <v>421.74</v>
      </c>
    </row>
    <row r="305" spans="1:11" x14ac:dyDescent="0.25">
      <c r="A305" s="20" t="s">
        <v>906</v>
      </c>
      <c r="B305" s="20" t="s">
        <v>907</v>
      </c>
      <c r="C305" s="20" t="s">
        <v>767</v>
      </c>
      <c r="D305" s="20" t="s">
        <v>869</v>
      </c>
      <c r="E305" s="20" t="s">
        <v>772</v>
      </c>
      <c r="F305" s="20">
        <v>215</v>
      </c>
      <c r="G305" s="20">
        <v>441</v>
      </c>
      <c r="H305" s="20" t="s">
        <v>870</v>
      </c>
      <c r="I305" s="20">
        <v>0</v>
      </c>
      <c r="J305" s="20">
        <v>4.6100000000000003</v>
      </c>
      <c r="K305" s="20">
        <v>417.13</v>
      </c>
    </row>
    <row r="306" spans="1:11" x14ac:dyDescent="0.25">
      <c r="A306" s="20" t="s">
        <v>906</v>
      </c>
      <c r="B306" s="20" t="s">
        <v>907</v>
      </c>
      <c r="C306" s="20" t="s">
        <v>767</v>
      </c>
      <c r="D306" s="20" t="s">
        <v>869</v>
      </c>
      <c r="E306" s="20" t="s">
        <v>772</v>
      </c>
      <c r="F306" s="20">
        <v>215</v>
      </c>
      <c r="G306" s="20">
        <v>443</v>
      </c>
      <c r="H306" s="20" t="s">
        <v>871</v>
      </c>
      <c r="I306" s="20">
        <v>0</v>
      </c>
      <c r="J306" s="20">
        <v>13.61</v>
      </c>
      <c r="K306" s="20">
        <v>403.52</v>
      </c>
    </row>
    <row r="307" spans="1:11" x14ac:dyDescent="0.25">
      <c r="A307" s="20" t="s">
        <v>906</v>
      </c>
      <c r="B307" s="20" t="s">
        <v>907</v>
      </c>
      <c r="C307" s="20" t="s">
        <v>767</v>
      </c>
      <c r="D307" s="20" t="s">
        <v>869</v>
      </c>
      <c r="E307" s="20" t="s">
        <v>772</v>
      </c>
      <c r="F307" s="20">
        <v>215</v>
      </c>
      <c r="G307" s="20">
        <v>445</v>
      </c>
      <c r="H307" s="20" t="s">
        <v>872</v>
      </c>
      <c r="I307" s="20">
        <v>0</v>
      </c>
      <c r="J307" s="20">
        <v>7.11</v>
      </c>
      <c r="K307" s="20">
        <v>396.41</v>
      </c>
    </row>
    <row r="308" spans="1:11" x14ac:dyDescent="0.25">
      <c r="A308" s="20" t="s">
        <v>906</v>
      </c>
      <c r="B308" s="20" t="s">
        <v>907</v>
      </c>
      <c r="C308" s="20" t="s">
        <v>767</v>
      </c>
      <c r="D308" s="20" t="s">
        <v>795</v>
      </c>
      <c r="E308" s="20" t="s">
        <v>772</v>
      </c>
      <c r="F308" s="20">
        <v>61</v>
      </c>
      <c r="G308" s="20">
        <v>47</v>
      </c>
      <c r="H308" s="20" t="s">
        <v>875</v>
      </c>
      <c r="I308" s="20">
        <v>0</v>
      </c>
      <c r="J308" s="20">
        <v>26.86</v>
      </c>
      <c r="K308" s="20">
        <v>369.55</v>
      </c>
    </row>
    <row r="309" spans="1:11" x14ac:dyDescent="0.25">
      <c r="A309" s="20" t="s">
        <v>906</v>
      </c>
      <c r="B309" s="20" t="s">
        <v>907</v>
      </c>
      <c r="C309" s="20" t="s">
        <v>767</v>
      </c>
      <c r="D309" s="20" t="s">
        <v>795</v>
      </c>
      <c r="E309" s="20" t="s">
        <v>772</v>
      </c>
      <c r="F309" s="20">
        <v>61</v>
      </c>
      <c r="G309" s="20">
        <v>438</v>
      </c>
      <c r="H309" s="20" t="s">
        <v>876</v>
      </c>
      <c r="I309" s="20">
        <v>0</v>
      </c>
      <c r="J309" s="20">
        <v>300</v>
      </c>
      <c r="K309" s="20">
        <v>69.55</v>
      </c>
    </row>
  </sheetData>
  <autoFilter ref="A14:K303" xr:uid="{7B2E77C8-4764-44AE-BEDB-C93245525FB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21B5-FE08-4D6D-A5FE-D6F9FB59A559}">
  <dimension ref="A1:K411"/>
  <sheetViews>
    <sheetView workbookViewId="0">
      <pane ySplit="1" topLeftCell="A301" activePane="bottomLeft" state="frozen"/>
      <selection pane="bottomLeft" activeCell="I312" sqref="I312"/>
    </sheetView>
  </sheetViews>
  <sheetFormatPr baseColWidth="10" defaultRowHeight="15" x14ac:dyDescent="0.25"/>
  <cols>
    <col min="3" max="3" width="4.7109375" bestFit="1" customWidth="1"/>
    <col min="5" max="5" width="7" bestFit="1" customWidth="1"/>
    <col min="8" max="8" width="53" bestFit="1" customWidth="1"/>
  </cols>
  <sheetData>
    <row r="1" spans="1:11" x14ac:dyDescent="0.25">
      <c r="A1" s="19" t="s">
        <v>758</v>
      </c>
      <c r="B1" s="19" t="s">
        <v>2</v>
      </c>
      <c r="C1" s="19" t="s">
        <v>759</v>
      </c>
      <c r="D1" s="19" t="s">
        <v>3</v>
      </c>
      <c r="E1" s="19" t="s">
        <v>4</v>
      </c>
      <c r="F1" s="19" t="s">
        <v>760</v>
      </c>
      <c r="G1" s="19" t="s">
        <v>761</v>
      </c>
      <c r="H1" s="19" t="s">
        <v>762</v>
      </c>
      <c r="I1" s="19" t="s">
        <v>763</v>
      </c>
      <c r="J1" s="19" t="s">
        <v>764</v>
      </c>
      <c r="K1" s="19" t="s">
        <v>9</v>
      </c>
    </row>
    <row r="2" spans="1:11" x14ac:dyDescent="0.25">
      <c r="A2" s="20" t="s">
        <v>909</v>
      </c>
      <c r="B2" s="20" t="s">
        <v>910</v>
      </c>
      <c r="C2" s="20" t="s">
        <v>767</v>
      </c>
      <c r="D2" s="20" t="s">
        <v>771</v>
      </c>
      <c r="E2" s="20" t="s">
        <v>772</v>
      </c>
      <c r="F2" s="20">
        <v>113</v>
      </c>
      <c r="G2" s="20">
        <v>77</v>
      </c>
      <c r="H2" s="20" t="s">
        <v>885</v>
      </c>
      <c r="I2" s="20">
        <v>270</v>
      </c>
      <c r="J2" s="20">
        <v>0</v>
      </c>
      <c r="K2" s="20">
        <v>270</v>
      </c>
    </row>
    <row r="3" spans="1:11" x14ac:dyDescent="0.25">
      <c r="A3" s="20" t="s">
        <v>909</v>
      </c>
      <c r="B3" s="20" t="s">
        <v>910</v>
      </c>
      <c r="C3" s="20" t="s">
        <v>767</v>
      </c>
      <c r="D3" s="20" t="s">
        <v>771</v>
      </c>
      <c r="E3" s="20" t="s">
        <v>772</v>
      </c>
      <c r="F3" s="20">
        <v>113</v>
      </c>
      <c r="G3" s="20">
        <v>268</v>
      </c>
      <c r="H3" s="20" t="s">
        <v>773</v>
      </c>
      <c r="I3" s="20">
        <v>81.23</v>
      </c>
      <c r="J3" s="20">
        <v>0</v>
      </c>
      <c r="K3" s="20">
        <v>351.23</v>
      </c>
    </row>
    <row r="4" spans="1:11" x14ac:dyDescent="0.25">
      <c r="A4" s="20" t="s">
        <v>909</v>
      </c>
      <c r="B4" s="20" t="s">
        <v>910</v>
      </c>
      <c r="C4" s="20" t="s">
        <v>767</v>
      </c>
      <c r="D4" s="20" t="s">
        <v>771</v>
      </c>
      <c r="E4" s="20" t="s">
        <v>772</v>
      </c>
      <c r="F4" s="20">
        <v>113</v>
      </c>
      <c r="G4" s="20">
        <v>269</v>
      </c>
      <c r="H4" s="20" t="s">
        <v>774</v>
      </c>
      <c r="I4" s="20">
        <v>18.13</v>
      </c>
      <c r="J4" s="20">
        <v>0</v>
      </c>
      <c r="K4" s="20">
        <v>369.36</v>
      </c>
    </row>
    <row r="5" spans="1:11" x14ac:dyDescent="0.25">
      <c r="A5" s="20" t="s">
        <v>909</v>
      </c>
      <c r="B5" s="20" t="s">
        <v>910</v>
      </c>
      <c r="C5" s="20" t="s">
        <v>767</v>
      </c>
      <c r="D5" s="20" t="s">
        <v>771</v>
      </c>
      <c r="E5" s="20" t="s">
        <v>772</v>
      </c>
      <c r="F5" s="20">
        <v>113</v>
      </c>
      <c r="G5" s="20">
        <v>270</v>
      </c>
      <c r="H5" s="20" t="s">
        <v>775</v>
      </c>
      <c r="I5" s="20">
        <v>10.119999999999999</v>
      </c>
      <c r="J5" s="20">
        <v>0</v>
      </c>
      <c r="K5" s="20">
        <v>379.48</v>
      </c>
    </row>
    <row r="6" spans="1:11" x14ac:dyDescent="0.25">
      <c r="A6" s="20" t="s">
        <v>909</v>
      </c>
      <c r="B6" s="20" t="s">
        <v>910</v>
      </c>
      <c r="C6" s="20" t="s">
        <v>767</v>
      </c>
      <c r="D6" s="20" t="s">
        <v>771</v>
      </c>
      <c r="E6" s="20" t="s">
        <v>772</v>
      </c>
      <c r="F6" s="20">
        <v>113</v>
      </c>
      <c r="G6" s="20">
        <v>271</v>
      </c>
      <c r="H6" s="20" t="s">
        <v>776</v>
      </c>
      <c r="I6" s="20">
        <v>46.03</v>
      </c>
      <c r="J6" s="20">
        <v>0</v>
      </c>
      <c r="K6" s="20">
        <v>425.51</v>
      </c>
    </row>
    <row r="7" spans="1:11" x14ac:dyDescent="0.25">
      <c r="A7" s="20" t="s">
        <v>909</v>
      </c>
      <c r="B7" s="20" t="s">
        <v>910</v>
      </c>
      <c r="C7" s="20" t="s">
        <v>767</v>
      </c>
      <c r="D7" s="20" t="s">
        <v>771</v>
      </c>
      <c r="E7" s="20" t="s">
        <v>772</v>
      </c>
      <c r="F7" s="20">
        <v>113</v>
      </c>
      <c r="G7" s="20">
        <v>2</v>
      </c>
      <c r="H7" s="20" t="s">
        <v>886</v>
      </c>
      <c r="I7" s="20">
        <v>30</v>
      </c>
      <c r="J7" s="20">
        <v>0</v>
      </c>
      <c r="K7" s="20">
        <v>455.51</v>
      </c>
    </row>
    <row r="8" spans="1:11" x14ac:dyDescent="0.25">
      <c r="A8" s="20" t="s">
        <v>909</v>
      </c>
      <c r="B8" s="20" t="s">
        <v>910</v>
      </c>
      <c r="C8" s="20" t="s">
        <v>767</v>
      </c>
      <c r="D8" s="20" t="s">
        <v>856</v>
      </c>
      <c r="E8" s="20" t="s">
        <v>772</v>
      </c>
      <c r="F8" s="20">
        <v>114</v>
      </c>
      <c r="G8" s="20">
        <v>919</v>
      </c>
      <c r="H8" s="20" t="s">
        <v>908</v>
      </c>
      <c r="I8" s="20">
        <v>240.64</v>
      </c>
      <c r="J8" s="20">
        <v>0</v>
      </c>
      <c r="K8" s="20">
        <v>696.15</v>
      </c>
    </row>
    <row r="9" spans="1:11" x14ac:dyDescent="0.25">
      <c r="A9" s="20" t="s">
        <v>909</v>
      </c>
      <c r="B9" s="20" t="s">
        <v>910</v>
      </c>
      <c r="C9" s="20" t="s">
        <v>767</v>
      </c>
      <c r="D9" s="20" t="s">
        <v>797</v>
      </c>
      <c r="E9" s="20" t="s">
        <v>772</v>
      </c>
      <c r="F9" s="20">
        <v>127</v>
      </c>
      <c r="G9" s="20">
        <v>245293033</v>
      </c>
      <c r="H9" s="20" t="s">
        <v>911</v>
      </c>
      <c r="I9" s="20">
        <v>1.8</v>
      </c>
      <c r="J9" s="20">
        <v>0</v>
      </c>
      <c r="K9" s="20">
        <v>697.95</v>
      </c>
    </row>
    <row r="10" spans="1:11" x14ac:dyDescent="0.25">
      <c r="A10" s="20" t="s">
        <v>909</v>
      </c>
      <c r="B10" s="20" t="s">
        <v>910</v>
      </c>
      <c r="C10" s="20" t="s">
        <v>767</v>
      </c>
      <c r="D10" s="20" t="s">
        <v>797</v>
      </c>
      <c r="E10" s="20" t="s">
        <v>772</v>
      </c>
      <c r="F10" s="20">
        <v>127</v>
      </c>
      <c r="G10" s="20">
        <v>245293038</v>
      </c>
      <c r="H10" s="20" t="s">
        <v>912</v>
      </c>
      <c r="I10" s="20">
        <v>0.93</v>
      </c>
      <c r="J10" s="20">
        <v>0</v>
      </c>
      <c r="K10" s="20">
        <v>698.88</v>
      </c>
    </row>
    <row r="11" spans="1:11" x14ac:dyDescent="0.25">
      <c r="A11" s="20" t="s">
        <v>909</v>
      </c>
      <c r="B11" s="20" t="s">
        <v>910</v>
      </c>
      <c r="C11" s="20" t="s">
        <v>767</v>
      </c>
      <c r="D11" s="20" t="s">
        <v>797</v>
      </c>
      <c r="E11" s="20" t="s">
        <v>772</v>
      </c>
      <c r="F11" s="20">
        <v>127</v>
      </c>
      <c r="G11" s="20">
        <v>122556998</v>
      </c>
      <c r="H11" s="20" t="s">
        <v>913</v>
      </c>
      <c r="I11" s="20">
        <v>7.5</v>
      </c>
      <c r="J11" s="20">
        <v>0</v>
      </c>
      <c r="K11" s="20">
        <v>706.38</v>
      </c>
    </row>
    <row r="12" spans="1:11" x14ac:dyDescent="0.25">
      <c r="A12" s="20" t="s">
        <v>909</v>
      </c>
      <c r="B12" s="20" t="s">
        <v>910</v>
      </c>
      <c r="C12" s="20" t="s">
        <v>767</v>
      </c>
      <c r="D12" s="20" t="s">
        <v>797</v>
      </c>
      <c r="E12" s="20" t="s">
        <v>772</v>
      </c>
      <c r="F12" s="20">
        <v>127</v>
      </c>
      <c r="G12" s="20">
        <v>7724</v>
      </c>
      <c r="H12" s="20" t="s">
        <v>914</v>
      </c>
      <c r="I12" s="20">
        <v>5.67</v>
      </c>
      <c r="J12" s="20">
        <v>0</v>
      </c>
      <c r="K12" s="20">
        <v>712.05</v>
      </c>
    </row>
    <row r="13" spans="1:11" x14ac:dyDescent="0.25">
      <c r="A13" s="20" t="s">
        <v>909</v>
      </c>
      <c r="B13" s="20" t="s">
        <v>910</v>
      </c>
      <c r="C13" s="20" t="s">
        <v>767</v>
      </c>
      <c r="D13" s="20" t="s">
        <v>797</v>
      </c>
      <c r="E13" s="20" t="s">
        <v>772</v>
      </c>
      <c r="F13" s="20">
        <v>127</v>
      </c>
      <c r="G13" s="20">
        <v>900007724</v>
      </c>
      <c r="H13" s="20" t="s">
        <v>915</v>
      </c>
      <c r="I13" s="20">
        <v>0</v>
      </c>
      <c r="J13" s="20">
        <v>6.3</v>
      </c>
      <c r="K13" s="20">
        <v>705.75</v>
      </c>
    </row>
    <row r="14" spans="1:11" x14ac:dyDescent="0.25">
      <c r="A14" s="20" t="s">
        <v>909</v>
      </c>
      <c r="B14" s="20" t="s">
        <v>910</v>
      </c>
      <c r="C14" s="20" t="s">
        <v>767</v>
      </c>
      <c r="D14" s="20" t="s">
        <v>777</v>
      </c>
      <c r="E14" s="20" t="s">
        <v>772</v>
      </c>
      <c r="F14" s="20">
        <v>166</v>
      </c>
      <c r="G14" s="20">
        <v>1344</v>
      </c>
      <c r="H14" s="20" t="s">
        <v>862</v>
      </c>
      <c r="I14" s="20">
        <v>18.14</v>
      </c>
      <c r="J14" s="20">
        <v>0</v>
      </c>
      <c r="K14" s="20">
        <v>723.89</v>
      </c>
    </row>
    <row r="15" spans="1:11" x14ac:dyDescent="0.25">
      <c r="A15" s="20" t="s">
        <v>909</v>
      </c>
      <c r="B15" s="20" t="s">
        <v>910</v>
      </c>
      <c r="C15" s="20" t="s">
        <v>767</v>
      </c>
      <c r="D15" s="20" t="s">
        <v>777</v>
      </c>
      <c r="E15" s="20" t="s">
        <v>772</v>
      </c>
      <c r="F15" s="20">
        <v>166</v>
      </c>
      <c r="G15" s="20">
        <v>1345</v>
      </c>
      <c r="H15" s="20" t="s">
        <v>778</v>
      </c>
      <c r="I15" s="20">
        <v>27.08</v>
      </c>
      <c r="J15" s="20">
        <v>0</v>
      </c>
      <c r="K15" s="20">
        <v>750.97</v>
      </c>
    </row>
    <row r="16" spans="1:11" x14ac:dyDescent="0.25">
      <c r="A16" s="20" t="s">
        <v>909</v>
      </c>
      <c r="B16" s="20" t="s">
        <v>910</v>
      </c>
      <c r="C16" s="20" t="s">
        <v>767</v>
      </c>
      <c r="D16" s="20" t="s">
        <v>777</v>
      </c>
      <c r="E16" s="20" t="s">
        <v>772</v>
      </c>
      <c r="F16" s="20">
        <v>166</v>
      </c>
      <c r="G16" s="20">
        <v>1346</v>
      </c>
      <c r="H16" s="20" t="s">
        <v>863</v>
      </c>
      <c r="I16" s="20">
        <v>10.3</v>
      </c>
      <c r="J16" s="20">
        <v>0</v>
      </c>
      <c r="K16" s="20">
        <v>761.27</v>
      </c>
    </row>
    <row r="17" spans="1:11" x14ac:dyDescent="0.25">
      <c r="A17" s="20" t="s">
        <v>909</v>
      </c>
      <c r="B17" s="20" t="s">
        <v>910</v>
      </c>
      <c r="C17" s="20" t="s">
        <v>767</v>
      </c>
      <c r="D17" s="20" t="s">
        <v>777</v>
      </c>
      <c r="E17" s="20" t="s">
        <v>772</v>
      </c>
      <c r="F17" s="20">
        <v>166</v>
      </c>
      <c r="G17" s="20">
        <v>1347</v>
      </c>
      <c r="H17" s="20" t="s">
        <v>779</v>
      </c>
      <c r="I17" s="20">
        <v>14.25</v>
      </c>
      <c r="J17" s="20">
        <v>0</v>
      </c>
      <c r="K17" s="20">
        <v>775.52</v>
      </c>
    </row>
    <row r="18" spans="1:11" x14ac:dyDescent="0.25">
      <c r="A18" s="20" t="s">
        <v>909</v>
      </c>
      <c r="B18" s="20" t="s">
        <v>910</v>
      </c>
      <c r="C18" s="20" t="s">
        <v>767</v>
      </c>
      <c r="D18" s="20" t="s">
        <v>777</v>
      </c>
      <c r="E18" s="20" t="s">
        <v>772</v>
      </c>
      <c r="F18" s="20">
        <v>166</v>
      </c>
      <c r="G18" s="20">
        <v>267</v>
      </c>
      <c r="H18" s="20" t="s">
        <v>780</v>
      </c>
      <c r="I18" s="20">
        <v>283.01</v>
      </c>
      <c r="J18" s="20">
        <v>0</v>
      </c>
      <c r="K18" s="21">
        <v>1058.53</v>
      </c>
    </row>
    <row r="19" spans="1:11" x14ac:dyDescent="0.25">
      <c r="A19" s="20" t="s">
        <v>909</v>
      </c>
      <c r="B19" s="20" t="s">
        <v>910</v>
      </c>
      <c r="C19" s="20" t="s">
        <v>767</v>
      </c>
      <c r="D19" s="20" t="s">
        <v>781</v>
      </c>
      <c r="E19" s="20" t="s">
        <v>772</v>
      </c>
      <c r="F19" s="20">
        <v>186</v>
      </c>
      <c r="G19" s="20">
        <v>163</v>
      </c>
      <c r="H19" s="20" t="s">
        <v>864</v>
      </c>
      <c r="I19" s="20">
        <v>9.6</v>
      </c>
      <c r="J19" s="20">
        <v>0</v>
      </c>
      <c r="K19" s="21">
        <v>1068.1300000000001</v>
      </c>
    </row>
    <row r="20" spans="1:11" x14ac:dyDescent="0.25">
      <c r="A20" s="20" t="s">
        <v>909</v>
      </c>
      <c r="B20" s="20" t="s">
        <v>910</v>
      </c>
      <c r="C20" s="20" t="s">
        <v>767</v>
      </c>
      <c r="D20" s="20" t="s">
        <v>781</v>
      </c>
      <c r="E20" s="20" t="s">
        <v>772</v>
      </c>
      <c r="F20" s="20">
        <v>186</v>
      </c>
      <c r="G20" s="20">
        <v>164</v>
      </c>
      <c r="H20" s="20" t="s">
        <v>865</v>
      </c>
      <c r="I20" s="20">
        <v>12.23</v>
      </c>
      <c r="J20" s="20">
        <v>0</v>
      </c>
      <c r="K20" s="21">
        <v>1080.3599999999999</v>
      </c>
    </row>
    <row r="21" spans="1:11" x14ac:dyDescent="0.25">
      <c r="A21" s="20" t="s">
        <v>909</v>
      </c>
      <c r="B21" s="20" t="s">
        <v>910</v>
      </c>
      <c r="C21" s="20" t="s">
        <v>767</v>
      </c>
      <c r="D21" s="20" t="s">
        <v>781</v>
      </c>
      <c r="E21" s="20" t="s">
        <v>772</v>
      </c>
      <c r="F21" s="20">
        <v>186</v>
      </c>
      <c r="G21" s="20">
        <v>165</v>
      </c>
      <c r="H21" s="20" t="s">
        <v>866</v>
      </c>
      <c r="I21" s="20">
        <v>6.25</v>
      </c>
      <c r="J21" s="20">
        <v>0</v>
      </c>
      <c r="K21" s="21">
        <v>1086.6099999999999</v>
      </c>
    </row>
    <row r="22" spans="1:11" x14ac:dyDescent="0.25">
      <c r="A22" s="20" t="s">
        <v>909</v>
      </c>
      <c r="B22" s="20" t="s">
        <v>910</v>
      </c>
      <c r="C22" s="20" t="s">
        <v>767</v>
      </c>
      <c r="D22" s="20" t="s">
        <v>781</v>
      </c>
      <c r="E22" s="20" t="s">
        <v>772</v>
      </c>
      <c r="F22" s="20">
        <v>186</v>
      </c>
      <c r="G22" s="20">
        <v>20594</v>
      </c>
      <c r="H22" s="20" t="s">
        <v>867</v>
      </c>
      <c r="I22" s="20">
        <v>24.46</v>
      </c>
      <c r="J22" s="20">
        <v>0</v>
      </c>
      <c r="K22" s="21">
        <v>1111.07</v>
      </c>
    </row>
    <row r="23" spans="1:11" x14ac:dyDescent="0.25">
      <c r="A23" s="20" t="s">
        <v>909</v>
      </c>
      <c r="B23" s="20" t="s">
        <v>910</v>
      </c>
      <c r="C23" s="20" t="s">
        <v>767</v>
      </c>
      <c r="D23" s="20" t="s">
        <v>781</v>
      </c>
      <c r="E23" s="20" t="s">
        <v>772</v>
      </c>
      <c r="F23" s="20">
        <v>186</v>
      </c>
      <c r="G23" s="20">
        <v>1348</v>
      </c>
      <c r="H23" s="20" t="s">
        <v>868</v>
      </c>
      <c r="I23" s="20">
        <v>8.19</v>
      </c>
      <c r="J23" s="20">
        <v>0</v>
      </c>
      <c r="K23" s="21">
        <v>1119.26</v>
      </c>
    </row>
    <row r="24" spans="1:11" x14ac:dyDescent="0.25">
      <c r="A24" s="20" t="s">
        <v>909</v>
      </c>
      <c r="B24" s="20" t="s">
        <v>910</v>
      </c>
      <c r="C24" s="20" t="s">
        <v>767</v>
      </c>
      <c r="D24" s="20" t="s">
        <v>781</v>
      </c>
      <c r="E24" s="20" t="s">
        <v>772</v>
      </c>
      <c r="F24" s="20">
        <v>186</v>
      </c>
      <c r="G24" s="20">
        <v>1349</v>
      </c>
      <c r="H24" s="20" t="s">
        <v>782</v>
      </c>
      <c r="I24" s="20">
        <v>6.41</v>
      </c>
      <c r="J24" s="20">
        <v>0</v>
      </c>
      <c r="K24" s="21">
        <v>1125.67</v>
      </c>
    </row>
    <row r="25" spans="1:11" x14ac:dyDescent="0.25">
      <c r="A25" s="20" t="s">
        <v>909</v>
      </c>
      <c r="B25" s="20" t="s">
        <v>910</v>
      </c>
      <c r="C25" s="20" t="s">
        <v>767</v>
      </c>
      <c r="D25" s="20" t="s">
        <v>781</v>
      </c>
      <c r="E25" s="20" t="s">
        <v>772</v>
      </c>
      <c r="F25" s="20">
        <v>186</v>
      </c>
      <c r="G25" s="20">
        <v>62991</v>
      </c>
      <c r="H25" s="20" t="s">
        <v>783</v>
      </c>
      <c r="I25" s="20">
        <v>12.95</v>
      </c>
      <c r="J25" s="20">
        <v>0</v>
      </c>
      <c r="K25" s="21">
        <v>1138.6199999999999</v>
      </c>
    </row>
    <row r="26" spans="1:11" x14ac:dyDescent="0.25">
      <c r="A26" s="20" t="s">
        <v>909</v>
      </c>
      <c r="B26" s="20" t="s">
        <v>910</v>
      </c>
      <c r="C26" s="20" t="s">
        <v>767</v>
      </c>
      <c r="D26" s="20" t="s">
        <v>781</v>
      </c>
      <c r="E26" s="20" t="s">
        <v>772</v>
      </c>
      <c r="F26" s="20">
        <v>186</v>
      </c>
      <c r="G26" s="20">
        <v>3567</v>
      </c>
      <c r="H26" s="20" t="s">
        <v>784</v>
      </c>
      <c r="I26" s="20">
        <v>13.5</v>
      </c>
      <c r="J26" s="20">
        <v>0</v>
      </c>
      <c r="K26" s="21">
        <v>1152.1199999999999</v>
      </c>
    </row>
    <row r="27" spans="1:11" x14ac:dyDescent="0.25">
      <c r="A27" s="20" t="s">
        <v>909</v>
      </c>
      <c r="B27" s="20" t="s">
        <v>910</v>
      </c>
      <c r="C27" s="20" t="s">
        <v>767</v>
      </c>
      <c r="D27" s="20" t="s">
        <v>781</v>
      </c>
      <c r="E27" s="20" t="s">
        <v>772</v>
      </c>
      <c r="F27" s="20">
        <v>186</v>
      </c>
      <c r="G27" s="20">
        <v>1183095</v>
      </c>
      <c r="H27" s="20" t="s">
        <v>916</v>
      </c>
      <c r="I27" s="20">
        <v>1.83</v>
      </c>
      <c r="J27" s="20">
        <v>0</v>
      </c>
      <c r="K27" s="21">
        <v>1153.95</v>
      </c>
    </row>
    <row r="28" spans="1:11" x14ac:dyDescent="0.25">
      <c r="A28" s="20" t="s">
        <v>909</v>
      </c>
      <c r="B28" s="20" t="s">
        <v>910</v>
      </c>
      <c r="C28" s="20" t="s">
        <v>767</v>
      </c>
      <c r="D28" s="20" t="s">
        <v>781</v>
      </c>
      <c r="E28" s="20" t="s">
        <v>772</v>
      </c>
      <c r="F28" s="20">
        <v>186</v>
      </c>
      <c r="G28" s="20">
        <v>1183096</v>
      </c>
      <c r="H28" s="20" t="s">
        <v>917</v>
      </c>
      <c r="I28" s="20">
        <v>1.83</v>
      </c>
      <c r="J28" s="20">
        <v>0</v>
      </c>
      <c r="K28" s="21">
        <v>1155.78</v>
      </c>
    </row>
    <row r="29" spans="1:11" x14ac:dyDescent="0.25">
      <c r="A29" s="20" t="s">
        <v>909</v>
      </c>
      <c r="B29" s="20" t="s">
        <v>910</v>
      </c>
      <c r="C29" s="20" t="s">
        <v>767</v>
      </c>
      <c r="D29" s="20" t="s">
        <v>781</v>
      </c>
      <c r="E29" s="20" t="s">
        <v>772</v>
      </c>
      <c r="F29" s="20">
        <v>186</v>
      </c>
      <c r="G29" s="20">
        <v>1183246</v>
      </c>
      <c r="H29" s="20" t="s">
        <v>918</v>
      </c>
      <c r="I29" s="20">
        <v>0.26</v>
      </c>
      <c r="J29" s="20">
        <v>0</v>
      </c>
      <c r="K29" s="21">
        <v>1156.04</v>
      </c>
    </row>
    <row r="30" spans="1:11" x14ac:dyDescent="0.25">
      <c r="A30" s="20" t="s">
        <v>909</v>
      </c>
      <c r="B30" s="20" t="s">
        <v>910</v>
      </c>
      <c r="C30" s="20" t="s">
        <v>767</v>
      </c>
      <c r="D30" s="20" t="s">
        <v>781</v>
      </c>
      <c r="E30" s="20" t="s">
        <v>772</v>
      </c>
      <c r="F30" s="20">
        <v>186</v>
      </c>
      <c r="G30" s="20">
        <v>1187274</v>
      </c>
      <c r="H30" s="20" t="s">
        <v>919</v>
      </c>
      <c r="I30" s="20">
        <v>1.83</v>
      </c>
      <c r="J30" s="20">
        <v>0</v>
      </c>
      <c r="K30" s="21">
        <v>1157.8699999999999</v>
      </c>
    </row>
    <row r="31" spans="1:11" x14ac:dyDescent="0.25">
      <c r="A31" s="20" t="s">
        <v>909</v>
      </c>
      <c r="B31" s="20" t="s">
        <v>910</v>
      </c>
      <c r="C31" s="20" t="s">
        <v>767</v>
      </c>
      <c r="D31" s="20" t="s">
        <v>781</v>
      </c>
      <c r="E31" s="20" t="s">
        <v>772</v>
      </c>
      <c r="F31" s="20">
        <v>186</v>
      </c>
      <c r="G31" s="20">
        <v>1187275</v>
      </c>
      <c r="H31" s="20" t="s">
        <v>920</v>
      </c>
      <c r="I31" s="20">
        <v>1.83</v>
      </c>
      <c r="J31" s="20">
        <v>0</v>
      </c>
      <c r="K31" s="21">
        <v>1159.7</v>
      </c>
    </row>
    <row r="32" spans="1:11" x14ac:dyDescent="0.25">
      <c r="A32" s="20" t="s">
        <v>909</v>
      </c>
      <c r="B32" s="20" t="s">
        <v>910</v>
      </c>
      <c r="C32" s="20" t="s">
        <v>767</v>
      </c>
      <c r="D32" s="20" t="s">
        <v>869</v>
      </c>
      <c r="E32" s="20" t="s">
        <v>772</v>
      </c>
      <c r="F32" s="20">
        <v>215</v>
      </c>
      <c r="G32" s="20">
        <v>441</v>
      </c>
      <c r="H32" s="20" t="s">
        <v>870</v>
      </c>
      <c r="I32" s="20">
        <v>23.07</v>
      </c>
      <c r="J32" s="20">
        <v>0</v>
      </c>
      <c r="K32" s="21">
        <v>1182.77</v>
      </c>
    </row>
    <row r="33" spans="1:11" x14ac:dyDescent="0.25">
      <c r="A33" s="20" t="s">
        <v>909</v>
      </c>
      <c r="B33" s="20" t="s">
        <v>910</v>
      </c>
      <c r="C33" s="20" t="s">
        <v>767</v>
      </c>
      <c r="D33" s="20" t="s">
        <v>869</v>
      </c>
      <c r="E33" s="20" t="s">
        <v>772</v>
      </c>
      <c r="F33" s="20">
        <v>215</v>
      </c>
      <c r="G33" s="20">
        <v>443</v>
      </c>
      <c r="H33" s="20" t="s">
        <v>871</v>
      </c>
      <c r="I33" s="20">
        <v>68.05</v>
      </c>
      <c r="J33" s="20">
        <v>0</v>
      </c>
      <c r="K33" s="21">
        <v>1250.82</v>
      </c>
    </row>
    <row r="34" spans="1:11" x14ac:dyDescent="0.25">
      <c r="A34" s="20" t="s">
        <v>909</v>
      </c>
      <c r="B34" s="20" t="s">
        <v>910</v>
      </c>
      <c r="C34" s="20" t="s">
        <v>767</v>
      </c>
      <c r="D34" s="20" t="s">
        <v>869</v>
      </c>
      <c r="E34" s="20" t="s">
        <v>772</v>
      </c>
      <c r="F34" s="20">
        <v>215</v>
      </c>
      <c r="G34" s="20">
        <v>445</v>
      </c>
      <c r="H34" s="20" t="s">
        <v>872</v>
      </c>
      <c r="I34" s="20">
        <v>35.53</v>
      </c>
      <c r="J34" s="20">
        <v>0</v>
      </c>
      <c r="K34" s="21">
        <v>1286.3499999999999</v>
      </c>
    </row>
    <row r="35" spans="1:11" x14ac:dyDescent="0.25">
      <c r="A35" s="20" t="s">
        <v>909</v>
      </c>
      <c r="B35" s="20" t="s">
        <v>910</v>
      </c>
      <c r="C35" s="20" t="s">
        <v>767</v>
      </c>
      <c r="D35" s="20" t="s">
        <v>869</v>
      </c>
      <c r="E35" s="20" t="s">
        <v>772</v>
      </c>
      <c r="F35" s="20">
        <v>215</v>
      </c>
      <c r="G35" s="20">
        <v>128858</v>
      </c>
      <c r="H35" s="20" t="s">
        <v>921</v>
      </c>
      <c r="I35" s="20">
        <v>7.46</v>
      </c>
      <c r="J35" s="20">
        <v>0</v>
      </c>
      <c r="K35" s="21">
        <v>1293.81</v>
      </c>
    </row>
    <row r="36" spans="1:11" x14ac:dyDescent="0.25">
      <c r="A36" s="20" t="s">
        <v>909</v>
      </c>
      <c r="B36" s="20" t="s">
        <v>910</v>
      </c>
      <c r="C36" s="20" t="s">
        <v>767</v>
      </c>
      <c r="D36" s="20" t="s">
        <v>785</v>
      </c>
      <c r="E36" s="20" t="s">
        <v>772</v>
      </c>
      <c r="F36" s="20">
        <v>231</v>
      </c>
      <c r="G36" s="20">
        <v>645084</v>
      </c>
      <c r="H36" s="20" t="s">
        <v>922</v>
      </c>
      <c r="I36" s="20">
        <v>11.23</v>
      </c>
      <c r="J36" s="20">
        <v>0</v>
      </c>
      <c r="K36" s="21">
        <v>1305.04</v>
      </c>
    </row>
    <row r="37" spans="1:11" x14ac:dyDescent="0.25">
      <c r="A37" s="20" t="s">
        <v>909</v>
      </c>
      <c r="B37" s="20" t="s">
        <v>910</v>
      </c>
      <c r="C37" s="20" t="s">
        <v>767</v>
      </c>
      <c r="D37" s="20" t="s">
        <v>785</v>
      </c>
      <c r="E37" s="20" t="s">
        <v>772</v>
      </c>
      <c r="F37" s="20">
        <v>231</v>
      </c>
      <c r="G37" s="20">
        <v>1429</v>
      </c>
      <c r="H37" s="20" t="s">
        <v>786</v>
      </c>
      <c r="I37" s="20">
        <v>3.75</v>
      </c>
      <c r="J37" s="20">
        <v>0</v>
      </c>
      <c r="K37" s="21">
        <v>1308.79</v>
      </c>
    </row>
    <row r="38" spans="1:11" x14ac:dyDescent="0.25">
      <c r="A38" s="20" t="s">
        <v>909</v>
      </c>
      <c r="B38" s="20" t="s">
        <v>910</v>
      </c>
      <c r="C38" s="20" t="s">
        <v>767</v>
      </c>
      <c r="D38" s="20" t="s">
        <v>785</v>
      </c>
      <c r="E38" s="20" t="s">
        <v>772</v>
      </c>
      <c r="F38" s="20">
        <v>231</v>
      </c>
      <c r="G38" s="20">
        <v>1453160</v>
      </c>
      <c r="H38" s="20" t="s">
        <v>923</v>
      </c>
      <c r="I38" s="20">
        <v>7.84</v>
      </c>
      <c r="J38" s="20">
        <v>0</v>
      </c>
      <c r="K38" s="21">
        <v>1316.63</v>
      </c>
    </row>
    <row r="39" spans="1:11" x14ac:dyDescent="0.25">
      <c r="A39" s="20" t="s">
        <v>909</v>
      </c>
      <c r="B39" s="20" t="s">
        <v>910</v>
      </c>
      <c r="C39" s="20" t="s">
        <v>767</v>
      </c>
      <c r="D39" s="20" t="s">
        <v>785</v>
      </c>
      <c r="E39" s="20" t="s">
        <v>772</v>
      </c>
      <c r="F39" s="20">
        <v>231</v>
      </c>
      <c r="G39" s="20">
        <v>2987</v>
      </c>
      <c r="H39" s="20" t="s">
        <v>787</v>
      </c>
      <c r="I39" s="20">
        <v>4.38</v>
      </c>
      <c r="J39" s="20">
        <v>0</v>
      </c>
      <c r="K39" s="21">
        <v>1321.01</v>
      </c>
    </row>
    <row r="40" spans="1:11" x14ac:dyDescent="0.25">
      <c r="A40" s="20" t="s">
        <v>909</v>
      </c>
      <c r="B40" s="20" t="s">
        <v>910</v>
      </c>
      <c r="C40" s="20" t="s">
        <v>767</v>
      </c>
      <c r="D40" s="20" t="s">
        <v>811</v>
      </c>
      <c r="E40" s="20" t="s">
        <v>772</v>
      </c>
      <c r="F40" s="20">
        <v>255</v>
      </c>
      <c r="G40" s="20">
        <v>50638</v>
      </c>
      <c r="H40" s="20" t="s">
        <v>924</v>
      </c>
      <c r="I40" s="20">
        <v>795.7</v>
      </c>
      <c r="J40" s="20">
        <v>0</v>
      </c>
      <c r="K40" s="21">
        <v>2116.71</v>
      </c>
    </row>
    <row r="41" spans="1:11" x14ac:dyDescent="0.25">
      <c r="A41" s="20" t="s">
        <v>909</v>
      </c>
      <c r="B41" s="20" t="s">
        <v>910</v>
      </c>
      <c r="C41" s="20" t="s">
        <v>767</v>
      </c>
      <c r="D41" s="20" t="s">
        <v>768</v>
      </c>
      <c r="E41" s="20" t="s">
        <v>772</v>
      </c>
      <c r="F41" s="20">
        <v>268</v>
      </c>
      <c r="G41" s="20">
        <v>646143</v>
      </c>
      <c r="H41" s="20" t="s">
        <v>925</v>
      </c>
      <c r="I41" s="20">
        <v>32.86</v>
      </c>
      <c r="J41" s="20">
        <v>0</v>
      </c>
      <c r="K41" s="21">
        <v>2149.5700000000002</v>
      </c>
    </row>
    <row r="42" spans="1:11" x14ac:dyDescent="0.25">
      <c r="A42" s="20" t="s">
        <v>909</v>
      </c>
      <c r="B42" s="20" t="s">
        <v>910</v>
      </c>
      <c r="C42" s="20" t="s">
        <v>767</v>
      </c>
      <c r="D42" s="20" t="s">
        <v>788</v>
      </c>
      <c r="E42" s="20" t="s">
        <v>772</v>
      </c>
      <c r="F42" s="20">
        <v>299</v>
      </c>
      <c r="G42" s="20">
        <v>167</v>
      </c>
      <c r="H42" s="20" t="s">
        <v>789</v>
      </c>
      <c r="I42" s="20">
        <v>26.41</v>
      </c>
      <c r="J42" s="20">
        <v>0</v>
      </c>
      <c r="K42" s="21">
        <v>2175.98</v>
      </c>
    </row>
    <row r="43" spans="1:11" x14ac:dyDescent="0.25">
      <c r="A43" s="20" t="s">
        <v>909</v>
      </c>
      <c r="B43" s="20" t="s">
        <v>910</v>
      </c>
      <c r="C43" s="20" t="s">
        <v>767</v>
      </c>
      <c r="D43" s="20" t="s">
        <v>788</v>
      </c>
      <c r="E43" s="20" t="s">
        <v>772</v>
      </c>
      <c r="F43" s="20">
        <v>299</v>
      </c>
      <c r="G43" s="20">
        <v>3579</v>
      </c>
      <c r="H43" s="20" t="s">
        <v>790</v>
      </c>
      <c r="I43" s="20">
        <v>9</v>
      </c>
      <c r="J43" s="20">
        <v>0</v>
      </c>
      <c r="K43" s="21">
        <v>2184.98</v>
      </c>
    </row>
    <row r="44" spans="1:11" x14ac:dyDescent="0.25">
      <c r="A44" s="20" t="s">
        <v>909</v>
      </c>
      <c r="B44" s="20" t="s">
        <v>910</v>
      </c>
      <c r="C44" s="20" t="s">
        <v>767</v>
      </c>
      <c r="D44" s="20" t="s">
        <v>788</v>
      </c>
      <c r="E44" s="20" t="s">
        <v>772</v>
      </c>
      <c r="F44" s="20">
        <v>299</v>
      </c>
      <c r="G44" s="20">
        <v>3580</v>
      </c>
      <c r="H44" s="20" t="s">
        <v>791</v>
      </c>
      <c r="I44" s="20">
        <v>9</v>
      </c>
      <c r="J44" s="20">
        <v>0</v>
      </c>
      <c r="K44" s="21">
        <v>2193.98</v>
      </c>
    </row>
    <row r="45" spans="1:11" x14ac:dyDescent="0.25">
      <c r="A45" s="20" t="s">
        <v>909</v>
      </c>
      <c r="B45" s="20" t="s">
        <v>910</v>
      </c>
      <c r="C45" s="20" t="s">
        <v>767</v>
      </c>
      <c r="D45" s="20" t="s">
        <v>788</v>
      </c>
      <c r="E45" s="20" t="s">
        <v>772</v>
      </c>
      <c r="F45" s="20">
        <v>299</v>
      </c>
      <c r="G45" s="20">
        <v>3585</v>
      </c>
      <c r="H45" s="20" t="s">
        <v>792</v>
      </c>
      <c r="I45" s="20">
        <v>2.25</v>
      </c>
      <c r="J45" s="20">
        <v>0</v>
      </c>
      <c r="K45" s="21">
        <v>2196.23</v>
      </c>
    </row>
    <row r="46" spans="1:11" x14ac:dyDescent="0.25">
      <c r="A46" s="20" t="s">
        <v>909</v>
      </c>
      <c r="B46" s="20" t="s">
        <v>910</v>
      </c>
      <c r="C46" s="20" t="s">
        <v>767</v>
      </c>
      <c r="D46" s="20" t="s">
        <v>788</v>
      </c>
      <c r="E46" s="20" t="s">
        <v>772</v>
      </c>
      <c r="F46" s="20">
        <v>299</v>
      </c>
      <c r="G46" s="20">
        <v>1187829</v>
      </c>
      <c r="H46" s="20" t="s">
        <v>926</v>
      </c>
      <c r="I46" s="20">
        <v>2.61</v>
      </c>
      <c r="J46" s="20">
        <v>0</v>
      </c>
      <c r="K46" s="21">
        <v>2198.84</v>
      </c>
    </row>
    <row r="47" spans="1:11" x14ac:dyDescent="0.25">
      <c r="A47" s="20" t="s">
        <v>909</v>
      </c>
      <c r="B47" s="20" t="s">
        <v>910</v>
      </c>
      <c r="C47" s="20" t="s">
        <v>767</v>
      </c>
      <c r="D47" s="20" t="s">
        <v>788</v>
      </c>
      <c r="E47" s="20" t="s">
        <v>772</v>
      </c>
      <c r="F47" s="20">
        <v>299</v>
      </c>
      <c r="G47" s="20">
        <v>1187831</v>
      </c>
      <c r="H47" s="20" t="s">
        <v>927</v>
      </c>
      <c r="I47" s="20">
        <v>1.83</v>
      </c>
      <c r="J47" s="20">
        <v>0</v>
      </c>
      <c r="K47" s="21">
        <v>2200.67</v>
      </c>
    </row>
    <row r="48" spans="1:11" x14ac:dyDescent="0.25">
      <c r="A48" s="20" t="s">
        <v>909</v>
      </c>
      <c r="B48" s="20" t="s">
        <v>910</v>
      </c>
      <c r="C48" s="20" t="s">
        <v>767</v>
      </c>
      <c r="D48" s="20" t="s">
        <v>788</v>
      </c>
      <c r="E48" s="20" t="s">
        <v>772</v>
      </c>
      <c r="F48" s="20">
        <v>299</v>
      </c>
      <c r="G48" s="20">
        <v>1187832</v>
      </c>
      <c r="H48" s="20" t="s">
        <v>928</v>
      </c>
      <c r="I48" s="20">
        <v>1.83</v>
      </c>
      <c r="J48" s="20">
        <v>0</v>
      </c>
      <c r="K48" s="21">
        <v>2202.5</v>
      </c>
    </row>
    <row r="49" spans="1:11" x14ac:dyDescent="0.25">
      <c r="A49" s="20" t="s">
        <v>909</v>
      </c>
      <c r="B49" s="20" t="s">
        <v>910</v>
      </c>
      <c r="C49" s="20" t="s">
        <v>767</v>
      </c>
      <c r="D49" s="20" t="s">
        <v>788</v>
      </c>
      <c r="E49" s="20" t="s">
        <v>772</v>
      </c>
      <c r="F49" s="20">
        <v>299</v>
      </c>
      <c r="G49" s="20">
        <v>1187857</v>
      </c>
      <c r="H49" s="20" t="s">
        <v>929</v>
      </c>
      <c r="I49" s="20">
        <v>1.83</v>
      </c>
      <c r="J49" s="20">
        <v>0</v>
      </c>
      <c r="K49" s="21">
        <v>2204.33</v>
      </c>
    </row>
    <row r="50" spans="1:11" x14ac:dyDescent="0.25">
      <c r="A50" s="20" t="s">
        <v>909</v>
      </c>
      <c r="B50" s="20" t="s">
        <v>910</v>
      </c>
      <c r="C50" s="20" t="s">
        <v>767</v>
      </c>
      <c r="D50" s="20" t="s">
        <v>788</v>
      </c>
      <c r="E50" s="20" t="s">
        <v>772</v>
      </c>
      <c r="F50" s="20">
        <v>299</v>
      </c>
      <c r="G50" s="20">
        <v>1187860</v>
      </c>
      <c r="H50" s="20" t="s">
        <v>930</v>
      </c>
      <c r="I50" s="20">
        <v>1.83</v>
      </c>
      <c r="J50" s="20">
        <v>0</v>
      </c>
      <c r="K50" s="21">
        <v>2206.16</v>
      </c>
    </row>
    <row r="51" spans="1:11" x14ac:dyDescent="0.25">
      <c r="A51" s="20" t="s">
        <v>909</v>
      </c>
      <c r="B51" s="20" t="s">
        <v>910</v>
      </c>
      <c r="C51" s="20" t="s">
        <v>767</v>
      </c>
      <c r="D51" s="20" t="s">
        <v>788</v>
      </c>
      <c r="E51" s="20" t="s">
        <v>772</v>
      </c>
      <c r="F51" s="20">
        <v>299</v>
      </c>
      <c r="G51" s="20">
        <v>231</v>
      </c>
      <c r="H51" s="20" t="s">
        <v>931</v>
      </c>
      <c r="I51" s="20">
        <v>4.1399999999999997</v>
      </c>
      <c r="J51" s="20">
        <v>0</v>
      </c>
      <c r="K51" s="21">
        <v>2210.3000000000002</v>
      </c>
    </row>
    <row r="52" spans="1:11" x14ac:dyDescent="0.25">
      <c r="A52" s="20" t="s">
        <v>909</v>
      </c>
      <c r="B52" s="20" t="s">
        <v>910</v>
      </c>
      <c r="C52" s="20" t="s">
        <v>767</v>
      </c>
      <c r="D52" s="20" t="s">
        <v>824</v>
      </c>
      <c r="E52" s="20" t="s">
        <v>772</v>
      </c>
      <c r="F52" s="20">
        <v>389</v>
      </c>
      <c r="G52" s="20">
        <v>234</v>
      </c>
      <c r="H52" s="20" t="s">
        <v>932</v>
      </c>
      <c r="I52" s="20">
        <v>1.34</v>
      </c>
      <c r="J52" s="20">
        <v>0</v>
      </c>
      <c r="K52" s="21">
        <v>2211.64</v>
      </c>
    </row>
    <row r="53" spans="1:11" x14ac:dyDescent="0.25">
      <c r="A53" s="20" t="s">
        <v>909</v>
      </c>
      <c r="B53" s="20" t="s">
        <v>910</v>
      </c>
      <c r="C53" s="20" t="s">
        <v>767</v>
      </c>
      <c r="D53" s="20" t="s">
        <v>824</v>
      </c>
      <c r="E53" s="20" t="s">
        <v>772</v>
      </c>
      <c r="F53" s="20">
        <v>389</v>
      </c>
      <c r="G53" s="20">
        <v>233</v>
      </c>
      <c r="H53" s="20" t="s">
        <v>933</v>
      </c>
      <c r="I53" s="20">
        <v>3.54</v>
      </c>
      <c r="J53" s="20">
        <v>0</v>
      </c>
      <c r="K53" s="21">
        <v>2215.1799999999998</v>
      </c>
    </row>
    <row r="54" spans="1:11" x14ac:dyDescent="0.25">
      <c r="A54" s="20" t="s">
        <v>909</v>
      </c>
      <c r="B54" s="20" t="s">
        <v>910</v>
      </c>
      <c r="C54" s="20" t="s">
        <v>767</v>
      </c>
      <c r="D54" s="20" t="s">
        <v>824</v>
      </c>
      <c r="E54" s="20" t="s">
        <v>772</v>
      </c>
      <c r="F54" s="20">
        <v>389</v>
      </c>
      <c r="G54" s="20">
        <v>235</v>
      </c>
      <c r="H54" s="20" t="s">
        <v>934</v>
      </c>
      <c r="I54" s="20">
        <v>3.62</v>
      </c>
      <c r="J54" s="20">
        <v>0</v>
      </c>
      <c r="K54" s="21">
        <v>2218.8000000000002</v>
      </c>
    </row>
    <row r="55" spans="1:11" x14ac:dyDescent="0.25">
      <c r="A55" s="20" t="s">
        <v>909</v>
      </c>
      <c r="B55" s="20" t="s">
        <v>910</v>
      </c>
      <c r="C55" s="20" t="s">
        <v>767</v>
      </c>
      <c r="D55" s="20" t="s">
        <v>793</v>
      </c>
      <c r="E55" s="20" t="s">
        <v>772</v>
      </c>
      <c r="F55" s="20">
        <v>479</v>
      </c>
      <c r="G55" s="20">
        <v>1193631</v>
      </c>
      <c r="H55" s="20" t="s">
        <v>935</v>
      </c>
      <c r="I55" s="20">
        <v>1.83</v>
      </c>
      <c r="J55" s="20">
        <v>0</v>
      </c>
      <c r="K55" s="21">
        <v>2220.63</v>
      </c>
    </row>
    <row r="56" spans="1:11" x14ac:dyDescent="0.25">
      <c r="A56" s="20" t="s">
        <v>909</v>
      </c>
      <c r="B56" s="20" t="s">
        <v>910</v>
      </c>
      <c r="C56" s="20" t="s">
        <v>767</v>
      </c>
      <c r="D56" s="20" t="s">
        <v>793</v>
      </c>
      <c r="E56" s="20" t="s">
        <v>772</v>
      </c>
      <c r="F56" s="20">
        <v>479</v>
      </c>
      <c r="G56" s="20">
        <v>1193633</v>
      </c>
      <c r="H56" s="20" t="s">
        <v>936</v>
      </c>
      <c r="I56" s="20">
        <v>1.83</v>
      </c>
      <c r="J56" s="20">
        <v>0</v>
      </c>
      <c r="K56" s="21">
        <v>2222.46</v>
      </c>
    </row>
    <row r="57" spans="1:11" x14ac:dyDescent="0.25">
      <c r="A57" s="20" t="s">
        <v>909</v>
      </c>
      <c r="B57" s="20" t="s">
        <v>910</v>
      </c>
      <c r="C57" s="20" t="s">
        <v>767</v>
      </c>
      <c r="D57" s="20" t="s">
        <v>793</v>
      </c>
      <c r="E57" s="20" t="s">
        <v>772</v>
      </c>
      <c r="F57" s="20">
        <v>479</v>
      </c>
      <c r="G57" s="20">
        <v>1193916</v>
      </c>
      <c r="H57" s="20" t="s">
        <v>937</v>
      </c>
      <c r="I57" s="20">
        <v>0.39</v>
      </c>
      <c r="J57" s="20">
        <v>0</v>
      </c>
      <c r="K57" s="21">
        <v>2222.85</v>
      </c>
    </row>
    <row r="58" spans="1:11" x14ac:dyDescent="0.25">
      <c r="A58" s="20" t="s">
        <v>909</v>
      </c>
      <c r="B58" s="20" t="s">
        <v>910</v>
      </c>
      <c r="C58" s="20" t="s">
        <v>767</v>
      </c>
      <c r="D58" s="20" t="s">
        <v>793</v>
      </c>
      <c r="E58" s="20" t="s">
        <v>772</v>
      </c>
      <c r="F58" s="20">
        <v>479</v>
      </c>
      <c r="G58" s="20">
        <v>1593475</v>
      </c>
      <c r="H58" s="20" t="s">
        <v>938</v>
      </c>
      <c r="I58" s="20">
        <v>1.96</v>
      </c>
      <c r="J58" s="20">
        <v>0</v>
      </c>
      <c r="K58" s="21">
        <v>2224.81</v>
      </c>
    </row>
    <row r="59" spans="1:11" x14ac:dyDescent="0.25">
      <c r="A59" s="20" t="s">
        <v>909</v>
      </c>
      <c r="B59" s="20" t="s">
        <v>910</v>
      </c>
      <c r="C59" s="20" t="s">
        <v>767</v>
      </c>
      <c r="D59" s="20" t="s">
        <v>793</v>
      </c>
      <c r="E59" s="20" t="s">
        <v>772</v>
      </c>
      <c r="F59" s="20">
        <v>479</v>
      </c>
      <c r="G59" s="20">
        <v>1751</v>
      </c>
      <c r="H59" s="20" t="s">
        <v>794</v>
      </c>
      <c r="I59" s="20">
        <v>0</v>
      </c>
      <c r="J59" s="20">
        <v>3</v>
      </c>
      <c r="K59" s="21">
        <v>2221.81</v>
      </c>
    </row>
    <row r="60" spans="1:11" x14ac:dyDescent="0.25">
      <c r="A60" s="20" t="s">
        <v>909</v>
      </c>
      <c r="B60" s="20" t="s">
        <v>910</v>
      </c>
      <c r="C60" s="20" t="s">
        <v>767</v>
      </c>
      <c r="D60" s="20" t="s">
        <v>795</v>
      </c>
      <c r="E60" s="20" t="s">
        <v>772</v>
      </c>
      <c r="F60" s="20">
        <v>61</v>
      </c>
      <c r="G60" s="20">
        <v>192</v>
      </c>
      <c r="H60" s="20" t="s">
        <v>873</v>
      </c>
      <c r="I60" s="21">
        <v>1251.03</v>
      </c>
      <c r="J60" s="20">
        <v>0</v>
      </c>
      <c r="K60" s="21">
        <v>3472.84</v>
      </c>
    </row>
    <row r="61" spans="1:11" x14ac:dyDescent="0.25">
      <c r="A61" s="20" t="s">
        <v>909</v>
      </c>
      <c r="B61" s="20" t="s">
        <v>910</v>
      </c>
      <c r="C61" s="20" t="s">
        <v>767</v>
      </c>
      <c r="D61" s="20" t="s">
        <v>795</v>
      </c>
      <c r="E61" s="20" t="s">
        <v>772</v>
      </c>
      <c r="F61" s="20">
        <v>61</v>
      </c>
      <c r="G61" s="20">
        <v>193</v>
      </c>
      <c r="H61" s="20" t="s">
        <v>874</v>
      </c>
      <c r="I61" s="20">
        <v>790.18</v>
      </c>
      <c r="J61" s="20">
        <v>0</v>
      </c>
      <c r="K61" s="21">
        <v>4263.0200000000004</v>
      </c>
    </row>
    <row r="62" spans="1:11" x14ac:dyDescent="0.25">
      <c r="A62" s="20" t="s">
        <v>909</v>
      </c>
      <c r="B62" s="20" t="s">
        <v>910</v>
      </c>
      <c r="C62" s="20" t="s">
        <v>767</v>
      </c>
      <c r="D62" s="20" t="s">
        <v>795</v>
      </c>
      <c r="E62" s="20" t="s">
        <v>772</v>
      </c>
      <c r="F62" s="20">
        <v>61</v>
      </c>
      <c r="G62" s="20">
        <v>47</v>
      </c>
      <c r="H62" s="20" t="s">
        <v>875</v>
      </c>
      <c r="I62" s="20">
        <v>134.32</v>
      </c>
      <c r="J62" s="20">
        <v>0</v>
      </c>
      <c r="K62" s="21">
        <v>4397.34</v>
      </c>
    </row>
    <row r="63" spans="1:11" x14ac:dyDescent="0.25">
      <c r="A63" s="20" t="s">
        <v>909</v>
      </c>
      <c r="B63" s="20" t="s">
        <v>910</v>
      </c>
      <c r="C63" s="20" t="s">
        <v>767</v>
      </c>
      <c r="D63" s="20" t="s">
        <v>795</v>
      </c>
      <c r="E63" s="20" t="s">
        <v>772</v>
      </c>
      <c r="F63" s="20">
        <v>61</v>
      </c>
      <c r="G63" s="20">
        <v>438</v>
      </c>
      <c r="H63" s="20" t="s">
        <v>876</v>
      </c>
      <c r="I63" s="21">
        <v>1500</v>
      </c>
      <c r="J63" s="20">
        <v>0</v>
      </c>
      <c r="K63" s="21">
        <v>5897.34</v>
      </c>
    </row>
    <row r="64" spans="1:11" x14ac:dyDescent="0.25">
      <c r="A64" s="20" t="s">
        <v>909</v>
      </c>
      <c r="B64" s="20" t="s">
        <v>910</v>
      </c>
      <c r="C64" s="20" t="s">
        <v>767</v>
      </c>
      <c r="D64" s="20" t="s">
        <v>795</v>
      </c>
      <c r="E64" s="20" t="s">
        <v>772</v>
      </c>
      <c r="F64" s="20">
        <v>61</v>
      </c>
      <c r="G64" s="20">
        <v>3553</v>
      </c>
      <c r="H64" s="20" t="s">
        <v>796</v>
      </c>
      <c r="I64" s="20">
        <v>0.75</v>
      </c>
      <c r="J64" s="20">
        <v>0</v>
      </c>
      <c r="K64" s="21">
        <v>5898.09</v>
      </c>
    </row>
    <row r="65" spans="1:11" x14ac:dyDescent="0.25">
      <c r="A65" s="20" t="s">
        <v>909</v>
      </c>
      <c r="B65" s="20" t="s">
        <v>910</v>
      </c>
      <c r="C65" s="20" t="s">
        <v>767</v>
      </c>
      <c r="D65" s="20" t="s">
        <v>841</v>
      </c>
      <c r="E65" s="20" t="s">
        <v>772</v>
      </c>
      <c r="F65" s="20">
        <v>71</v>
      </c>
      <c r="G65" s="20">
        <v>1555</v>
      </c>
      <c r="H65" s="20" t="s">
        <v>887</v>
      </c>
      <c r="I65" s="20">
        <v>83.33</v>
      </c>
      <c r="J65" s="20">
        <v>0</v>
      </c>
      <c r="K65" s="21">
        <v>5981.42</v>
      </c>
    </row>
    <row r="66" spans="1:11" x14ac:dyDescent="0.25">
      <c r="A66" s="20" t="s">
        <v>909</v>
      </c>
      <c r="B66" s="20" t="s">
        <v>910</v>
      </c>
      <c r="C66" s="20" t="s">
        <v>767</v>
      </c>
      <c r="D66" s="20" t="s">
        <v>841</v>
      </c>
      <c r="E66" s="20" t="s">
        <v>772</v>
      </c>
      <c r="F66" s="20">
        <v>71</v>
      </c>
      <c r="G66" s="20">
        <v>161</v>
      </c>
      <c r="H66" s="20" t="s">
        <v>877</v>
      </c>
      <c r="I66" s="20">
        <v>4.8600000000000003</v>
      </c>
      <c r="J66" s="20">
        <v>0</v>
      </c>
      <c r="K66" s="21">
        <v>5986.28</v>
      </c>
    </row>
    <row r="67" spans="1:11" x14ac:dyDescent="0.25">
      <c r="A67" s="20" t="s">
        <v>909</v>
      </c>
      <c r="B67" s="20" t="s">
        <v>910</v>
      </c>
      <c r="C67" s="20" t="s">
        <v>767</v>
      </c>
      <c r="D67" s="20" t="s">
        <v>841</v>
      </c>
      <c r="E67" s="20" t="s">
        <v>772</v>
      </c>
      <c r="F67" s="20">
        <v>71</v>
      </c>
      <c r="G67" s="20">
        <v>5333</v>
      </c>
      <c r="H67" s="20" t="s">
        <v>939</v>
      </c>
      <c r="I67" s="20">
        <v>16.7</v>
      </c>
      <c r="J67" s="20">
        <v>0</v>
      </c>
      <c r="K67" s="21">
        <v>6002.98</v>
      </c>
    </row>
    <row r="68" spans="1:11" x14ac:dyDescent="0.25">
      <c r="A68" s="20" t="s">
        <v>909</v>
      </c>
      <c r="B68" s="20" t="s">
        <v>910</v>
      </c>
      <c r="C68" s="20" t="s">
        <v>767</v>
      </c>
      <c r="D68" s="20" t="s">
        <v>797</v>
      </c>
      <c r="E68" s="20" t="s">
        <v>798</v>
      </c>
      <c r="F68" s="20">
        <v>123</v>
      </c>
      <c r="G68" s="20">
        <v>521</v>
      </c>
      <c r="H68" s="20" t="s">
        <v>799</v>
      </c>
      <c r="I68" s="20">
        <v>31.07</v>
      </c>
      <c r="J68" s="20">
        <v>0</v>
      </c>
      <c r="K68" s="21">
        <v>6034.05</v>
      </c>
    </row>
    <row r="69" spans="1:11" x14ac:dyDescent="0.25">
      <c r="A69" s="20" t="s">
        <v>909</v>
      </c>
      <c r="B69" s="20" t="s">
        <v>910</v>
      </c>
      <c r="C69" s="20" t="s">
        <v>767</v>
      </c>
      <c r="D69" s="20" t="s">
        <v>800</v>
      </c>
      <c r="E69" s="20" t="s">
        <v>798</v>
      </c>
      <c r="F69" s="20">
        <v>128</v>
      </c>
      <c r="G69" s="20">
        <v>85503</v>
      </c>
      <c r="H69" s="20" t="s">
        <v>940</v>
      </c>
      <c r="I69" s="20">
        <v>420</v>
      </c>
      <c r="J69" s="20">
        <v>0</v>
      </c>
      <c r="K69" s="21">
        <v>6454.05</v>
      </c>
    </row>
    <row r="70" spans="1:11" x14ac:dyDescent="0.25">
      <c r="A70" s="20" t="s">
        <v>909</v>
      </c>
      <c r="B70" s="20" t="s">
        <v>910</v>
      </c>
      <c r="C70" s="20" t="s">
        <v>767</v>
      </c>
      <c r="D70" s="20" t="s">
        <v>800</v>
      </c>
      <c r="E70" s="20" t="s">
        <v>798</v>
      </c>
      <c r="F70" s="20">
        <v>128</v>
      </c>
      <c r="G70" s="20">
        <v>1049</v>
      </c>
      <c r="H70" s="20" t="s">
        <v>801</v>
      </c>
      <c r="I70" s="20">
        <v>6</v>
      </c>
      <c r="J70" s="20">
        <v>0</v>
      </c>
      <c r="K70" s="21">
        <v>6460.05</v>
      </c>
    </row>
    <row r="71" spans="1:11" x14ac:dyDescent="0.25">
      <c r="A71" s="20" t="s">
        <v>909</v>
      </c>
      <c r="B71" s="20" t="s">
        <v>910</v>
      </c>
      <c r="C71" s="20" t="s">
        <v>767</v>
      </c>
      <c r="D71" s="20" t="s">
        <v>800</v>
      </c>
      <c r="E71" s="20" t="s">
        <v>798</v>
      </c>
      <c r="F71" s="20">
        <v>128</v>
      </c>
      <c r="G71" s="20">
        <v>2759</v>
      </c>
      <c r="H71" s="20" t="s">
        <v>802</v>
      </c>
      <c r="I71" s="20">
        <v>223.27</v>
      </c>
      <c r="J71" s="20">
        <v>0</v>
      </c>
      <c r="K71" s="21">
        <v>6683.32</v>
      </c>
    </row>
    <row r="72" spans="1:11" x14ac:dyDescent="0.25">
      <c r="A72" s="20" t="s">
        <v>909</v>
      </c>
      <c r="B72" s="20" t="s">
        <v>910</v>
      </c>
      <c r="C72" s="20" t="s">
        <v>767</v>
      </c>
      <c r="D72" s="20" t="s">
        <v>800</v>
      </c>
      <c r="E72" s="20" t="s">
        <v>798</v>
      </c>
      <c r="F72" s="20">
        <v>129</v>
      </c>
      <c r="G72" s="20">
        <v>7737</v>
      </c>
      <c r="H72" s="20" t="s">
        <v>941</v>
      </c>
      <c r="I72" s="20">
        <v>10.199999999999999</v>
      </c>
      <c r="J72" s="20">
        <v>0</v>
      </c>
      <c r="K72" s="21">
        <v>6693.52</v>
      </c>
    </row>
    <row r="73" spans="1:11" x14ac:dyDescent="0.25">
      <c r="A73" s="20" t="s">
        <v>909</v>
      </c>
      <c r="B73" s="20" t="s">
        <v>910</v>
      </c>
      <c r="C73" s="20" t="s">
        <v>767</v>
      </c>
      <c r="D73" s="20" t="s">
        <v>800</v>
      </c>
      <c r="E73" s="20" t="s">
        <v>798</v>
      </c>
      <c r="F73" s="20">
        <v>129</v>
      </c>
      <c r="G73" s="20">
        <v>7740</v>
      </c>
      <c r="H73" s="20" t="s">
        <v>942</v>
      </c>
      <c r="I73" s="20">
        <v>60.87</v>
      </c>
      <c r="J73" s="20">
        <v>0</v>
      </c>
      <c r="K73" s="21">
        <v>6754.39</v>
      </c>
    </row>
    <row r="74" spans="1:11" x14ac:dyDescent="0.25">
      <c r="A74" s="20" t="s">
        <v>909</v>
      </c>
      <c r="B74" s="20" t="s">
        <v>910</v>
      </c>
      <c r="C74" s="20" t="s">
        <v>767</v>
      </c>
      <c r="D74" s="20" t="s">
        <v>800</v>
      </c>
      <c r="E74" s="20" t="s">
        <v>798</v>
      </c>
      <c r="F74" s="20">
        <v>129</v>
      </c>
      <c r="G74" s="20">
        <v>7741</v>
      </c>
      <c r="H74" s="20" t="s">
        <v>943</v>
      </c>
      <c r="I74" s="20">
        <v>89.34</v>
      </c>
      <c r="J74" s="20">
        <v>0</v>
      </c>
      <c r="K74" s="21">
        <v>6843.73</v>
      </c>
    </row>
    <row r="75" spans="1:11" x14ac:dyDescent="0.25">
      <c r="A75" s="20" t="s">
        <v>909</v>
      </c>
      <c r="B75" s="20" t="s">
        <v>910</v>
      </c>
      <c r="C75" s="20" t="s">
        <v>767</v>
      </c>
      <c r="D75" s="20" t="s">
        <v>800</v>
      </c>
      <c r="E75" s="20" t="s">
        <v>798</v>
      </c>
      <c r="F75" s="20">
        <v>130</v>
      </c>
      <c r="G75" s="20">
        <v>7746</v>
      </c>
      <c r="H75" s="20" t="s">
        <v>944</v>
      </c>
      <c r="I75" s="20">
        <v>3.49</v>
      </c>
      <c r="J75" s="20">
        <v>0</v>
      </c>
      <c r="K75" s="21">
        <v>6847.22</v>
      </c>
    </row>
    <row r="76" spans="1:11" x14ac:dyDescent="0.25">
      <c r="A76" s="20" t="s">
        <v>909</v>
      </c>
      <c r="B76" s="20" t="s">
        <v>910</v>
      </c>
      <c r="C76" s="20" t="s">
        <v>767</v>
      </c>
      <c r="D76" s="20" t="s">
        <v>777</v>
      </c>
      <c r="E76" s="20" t="s">
        <v>798</v>
      </c>
      <c r="F76" s="20">
        <v>145</v>
      </c>
      <c r="G76" s="20">
        <v>523</v>
      </c>
      <c r="H76" s="20" t="s">
        <v>803</v>
      </c>
      <c r="I76" s="20">
        <v>30.18</v>
      </c>
      <c r="J76" s="20">
        <v>0</v>
      </c>
      <c r="K76" s="21">
        <v>6877.4</v>
      </c>
    </row>
    <row r="77" spans="1:11" x14ac:dyDescent="0.25">
      <c r="A77" s="20" t="s">
        <v>909</v>
      </c>
      <c r="B77" s="20" t="s">
        <v>910</v>
      </c>
      <c r="C77" s="20" t="s">
        <v>767</v>
      </c>
      <c r="D77" s="20" t="s">
        <v>777</v>
      </c>
      <c r="E77" s="20" t="s">
        <v>798</v>
      </c>
      <c r="F77" s="20">
        <v>145</v>
      </c>
      <c r="G77" s="20">
        <v>528</v>
      </c>
      <c r="H77" s="20" t="s">
        <v>804</v>
      </c>
      <c r="I77" s="20">
        <v>15.31</v>
      </c>
      <c r="J77" s="20">
        <v>0</v>
      </c>
      <c r="K77" s="21">
        <v>6892.71</v>
      </c>
    </row>
    <row r="78" spans="1:11" x14ac:dyDescent="0.25">
      <c r="A78" s="20" t="s">
        <v>909</v>
      </c>
      <c r="B78" s="20" t="s">
        <v>910</v>
      </c>
      <c r="C78" s="20" t="s">
        <v>767</v>
      </c>
      <c r="D78" s="20" t="s">
        <v>777</v>
      </c>
      <c r="E78" s="20" t="s">
        <v>798</v>
      </c>
      <c r="F78" s="20">
        <v>146</v>
      </c>
      <c r="G78" s="20">
        <v>85530</v>
      </c>
      <c r="H78" s="20" t="s">
        <v>945</v>
      </c>
      <c r="I78" s="20">
        <v>169.04</v>
      </c>
      <c r="J78" s="20">
        <v>0</v>
      </c>
      <c r="K78" s="21">
        <v>7061.75</v>
      </c>
    </row>
    <row r="79" spans="1:11" x14ac:dyDescent="0.25">
      <c r="A79" s="20" t="s">
        <v>909</v>
      </c>
      <c r="B79" s="20" t="s">
        <v>910</v>
      </c>
      <c r="C79" s="20" t="s">
        <v>767</v>
      </c>
      <c r="D79" s="20" t="s">
        <v>777</v>
      </c>
      <c r="E79" s="20" t="s">
        <v>798</v>
      </c>
      <c r="F79" s="20">
        <v>146</v>
      </c>
      <c r="G79" s="20">
        <v>85544</v>
      </c>
      <c r="H79" s="20" t="s">
        <v>946</v>
      </c>
      <c r="I79" s="20">
        <v>276.82</v>
      </c>
      <c r="J79" s="20">
        <v>0</v>
      </c>
      <c r="K79" s="21">
        <v>7338.57</v>
      </c>
    </row>
    <row r="80" spans="1:11" x14ac:dyDescent="0.25">
      <c r="A80" s="20" t="s">
        <v>909</v>
      </c>
      <c r="B80" s="20" t="s">
        <v>910</v>
      </c>
      <c r="C80" s="20" t="s">
        <v>767</v>
      </c>
      <c r="D80" s="20" t="s">
        <v>777</v>
      </c>
      <c r="E80" s="20" t="s">
        <v>798</v>
      </c>
      <c r="F80" s="20">
        <v>147</v>
      </c>
      <c r="G80" s="20">
        <v>695</v>
      </c>
      <c r="H80" s="20" t="s">
        <v>947</v>
      </c>
      <c r="I80" s="20">
        <v>304.72000000000003</v>
      </c>
      <c r="J80" s="20">
        <v>0</v>
      </c>
      <c r="K80" s="21">
        <v>7643.29</v>
      </c>
    </row>
    <row r="81" spans="1:11" x14ac:dyDescent="0.25">
      <c r="A81" s="20" t="s">
        <v>909</v>
      </c>
      <c r="B81" s="20" t="s">
        <v>910</v>
      </c>
      <c r="C81" s="20" t="s">
        <v>767</v>
      </c>
      <c r="D81" s="20" t="s">
        <v>777</v>
      </c>
      <c r="E81" s="20" t="s">
        <v>798</v>
      </c>
      <c r="F81" s="20">
        <v>148</v>
      </c>
      <c r="G81" s="20">
        <v>5391</v>
      </c>
      <c r="H81" s="20" t="s">
        <v>948</v>
      </c>
      <c r="I81" s="20">
        <v>31.2</v>
      </c>
      <c r="J81" s="20">
        <v>0</v>
      </c>
      <c r="K81" s="21">
        <v>7674.49</v>
      </c>
    </row>
    <row r="82" spans="1:11" x14ac:dyDescent="0.25">
      <c r="A82" s="20" t="s">
        <v>909</v>
      </c>
      <c r="B82" s="20" t="s">
        <v>910</v>
      </c>
      <c r="C82" s="20" t="s">
        <v>767</v>
      </c>
      <c r="D82" s="20" t="s">
        <v>777</v>
      </c>
      <c r="E82" s="20" t="s">
        <v>798</v>
      </c>
      <c r="F82" s="20">
        <v>148</v>
      </c>
      <c r="G82" s="20">
        <v>7756</v>
      </c>
      <c r="H82" s="20" t="s">
        <v>949</v>
      </c>
      <c r="I82" s="20">
        <v>88.09</v>
      </c>
      <c r="J82" s="20">
        <v>0</v>
      </c>
      <c r="K82" s="21">
        <v>7762.58</v>
      </c>
    </row>
    <row r="83" spans="1:11" x14ac:dyDescent="0.25">
      <c r="A83" s="20" t="s">
        <v>909</v>
      </c>
      <c r="B83" s="20" t="s">
        <v>910</v>
      </c>
      <c r="C83" s="20" t="s">
        <v>767</v>
      </c>
      <c r="D83" s="20" t="s">
        <v>777</v>
      </c>
      <c r="E83" s="20" t="s">
        <v>798</v>
      </c>
      <c r="F83" s="20">
        <v>149</v>
      </c>
      <c r="G83" s="20">
        <v>5386</v>
      </c>
      <c r="H83" s="20" t="s">
        <v>950</v>
      </c>
      <c r="I83" s="20">
        <v>25.26</v>
      </c>
      <c r="J83" s="20">
        <v>0</v>
      </c>
      <c r="K83" s="21">
        <v>7787.84</v>
      </c>
    </row>
    <row r="84" spans="1:11" x14ac:dyDescent="0.25">
      <c r="A84" s="20" t="s">
        <v>909</v>
      </c>
      <c r="B84" s="20" t="s">
        <v>910</v>
      </c>
      <c r="C84" s="20" t="s">
        <v>767</v>
      </c>
      <c r="D84" s="20" t="s">
        <v>781</v>
      </c>
      <c r="E84" s="20" t="s">
        <v>798</v>
      </c>
      <c r="F84" s="20">
        <v>167</v>
      </c>
      <c r="G84" s="20">
        <v>535</v>
      </c>
      <c r="H84" s="20" t="s">
        <v>805</v>
      </c>
      <c r="I84" s="20">
        <v>1.61</v>
      </c>
      <c r="J84" s="20">
        <v>0</v>
      </c>
      <c r="K84" s="21">
        <v>7789.45</v>
      </c>
    </row>
    <row r="85" spans="1:11" x14ac:dyDescent="0.25">
      <c r="A85" s="20" t="s">
        <v>909</v>
      </c>
      <c r="B85" s="20" t="s">
        <v>910</v>
      </c>
      <c r="C85" s="20" t="s">
        <v>767</v>
      </c>
      <c r="D85" s="20" t="s">
        <v>781</v>
      </c>
      <c r="E85" s="20" t="s">
        <v>798</v>
      </c>
      <c r="F85" s="20">
        <v>167</v>
      </c>
      <c r="G85" s="20">
        <v>536</v>
      </c>
      <c r="H85" s="20" t="s">
        <v>806</v>
      </c>
      <c r="I85" s="20">
        <v>18.48</v>
      </c>
      <c r="J85" s="20">
        <v>0</v>
      </c>
      <c r="K85" s="21">
        <v>7807.93</v>
      </c>
    </row>
    <row r="86" spans="1:11" x14ac:dyDescent="0.25">
      <c r="A86" s="20" t="s">
        <v>909</v>
      </c>
      <c r="B86" s="20" t="s">
        <v>910</v>
      </c>
      <c r="C86" s="20" t="s">
        <v>767</v>
      </c>
      <c r="D86" s="20" t="s">
        <v>781</v>
      </c>
      <c r="E86" s="20" t="s">
        <v>798</v>
      </c>
      <c r="F86" s="20">
        <v>168</v>
      </c>
      <c r="G86" s="20">
        <v>85582</v>
      </c>
      <c r="H86" s="20" t="s">
        <v>951</v>
      </c>
      <c r="I86" s="20">
        <v>37.14</v>
      </c>
      <c r="J86" s="20">
        <v>0</v>
      </c>
      <c r="K86" s="21">
        <v>7845.07</v>
      </c>
    </row>
    <row r="87" spans="1:11" x14ac:dyDescent="0.25">
      <c r="A87" s="20" t="s">
        <v>909</v>
      </c>
      <c r="B87" s="20" t="s">
        <v>910</v>
      </c>
      <c r="C87" s="20" t="s">
        <v>767</v>
      </c>
      <c r="D87" s="20" t="s">
        <v>781</v>
      </c>
      <c r="E87" s="20" t="s">
        <v>798</v>
      </c>
      <c r="F87" s="20">
        <v>168</v>
      </c>
      <c r="G87" s="20">
        <v>31613</v>
      </c>
      <c r="H87" s="20" t="s">
        <v>807</v>
      </c>
      <c r="I87" s="20">
        <v>402.76</v>
      </c>
      <c r="J87" s="20">
        <v>0</v>
      </c>
      <c r="K87" s="21">
        <v>8247.83</v>
      </c>
    </row>
    <row r="88" spans="1:11" x14ac:dyDescent="0.25">
      <c r="A88" s="20" t="s">
        <v>909</v>
      </c>
      <c r="B88" s="20" t="s">
        <v>910</v>
      </c>
      <c r="C88" s="20" t="s">
        <v>767</v>
      </c>
      <c r="D88" s="20" t="s">
        <v>781</v>
      </c>
      <c r="E88" s="20" t="s">
        <v>798</v>
      </c>
      <c r="F88" s="20">
        <v>169</v>
      </c>
      <c r="G88" s="20">
        <v>5396</v>
      </c>
      <c r="H88" s="20" t="s">
        <v>952</v>
      </c>
      <c r="I88" s="20">
        <v>3.14</v>
      </c>
      <c r="J88" s="20">
        <v>0</v>
      </c>
      <c r="K88" s="21">
        <v>8250.9699999999993</v>
      </c>
    </row>
    <row r="89" spans="1:11" x14ac:dyDescent="0.25">
      <c r="A89" s="20" t="s">
        <v>909</v>
      </c>
      <c r="B89" s="20" t="s">
        <v>910</v>
      </c>
      <c r="C89" s="20" t="s">
        <v>767</v>
      </c>
      <c r="D89" s="20" t="s">
        <v>781</v>
      </c>
      <c r="E89" s="20" t="s">
        <v>798</v>
      </c>
      <c r="F89" s="20">
        <v>169</v>
      </c>
      <c r="G89" s="20">
        <v>7760</v>
      </c>
      <c r="H89" s="20" t="s">
        <v>953</v>
      </c>
      <c r="I89" s="20">
        <v>225.53</v>
      </c>
      <c r="J89" s="20">
        <v>0</v>
      </c>
      <c r="K89" s="21">
        <v>8476.5</v>
      </c>
    </row>
    <row r="90" spans="1:11" x14ac:dyDescent="0.25">
      <c r="A90" s="20" t="s">
        <v>909</v>
      </c>
      <c r="B90" s="20" t="s">
        <v>910</v>
      </c>
      <c r="C90" s="20" t="s">
        <v>767</v>
      </c>
      <c r="D90" s="20" t="s">
        <v>781</v>
      </c>
      <c r="E90" s="20" t="s">
        <v>798</v>
      </c>
      <c r="F90" s="20">
        <v>170</v>
      </c>
      <c r="G90" s="20">
        <v>5397</v>
      </c>
      <c r="H90" s="20" t="s">
        <v>954</v>
      </c>
      <c r="I90" s="20">
        <v>14.69</v>
      </c>
      <c r="J90" s="20">
        <v>0</v>
      </c>
      <c r="K90" s="21">
        <v>8491.19</v>
      </c>
    </row>
    <row r="91" spans="1:11" x14ac:dyDescent="0.25">
      <c r="A91" s="20" t="s">
        <v>909</v>
      </c>
      <c r="B91" s="20" t="s">
        <v>910</v>
      </c>
      <c r="C91" s="20" t="s">
        <v>767</v>
      </c>
      <c r="D91" s="20" t="s">
        <v>880</v>
      </c>
      <c r="E91" s="20" t="s">
        <v>798</v>
      </c>
      <c r="F91" s="20">
        <v>187</v>
      </c>
      <c r="G91" s="20">
        <v>85627</v>
      </c>
      <c r="H91" s="20" t="s">
        <v>955</v>
      </c>
      <c r="I91" s="20">
        <v>77.2</v>
      </c>
      <c r="J91" s="20">
        <v>0</v>
      </c>
      <c r="K91" s="21">
        <v>8568.39</v>
      </c>
    </row>
    <row r="92" spans="1:11" x14ac:dyDescent="0.25">
      <c r="A92" s="20" t="s">
        <v>909</v>
      </c>
      <c r="B92" s="20" t="s">
        <v>910</v>
      </c>
      <c r="C92" s="20" t="s">
        <v>767</v>
      </c>
      <c r="D92" s="20" t="s">
        <v>880</v>
      </c>
      <c r="E92" s="20" t="s">
        <v>798</v>
      </c>
      <c r="F92" s="20">
        <v>188</v>
      </c>
      <c r="G92" s="20">
        <v>5406</v>
      </c>
      <c r="H92" s="20" t="s">
        <v>956</v>
      </c>
      <c r="I92" s="20">
        <v>23.77</v>
      </c>
      <c r="J92" s="20">
        <v>0</v>
      </c>
      <c r="K92" s="21">
        <v>8592.16</v>
      </c>
    </row>
    <row r="93" spans="1:11" x14ac:dyDescent="0.25">
      <c r="A93" s="20" t="s">
        <v>909</v>
      </c>
      <c r="B93" s="20" t="s">
        <v>910</v>
      </c>
      <c r="C93" s="20" t="s">
        <v>767</v>
      </c>
      <c r="D93" s="20" t="s">
        <v>880</v>
      </c>
      <c r="E93" s="20" t="s">
        <v>798</v>
      </c>
      <c r="F93" s="20">
        <v>188</v>
      </c>
      <c r="G93" s="20">
        <v>7772</v>
      </c>
      <c r="H93" s="20" t="s">
        <v>957</v>
      </c>
      <c r="I93" s="20">
        <v>16.89</v>
      </c>
      <c r="J93" s="20">
        <v>0</v>
      </c>
      <c r="K93" s="21">
        <v>8609.0499999999993</v>
      </c>
    </row>
    <row r="94" spans="1:11" x14ac:dyDescent="0.25">
      <c r="A94" s="20" t="s">
        <v>909</v>
      </c>
      <c r="B94" s="20" t="s">
        <v>910</v>
      </c>
      <c r="C94" s="20" t="s">
        <v>767</v>
      </c>
      <c r="D94" s="20" t="s">
        <v>880</v>
      </c>
      <c r="E94" s="20" t="s">
        <v>798</v>
      </c>
      <c r="F94" s="20">
        <v>188</v>
      </c>
      <c r="G94" s="20">
        <v>7774</v>
      </c>
      <c r="H94" s="20" t="s">
        <v>958</v>
      </c>
      <c r="I94" s="20">
        <v>5.81</v>
      </c>
      <c r="J94" s="20">
        <v>0</v>
      </c>
      <c r="K94" s="21">
        <v>8614.86</v>
      </c>
    </row>
    <row r="95" spans="1:11" x14ac:dyDescent="0.25">
      <c r="A95" s="20" t="s">
        <v>909</v>
      </c>
      <c r="B95" s="20" t="s">
        <v>910</v>
      </c>
      <c r="C95" s="20" t="s">
        <v>767</v>
      </c>
      <c r="D95" s="20" t="s">
        <v>869</v>
      </c>
      <c r="E95" s="20" t="s">
        <v>798</v>
      </c>
      <c r="F95" s="20">
        <v>196</v>
      </c>
      <c r="G95" s="20">
        <v>85639</v>
      </c>
      <c r="H95" s="20" t="s">
        <v>959</v>
      </c>
      <c r="I95" s="20">
        <v>440.96</v>
      </c>
      <c r="J95" s="20">
        <v>0</v>
      </c>
      <c r="K95" s="21">
        <v>9055.82</v>
      </c>
    </row>
    <row r="96" spans="1:11" x14ac:dyDescent="0.25">
      <c r="A96" s="20" t="s">
        <v>909</v>
      </c>
      <c r="B96" s="20" t="s">
        <v>910</v>
      </c>
      <c r="C96" s="20" t="s">
        <v>767</v>
      </c>
      <c r="D96" s="20" t="s">
        <v>869</v>
      </c>
      <c r="E96" s="20" t="s">
        <v>798</v>
      </c>
      <c r="F96" s="20">
        <v>196</v>
      </c>
      <c r="G96" s="20">
        <v>85647</v>
      </c>
      <c r="H96" s="20" t="s">
        <v>960</v>
      </c>
      <c r="I96" s="20">
        <v>42.84</v>
      </c>
      <c r="J96" s="20">
        <v>0</v>
      </c>
      <c r="K96" s="21">
        <v>9098.66</v>
      </c>
    </row>
    <row r="97" spans="1:11" x14ac:dyDescent="0.25">
      <c r="A97" s="20" t="s">
        <v>909</v>
      </c>
      <c r="B97" s="20" t="s">
        <v>910</v>
      </c>
      <c r="C97" s="20" t="s">
        <v>767</v>
      </c>
      <c r="D97" s="20" t="s">
        <v>869</v>
      </c>
      <c r="E97" s="20" t="s">
        <v>798</v>
      </c>
      <c r="F97" s="20">
        <v>197</v>
      </c>
      <c r="G97" s="20">
        <v>7781</v>
      </c>
      <c r="H97" s="20" t="s">
        <v>961</v>
      </c>
      <c r="I97" s="20">
        <v>49.57</v>
      </c>
      <c r="J97" s="20">
        <v>0</v>
      </c>
      <c r="K97" s="21">
        <v>9148.23</v>
      </c>
    </row>
    <row r="98" spans="1:11" x14ac:dyDescent="0.25">
      <c r="A98" s="20" t="s">
        <v>909</v>
      </c>
      <c r="B98" s="20" t="s">
        <v>910</v>
      </c>
      <c r="C98" s="20" t="s">
        <v>767</v>
      </c>
      <c r="D98" s="20" t="s">
        <v>869</v>
      </c>
      <c r="E98" s="20" t="s">
        <v>798</v>
      </c>
      <c r="F98" s="20">
        <v>197</v>
      </c>
      <c r="G98" s="20">
        <v>7784</v>
      </c>
      <c r="H98" s="20" t="s">
        <v>962</v>
      </c>
      <c r="I98" s="20">
        <v>41.55</v>
      </c>
      <c r="J98" s="20">
        <v>0</v>
      </c>
      <c r="K98" s="21">
        <v>9189.7800000000007</v>
      </c>
    </row>
    <row r="99" spans="1:11" x14ac:dyDescent="0.25">
      <c r="A99" s="20" t="s">
        <v>909</v>
      </c>
      <c r="B99" s="20" t="s">
        <v>910</v>
      </c>
      <c r="C99" s="20" t="s">
        <v>767</v>
      </c>
      <c r="D99" s="20" t="s">
        <v>785</v>
      </c>
      <c r="E99" s="20" t="s">
        <v>798</v>
      </c>
      <c r="F99" s="20">
        <v>222</v>
      </c>
      <c r="G99" s="20">
        <v>2</v>
      </c>
      <c r="H99" s="20" t="s">
        <v>808</v>
      </c>
      <c r="I99" s="20">
        <v>18.260000000000002</v>
      </c>
      <c r="J99" s="20">
        <v>0</v>
      </c>
      <c r="K99" s="21">
        <v>9208.0400000000009</v>
      </c>
    </row>
    <row r="100" spans="1:11" x14ac:dyDescent="0.25">
      <c r="A100" s="20" t="s">
        <v>909</v>
      </c>
      <c r="B100" s="20" t="s">
        <v>910</v>
      </c>
      <c r="C100" s="20" t="s">
        <v>767</v>
      </c>
      <c r="D100" s="20" t="s">
        <v>785</v>
      </c>
      <c r="E100" s="20" t="s">
        <v>798</v>
      </c>
      <c r="F100" s="20">
        <v>223</v>
      </c>
      <c r="G100" s="20">
        <v>104</v>
      </c>
      <c r="H100" s="20" t="s">
        <v>809</v>
      </c>
      <c r="I100" s="20">
        <v>6</v>
      </c>
      <c r="J100" s="20">
        <v>0</v>
      </c>
      <c r="K100" s="21">
        <v>9214.0400000000009</v>
      </c>
    </row>
    <row r="101" spans="1:11" x14ac:dyDescent="0.25">
      <c r="A101" s="20" t="s">
        <v>909</v>
      </c>
      <c r="B101" s="20" t="s">
        <v>910</v>
      </c>
      <c r="C101" s="20" t="s">
        <v>767</v>
      </c>
      <c r="D101" s="20" t="s">
        <v>785</v>
      </c>
      <c r="E101" s="20" t="s">
        <v>798</v>
      </c>
      <c r="F101" s="20">
        <v>224</v>
      </c>
      <c r="G101" s="20">
        <v>9674</v>
      </c>
      <c r="H101" s="20" t="s">
        <v>810</v>
      </c>
      <c r="I101" s="20">
        <v>54.78</v>
      </c>
      <c r="J101" s="20">
        <v>0</v>
      </c>
      <c r="K101" s="21">
        <v>9268.82</v>
      </c>
    </row>
    <row r="102" spans="1:11" x14ac:dyDescent="0.25">
      <c r="A102" s="20" t="s">
        <v>909</v>
      </c>
      <c r="B102" s="20" t="s">
        <v>910</v>
      </c>
      <c r="C102" s="20" t="s">
        <v>767</v>
      </c>
      <c r="D102" s="20" t="s">
        <v>785</v>
      </c>
      <c r="E102" s="20" t="s">
        <v>798</v>
      </c>
      <c r="F102" s="20">
        <v>224</v>
      </c>
      <c r="G102" s="20">
        <v>5415</v>
      </c>
      <c r="H102" s="20" t="s">
        <v>963</v>
      </c>
      <c r="I102" s="20">
        <v>32.4</v>
      </c>
      <c r="J102" s="20">
        <v>0</v>
      </c>
      <c r="K102" s="21">
        <v>9301.2199999999993</v>
      </c>
    </row>
    <row r="103" spans="1:11" x14ac:dyDescent="0.25">
      <c r="A103" s="20" t="s">
        <v>909</v>
      </c>
      <c r="B103" s="20" t="s">
        <v>910</v>
      </c>
      <c r="C103" s="20" t="s">
        <v>767</v>
      </c>
      <c r="D103" s="20" t="s">
        <v>811</v>
      </c>
      <c r="E103" s="20" t="s">
        <v>798</v>
      </c>
      <c r="F103" s="20">
        <v>232</v>
      </c>
      <c r="G103" s="20">
        <v>85677</v>
      </c>
      <c r="H103" s="20" t="s">
        <v>964</v>
      </c>
      <c r="I103" s="20">
        <v>100.3</v>
      </c>
      <c r="J103" s="20">
        <v>0</v>
      </c>
      <c r="K103" s="21">
        <v>9401.52</v>
      </c>
    </row>
    <row r="104" spans="1:11" x14ac:dyDescent="0.25">
      <c r="A104" s="20" t="s">
        <v>909</v>
      </c>
      <c r="B104" s="20" t="s">
        <v>910</v>
      </c>
      <c r="C104" s="20" t="s">
        <v>767</v>
      </c>
      <c r="D104" s="20" t="s">
        <v>811</v>
      </c>
      <c r="E104" s="20" t="s">
        <v>798</v>
      </c>
      <c r="F104" s="20">
        <v>232</v>
      </c>
      <c r="G104" s="20">
        <v>4672</v>
      </c>
      <c r="H104" s="20" t="s">
        <v>812</v>
      </c>
      <c r="I104" s="20">
        <v>42.75</v>
      </c>
      <c r="J104" s="20">
        <v>0</v>
      </c>
      <c r="K104" s="21">
        <v>9444.27</v>
      </c>
    </row>
    <row r="105" spans="1:11" x14ac:dyDescent="0.25">
      <c r="A105" s="20" t="s">
        <v>909</v>
      </c>
      <c r="B105" s="20" t="s">
        <v>910</v>
      </c>
      <c r="C105" s="20" t="s">
        <v>767</v>
      </c>
      <c r="D105" s="20" t="s">
        <v>811</v>
      </c>
      <c r="E105" s="20" t="s">
        <v>798</v>
      </c>
      <c r="F105" s="20">
        <v>232</v>
      </c>
      <c r="G105" s="20">
        <v>31647</v>
      </c>
      <c r="H105" s="20" t="s">
        <v>813</v>
      </c>
      <c r="I105" s="20">
        <v>30</v>
      </c>
      <c r="J105" s="20">
        <v>0</v>
      </c>
      <c r="K105" s="21">
        <v>9474.27</v>
      </c>
    </row>
    <row r="106" spans="1:11" x14ac:dyDescent="0.25">
      <c r="A106" s="20" t="s">
        <v>909</v>
      </c>
      <c r="B106" s="20" t="s">
        <v>910</v>
      </c>
      <c r="C106" s="20" t="s">
        <v>767</v>
      </c>
      <c r="D106" s="20" t="s">
        <v>811</v>
      </c>
      <c r="E106" s="20" t="s">
        <v>798</v>
      </c>
      <c r="F106" s="20">
        <v>233</v>
      </c>
      <c r="G106" s="20">
        <v>715</v>
      </c>
      <c r="H106" s="20" t="s">
        <v>965</v>
      </c>
      <c r="I106" s="20">
        <v>1.62</v>
      </c>
      <c r="J106" s="20">
        <v>0</v>
      </c>
      <c r="K106" s="21">
        <v>9475.89</v>
      </c>
    </row>
    <row r="107" spans="1:11" x14ac:dyDescent="0.25">
      <c r="A107" s="20" t="s">
        <v>909</v>
      </c>
      <c r="B107" s="20" t="s">
        <v>910</v>
      </c>
      <c r="C107" s="20" t="s">
        <v>767</v>
      </c>
      <c r="D107" s="20" t="s">
        <v>811</v>
      </c>
      <c r="E107" s="20" t="s">
        <v>798</v>
      </c>
      <c r="F107" s="20">
        <v>234</v>
      </c>
      <c r="G107" s="20">
        <v>7788</v>
      </c>
      <c r="H107" s="20" t="s">
        <v>966</v>
      </c>
      <c r="I107" s="20">
        <v>51.73</v>
      </c>
      <c r="J107" s="20">
        <v>0</v>
      </c>
      <c r="K107" s="21">
        <v>9527.6200000000008</v>
      </c>
    </row>
    <row r="108" spans="1:11" x14ac:dyDescent="0.25">
      <c r="A108" s="20" t="s">
        <v>909</v>
      </c>
      <c r="B108" s="20" t="s">
        <v>910</v>
      </c>
      <c r="C108" s="20" t="s">
        <v>767</v>
      </c>
      <c r="D108" s="20" t="s">
        <v>811</v>
      </c>
      <c r="E108" s="20" t="s">
        <v>798</v>
      </c>
      <c r="F108" s="20">
        <v>234</v>
      </c>
      <c r="G108" s="20">
        <v>7790</v>
      </c>
      <c r="H108" s="20" t="s">
        <v>967</v>
      </c>
      <c r="I108" s="20">
        <v>17.420000000000002</v>
      </c>
      <c r="J108" s="20">
        <v>0</v>
      </c>
      <c r="K108" s="21">
        <v>9545.0400000000009</v>
      </c>
    </row>
    <row r="109" spans="1:11" x14ac:dyDescent="0.25">
      <c r="A109" s="20" t="s">
        <v>909</v>
      </c>
      <c r="B109" s="20" t="s">
        <v>910</v>
      </c>
      <c r="C109" s="20" t="s">
        <v>767</v>
      </c>
      <c r="D109" s="20" t="s">
        <v>811</v>
      </c>
      <c r="E109" s="20" t="s">
        <v>798</v>
      </c>
      <c r="F109" s="20">
        <v>234</v>
      </c>
      <c r="G109" s="20">
        <v>7794</v>
      </c>
      <c r="H109" s="20" t="s">
        <v>968</v>
      </c>
      <c r="I109" s="20">
        <v>110.32</v>
      </c>
      <c r="J109" s="20">
        <v>0</v>
      </c>
      <c r="K109" s="21">
        <v>9655.36</v>
      </c>
    </row>
    <row r="110" spans="1:11" x14ac:dyDescent="0.25">
      <c r="A110" s="20" t="s">
        <v>909</v>
      </c>
      <c r="B110" s="20" t="s">
        <v>910</v>
      </c>
      <c r="C110" s="20" t="s">
        <v>767</v>
      </c>
      <c r="D110" s="20" t="s">
        <v>811</v>
      </c>
      <c r="E110" s="20" t="s">
        <v>798</v>
      </c>
      <c r="F110" s="20">
        <v>234</v>
      </c>
      <c r="G110" s="20">
        <v>7795</v>
      </c>
      <c r="H110" s="20" t="s">
        <v>969</v>
      </c>
      <c r="I110" s="20">
        <v>198.66</v>
      </c>
      <c r="J110" s="20">
        <v>0</v>
      </c>
      <c r="K110" s="21">
        <v>9854.02</v>
      </c>
    </row>
    <row r="111" spans="1:11" x14ac:dyDescent="0.25">
      <c r="A111" s="20" t="s">
        <v>909</v>
      </c>
      <c r="B111" s="20" t="s">
        <v>910</v>
      </c>
      <c r="C111" s="20" t="s">
        <v>767</v>
      </c>
      <c r="D111" s="20" t="s">
        <v>768</v>
      </c>
      <c r="E111" s="20" t="s">
        <v>798</v>
      </c>
      <c r="F111" s="20">
        <v>261</v>
      </c>
      <c r="G111" s="20">
        <v>549</v>
      </c>
      <c r="H111" s="20" t="s">
        <v>814</v>
      </c>
      <c r="I111" s="20">
        <v>69.37</v>
      </c>
      <c r="J111" s="20">
        <v>0</v>
      </c>
      <c r="K111" s="21">
        <v>9923.39</v>
      </c>
    </row>
    <row r="112" spans="1:11" x14ac:dyDescent="0.25">
      <c r="A112" s="20" t="s">
        <v>909</v>
      </c>
      <c r="B112" s="20" t="s">
        <v>910</v>
      </c>
      <c r="C112" s="20" t="s">
        <v>767</v>
      </c>
      <c r="D112" s="20" t="s">
        <v>768</v>
      </c>
      <c r="E112" s="20" t="s">
        <v>798</v>
      </c>
      <c r="F112" s="20">
        <v>261</v>
      </c>
      <c r="G112" s="20">
        <v>553</v>
      </c>
      <c r="H112" s="20" t="s">
        <v>815</v>
      </c>
      <c r="I112" s="20">
        <v>18.559999999999999</v>
      </c>
      <c r="J112" s="20">
        <v>0</v>
      </c>
      <c r="K112" s="21">
        <v>9941.9500000000007</v>
      </c>
    </row>
    <row r="113" spans="1:11" x14ac:dyDescent="0.25">
      <c r="A113" s="20" t="s">
        <v>909</v>
      </c>
      <c r="B113" s="20" t="s">
        <v>910</v>
      </c>
      <c r="C113" s="20" t="s">
        <v>767</v>
      </c>
      <c r="D113" s="20" t="s">
        <v>768</v>
      </c>
      <c r="E113" s="20" t="s">
        <v>798</v>
      </c>
      <c r="F113" s="20">
        <v>261</v>
      </c>
      <c r="G113" s="20">
        <v>554</v>
      </c>
      <c r="H113" s="20" t="s">
        <v>816</v>
      </c>
      <c r="I113" s="20">
        <v>75.56</v>
      </c>
      <c r="J113" s="20">
        <v>0</v>
      </c>
      <c r="K113" s="21">
        <v>10017.51</v>
      </c>
    </row>
    <row r="114" spans="1:11" x14ac:dyDescent="0.25">
      <c r="A114" s="20" t="s">
        <v>909</v>
      </c>
      <c r="B114" s="20" t="s">
        <v>910</v>
      </c>
      <c r="C114" s="20" t="s">
        <v>767</v>
      </c>
      <c r="D114" s="20" t="s">
        <v>768</v>
      </c>
      <c r="E114" s="20" t="s">
        <v>798</v>
      </c>
      <c r="F114" s="20">
        <v>262</v>
      </c>
      <c r="G114" s="20">
        <v>85692</v>
      </c>
      <c r="H114" s="20" t="s">
        <v>970</v>
      </c>
      <c r="I114" s="20">
        <v>421.76</v>
      </c>
      <c r="J114" s="20">
        <v>0</v>
      </c>
      <c r="K114" s="21">
        <v>10439.27</v>
      </c>
    </row>
    <row r="115" spans="1:11" x14ac:dyDescent="0.25">
      <c r="A115" s="20" t="s">
        <v>909</v>
      </c>
      <c r="B115" s="20" t="s">
        <v>910</v>
      </c>
      <c r="C115" s="20" t="s">
        <v>767</v>
      </c>
      <c r="D115" s="20" t="s">
        <v>768</v>
      </c>
      <c r="E115" s="20" t="s">
        <v>798</v>
      </c>
      <c r="F115" s="20">
        <v>262</v>
      </c>
      <c r="G115" s="20">
        <v>85694</v>
      </c>
      <c r="H115" s="20" t="s">
        <v>971</v>
      </c>
      <c r="I115" s="20">
        <v>264.04000000000002</v>
      </c>
      <c r="J115" s="20">
        <v>0</v>
      </c>
      <c r="K115" s="21">
        <v>10703.31</v>
      </c>
    </row>
    <row r="116" spans="1:11" x14ac:dyDescent="0.25">
      <c r="A116" s="20" t="s">
        <v>909</v>
      </c>
      <c r="B116" s="20" t="s">
        <v>910</v>
      </c>
      <c r="C116" s="20" t="s">
        <v>767</v>
      </c>
      <c r="D116" s="20" t="s">
        <v>768</v>
      </c>
      <c r="E116" s="20" t="s">
        <v>798</v>
      </c>
      <c r="F116" s="20">
        <v>262</v>
      </c>
      <c r="G116" s="20">
        <v>85696</v>
      </c>
      <c r="H116" s="20" t="s">
        <v>972</v>
      </c>
      <c r="I116" s="20">
        <v>261.11</v>
      </c>
      <c r="J116" s="20">
        <v>0</v>
      </c>
      <c r="K116" s="21">
        <v>10964.42</v>
      </c>
    </row>
    <row r="117" spans="1:11" x14ac:dyDescent="0.25">
      <c r="A117" s="20" t="s">
        <v>909</v>
      </c>
      <c r="B117" s="20" t="s">
        <v>910</v>
      </c>
      <c r="C117" s="20" t="s">
        <v>767</v>
      </c>
      <c r="D117" s="20" t="s">
        <v>768</v>
      </c>
      <c r="E117" s="20" t="s">
        <v>798</v>
      </c>
      <c r="F117" s="20">
        <v>263</v>
      </c>
      <c r="G117" s="20">
        <v>5433</v>
      </c>
      <c r="H117" s="20" t="s">
        <v>973</v>
      </c>
      <c r="I117" s="20">
        <v>35.1</v>
      </c>
      <c r="J117" s="20">
        <v>0</v>
      </c>
      <c r="K117" s="21">
        <v>10999.52</v>
      </c>
    </row>
    <row r="118" spans="1:11" x14ac:dyDescent="0.25">
      <c r="A118" s="20" t="s">
        <v>909</v>
      </c>
      <c r="B118" s="20" t="s">
        <v>910</v>
      </c>
      <c r="C118" s="20" t="s">
        <v>767</v>
      </c>
      <c r="D118" s="20" t="s">
        <v>768</v>
      </c>
      <c r="E118" s="20" t="s">
        <v>798</v>
      </c>
      <c r="F118" s="20">
        <v>263</v>
      </c>
      <c r="G118" s="20">
        <v>7796</v>
      </c>
      <c r="H118" s="20" t="s">
        <v>974</v>
      </c>
      <c r="I118" s="20">
        <v>1.39</v>
      </c>
      <c r="J118" s="20">
        <v>0</v>
      </c>
      <c r="K118" s="21">
        <v>11000.91</v>
      </c>
    </row>
    <row r="119" spans="1:11" x14ac:dyDescent="0.25">
      <c r="A119" s="20" t="s">
        <v>909</v>
      </c>
      <c r="B119" s="20" t="s">
        <v>910</v>
      </c>
      <c r="C119" s="20" t="s">
        <v>767</v>
      </c>
      <c r="D119" s="20" t="s">
        <v>768</v>
      </c>
      <c r="E119" s="20" t="s">
        <v>798</v>
      </c>
      <c r="F119" s="20">
        <v>263</v>
      </c>
      <c r="G119" s="20">
        <v>7798</v>
      </c>
      <c r="H119" s="20" t="s">
        <v>975</v>
      </c>
      <c r="I119" s="20">
        <v>185.04</v>
      </c>
      <c r="J119" s="20">
        <v>0</v>
      </c>
      <c r="K119" s="21">
        <v>11185.95</v>
      </c>
    </row>
    <row r="120" spans="1:11" x14ac:dyDescent="0.25">
      <c r="A120" s="20" t="s">
        <v>909</v>
      </c>
      <c r="B120" s="20" t="s">
        <v>910</v>
      </c>
      <c r="C120" s="20" t="s">
        <v>767</v>
      </c>
      <c r="D120" s="20" t="s">
        <v>768</v>
      </c>
      <c r="E120" s="20" t="s">
        <v>798</v>
      </c>
      <c r="F120" s="20">
        <v>264</v>
      </c>
      <c r="G120" s="20">
        <v>7797</v>
      </c>
      <c r="H120" s="20" t="s">
        <v>976</v>
      </c>
      <c r="I120" s="20">
        <v>69.08</v>
      </c>
      <c r="J120" s="20">
        <v>0</v>
      </c>
      <c r="K120" s="21">
        <v>11255.03</v>
      </c>
    </row>
    <row r="121" spans="1:11" x14ac:dyDescent="0.25">
      <c r="A121" s="20" t="s">
        <v>909</v>
      </c>
      <c r="B121" s="20" t="s">
        <v>910</v>
      </c>
      <c r="C121" s="20" t="s">
        <v>767</v>
      </c>
      <c r="D121" s="20" t="s">
        <v>817</v>
      </c>
      <c r="E121" s="20" t="s">
        <v>798</v>
      </c>
      <c r="F121" s="20">
        <v>279</v>
      </c>
      <c r="G121" s="20">
        <v>558</v>
      </c>
      <c r="H121" s="20" t="s">
        <v>818</v>
      </c>
      <c r="I121" s="20">
        <v>1.71</v>
      </c>
      <c r="J121" s="20">
        <v>0</v>
      </c>
      <c r="K121" s="21">
        <v>11256.74</v>
      </c>
    </row>
    <row r="122" spans="1:11" x14ac:dyDescent="0.25">
      <c r="A122" s="20" t="s">
        <v>909</v>
      </c>
      <c r="B122" s="20" t="s">
        <v>910</v>
      </c>
      <c r="C122" s="20" t="s">
        <v>767</v>
      </c>
      <c r="D122" s="20" t="s">
        <v>817</v>
      </c>
      <c r="E122" s="20" t="s">
        <v>798</v>
      </c>
      <c r="F122" s="20">
        <v>280</v>
      </c>
      <c r="G122" s="20">
        <v>85736</v>
      </c>
      <c r="H122" s="20" t="s">
        <v>977</v>
      </c>
      <c r="I122" s="20">
        <v>314.82</v>
      </c>
      <c r="J122" s="20">
        <v>0</v>
      </c>
      <c r="K122" s="21">
        <v>11571.56</v>
      </c>
    </row>
    <row r="123" spans="1:11" x14ac:dyDescent="0.25">
      <c r="A123" s="20" t="s">
        <v>909</v>
      </c>
      <c r="B123" s="20" t="s">
        <v>910</v>
      </c>
      <c r="C123" s="20" t="s">
        <v>767</v>
      </c>
      <c r="D123" s="20" t="s">
        <v>817</v>
      </c>
      <c r="E123" s="20" t="s">
        <v>798</v>
      </c>
      <c r="F123" s="20">
        <v>280</v>
      </c>
      <c r="G123" s="20">
        <v>4700</v>
      </c>
      <c r="H123" s="20" t="s">
        <v>819</v>
      </c>
      <c r="I123" s="20">
        <v>309</v>
      </c>
      <c r="J123" s="20">
        <v>0</v>
      </c>
      <c r="K123" s="21">
        <v>11880.56</v>
      </c>
    </row>
    <row r="124" spans="1:11" x14ac:dyDescent="0.25">
      <c r="A124" s="20" t="s">
        <v>909</v>
      </c>
      <c r="B124" s="20" t="s">
        <v>910</v>
      </c>
      <c r="C124" s="20" t="s">
        <v>767</v>
      </c>
      <c r="D124" s="20" t="s">
        <v>817</v>
      </c>
      <c r="E124" s="20" t="s">
        <v>798</v>
      </c>
      <c r="F124" s="20">
        <v>280</v>
      </c>
      <c r="G124" s="20">
        <v>31673</v>
      </c>
      <c r="H124" s="20" t="s">
        <v>820</v>
      </c>
      <c r="I124" s="20">
        <v>30</v>
      </c>
      <c r="J124" s="20">
        <v>0</v>
      </c>
      <c r="K124" s="21">
        <v>11910.56</v>
      </c>
    </row>
    <row r="125" spans="1:11" x14ac:dyDescent="0.25">
      <c r="A125" s="20" t="s">
        <v>909</v>
      </c>
      <c r="B125" s="20" t="s">
        <v>910</v>
      </c>
      <c r="C125" s="20" t="s">
        <v>767</v>
      </c>
      <c r="D125" s="20" t="s">
        <v>817</v>
      </c>
      <c r="E125" s="20" t="s">
        <v>798</v>
      </c>
      <c r="F125" s="20">
        <v>281</v>
      </c>
      <c r="G125" s="20">
        <v>5439</v>
      </c>
      <c r="H125" s="20" t="s">
        <v>978</v>
      </c>
      <c r="I125" s="20">
        <v>23.77</v>
      </c>
      <c r="J125" s="20">
        <v>0</v>
      </c>
      <c r="K125" s="21">
        <v>11934.33</v>
      </c>
    </row>
    <row r="126" spans="1:11" x14ac:dyDescent="0.25">
      <c r="A126" s="20" t="s">
        <v>909</v>
      </c>
      <c r="B126" s="20" t="s">
        <v>910</v>
      </c>
      <c r="C126" s="20" t="s">
        <v>767</v>
      </c>
      <c r="D126" s="20" t="s">
        <v>817</v>
      </c>
      <c r="E126" s="20" t="s">
        <v>798</v>
      </c>
      <c r="F126" s="20">
        <v>281</v>
      </c>
      <c r="G126" s="20">
        <v>5451</v>
      </c>
      <c r="H126" s="20" t="s">
        <v>979</v>
      </c>
      <c r="I126" s="20">
        <v>19.2</v>
      </c>
      <c r="J126" s="20">
        <v>0</v>
      </c>
      <c r="K126" s="21">
        <v>11953.53</v>
      </c>
    </row>
    <row r="127" spans="1:11" x14ac:dyDescent="0.25">
      <c r="A127" s="20" t="s">
        <v>909</v>
      </c>
      <c r="B127" s="20" t="s">
        <v>910</v>
      </c>
      <c r="C127" s="20" t="s">
        <v>767</v>
      </c>
      <c r="D127" s="20" t="s">
        <v>817</v>
      </c>
      <c r="E127" s="20" t="s">
        <v>798</v>
      </c>
      <c r="F127" s="20">
        <v>281</v>
      </c>
      <c r="G127" s="20">
        <v>7806</v>
      </c>
      <c r="H127" s="20" t="s">
        <v>980</v>
      </c>
      <c r="I127" s="20">
        <v>70.97</v>
      </c>
      <c r="J127" s="20">
        <v>0</v>
      </c>
      <c r="K127" s="21">
        <v>12024.5</v>
      </c>
    </row>
    <row r="128" spans="1:11" x14ac:dyDescent="0.25">
      <c r="A128" s="20" t="s">
        <v>909</v>
      </c>
      <c r="B128" s="20" t="s">
        <v>910</v>
      </c>
      <c r="C128" s="20" t="s">
        <v>767</v>
      </c>
      <c r="D128" s="20" t="s">
        <v>817</v>
      </c>
      <c r="E128" s="20" t="s">
        <v>798</v>
      </c>
      <c r="F128" s="20">
        <v>281</v>
      </c>
      <c r="G128" s="20">
        <v>7810</v>
      </c>
      <c r="H128" s="20" t="s">
        <v>981</v>
      </c>
      <c r="I128" s="20">
        <v>125.81</v>
      </c>
      <c r="J128" s="20">
        <v>0</v>
      </c>
      <c r="K128" s="21">
        <v>12150.31</v>
      </c>
    </row>
    <row r="129" spans="1:11" x14ac:dyDescent="0.25">
      <c r="A129" s="20" t="s">
        <v>909</v>
      </c>
      <c r="B129" s="20" t="s">
        <v>910</v>
      </c>
      <c r="C129" s="20" t="s">
        <v>767</v>
      </c>
      <c r="D129" s="20" t="s">
        <v>788</v>
      </c>
      <c r="E129" s="20" t="s">
        <v>798</v>
      </c>
      <c r="F129" s="20">
        <v>293</v>
      </c>
      <c r="G129" s="20">
        <v>3276</v>
      </c>
      <c r="H129" s="20" t="s">
        <v>982</v>
      </c>
      <c r="I129" s="20">
        <v>16.440000000000001</v>
      </c>
      <c r="J129" s="20">
        <v>0</v>
      </c>
      <c r="K129" s="21">
        <v>12166.75</v>
      </c>
    </row>
    <row r="130" spans="1:11" x14ac:dyDescent="0.25">
      <c r="A130" s="20" t="s">
        <v>909</v>
      </c>
      <c r="B130" s="20" t="s">
        <v>910</v>
      </c>
      <c r="C130" s="20" t="s">
        <v>767</v>
      </c>
      <c r="D130" s="20" t="s">
        <v>788</v>
      </c>
      <c r="E130" s="20" t="s">
        <v>798</v>
      </c>
      <c r="F130" s="20">
        <v>293</v>
      </c>
      <c r="G130" s="20">
        <v>3277</v>
      </c>
      <c r="H130" s="20" t="s">
        <v>983</v>
      </c>
      <c r="I130" s="20">
        <v>311.88</v>
      </c>
      <c r="J130" s="20">
        <v>0</v>
      </c>
      <c r="K130" s="21">
        <v>12478.63</v>
      </c>
    </row>
    <row r="131" spans="1:11" x14ac:dyDescent="0.25">
      <c r="A131" s="20" t="s">
        <v>909</v>
      </c>
      <c r="B131" s="20" t="s">
        <v>910</v>
      </c>
      <c r="C131" s="20" t="s">
        <v>767</v>
      </c>
      <c r="D131" s="20" t="s">
        <v>788</v>
      </c>
      <c r="E131" s="20" t="s">
        <v>798</v>
      </c>
      <c r="F131" s="20">
        <v>293</v>
      </c>
      <c r="G131" s="20">
        <v>3278</v>
      </c>
      <c r="H131" s="20" t="s">
        <v>984</v>
      </c>
      <c r="I131" s="20">
        <v>18.12</v>
      </c>
      <c r="J131" s="20">
        <v>0</v>
      </c>
      <c r="K131" s="21">
        <v>12496.75</v>
      </c>
    </row>
    <row r="132" spans="1:11" x14ac:dyDescent="0.25">
      <c r="A132" s="20" t="s">
        <v>909</v>
      </c>
      <c r="B132" s="20" t="s">
        <v>910</v>
      </c>
      <c r="C132" s="20" t="s">
        <v>767</v>
      </c>
      <c r="D132" s="20" t="s">
        <v>788</v>
      </c>
      <c r="E132" s="20" t="s">
        <v>798</v>
      </c>
      <c r="F132" s="20">
        <v>293</v>
      </c>
      <c r="G132" s="20">
        <v>3279</v>
      </c>
      <c r="H132" s="20" t="s">
        <v>985</v>
      </c>
      <c r="I132" s="20">
        <v>3.76</v>
      </c>
      <c r="J132" s="20">
        <v>0</v>
      </c>
      <c r="K132" s="21">
        <v>12500.51</v>
      </c>
    </row>
    <row r="133" spans="1:11" x14ac:dyDescent="0.25">
      <c r="A133" s="20" t="s">
        <v>909</v>
      </c>
      <c r="B133" s="20" t="s">
        <v>910</v>
      </c>
      <c r="C133" s="20" t="s">
        <v>767</v>
      </c>
      <c r="D133" s="20" t="s">
        <v>788</v>
      </c>
      <c r="E133" s="20" t="s">
        <v>798</v>
      </c>
      <c r="F133" s="20">
        <v>294</v>
      </c>
      <c r="G133" s="20">
        <v>85759</v>
      </c>
      <c r="H133" s="20" t="s">
        <v>986</v>
      </c>
      <c r="I133" s="20">
        <v>73.69</v>
      </c>
      <c r="J133" s="20">
        <v>0</v>
      </c>
      <c r="K133" s="21">
        <v>12574.2</v>
      </c>
    </row>
    <row r="134" spans="1:11" x14ac:dyDescent="0.25">
      <c r="A134" s="20" t="s">
        <v>909</v>
      </c>
      <c r="B134" s="20" t="s">
        <v>910</v>
      </c>
      <c r="C134" s="20" t="s">
        <v>767</v>
      </c>
      <c r="D134" s="20" t="s">
        <v>788</v>
      </c>
      <c r="E134" s="20" t="s">
        <v>798</v>
      </c>
      <c r="F134" s="20">
        <v>294</v>
      </c>
      <c r="G134" s="20">
        <v>85763</v>
      </c>
      <c r="H134" s="20" t="s">
        <v>987</v>
      </c>
      <c r="I134" s="20">
        <v>118.19</v>
      </c>
      <c r="J134" s="20">
        <v>0</v>
      </c>
      <c r="K134" s="21">
        <v>12692.39</v>
      </c>
    </row>
    <row r="135" spans="1:11" x14ac:dyDescent="0.25">
      <c r="A135" s="20" t="s">
        <v>909</v>
      </c>
      <c r="B135" s="20" t="s">
        <v>910</v>
      </c>
      <c r="C135" s="20" t="s">
        <v>767</v>
      </c>
      <c r="D135" s="20" t="s">
        <v>788</v>
      </c>
      <c r="E135" s="20" t="s">
        <v>798</v>
      </c>
      <c r="F135" s="20">
        <v>295</v>
      </c>
      <c r="G135" s="20">
        <v>7347</v>
      </c>
      <c r="H135" s="20" t="s">
        <v>821</v>
      </c>
      <c r="I135" s="20">
        <v>15.75</v>
      </c>
      <c r="J135" s="20">
        <v>0</v>
      </c>
      <c r="K135" s="21">
        <v>12708.14</v>
      </c>
    </row>
    <row r="136" spans="1:11" x14ac:dyDescent="0.25">
      <c r="A136" s="20" t="s">
        <v>909</v>
      </c>
      <c r="B136" s="20" t="s">
        <v>910</v>
      </c>
      <c r="C136" s="20" t="s">
        <v>767</v>
      </c>
      <c r="D136" s="20" t="s">
        <v>788</v>
      </c>
      <c r="E136" s="20" t="s">
        <v>798</v>
      </c>
      <c r="F136" s="20">
        <v>295</v>
      </c>
      <c r="G136" s="20">
        <v>5450</v>
      </c>
      <c r="H136" s="20" t="s">
        <v>988</v>
      </c>
      <c r="I136" s="20">
        <v>43.78</v>
      </c>
      <c r="J136" s="20">
        <v>0</v>
      </c>
      <c r="K136" s="21">
        <v>12751.92</v>
      </c>
    </row>
    <row r="137" spans="1:11" x14ac:dyDescent="0.25">
      <c r="A137" s="20" t="s">
        <v>909</v>
      </c>
      <c r="B137" s="20" t="s">
        <v>910</v>
      </c>
      <c r="C137" s="20" t="s">
        <v>767</v>
      </c>
      <c r="D137" s="20" t="s">
        <v>788</v>
      </c>
      <c r="E137" s="20" t="s">
        <v>798</v>
      </c>
      <c r="F137" s="20">
        <v>295</v>
      </c>
      <c r="G137" s="20">
        <v>7813</v>
      </c>
      <c r="H137" s="20" t="s">
        <v>989</v>
      </c>
      <c r="I137" s="20">
        <v>9.84</v>
      </c>
      <c r="J137" s="20">
        <v>0</v>
      </c>
      <c r="K137" s="21">
        <v>12761.76</v>
      </c>
    </row>
    <row r="138" spans="1:11" x14ac:dyDescent="0.25">
      <c r="A138" s="20" t="s">
        <v>909</v>
      </c>
      <c r="B138" s="20" t="s">
        <v>910</v>
      </c>
      <c r="C138" s="20" t="s">
        <v>767</v>
      </c>
      <c r="D138" s="20" t="s">
        <v>822</v>
      </c>
      <c r="E138" s="20" t="s">
        <v>798</v>
      </c>
      <c r="F138" s="20">
        <v>300</v>
      </c>
      <c r="G138" s="20">
        <v>85794</v>
      </c>
      <c r="H138" s="20" t="s">
        <v>990</v>
      </c>
      <c r="I138" s="20">
        <v>285.70999999999998</v>
      </c>
      <c r="J138" s="20">
        <v>0</v>
      </c>
      <c r="K138" s="21">
        <v>13047.47</v>
      </c>
    </row>
    <row r="139" spans="1:11" x14ac:dyDescent="0.25">
      <c r="A139" s="20" t="s">
        <v>909</v>
      </c>
      <c r="B139" s="20" t="s">
        <v>910</v>
      </c>
      <c r="C139" s="20" t="s">
        <v>767</v>
      </c>
      <c r="D139" s="20" t="s">
        <v>822</v>
      </c>
      <c r="E139" s="20" t="s">
        <v>798</v>
      </c>
      <c r="F139" s="20">
        <v>301</v>
      </c>
      <c r="G139" s="20">
        <v>565</v>
      </c>
      <c r="H139" s="20" t="s">
        <v>823</v>
      </c>
      <c r="I139" s="20">
        <v>0.54</v>
      </c>
      <c r="J139" s="20">
        <v>0</v>
      </c>
      <c r="K139" s="21">
        <v>13048.01</v>
      </c>
    </row>
    <row r="140" spans="1:11" x14ac:dyDescent="0.25">
      <c r="A140" s="20" t="s">
        <v>909</v>
      </c>
      <c r="B140" s="20" t="s">
        <v>910</v>
      </c>
      <c r="C140" s="20" t="s">
        <v>767</v>
      </c>
      <c r="D140" s="20" t="s">
        <v>822</v>
      </c>
      <c r="E140" s="20" t="s">
        <v>798</v>
      </c>
      <c r="F140" s="20">
        <v>302</v>
      </c>
      <c r="G140" s="20">
        <v>7817</v>
      </c>
      <c r="H140" s="20" t="s">
        <v>991</v>
      </c>
      <c r="I140" s="20">
        <v>2.13</v>
      </c>
      <c r="J140" s="20">
        <v>0</v>
      </c>
      <c r="K140" s="21">
        <v>13050.14</v>
      </c>
    </row>
    <row r="141" spans="1:11" x14ac:dyDescent="0.25">
      <c r="A141" s="20" t="s">
        <v>909</v>
      </c>
      <c r="B141" s="20" t="s">
        <v>910</v>
      </c>
      <c r="C141" s="20" t="s">
        <v>767</v>
      </c>
      <c r="D141" s="20" t="s">
        <v>822</v>
      </c>
      <c r="E141" s="20" t="s">
        <v>798</v>
      </c>
      <c r="F141" s="20">
        <v>302</v>
      </c>
      <c r="G141" s="20">
        <v>7821</v>
      </c>
      <c r="H141" s="20" t="s">
        <v>992</v>
      </c>
      <c r="I141" s="20">
        <v>728.33</v>
      </c>
      <c r="J141" s="20">
        <v>0</v>
      </c>
      <c r="K141" s="21">
        <v>13778.47</v>
      </c>
    </row>
    <row r="142" spans="1:11" x14ac:dyDescent="0.25">
      <c r="A142" s="20" t="s">
        <v>909</v>
      </c>
      <c r="B142" s="20" t="s">
        <v>910</v>
      </c>
      <c r="C142" s="20" t="s">
        <v>767</v>
      </c>
      <c r="D142" s="20" t="s">
        <v>822</v>
      </c>
      <c r="E142" s="20" t="s">
        <v>798</v>
      </c>
      <c r="F142" s="20">
        <v>303</v>
      </c>
      <c r="G142" s="20">
        <v>5442</v>
      </c>
      <c r="H142" s="20" t="s">
        <v>993</v>
      </c>
      <c r="I142" s="20">
        <v>90.38</v>
      </c>
      <c r="J142" s="20">
        <v>0</v>
      </c>
      <c r="K142" s="21">
        <v>13868.85</v>
      </c>
    </row>
    <row r="143" spans="1:11" x14ac:dyDescent="0.25">
      <c r="A143" s="20" t="s">
        <v>909</v>
      </c>
      <c r="B143" s="20" t="s">
        <v>910</v>
      </c>
      <c r="C143" s="20" t="s">
        <v>767</v>
      </c>
      <c r="D143" s="20" t="s">
        <v>822</v>
      </c>
      <c r="E143" s="20" t="s">
        <v>798</v>
      </c>
      <c r="F143" s="20">
        <v>303</v>
      </c>
      <c r="G143" s="20">
        <v>5447</v>
      </c>
      <c r="H143" s="20" t="s">
        <v>994</v>
      </c>
      <c r="I143" s="20">
        <v>42.05</v>
      </c>
      <c r="J143" s="20">
        <v>0</v>
      </c>
      <c r="K143" s="21">
        <v>13910.9</v>
      </c>
    </row>
    <row r="144" spans="1:11" x14ac:dyDescent="0.25">
      <c r="A144" s="20" t="s">
        <v>909</v>
      </c>
      <c r="B144" s="20" t="s">
        <v>910</v>
      </c>
      <c r="C144" s="20" t="s">
        <v>767</v>
      </c>
      <c r="D144" s="20" t="s">
        <v>822</v>
      </c>
      <c r="E144" s="20" t="s">
        <v>798</v>
      </c>
      <c r="F144" s="20">
        <v>303</v>
      </c>
      <c r="G144" s="20">
        <v>5462</v>
      </c>
      <c r="H144" s="20" t="s">
        <v>995</v>
      </c>
      <c r="I144" s="20">
        <v>34.76</v>
      </c>
      <c r="J144" s="20">
        <v>0</v>
      </c>
      <c r="K144" s="21">
        <v>13945.66</v>
      </c>
    </row>
    <row r="145" spans="1:11" x14ac:dyDescent="0.25">
      <c r="A145" s="20" t="s">
        <v>909</v>
      </c>
      <c r="B145" s="20" t="s">
        <v>910</v>
      </c>
      <c r="C145" s="20" t="s">
        <v>767</v>
      </c>
      <c r="D145" s="20" t="s">
        <v>822</v>
      </c>
      <c r="E145" s="20" t="s">
        <v>798</v>
      </c>
      <c r="F145" s="20">
        <v>303</v>
      </c>
      <c r="G145" s="20">
        <v>7809</v>
      </c>
      <c r="H145" s="20" t="s">
        <v>996</v>
      </c>
      <c r="I145" s="20">
        <v>11.59</v>
      </c>
      <c r="J145" s="20">
        <v>0</v>
      </c>
      <c r="K145" s="21">
        <v>13957.25</v>
      </c>
    </row>
    <row r="146" spans="1:11" x14ac:dyDescent="0.25">
      <c r="A146" s="20" t="s">
        <v>909</v>
      </c>
      <c r="B146" s="20" t="s">
        <v>910</v>
      </c>
      <c r="C146" s="20" t="s">
        <v>767</v>
      </c>
      <c r="D146" s="20" t="s">
        <v>822</v>
      </c>
      <c r="E146" s="20" t="s">
        <v>798</v>
      </c>
      <c r="F146" s="20">
        <v>303</v>
      </c>
      <c r="G146" s="20">
        <v>7820</v>
      </c>
      <c r="H146" s="20" t="s">
        <v>997</v>
      </c>
      <c r="I146" s="20">
        <v>2.61</v>
      </c>
      <c r="J146" s="20">
        <v>0</v>
      </c>
      <c r="K146" s="21">
        <v>13959.86</v>
      </c>
    </row>
    <row r="147" spans="1:11" x14ac:dyDescent="0.25">
      <c r="A147" s="20" t="s">
        <v>909</v>
      </c>
      <c r="B147" s="20" t="s">
        <v>910</v>
      </c>
      <c r="C147" s="20" t="s">
        <v>767</v>
      </c>
      <c r="D147" s="20" t="s">
        <v>882</v>
      </c>
      <c r="E147" s="20" t="s">
        <v>798</v>
      </c>
      <c r="F147" s="20">
        <v>339</v>
      </c>
      <c r="G147" s="20">
        <v>85813</v>
      </c>
      <c r="H147" s="20" t="s">
        <v>998</v>
      </c>
      <c r="I147" s="20">
        <v>148.93</v>
      </c>
      <c r="J147" s="20">
        <v>0</v>
      </c>
      <c r="K147" s="21">
        <v>14108.79</v>
      </c>
    </row>
    <row r="148" spans="1:11" x14ac:dyDescent="0.25">
      <c r="A148" s="20" t="s">
        <v>909</v>
      </c>
      <c r="B148" s="20" t="s">
        <v>910</v>
      </c>
      <c r="C148" s="20" t="s">
        <v>767</v>
      </c>
      <c r="D148" s="20" t="s">
        <v>882</v>
      </c>
      <c r="E148" s="20" t="s">
        <v>798</v>
      </c>
      <c r="F148" s="20">
        <v>339</v>
      </c>
      <c r="G148" s="20">
        <v>85823</v>
      </c>
      <c r="H148" s="20" t="s">
        <v>999</v>
      </c>
      <c r="I148" s="20">
        <v>786.67</v>
      </c>
      <c r="J148" s="20">
        <v>0</v>
      </c>
      <c r="K148" s="21">
        <v>14895.46</v>
      </c>
    </row>
    <row r="149" spans="1:11" x14ac:dyDescent="0.25">
      <c r="A149" s="20" t="s">
        <v>909</v>
      </c>
      <c r="B149" s="20" t="s">
        <v>910</v>
      </c>
      <c r="C149" s="20" t="s">
        <v>767</v>
      </c>
      <c r="D149" s="20" t="s">
        <v>882</v>
      </c>
      <c r="E149" s="20" t="s">
        <v>798</v>
      </c>
      <c r="F149" s="20">
        <v>339</v>
      </c>
      <c r="G149" s="20">
        <v>85826</v>
      </c>
      <c r="H149" s="20" t="s">
        <v>1000</v>
      </c>
      <c r="I149" s="20">
        <v>334.41</v>
      </c>
      <c r="J149" s="20">
        <v>0</v>
      </c>
      <c r="K149" s="21">
        <v>15229.87</v>
      </c>
    </row>
    <row r="150" spans="1:11" x14ac:dyDescent="0.25">
      <c r="A150" s="20" t="s">
        <v>909</v>
      </c>
      <c r="B150" s="20" t="s">
        <v>910</v>
      </c>
      <c r="C150" s="20" t="s">
        <v>767</v>
      </c>
      <c r="D150" s="20" t="s">
        <v>882</v>
      </c>
      <c r="E150" s="20" t="s">
        <v>798</v>
      </c>
      <c r="F150" s="20">
        <v>340</v>
      </c>
      <c r="G150" s="20">
        <v>737</v>
      </c>
      <c r="H150" s="20" t="s">
        <v>1001</v>
      </c>
      <c r="I150" s="20">
        <v>13.05</v>
      </c>
      <c r="J150" s="20">
        <v>0</v>
      </c>
      <c r="K150" s="21">
        <v>15242.92</v>
      </c>
    </row>
    <row r="151" spans="1:11" x14ac:dyDescent="0.25">
      <c r="A151" s="20" t="s">
        <v>909</v>
      </c>
      <c r="B151" s="20" t="s">
        <v>910</v>
      </c>
      <c r="C151" s="20" t="s">
        <v>767</v>
      </c>
      <c r="D151" s="20" t="s">
        <v>882</v>
      </c>
      <c r="E151" s="20" t="s">
        <v>798</v>
      </c>
      <c r="F151" s="20">
        <v>341</v>
      </c>
      <c r="G151" s="20">
        <v>5476</v>
      </c>
      <c r="H151" s="20" t="s">
        <v>1002</v>
      </c>
      <c r="I151" s="20">
        <v>21.48</v>
      </c>
      <c r="J151" s="20">
        <v>0</v>
      </c>
      <c r="K151" s="21">
        <v>15264.4</v>
      </c>
    </row>
    <row r="152" spans="1:11" x14ac:dyDescent="0.25">
      <c r="A152" s="20" t="s">
        <v>909</v>
      </c>
      <c r="B152" s="20" t="s">
        <v>910</v>
      </c>
      <c r="C152" s="20" t="s">
        <v>767</v>
      </c>
      <c r="D152" s="20" t="s">
        <v>882</v>
      </c>
      <c r="E152" s="20" t="s">
        <v>798</v>
      </c>
      <c r="F152" s="20">
        <v>341</v>
      </c>
      <c r="G152" s="20">
        <v>7823</v>
      </c>
      <c r="H152" s="20" t="s">
        <v>1003</v>
      </c>
      <c r="I152" s="20">
        <v>0.22</v>
      </c>
      <c r="J152" s="20">
        <v>0</v>
      </c>
      <c r="K152" s="21">
        <v>15264.62</v>
      </c>
    </row>
    <row r="153" spans="1:11" x14ac:dyDescent="0.25">
      <c r="A153" s="20" t="s">
        <v>909</v>
      </c>
      <c r="B153" s="20" t="s">
        <v>910</v>
      </c>
      <c r="C153" s="20" t="s">
        <v>767</v>
      </c>
      <c r="D153" s="20" t="s">
        <v>882</v>
      </c>
      <c r="E153" s="20" t="s">
        <v>798</v>
      </c>
      <c r="F153" s="20">
        <v>341</v>
      </c>
      <c r="G153" s="20">
        <v>7832</v>
      </c>
      <c r="H153" s="20" t="s">
        <v>1004</v>
      </c>
      <c r="I153" s="20">
        <v>102.31</v>
      </c>
      <c r="J153" s="20">
        <v>0</v>
      </c>
      <c r="K153" s="21">
        <v>15366.93</v>
      </c>
    </row>
    <row r="154" spans="1:11" x14ac:dyDescent="0.25">
      <c r="A154" s="20" t="s">
        <v>909</v>
      </c>
      <c r="B154" s="20" t="s">
        <v>910</v>
      </c>
      <c r="C154" s="20" t="s">
        <v>767</v>
      </c>
      <c r="D154" s="20" t="s">
        <v>859</v>
      </c>
      <c r="E154" s="20" t="s">
        <v>798</v>
      </c>
      <c r="F154" s="20">
        <v>345</v>
      </c>
      <c r="G154" s="20">
        <v>31334</v>
      </c>
      <c r="H154" s="20" t="s">
        <v>1005</v>
      </c>
      <c r="I154" s="20">
        <v>187.5</v>
      </c>
      <c r="J154" s="20">
        <v>0</v>
      </c>
      <c r="K154" s="21">
        <v>15554.43</v>
      </c>
    </row>
    <row r="155" spans="1:11" x14ac:dyDescent="0.25">
      <c r="A155" s="20" t="s">
        <v>909</v>
      </c>
      <c r="B155" s="20" t="s">
        <v>910</v>
      </c>
      <c r="C155" s="20" t="s">
        <v>767</v>
      </c>
      <c r="D155" s="20" t="s">
        <v>859</v>
      </c>
      <c r="E155" s="20" t="s">
        <v>798</v>
      </c>
      <c r="F155" s="20">
        <v>345</v>
      </c>
      <c r="G155" s="20">
        <v>85841</v>
      </c>
      <c r="H155" s="20" t="s">
        <v>1006</v>
      </c>
      <c r="I155" s="20">
        <v>151.47999999999999</v>
      </c>
      <c r="J155" s="20">
        <v>0</v>
      </c>
      <c r="K155" s="21">
        <v>15705.91</v>
      </c>
    </row>
    <row r="156" spans="1:11" x14ac:dyDescent="0.25">
      <c r="A156" s="20" t="s">
        <v>909</v>
      </c>
      <c r="B156" s="20" t="s">
        <v>910</v>
      </c>
      <c r="C156" s="20" t="s">
        <v>767</v>
      </c>
      <c r="D156" s="20" t="s">
        <v>859</v>
      </c>
      <c r="E156" s="20" t="s">
        <v>798</v>
      </c>
      <c r="F156" s="20">
        <v>345</v>
      </c>
      <c r="G156" s="20">
        <v>85848</v>
      </c>
      <c r="H156" s="20" t="s">
        <v>1007</v>
      </c>
      <c r="I156" s="20">
        <v>156.85</v>
      </c>
      <c r="J156" s="20">
        <v>0</v>
      </c>
      <c r="K156" s="21">
        <v>15862.76</v>
      </c>
    </row>
    <row r="157" spans="1:11" x14ac:dyDescent="0.25">
      <c r="A157" s="20" t="s">
        <v>909</v>
      </c>
      <c r="B157" s="20" t="s">
        <v>910</v>
      </c>
      <c r="C157" s="20" t="s">
        <v>767</v>
      </c>
      <c r="D157" s="20" t="s">
        <v>859</v>
      </c>
      <c r="E157" s="20" t="s">
        <v>798</v>
      </c>
      <c r="F157" s="20">
        <v>346</v>
      </c>
      <c r="G157" s="20">
        <v>7845</v>
      </c>
      <c r="H157" s="20" t="s">
        <v>1008</v>
      </c>
      <c r="I157" s="20">
        <v>9.3800000000000008</v>
      </c>
      <c r="J157" s="20">
        <v>0</v>
      </c>
      <c r="K157" s="21">
        <v>15872.14</v>
      </c>
    </row>
    <row r="158" spans="1:11" x14ac:dyDescent="0.25">
      <c r="A158" s="20" t="s">
        <v>909</v>
      </c>
      <c r="B158" s="20" t="s">
        <v>910</v>
      </c>
      <c r="C158" s="20" t="s">
        <v>767</v>
      </c>
      <c r="D158" s="20" t="s">
        <v>859</v>
      </c>
      <c r="E158" s="20" t="s">
        <v>798</v>
      </c>
      <c r="F158" s="20">
        <v>346</v>
      </c>
      <c r="G158" s="20">
        <v>7849</v>
      </c>
      <c r="H158" s="20" t="s">
        <v>1009</v>
      </c>
      <c r="I158" s="20">
        <v>3.14</v>
      </c>
      <c r="J158" s="20">
        <v>0</v>
      </c>
      <c r="K158" s="21">
        <v>15875.28</v>
      </c>
    </row>
    <row r="159" spans="1:11" x14ac:dyDescent="0.25">
      <c r="A159" s="20" t="s">
        <v>909</v>
      </c>
      <c r="B159" s="20" t="s">
        <v>910</v>
      </c>
      <c r="C159" s="20" t="s">
        <v>767</v>
      </c>
      <c r="D159" s="20" t="s">
        <v>859</v>
      </c>
      <c r="E159" s="20" t="s">
        <v>798</v>
      </c>
      <c r="F159" s="20">
        <v>347</v>
      </c>
      <c r="G159" s="20">
        <v>7822</v>
      </c>
      <c r="H159" s="20" t="s">
        <v>1010</v>
      </c>
      <c r="I159" s="20">
        <v>32.71</v>
      </c>
      <c r="J159" s="20">
        <v>0</v>
      </c>
      <c r="K159" s="21">
        <v>15907.99</v>
      </c>
    </row>
    <row r="160" spans="1:11" x14ac:dyDescent="0.25">
      <c r="A160" s="20" t="s">
        <v>909</v>
      </c>
      <c r="B160" s="20" t="s">
        <v>910</v>
      </c>
      <c r="C160" s="20" t="s">
        <v>767</v>
      </c>
      <c r="D160" s="20" t="s">
        <v>859</v>
      </c>
      <c r="E160" s="20" t="s">
        <v>798</v>
      </c>
      <c r="F160" s="20">
        <v>347</v>
      </c>
      <c r="G160" s="20">
        <v>7824</v>
      </c>
      <c r="H160" s="20" t="s">
        <v>1011</v>
      </c>
      <c r="I160" s="20">
        <v>0.22</v>
      </c>
      <c r="J160" s="20">
        <v>0</v>
      </c>
      <c r="K160" s="21">
        <v>15908.21</v>
      </c>
    </row>
    <row r="161" spans="1:11" x14ac:dyDescent="0.25">
      <c r="A161" s="20" t="s">
        <v>909</v>
      </c>
      <c r="B161" s="20" t="s">
        <v>910</v>
      </c>
      <c r="C161" s="20" t="s">
        <v>767</v>
      </c>
      <c r="D161" s="20" t="s">
        <v>859</v>
      </c>
      <c r="E161" s="20" t="s">
        <v>798</v>
      </c>
      <c r="F161" s="20">
        <v>347</v>
      </c>
      <c r="G161" s="20">
        <v>7829</v>
      </c>
      <c r="H161" s="20" t="s">
        <v>1012</v>
      </c>
      <c r="I161" s="20">
        <v>20.07</v>
      </c>
      <c r="J161" s="20">
        <v>0</v>
      </c>
      <c r="K161" s="21">
        <v>15928.28</v>
      </c>
    </row>
    <row r="162" spans="1:11" x14ac:dyDescent="0.25">
      <c r="A162" s="20" t="s">
        <v>909</v>
      </c>
      <c r="B162" s="20" t="s">
        <v>910</v>
      </c>
      <c r="C162" s="20" t="s">
        <v>767</v>
      </c>
      <c r="D162" s="20" t="s">
        <v>859</v>
      </c>
      <c r="E162" s="20" t="s">
        <v>798</v>
      </c>
      <c r="F162" s="20">
        <v>347</v>
      </c>
      <c r="G162" s="20">
        <v>7834</v>
      </c>
      <c r="H162" s="20" t="s">
        <v>1013</v>
      </c>
      <c r="I162" s="20">
        <v>79.540000000000006</v>
      </c>
      <c r="J162" s="20">
        <v>0</v>
      </c>
      <c r="K162" s="21">
        <v>16007.82</v>
      </c>
    </row>
    <row r="163" spans="1:11" x14ac:dyDescent="0.25">
      <c r="A163" s="20" t="s">
        <v>909</v>
      </c>
      <c r="B163" s="20" t="s">
        <v>910</v>
      </c>
      <c r="C163" s="20" t="s">
        <v>767</v>
      </c>
      <c r="D163" s="20" t="s">
        <v>824</v>
      </c>
      <c r="E163" s="20" t="s">
        <v>798</v>
      </c>
      <c r="F163" s="20">
        <v>380</v>
      </c>
      <c r="G163" s="20">
        <v>85870</v>
      </c>
      <c r="H163" s="20" t="s">
        <v>1014</v>
      </c>
      <c r="I163" s="20">
        <v>368.97</v>
      </c>
      <c r="J163" s="20">
        <v>0</v>
      </c>
      <c r="K163" s="21">
        <v>16376.79</v>
      </c>
    </row>
    <row r="164" spans="1:11" x14ac:dyDescent="0.25">
      <c r="A164" s="20" t="s">
        <v>909</v>
      </c>
      <c r="B164" s="20" t="s">
        <v>910</v>
      </c>
      <c r="C164" s="20" t="s">
        <v>767</v>
      </c>
      <c r="D164" s="20" t="s">
        <v>824</v>
      </c>
      <c r="E164" s="20" t="s">
        <v>798</v>
      </c>
      <c r="F164" s="20">
        <v>380</v>
      </c>
      <c r="G164" s="20">
        <v>85899</v>
      </c>
      <c r="H164" s="20" t="s">
        <v>1015</v>
      </c>
      <c r="I164" s="20">
        <v>399.77</v>
      </c>
      <c r="J164" s="20">
        <v>0</v>
      </c>
      <c r="K164" s="21">
        <v>16776.560000000001</v>
      </c>
    </row>
    <row r="165" spans="1:11" x14ac:dyDescent="0.25">
      <c r="A165" s="20" t="s">
        <v>909</v>
      </c>
      <c r="B165" s="20" t="s">
        <v>910</v>
      </c>
      <c r="C165" s="20" t="s">
        <v>767</v>
      </c>
      <c r="D165" s="20" t="s">
        <v>824</v>
      </c>
      <c r="E165" s="20" t="s">
        <v>798</v>
      </c>
      <c r="F165" s="20">
        <v>380</v>
      </c>
      <c r="G165" s="20">
        <v>113</v>
      </c>
      <c r="H165" s="20" t="s">
        <v>825</v>
      </c>
      <c r="I165" s="20">
        <v>24</v>
      </c>
      <c r="J165" s="20">
        <v>0</v>
      </c>
      <c r="K165" s="21">
        <v>16800.560000000001</v>
      </c>
    </row>
    <row r="166" spans="1:11" x14ac:dyDescent="0.25">
      <c r="A166" s="20" t="s">
        <v>909</v>
      </c>
      <c r="B166" s="20" t="s">
        <v>910</v>
      </c>
      <c r="C166" s="20" t="s">
        <v>767</v>
      </c>
      <c r="D166" s="20" t="s">
        <v>824</v>
      </c>
      <c r="E166" s="20" t="s">
        <v>798</v>
      </c>
      <c r="F166" s="20">
        <v>380</v>
      </c>
      <c r="G166" s="20">
        <v>114</v>
      </c>
      <c r="H166" s="20" t="s">
        <v>826</v>
      </c>
      <c r="I166" s="20">
        <v>6</v>
      </c>
      <c r="J166" s="20">
        <v>0</v>
      </c>
      <c r="K166" s="21">
        <v>16806.560000000001</v>
      </c>
    </row>
    <row r="167" spans="1:11" x14ac:dyDescent="0.25">
      <c r="A167" s="20" t="s">
        <v>909</v>
      </c>
      <c r="B167" s="20" t="s">
        <v>910</v>
      </c>
      <c r="C167" s="20" t="s">
        <v>767</v>
      </c>
      <c r="D167" s="20" t="s">
        <v>824</v>
      </c>
      <c r="E167" s="20" t="s">
        <v>798</v>
      </c>
      <c r="F167" s="20">
        <v>380</v>
      </c>
      <c r="G167" s="20">
        <v>2810</v>
      </c>
      <c r="H167" s="20" t="s">
        <v>827</v>
      </c>
      <c r="I167" s="20">
        <v>40.76</v>
      </c>
      <c r="J167" s="20">
        <v>0</v>
      </c>
      <c r="K167" s="21">
        <v>16847.32</v>
      </c>
    </row>
    <row r="168" spans="1:11" x14ac:dyDescent="0.25">
      <c r="A168" s="20" t="s">
        <v>909</v>
      </c>
      <c r="B168" s="20" t="s">
        <v>910</v>
      </c>
      <c r="C168" s="20" t="s">
        <v>767</v>
      </c>
      <c r="D168" s="20" t="s">
        <v>824</v>
      </c>
      <c r="E168" s="20" t="s">
        <v>798</v>
      </c>
      <c r="F168" s="20">
        <v>380</v>
      </c>
      <c r="G168" s="20">
        <v>31752</v>
      </c>
      <c r="H168" s="20" t="s">
        <v>828</v>
      </c>
      <c r="I168" s="20">
        <v>63</v>
      </c>
      <c r="J168" s="20">
        <v>0</v>
      </c>
      <c r="K168" s="21">
        <v>16910.32</v>
      </c>
    </row>
    <row r="169" spans="1:11" x14ac:dyDescent="0.25">
      <c r="A169" s="20" t="s">
        <v>909</v>
      </c>
      <c r="B169" s="20" t="s">
        <v>910</v>
      </c>
      <c r="C169" s="20" t="s">
        <v>767</v>
      </c>
      <c r="D169" s="20" t="s">
        <v>824</v>
      </c>
      <c r="E169" s="20" t="s">
        <v>798</v>
      </c>
      <c r="F169" s="20">
        <v>381</v>
      </c>
      <c r="G169" s="20">
        <v>3313</v>
      </c>
      <c r="H169" s="20" t="s">
        <v>1016</v>
      </c>
      <c r="I169" s="20">
        <v>13.37</v>
      </c>
      <c r="J169" s="20">
        <v>0</v>
      </c>
      <c r="K169" s="21">
        <v>16923.689999999999</v>
      </c>
    </row>
    <row r="170" spans="1:11" x14ac:dyDescent="0.25">
      <c r="A170" s="20" t="s">
        <v>909</v>
      </c>
      <c r="B170" s="20" t="s">
        <v>910</v>
      </c>
      <c r="C170" s="20" t="s">
        <v>767</v>
      </c>
      <c r="D170" s="20" t="s">
        <v>824</v>
      </c>
      <c r="E170" s="20" t="s">
        <v>798</v>
      </c>
      <c r="F170" s="20">
        <v>382</v>
      </c>
      <c r="G170" s="20">
        <v>5490</v>
      </c>
      <c r="H170" s="20" t="s">
        <v>1017</v>
      </c>
      <c r="I170" s="20">
        <v>324.27999999999997</v>
      </c>
      <c r="J170" s="20">
        <v>0</v>
      </c>
      <c r="K170" s="21">
        <v>17247.97</v>
      </c>
    </row>
    <row r="171" spans="1:11" x14ac:dyDescent="0.25">
      <c r="A171" s="20" t="s">
        <v>909</v>
      </c>
      <c r="B171" s="20" t="s">
        <v>910</v>
      </c>
      <c r="C171" s="20" t="s">
        <v>767</v>
      </c>
      <c r="D171" s="20" t="s">
        <v>824</v>
      </c>
      <c r="E171" s="20" t="s">
        <v>798</v>
      </c>
      <c r="F171" s="20">
        <v>382</v>
      </c>
      <c r="G171" s="20">
        <v>7852</v>
      </c>
      <c r="H171" s="20" t="s">
        <v>1018</v>
      </c>
      <c r="I171" s="20">
        <v>42.21</v>
      </c>
      <c r="J171" s="20">
        <v>0</v>
      </c>
      <c r="K171" s="21">
        <v>17290.18</v>
      </c>
    </row>
    <row r="172" spans="1:11" x14ac:dyDescent="0.25">
      <c r="A172" s="20" t="s">
        <v>909</v>
      </c>
      <c r="B172" s="20" t="s">
        <v>910</v>
      </c>
      <c r="C172" s="20" t="s">
        <v>767</v>
      </c>
      <c r="D172" s="20" t="s">
        <v>824</v>
      </c>
      <c r="E172" s="20" t="s">
        <v>798</v>
      </c>
      <c r="F172" s="20">
        <v>382</v>
      </c>
      <c r="G172" s="20">
        <v>7855</v>
      </c>
      <c r="H172" s="20" t="s">
        <v>1019</v>
      </c>
      <c r="I172" s="20">
        <v>11.88</v>
      </c>
      <c r="J172" s="20">
        <v>0</v>
      </c>
      <c r="K172" s="21">
        <v>17302.060000000001</v>
      </c>
    </row>
    <row r="173" spans="1:11" x14ac:dyDescent="0.25">
      <c r="A173" s="20" t="s">
        <v>909</v>
      </c>
      <c r="B173" s="20" t="s">
        <v>910</v>
      </c>
      <c r="C173" s="20" t="s">
        <v>767</v>
      </c>
      <c r="D173" s="20" t="s">
        <v>824</v>
      </c>
      <c r="E173" s="20" t="s">
        <v>798</v>
      </c>
      <c r="F173" s="20">
        <v>383</v>
      </c>
      <c r="G173" s="20">
        <v>5492</v>
      </c>
      <c r="H173" s="20" t="s">
        <v>1020</v>
      </c>
      <c r="I173" s="20">
        <v>100.11</v>
      </c>
      <c r="J173" s="20">
        <v>0</v>
      </c>
      <c r="K173" s="21">
        <v>17402.169999999998</v>
      </c>
    </row>
    <row r="174" spans="1:11" x14ac:dyDescent="0.25">
      <c r="A174" s="20" t="s">
        <v>909</v>
      </c>
      <c r="B174" s="20" t="s">
        <v>910</v>
      </c>
      <c r="C174" s="20" t="s">
        <v>767</v>
      </c>
      <c r="D174" s="20" t="s">
        <v>824</v>
      </c>
      <c r="E174" s="20" t="s">
        <v>798</v>
      </c>
      <c r="F174" s="20">
        <v>383</v>
      </c>
      <c r="G174" s="20">
        <v>7853</v>
      </c>
      <c r="H174" s="20" t="s">
        <v>1021</v>
      </c>
      <c r="I174" s="20">
        <v>61.05</v>
      </c>
      <c r="J174" s="20">
        <v>0</v>
      </c>
      <c r="K174" s="21">
        <v>17463.22</v>
      </c>
    </row>
    <row r="175" spans="1:11" x14ac:dyDescent="0.25">
      <c r="A175" s="20" t="s">
        <v>909</v>
      </c>
      <c r="B175" s="20" t="s">
        <v>910</v>
      </c>
      <c r="C175" s="20" t="s">
        <v>767</v>
      </c>
      <c r="D175" s="20" t="s">
        <v>824</v>
      </c>
      <c r="E175" s="20" t="s">
        <v>798</v>
      </c>
      <c r="F175" s="20">
        <v>383</v>
      </c>
      <c r="G175" s="20">
        <v>7858</v>
      </c>
      <c r="H175" s="20" t="s">
        <v>1022</v>
      </c>
      <c r="I175" s="20">
        <v>5.46</v>
      </c>
      <c r="J175" s="20">
        <v>0</v>
      </c>
      <c r="K175" s="21">
        <v>17468.68</v>
      </c>
    </row>
    <row r="176" spans="1:11" x14ac:dyDescent="0.25">
      <c r="A176" s="20" t="s">
        <v>909</v>
      </c>
      <c r="B176" s="20" t="s">
        <v>910</v>
      </c>
      <c r="C176" s="20" t="s">
        <v>767</v>
      </c>
      <c r="D176" s="20" t="s">
        <v>824</v>
      </c>
      <c r="E176" s="20" t="s">
        <v>798</v>
      </c>
      <c r="F176" s="20">
        <v>383</v>
      </c>
      <c r="G176" s="20">
        <v>7862</v>
      </c>
      <c r="H176" s="20" t="s">
        <v>1023</v>
      </c>
      <c r="I176" s="20">
        <v>3.55</v>
      </c>
      <c r="J176" s="20">
        <v>0</v>
      </c>
      <c r="K176" s="21">
        <v>17472.23</v>
      </c>
    </row>
    <row r="177" spans="1:11" x14ac:dyDescent="0.25">
      <c r="A177" s="20" t="s">
        <v>909</v>
      </c>
      <c r="B177" s="20" t="s">
        <v>910</v>
      </c>
      <c r="C177" s="20" t="s">
        <v>767</v>
      </c>
      <c r="D177" s="20" t="s">
        <v>829</v>
      </c>
      <c r="E177" s="20" t="s">
        <v>798</v>
      </c>
      <c r="F177" s="20">
        <v>390</v>
      </c>
      <c r="G177" s="20">
        <v>19434</v>
      </c>
      <c r="H177" s="20" t="s">
        <v>830</v>
      </c>
      <c r="I177" s="20">
        <v>33.840000000000003</v>
      </c>
      <c r="J177" s="20">
        <v>0</v>
      </c>
      <c r="K177" s="21">
        <v>17506.07</v>
      </c>
    </row>
    <row r="178" spans="1:11" x14ac:dyDescent="0.25">
      <c r="A178" s="20" t="s">
        <v>909</v>
      </c>
      <c r="B178" s="20" t="s">
        <v>910</v>
      </c>
      <c r="C178" s="20" t="s">
        <v>767</v>
      </c>
      <c r="D178" s="20" t="s">
        <v>829</v>
      </c>
      <c r="E178" s="20" t="s">
        <v>798</v>
      </c>
      <c r="F178" s="20">
        <v>390</v>
      </c>
      <c r="G178" s="20">
        <v>571</v>
      </c>
      <c r="H178" s="20" t="s">
        <v>831</v>
      </c>
      <c r="I178" s="20">
        <v>128.22999999999999</v>
      </c>
      <c r="J178" s="20">
        <v>0</v>
      </c>
      <c r="K178" s="21">
        <v>17634.3</v>
      </c>
    </row>
    <row r="179" spans="1:11" x14ac:dyDescent="0.25">
      <c r="A179" s="20" t="s">
        <v>909</v>
      </c>
      <c r="B179" s="20" t="s">
        <v>910</v>
      </c>
      <c r="C179" s="20" t="s">
        <v>767</v>
      </c>
      <c r="D179" s="20" t="s">
        <v>829</v>
      </c>
      <c r="E179" s="20" t="s">
        <v>798</v>
      </c>
      <c r="F179" s="20">
        <v>390</v>
      </c>
      <c r="G179" s="20">
        <v>576</v>
      </c>
      <c r="H179" s="20" t="s">
        <v>832</v>
      </c>
      <c r="I179" s="20">
        <v>198.97</v>
      </c>
      <c r="J179" s="20">
        <v>0</v>
      </c>
      <c r="K179" s="21">
        <v>17833.27</v>
      </c>
    </row>
    <row r="180" spans="1:11" x14ac:dyDescent="0.25">
      <c r="A180" s="20" t="s">
        <v>909</v>
      </c>
      <c r="B180" s="20" t="s">
        <v>910</v>
      </c>
      <c r="C180" s="20" t="s">
        <v>767</v>
      </c>
      <c r="D180" s="20" t="s">
        <v>829</v>
      </c>
      <c r="E180" s="20" t="s">
        <v>798</v>
      </c>
      <c r="F180" s="20">
        <v>390</v>
      </c>
      <c r="G180" s="20">
        <v>583</v>
      </c>
      <c r="H180" s="20" t="s">
        <v>833</v>
      </c>
      <c r="I180" s="20">
        <v>3.01</v>
      </c>
      <c r="J180" s="20">
        <v>0</v>
      </c>
      <c r="K180" s="21">
        <v>17836.28</v>
      </c>
    </row>
    <row r="181" spans="1:11" x14ac:dyDescent="0.25">
      <c r="A181" s="20" t="s">
        <v>909</v>
      </c>
      <c r="B181" s="20" t="s">
        <v>910</v>
      </c>
      <c r="C181" s="20" t="s">
        <v>767</v>
      </c>
      <c r="D181" s="20" t="s">
        <v>829</v>
      </c>
      <c r="E181" s="20" t="s">
        <v>798</v>
      </c>
      <c r="F181" s="20">
        <v>390</v>
      </c>
      <c r="G181" s="20">
        <v>585</v>
      </c>
      <c r="H181" s="20" t="s">
        <v>834</v>
      </c>
      <c r="I181" s="20">
        <v>55.45</v>
      </c>
      <c r="J181" s="20">
        <v>0</v>
      </c>
      <c r="K181" s="21">
        <v>17891.73</v>
      </c>
    </row>
    <row r="182" spans="1:11" x14ac:dyDescent="0.25">
      <c r="A182" s="20" t="s">
        <v>909</v>
      </c>
      <c r="B182" s="20" t="s">
        <v>910</v>
      </c>
      <c r="C182" s="20" t="s">
        <v>767</v>
      </c>
      <c r="D182" s="20" t="s">
        <v>829</v>
      </c>
      <c r="E182" s="20" t="s">
        <v>798</v>
      </c>
      <c r="F182" s="20">
        <v>391</v>
      </c>
      <c r="G182" s="20">
        <v>85908</v>
      </c>
      <c r="H182" s="20" t="s">
        <v>1024</v>
      </c>
      <c r="I182" s="20">
        <v>110.91</v>
      </c>
      <c r="J182" s="20">
        <v>0</v>
      </c>
      <c r="K182" s="21">
        <v>18002.64</v>
      </c>
    </row>
    <row r="183" spans="1:11" x14ac:dyDescent="0.25">
      <c r="A183" s="20" t="s">
        <v>909</v>
      </c>
      <c r="B183" s="20" t="s">
        <v>910</v>
      </c>
      <c r="C183" s="20" t="s">
        <v>767</v>
      </c>
      <c r="D183" s="20" t="s">
        <v>829</v>
      </c>
      <c r="E183" s="20" t="s">
        <v>798</v>
      </c>
      <c r="F183" s="20">
        <v>391</v>
      </c>
      <c r="G183" s="20">
        <v>2818</v>
      </c>
      <c r="H183" s="20" t="s">
        <v>835</v>
      </c>
      <c r="I183" s="20">
        <v>72</v>
      </c>
      <c r="J183" s="20">
        <v>0</v>
      </c>
      <c r="K183" s="21">
        <v>18074.64</v>
      </c>
    </row>
    <row r="184" spans="1:11" x14ac:dyDescent="0.25">
      <c r="A184" s="20" t="s">
        <v>909</v>
      </c>
      <c r="B184" s="20" t="s">
        <v>910</v>
      </c>
      <c r="C184" s="20" t="s">
        <v>767</v>
      </c>
      <c r="D184" s="20" t="s">
        <v>829</v>
      </c>
      <c r="E184" s="20" t="s">
        <v>798</v>
      </c>
      <c r="F184" s="20">
        <v>391</v>
      </c>
      <c r="G184" s="20">
        <v>31770</v>
      </c>
      <c r="H184" s="20" t="s">
        <v>836</v>
      </c>
      <c r="I184" s="20">
        <v>132</v>
      </c>
      <c r="J184" s="20">
        <v>0</v>
      </c>
      <c r="K184" s="21">
        <v>18206.64</v>
      </c>
    </row>
    <row r="185" spans="1:11" x14ac:dyDescent="0.25">
      <c r="A185" s="20" t="s">
        <v>909</v>
      </c>
      <c r="B185" s="20" t="s">
        <v>910</v>
      </c>
      <c r="C185" s="20" t="s">
        <v>767</v>
      </c>
      <c r="D185" s="20" t="s">
        <v>829</v>
      </c>
      <c r="E185" s="20" t="s">
        <v>798</v>
      </c>
      <c r="F185" s="20">
        <v>392</v>
      </c>
      <c r="G185" s="20">
        <v>1751</v>
      </c>
      <c r="H185" s="20" t="s">
        <v>837</v>
      </c>
      <c r="I185" s="20">
        <v>3</v>
      </c>
      <c r="J185" s="20">
        <v>0</v>
      </c>
      <c r="K185" s="21">
        <v>18209.64</v>
      </c>
    </row>
    <row r="186" spans="1:11" x14ac:dyDescent="0.25">
      <c r="A186" s="20" t="s">
        <v>909</v>
      </c>
      <c r="B186" s="20" t="s">
        <v>910</v>
      </c>
      <c r="C186" s="20" t="s">
        <v>767</v>
      </c>
      <c r="D186" s="20" t="s">
        <v>829</v>
      </c>
      <c r="E186" s="20" t="s">
        <v>798</v>
      </c>
      <c r="F186" s="20">
        <v>392</v>
      </c>
      <c r="G186" s="20">
        <v>5494</v>
      </c>
      <c r="H186" s="20" t="s">
        <v>1025</v>
      </c>
      <c r="I186" s="20">
        <v>117.17</v>
      </c>
      <c r="J186" s="20">
        <v>0</v>
      </c>
      <c r="K186" s="21">
        <v>18326.810000000001</v>
      </c>
    </row>
    <row r="187" spans="1:11" x14ac:dyDescent="0.25">
      <c r="A187" s="20" t="s">
        <v>909</v>
      </c>
      <c r="B187" s="20" t="s">
        <v>910</v>
      </c>
      <c r="C187" s="20" t="s">
        <v>767</v>
      </c>
      <c r="D187" s="20" t="s">
        <v>829</v>
      </c>
      <c r="E187" s="20" t="s">
        <v>798</v>
      </c>
      <c r="F187" s="20">
        <v>392</v>
      </c>
      <c r="G187" s="20">
        <v>7859</v>
      </c>
      <c r="H187" s="20" t="s">
        <v>1026</v>
      </c>
      <c r="I187" s="20">
        <v>50.87</v>
      </c>
      <c r="J187" s="20">
        <v>0</v>
      </c>
      <c r="K187" s="21">
        <v>18377.68</v>
      </c>
    </row>
    <row r="188" spans="1:11" x14ac:dyDescent="0.25">
      <c r="A188" s="20" t="s">
        <v>909</v>
      </c>
      <c r="B188" s="20" t="s">
        <v>910</v>
      </c>
      <c r="C188" s="20" t="s">
        <v>767</v>
      </c>
      <c r="D188" s="20" t="s">
        <v>829</v>
      </c>
      <c r="E188" s="20" t="s">
        <v>798</v>
      </c>
      <c r="F188" s="20">
        <v>392</v>
      </c>
      <c r="G188" s="20">
        <v>7860</v>
      </c>
      <c r="H188" s="20" t="s">
        <v>1027</v>
      </c>
      <c r="I188" s="20">
        <v>9.1199999999999992</v>
      </c>
      <c r="J188" s="20">
        <v>0</v>
      </c>
      <c r="K188" s="21">
        <v>18386.8</v>
      </c>
    </row>
    <row r="189" spans="1:11" x14ac:dyDescent="0.25">
      <c r="A189" s="20" t="s">
        <v>909</v>
      </c>
      <c r="B189" s="20" t="s">
        <v>910</v>
      </c>
      <c r="C189" s="20" t="s">
        <v>767</v>
      </c>
      <c r="D189" s="20" t="s">
        <v>829</v>
      </c>
      <c r="E189" s="20" t="s">
        <v>798</v>
      </c>
      <c r="F189" s="20">
        <v>392</v>
      </c>
      <c r="G189" s="20">
        <v>7861</v>
      </c>
      <c r="H189" s="20" t="s">
        <v>1028</v>
      </c>
      <c r="I189" s="20">
        <v>0.95</v>
      </c>
      <c r="J189" s="20">
        <v>0</v>
      </c>
      <c r="K189" s="21">
        <v>18387.75</v>
      </c>
    </row>
    <row r="190" spans="1:11" x14ac:dyDescent="0.25">
      <c r="A190" s="20" t="s">
        <v>909</v>
      </c>
      <c r="B190" s="20" t="s">
        <v>910</v>
      </c>
      <c r="C190" s="20" t="s">
        <v>767</v>
      </c>
      <c r="D190" s="20" t="s">
        <v>829</v>
      </c>
      <c r="E190" s="20" t="s">
        <v>798</v>
      </c>
      <c r="F190" s="20">
        <v>392</v>
      </c>
      <c r="G190" s="20">
        <v>7867</v>
      </c>
      <c r="H190" s="20" t="s">
        <v>1029</v>
      </c>
      <c r="I190" s="20">
        <v>50.55</v>
      </c>
      <c r="J190" s="20">
        <v>0</v>
      </c>
      <c r="K190" s="21">
        <v>18438.3</v>
      </c>
    </row>
    <row r="191" spans="1:11" x14ac:dyDescent="0.25">
      <c r="A191" s="20" t="s">
        <v>909</v>
      </c>
      <c r="B191" s="20" t="s">
        <v>910</v>
      </c>
      <c r="C191" s="20" t="s">
        <v>767</v>
      </c>
      <c r="D191" s="20" t="s">
        <v>793</v>
      </c>
      <c r="E191" s="20" t="s">
        <v>798</v>
      </c>
      <c r="F191" s="20">
        <v>395</v>
      </c>
      <c r="G191" s="20">
        <v>587</v>
      </c>
      <c r="H191" s="20" t="s">
        <v>838</v>
      </c>
      <c r="I191" s="20">
        <v>4.5599999999999996</v>
      </c>
      <c r="J191" s="20">
        <v>0</v>
      </c>
      <c r="K191" s="21">
        <v>18442.86</v>
      </c>
    </row>
    <row r="192" spans="1:11" x14ac:dyDescent="0.25">
      <c r="A192" s="20" t="s">
        <v>909</v>
      </c>
      <c r="B192" s="20" t="s">
        <v>910</v>
      </c>
      <c r="C192" s="20" t="s">
        <v>767</v>
      </c>
      <c r="D192" s="20" t="s">
        <v>793</v>
      </c>
      <c r="E192" s="20" t="s">
        <v>798</v>
      </c>
      <c r="F192" s="20">
        <v>396</v>
      </c>
      <c r="G192" s="20">
        <v>85922</v>
      </c>
      <c r="H192" s="20" t="s">
        <v>1030</v>
      </c>
      <c r="I192" s="20">
        <v>89.64</v>
      </c>
      <c r="J192" s="20">
        <v>0</v>
      </c>
      <c r="K192" s="21">
        <v>18532.5</v>
      </c>
    </row>
    <row r="193" spans="1:11" x14ac:dyDescent="0.25">
      <c r="A193" s="20" t="s">
        <v>909</v>
      </c>
      <c r="B193" s="20" t="s">
        <v>910</v>
      </c>
      <c r="C193" s="20" t="s">
        <v>767</v>
      </c>
      <c r="D193" s="20" t="s">
        <v>793</v>
      </c>
      <c r="E193" s="20" t="s">
        <v>798</v>
      </c>
      <c r="F193" s="20">
        <v>396</v>
      </c>
      <c r="G193" s="20">
        <v>85938</v>
      </c>
      <c r="H193" s="20" t="s">
        <v>1031</v>
      </c>
      <c r="I193" s="20">
        <v>251.47</v>
      </c>
      <c r="J193" s="20">
        <v>0</v>
      </c>
      <c r="K193" s="21">
        <v>18783.97</v>
      </c>
    </row>
    <row r="194" spans="1:11" x14ac:dyDescent="0.25">
      <c r="A194" s="20" t="s">
        <v>909</v>
      </c>
      <c r="B194" s="20" t="s">
        <v>910</v>
      </c>
      <c r="C194" s="20" t="s">
        <v>767</v>
      </c>
      <c r="D194" s="20" t="s">
        <v>793</v>
      </c>
      <c r="E194" s="20" t="s">
        <v>798</v>
      </c>
      <c r="F194" s="20">
        <v>397</v>
      </c>
      <c r="G194" s="20">
        <v>7868</v>
      </c>
      <c r="H194" s="20" t="s">
        <v>1032</v>
      </c>
      <c r="I194" s="20">
        <v>4.33</v>
      </c>
      <c r="J194" s="20">
        <v>0</v>
      </c>
      <c r="K194" s="21">
        <v>18788.3</v>
      </c>
    </row>
    <row r="195" spans="1:11" x14ac:dyDescent="0.25">
      <c r="A195" s="20" t="s">
        <v>909</v>
      </c>
      <c r="B195" s="20" t="s">
        <v>910</v>
      </c>
      <c r="C195" s="20" t="s">
        <v>767</v>
      </c>
      <c r="D195" s="20" t="s">
        <v>795</v>
      </c>
      <c r="E195" s="20" t="s">
        <v>798</v>
      </c>
      <c r="F195" s="20">
        <v>54</v>
      </c>
      <c r="G195" s="20">
        <v>6232</v>
      </c>
      <c r="H195" s="20" t="s">
        <v>839</v>
      </c>
      <c r="I195" s="20">
        <v>5.87</v>
      </c>
      <c r="J195" s="20">
        <v>0</v>
      </c>
      <c r="K195" s="21">
        <v>18794.169999999998</v>
      </c>
    </row>
    <row r="196" spans="1:11" x14ac:dyDescent="0.25">
      <c r="A196" s="20" t="s">
        <v>909</v>
      </c>
      <c r="B196" s="20" t="s">
        <v>910</v>
      </c>
      <c r="C196" s="20" t="s">
        <v>767</v>
      </c>
      <c r="D196" s="20" t="s">
        <v>795</v>
      </c>
      <c r="E196" s="20" t="s">
        <v>798</v>
      </c>
      <c r="F196" s="20">
        <v>55</v>
      </c>
      <c r="G196" s="20">
        <v>70816</v>
      </c>
      <c r="H196" s="20" t="s">
        <v>840</v>
      </c>
      <c r="I196" s="20">
        <v>11.92</v>
      </c>
      <c r="J196" s="20">
        <v>0</v>
      </c>
      <c r="K196" s="21">
        <v>18806.09</v>
      </c>
    </row>
    <row r="197" spans="1:11" x14ac:dyDescent="0.25">
      <c r="A197" s="20" t="s">
        <v>909</v>
      </c>
      <c r="B197" s="20" t="s">
        <v>910</v>
      </c>
      <c r="C197" s="20" t="s">
        <v>767</v>
      </c>
      <c r="D197" s="20" t="s">
        <v>795</v>
      </c>
      <c r="E197" s="20" t="s">
        <v>798</v>
      </c>
      <c r="F197" s="20">
        <v>56</v>
      </c>
      <c r="G197" s="20">
        <v>4022</v>
      </c>
      <c r="H197" s="20" t="s">
        <v>1033</v>
      </c>
      <c r="I197" s="20">
        <v>17.68</v>
      </c>
      <c r="J197" s="20">
        <v>0</v>
      </c>
      <c r="K197" s="21">
        <v>18823.77</v>
      </c>
    </row>
    <row r="198" spans="1:11" x14ac:dyDescent="0.25">
      <c r="A198" s="20" t="s">
        <v>909</v>
      </c>
      <c r="B198" s="20" t="s">
        <v>910</v>
      </c>
      <c r="C198" s="20" t="s">
        <v>767</v>
      </c>
      <c r="D198" s="20" t="s">
        <v>795</v>
      </c>
      <c r="E198" s="20" t="s">
        <v>798</v>
      </c>
      <c r="F198" s="20">
        <v>56</v>
      </c>
      <c r="G198" s="20">
        <v>4023</v>
      </c>
      <c r="H198" s="20" t="s">
        <v>1034</v>
      </c>
      <c r="I198" s="20">
        <v>26.55</v>
      </c>
      <c r="J198" s="20">
        <v>0</v>
      </c>
      <c r="K198" s="21">
        <v>18850.32</v>
      </c>
    </row>
    <row r="199" spans="1:11" x14ac:dyDescent="0.25">
      <c r="A199" s="20" t="s">
        <v>909</v>
      </c>
      <c r="B199" s="20" t="s">
        <v>910</v>
      </c>
      <c r="C199" s="20" t="s">
        <v>767</v>
      </c>
      <c r="D199" s="20" t="s">
        <v>841</v>
      </c>
      <c r="E199" s="20" t="s">
        <v>798</v>
      </c>
      <c r="F199" s="20">
        <v>62</v>
      </c>
      <c r="G199" s="20">
        <v>85330</v>
      </c>
      <c r="H199" s="20" t="s">
        <v>1035</v>
      </c>
      <c r="I199" s="20">
        <v>623.84</v>
      </c>
      <c r="J199" s="20">
        <v>0</v>
      </c>
      <c r="K199" s="21">
        <v>19474.16</v>
      </c>
    </row>
    <row r="200" spans="1:11" x14ac:dyDescent="0.25">
      <c r="A200" s="20" t="s">
        <v>909</v>
      </c>
      <c r="B200" s="20" t="s">
        <v>910</v>
      </c>
      <c r="C200" s="20" t="s">
        <v>767</v>
      </c>
      <c r="D200" s="20" t="s">
        <v>841</v>
      </c>
      <c r="E200" s="20" t="s">
        <v>798</v>
      </c>
      <c r="F200" s="20">
        <v>62</v>
      </c>
      <c r="G200" s="20">
        <v>4556</v>
      </c>
      <c r="H200" s="20" t="s">
        <v>842</v>
      </c>
      <c r="I200" s="20">
        <v>154.5</v>
      </c>
      <c r="J200" s="20">
        <v>0</v>
      </c>
      <c r="K200" s="21">
        <v>19628.66</v>
      </c>
    </row>
    <row r="201" spans="1:11" x14ac:dyDescent="0.25">
      <c r="A201" s="20" t="s">
        <v>909</v>
      </c>
      <c r="B201" s="20" t="s">
        <v>910</v>
      </c>
      <c r="C201" s="20" t="s">
        <v>767</v>
      </c>
      <c r="D201" s="20" t="s">
        <v>841</v>
      </c>
      <c r="E201" s="20" t="s">
        <v>798</v>
      </c>
      <c r="F201" s="20">
        <v>62</v>
      </c>
      <c r="G201" s="20">
        <v>1037</v>
      </c>
      <c r="H201" s="20" t="s">
        <v>843</v>
      </c>
      <c r="I201" s="20">
        <v>180</v>
      </c>
      <c r="J201" s="20">
        <v>0</v>
      </c>
      <c r="K201" s="21">
        <v>19808.66</v>
      </c>
    </row>
    <row r="202" spans="1:11" x14ac:dyDescent="0.25">
      <c r="A202" s="20" t="s">
        <v>909</v>
      </c>
      <c r="B202" s="20" t="s">
        <v>910</v>
      </c>
      <c r="C202" s="20" t="s">
        <v>767</v>
      </c>
      <c r="D202" s="20" t="s">
        <v>841</v>
      </c>
      <c r="E202" s="20" t="s">
        <v>798</v>
      </c>
      <c r="F202" s="20">
        <v>62</v>
      </c>
      <c r="G202" s="20">
        <v>31473</v>
      </c>
      <c r="H202" s="20" t="s">
        <v>844</v>
      </c>
      <c r="I202" s="20">
        <v>144</v>
      </c>
      <c r="J202" s="20">
        <v>0</v>
      </c>
      <c r="K202" s="21">
        <v>19952.66</v>
      </c>
    </row>
    <row r="203" spans="1:11" x14ac:dyDescent="0.25">
      <c r="A203" s="20" t="s">
        <v>909</v>
      </c>
      <c r="B203" s="20" t="s">
        <v>910</v>
      </c>
      <c r="C203" s="20" t="s">
        <v>767</v>
      </c>
      <c r="D203" s="20" t="s">
        <v>841</v>
      </c>
      <c r="E203" s="20" t="s">
        <v>798</v>
      </c>
      <c r="F203" s="20">
        <v>63</v>
      </c>
      <c r="G203" s="20">
        <v>5321</v>
      </c>
      <c r="H203" s="20" t="s">
        <v>1036</v>
      </c>
      <c r="I203" s="20">
        <v>38.74</v>
      </c>
      <c r="J203" s="20">
        <v>0</v>
      </c>
      <c r="K203" s="21">
        <v>19991.400000000001</v>
      </c>
    </row>
    <row r="204" spans="1:11" x14ac:dyDescent="0.25">
      <c r="A204" s="20" t="s">
        <v>909</v>
      </c>
      <c r="B204" s="20" t="s">
        <v>910</v>
      </c>
      <c r="C204" s="20" t="s">
        <v>767</v>
      </c>
      <c r="D204" s="20" t="s">
        <v>841</v>
      </c>
      <c r="E204" s="20" t="s">
        <v>798</v>
      </c>
      <c r="F204" s="20">
        <v>63</v>
      </c>
      <c r="G204" s="20">
        <v>7686</v>
      </c>
      <c r="H204" s="20" t="s">
        <v>1037</v>
      </c>
      <c r="I204" s="20">
        <v>69.23</v>
      </c>
      <c r="J204" s="20">
        <v>0</v>
      </c>
      <c r="K204" s="21">
        <v>20060.63</v>
      </c>
    </row>
    <row r="205" spans="1:11" x14ac:dyDescent="0.25">
      <c r="A205" s="20" t="s">
        <v>909</v>
      </c>
      <c r="B205" s="20" t="s">
        <v>910</v>
      </c>
      <c r="C205" s="20" t="s">
        <v>767</v>
      </c>
      <c r="D205" s="20" t="s">
        <v>841</v>
      </c>
      <c r="E205" s="20" t="s">
        <v>798</v>
      </c>
      <c r="F205" s="20">
        <v>63</v>
      </c>
      <c r="G205" s="20">
        <v>7691</v>
      </c>
      <c r="H205" s="20" t="s">
        <v>1038</v>
      </c>
      <c r="I205" s="20">
        <v>136.47</v>
      </c>
      <c r="J205" s="20">
        <v>0</v>
      </c>
      <c r="K205" s="21">
        <v>20197.099999999999</v>
      </c>
    </row>
    <row r="206" spans="1:11" x14ac:dyDescent="0.25">
      <c r="A206" s="20" t="s">
        <v>909</v>
      </c>
      <c r="B206" s="20" t="s">
        <v>910</v>
      </c>
      <c r="C206" s="20" t="s">
        <v>767</v>
      </c>
      <c r="D206" s="20" t="s">
        <v>841</v>
      </c>
      <c r="E206" s="20" t="s">
        <v>798</v>
      </c>
      <c r="F206" s="20">
        <v>64</v>
      </c>
      <c r="G206" s="20">
        <v>5329</v>
      </c>
      <c r="H206" s="20" t="s">
        <v>1039</v>
      </c>
      <c r="I206" s="20">
        <v>123.47</v>
      </c>
      <c r="J206" s="20">
        <v>0</v>
      </c>
      <c r="K206" s="21">
        <v>20320.57</v>
      </c>
    </row>
    <row r="207" spans="1:11" x14ac:dyDescent="0.25">
      <c r="A207" s="20" t="s">
        <v>909</v>
      </c>
      <c r="B207" s="20" t="s">
        <v>910</v>
      </c>
      <c r="C207" s="20" t="s">
        <v>767</v>
      </c>
      <c r="D207" s="20" t="s">
        <v>845</v>
      </c>
      <c r="E207" s="20" t="s">
        <v>798</v>
      </c>
      <c r="F207" s="20">
        <v>72</v>
      </c>
      <c r="G207" s="20">
        <v>679</v>
      </c>
      <c r="H207" s="20" t="s">
        <v>1040</v>
      </c>
      <c r="I207" s="20">
        <v>13.74</v>
      </c>
      <c r="J207" s="20">
        <v>0</v>
      </c>
      <c r="K207" s="21">
        <v>20334.310000000001</v>
      </c>
    </row>
    <row r="208" spans="1:11" x14ac:dyDescent="0.25">
      <c r="A208" s="20" t="s">
        <v>909</v>
      </c>
      <c r="B208" s="20" t="s">
        <v>910</v>
      </c>
      <c r="C208" s="20" t="s">
        <v>767</v>
      </c>
      <c r="D208" s="20" t="s">
        <v>845</v>
      </c>
      <c r="E208" s="20" t="s">
        <v>798</v>
      </c>
      <c r="F208" s="20">
        <v>73</v>
      </c>
      <c r="G208" s="20">
        <v>85364</v>
      </c>
      <c r="H208" s="20" t="s">
        <v>1041</v>
      </c>
      <c r="I208" s="20">
        <v>173.24</v>
      </c>
      <c r="J208" s="20">
        <v>0</v>
      </c>
      <c r="K208" s="21">
        <v>20507.55</v>
      </c>
    </row>
    <row r="209" spans="1:11" x14ac:dyDescent="0.25">
      <c r="A209" s="20" t="s">
        <v>909</v>
      </c>
      <c r="B209" s="20" t="s">
        <v>910</v>
      </c>
      <c r="C209" s="20" t="s">
        <v>767</v>
      </c>
      <c r="D209" s="20" t="s">
        <v>845</v>
      </c>
      <c r="E209" s="20" t="s">
        <v>798</v>
      </c>
      <c r="F209" s="20">
        <v>73</v>
      </c>
      <c r="G209" s="20">
        <v>62845</v>
      </c>
      <c r="H209" s="20" t="s">
        <v>846</v>
      </c>
      <c r="I209" s="20">
        <v>17.12</v>
      </c>
      <c r="J209" s="20">
        <v>0</v>
      </c>
      <c r="K209" s="21">
        <v>20524.669999999998</v>
      </c>
    </row>
    <row r="210" spans="1:11" x14ac:dyDescent="0.25">
      <c r="A210" s="20" t="s">
        <v>909</v>
      </c>
      <c r="B210" s="20" t="s">
        <v>910</v>
      </c>
      <c r="C210" s="20" t="s">
        <v>767</v>
      </c>
      <c r="D210" s="20" t="s">
        <v>845</v>
      </c>
      <c r="E210" s="20" t="s">
        <v>798</v>
      </c>
      <c r="F210" s="20">
        <v>74</v>
      </c>
      <c r="G210" s="20">
        <v>5335</v>
      </c>
      <c r="H210" s="20" t="s">
        <v>1042</v>
      </c>
      <c r="I210" s="20">
        <v>55.68</v>
      </c>
      <c r="J210" s="20">
        <v>0</v>
      </c>
      <c r="K210" s="21">
        <v>20580.349999999999</v>
      </c>
    </row>
    <row r="211" spans="1:11" x14ac:dyDescent="0.25">
      <c r="A211" s="20" t="s">
        <v>909</v>
      </c>
      <c r="B211" s="20" t="s">
        <v>910</v>
      </c>
      <c r="C211" s="20" t="s">
        <v>767</v>
      </c>
      <c r="D211" s="20" t="s">
        <v>845</v>
      </c>
      <c r="E211" s="20" t="s">
        <v>798</v>
      </c>
      <c r="F211" s="20">
        <v>74</v>
      </c>
      <c r="G211" s="20">
        <v>5337</v>
      </c>
      <c r="H211" s="20" t="s">
        <v>1043</v>
      </c>
      <c r="I211" s="20">
        <v>18.09</v>
      </c>
      <c r="J211" s="20">
        <v>0</v>
      </c>
      <c r="K211" s="21">
        <v>20598.439999999999</v>
      </c>
    </row>
    <row r="212" spans="1:11" x14ac:dyDescent="0.25">
      <c r="A212" s="20" t="s">
        <v>909</v>
      </c>
      <c r="B212" s="20" t="s">
        <v>910</v>
      </c>
      <c r="C212" s="20" t="s">
        <v>767</v>
      </c>
      <c r="D212" s="20" t="s">
        <v>845</v>
      </c>
      <c r="E212" s="20" t="s">
        <v>798</v>
      </c>
      <c r="F212" s="20">
        <v>74</v>
      </c>
      <c r="G212" s="20">
        <v>7698</v>
      </c>
      <c r="H212" s="20" t="s">
        <v>1044</v>
      </c>
      <c r="I212" s="20">
        <v>39.83</v>
      </c>
      <c r="J212" s="20">
        <v>0</v>
      </c>
      <c r="K212" s="21">
        <v>20638.27</v>
      </c>
    </row>
    <row r="213" spans="1:11" x14ac:dyDescent="0.25">
      <c r="A213" s="20" t="s">
        <v>909</v>
      </c>
      <c r="B213" s="20" t="s">
        <v>910</v>
      </c>
      <c r="C213" s="20" t="s">
        <v>767</v>
      </c>
      <c r="D213" s="20" t="s">
        <v>845</v>
      </c>
      <c r="E213" s="20" t="s">
        <v>798</v>
      </c>
      <c r="F213" s="20">
        <v>74</v>
      </c>
      <c r="G213" s="20">
        <v>7700</v>
      </c>
      <c r="H213" s="20" t="s">
        <v>1045</v>
      </c>
      <c r="I213" s="20">
        <v>72.06</v>
      </c>
      <c r="J213" s="20">
        <v>0</v>
      </c>
      <c r="K213" s="21">
        <v>20710.330000000002</v>
      </c>
    </row>
    <row r="214" spans="1:11" x14ac:dyDescent="0.25">
      <c r="A214" s="20" t="s">
        <v>909</v>
      </c>
      <c r="B214" s="20" t="s">
        <v>910</v>
      </c>
      <c r="C214" s="20" t="s">
        <v>767</v>
      </c>
      <c r="D214" s="20" t="s">
        <v>845</v>
      </c>
      <c r="E214" s="20" t="s">
        <v>798</v>
      </c>
      <c r="F214" s="20">
        <v>74</v>
      </c>
      <c r="G214" s="20">
        <v>7705</v>
      </c>
      <c r="H214" s="20" t="s">
        <v>1046</v>
      </c>
      <c r="I214" s="20">
        <v>175.43</v>
      </c>
      <c r="J214" s="20">
        <v>0</v>
      </c>
      <c r="K214" s="21">
        <v>20885.759999999998</v>
      </c>
    </row>
    <row r="215" spans="1:11" x14ac:dyDescent="0.25">
      <c r="A215" s="20" t="s">
        <v>909</v>
      </c>
      <c r="B215" s="20" t="s">
        <v>910</v>
      </c>
      <c r="C215" s="20" t="s">
        <v>767</v>
      </c>
      <c r="D215" s="20" t="s">
        <v>845</v>
      </c>
      <c r="E215" s="20" t="s">
        <v>798</v>
      </c>
      <c r="F215" s="20">
        <v>75</v>
      </c>
      <c r="G215" s="20">
        <v>383</v>
      </c>
      <c r="H215" s="20" t="s">
        <v>847</v>
      </c>
      <c r="I215" s="20">
        <v>63.5</v>
      </c>
      <c r="J215" s="20">
        <v>0</v>
      </c>
      <c r="K215" s="21">
        <v>20949.259999999998</v>
      </c>
    </row>
    <row r="216" spans="1:11" x14ac:dyDescent="0.25">
      <c r="A216" s="20" t="s">
        <v>909</v>
      </c>
      <c r="B216" s="20" t="s">
        <v>910</v>
      </c>
      <c r="C216" s="20" t="s">
        <v>767</v>
      </c>
      <c r="D216" s="20" t="s">
        <v>845</v>
      </c>
      <c r="E216" s="20" t="s">
        <v>798</v>
      </c>
      <c r="F216" s="20">
        <v>75</v>
      </c>
      <c r="G216" s="20">
        <v>5336</v>
      </c>
      <c r="H216" s="20" t="s">
        <v>1047</v>
      </c>
      <c r="I216" s="20">
        <v>44.35</v>
      </c>
      <c r="J216" s="20">
        <v>0</v>
      </c>
      <c r="K216" s="21">
        <v>20993.61</v>
      </c>
    </row>
    <row r="217" spans="1:11" x14ac:dyDescent="0.25">
      <c r="A217" s="20" t="s">
        <v>909</v>
      </c>
      <c r="B217" s="20" t="s">
        <v>910</v>
      </c>
      <c r="C217" s="20" t="s">
        <v>767</v>
      </c>
      <c r="D217" s="20" t="s">
        <v>845</v>
      </c>
      <c r="E217" s="20" t="s">
        <v>798</v>
      </c>
      <c r="F217" s="20">
        <v>75</v>
      </c>
      <c r="G217" s="20">
        <v>5338</v>
      </c>
      <c r="H217" s="20" t="s">
        <v>1048</v>
      </c>
      <c r="I217" s="20">
        <v>39.03</v>
      </c>
      <c r="J217" s="20">
        <v>0</v>
      </c>
      <c r="K217" s="21">
        <v>21032.639999999999</v>
      </c>
    </row>
    <row r="218" spans="1:11" x14ac:dyDescent="0.25">
      <c r="A218" s="20" t="s">
        <v>909</v>
      </c>
      <c r="B218" s="20" t="s">
        <v>910</v>
      </c>
      <c r="C218" s="20" t="s">
        <v>767</v>
      </c>
      <c r="D218" s="20" t="s">
        <v>845</v>
      </c>
      <c r="E218" s="20" t="s">
        <v>798</v>
      </c>
      <c r="F218" s="20">
        <v>75</v>
      </c>
      <c r="G218" s="20">
        <v>7701</v>
      </c>
      <c r="H218" s="20" t="s">
        <v>1049</v>
      </c>
      <c r="I218" s="20">
        <v>5.43</v>
      </c>
      <c r="J218" s="20">
        <v>0</v>
      </c>
      <c r="K218" s="21">
        <v>21038.07</v>
      </c>
    </row>
    <row r="219" spans="1:11" x14ac:dyDescent="0.25">
      <c r="A219" s="20" t="s">
        <v>909</v>
      </c>
      <c r="B219" s="20" t="s">
        <v>910</v>
      </c>
      <c r="C219" s="20" t="s">
        <v>767</v>
      </c>
      <c r="D219" s="20" t="s">
        <v>845</v>
      </c>
      <c r="E219" s="20" t="s">
        <v>798</v>
      </c>
      <c r="F219" s="20">
        <v>75</v>
      </c>
      <c r="G219" s="20">
        <v>1841</v>
      </c>
      <c r="H219" s="20" t="s">
        <v>848</v>
      </c>
      <c r="I219" s="20">
        <v>3.39</v>
      </c>
      <c r="J219" s="20">
        <v>0</v>
      </c>
      <c r="K219" s="21">
        <v>21041.46</v>
      </c>
    </row>
    <row r="220" spans="1:11" x14ac:dyDescent="0.25">
      <c r="A220" s="20" t="s">
        <v>909</v>
      </c>
      <c r="B220" s="20" t="s">
        <v>910</v>
      </c>
      <c r="C220" s="20" t="s">
        <v>767</v>
      </c>
      <c r="D220" s="20" t="s">
        <v>771</v>
      </c>
      <c r="E220" s="20" t="s">
        <v>798</v>
      </c>
      <c r="F220" s="20">
        <v>90</v>
      </c>
      <c r="G220" s="20">
        <v>508</v>
      </c>
      <c r="H220" s="20" t="s">
        <v>849</v>
      </c>
      <c r="I220" s="20">
        <v>21.52</v>
      </c>
      <c r="J220" s="20">
        <v>0</v>
      </c>
      <c r="K220" s="21">
        <v>21062.98</v>
      </c>
    </row>
    <row r="221" spans="1:11" x14ac:dyDescent="0.25">
      <c r="A221" s="20" t="s">
        <v>909</v>
      </c>
      <c r="B221" s="20" t="s">
        <v>910</v>
      </c>
      <c r="C221" s="20" t="s">
        <v>767</v>
      </c>
      <c r="D221" s="20" t="s">
        <v>771</v>
      </c>
      <c r="E221" s="20" t="s">
        <v>798</v>
      </c>
      <c r="F221" s="20">
        <v>90</v>
      </c>
      <c r="G221" s="20">
        <v>509</v>
      </c>
      <c r="H221" s="20" t="s">
        <v>850</v>
      </c>
      <c r="I221" s="20">
        <v>31.39</v>
      </c>
      <c r="J221" s="20">
        <v>0</v>
      </c>
      <c r="K221" s="21">
        <v>21094.37</v>
      </c>
    </row>
    <row r="222" spans="1:11" x14ac:dyDescent="0.25">
      <c r="A222" s="20" t="s">
        <v>909</v>
      </c>
      <c r="B222" s="20" t="s">
        <v>910</v>
      </c>
      <c r="C222" s="20" t="s">
        <v>767</v>
      </c>
      <c r="D222" s="20" t="s">
        <v>771</v>
      </c>
      <c r="E222" s="20" t="s">
        <v>798</v>
      </c>
      <c r="F222" s="20">
        <v>91</v>
      </c>
      <c r="G222" s="20">
        <v>85378</v>
      </c>
      <c r="H222" s="20" t="s">
        <v>1050</v>
      </c>
      <c r="I222" s="20">
        <v>377.7</v>
      </c>
      <c r="J222" s="20">
        <v>0</v>
      </c>
      <c r="K222" s="21">
        <v>21472.07</v>
      </c>
    </row>
    <row r="223" spans="1:11" x14ac:dyDescent="0.25">
      <c r="A223" s="20" t="s">
        <v>909</v>
      </c>
      <c r="B223" s="20" t="s">
        <v>910</v>
      </c>
      <c r="C223" s="20" t="s">
        <v>767</v>
      </c>
      <c r="D223" s="20" t="s">
        <v>771</v>
      </c>
      <c r="E223" s="20" t="s">
        <v>798</v>
      </c>
      <c r="F223" s="20">
        <v>91</v>
      </c>
      <c r="G223" s="20">
        <v>85408</v>
      </c>
      <c r="H223" s="20" t="s">
        <v>1051</v>
      </c>
      <c r="I223" s="20">
        <v>479.91</v>
      </c>
      <c r="J223" s="20">
        <v>0</v>
      </c>
      <c r="K223" s="21">
        <v>21951.98</v>
      </c>
    </row>
    <row r="224" spans="1:11" x14ac:dyDescent="0.25">
      <c r="A224" s="20" t="s">
        <v>909</v>
      </c>
      <c r="B224" s="20" t="s">
        <v>910</v>
      </c>
      <c r="C224" s="20" t="s">
        <v>767</v>
      </c>
      <c r="D224" s="20" t="s">
        <v>771</v>
      </c>
      <c r="E224" s="20" t="s">
        <v>798</v>
      </c>
      <c r="F224" s="20">
        <v>92</v>
      </c>
      <c r="G224" s="20">
        <v>5351</v>
      </c>
      <c r="H224" s="20" t="s">
        <v>1052</v>
      </c>
      <c r="I224" s="20">
        <v>18</v>
      </c>
      <c r="J224" s="20">
        <v>0</v>
      </c>
      <c r="K224" s="21">
        <v>21969.98</v>
      </c>
    </row>
    <row r="225" spans="1:11" x14ac:dyDescent="0.25">
      <c r="A225" s="20" t="s">
        <v>909</v>
      </c>
      <c r="B225" s="20" t="s">
        <v>910</v>
      </c>
      <c r="C225" s="20" t="s">
        <v>767</v>
      </c>
      <c r="D225" s="20" t="s">
        <v>771</v>
      </c>
      <c r="E225" s="20" t="s">
        <v>798</v>
      </c>
      <c r="F225" s="20">
        <v>92</v>
      </c>
      <c r="G225" s="20">
        <v>7708</v>
      </c>
      <c r="H225" s="20" t="s">
        <v>1053</v>
      </c>
      <c r="I225" s="20">
        <v>288.52999999999997</v>
      </c>
      <c r="J225" s="20">
        <v>0</v>
      </c>
      <c r="K225" s="21">
        <v>22258.51</v>
      </c>
    </row>
    <row r="226" spans="1:11" x14ac:dyDescent="0.25">
      <c r="A226" s="20" t="s">
        <v>909</v>
      </c>
      <c r="B226" s="20" t="s">
        <v>910</v>
      </c>
      <c r="C226" s="20" t="s">
        <v>767</v>
      </c>
      <c r="D226" s="20" t="s">
        <v>771</v>
      </c>
      <c r="E226" s="20" t="s">
        <v>798</v>
      </c>
      <c r="F226" s="20">
        <v>92</v>
      </c>
      <c r="G226" s="20">
        <v>7709</v>
      </c>
      <c r="H226" s="20" t="s">
        <v>1054</v>
      </c>
      <c r="I226" s="20">
        <v>24.33</v>
      </c>
      <c r="J226" s="20">
        <v>0</v>
      </c>
      <c r="K226" s="21">
        <v>22282.84</v>
      </c>
    </row>
    <row r="227" spans="1:11" x14ac:dyDescent="0.25">
      <c r="A227" s="20" t="s">
        <v>909</v>
      </c>
      <c r="B227" s="20" t="s">
        <v>910</v>
      </c>
      <c r="C227" s="20" t="s">
        <v>767</v>
      </c>
      <c r="D227" s="20" t="s">
        <v>771</v>
      </c>
      <c r="E227" s="20" t="s">
        <v>798</v>
      </c>
      <c r="F227" s="20">
        <v>92</v>
      </c>
      <c r="G227" s="20">
        <v>7710</v>
      </c>
      <c r="H227" s="20" t="s">
        <v>1055</v>
      </c>
      <c r="I227" s="20">
        <v>5.45</v>
      </c>
      <c r="J227" s="20">
        <v>0</v>
      </c>
      <c r="K227" s="21">
        <v>22288.29</v>
      </c>
    </row>
    <row r="228" spans="1:11" x14ac:dyDescent="0.25">
      <c r="A228" s="20" t="s">
        <v>909</v>
      </c>
      <c r="B228" s="20" t="s">
        <v>910</v>
      </c>
      <c r="C228" s="20" t="s">
        <v>767</v>
      </c>
      <c r="D228" s="20" t="s">
        <v>771</v>
      </c>
      <c r="E228" s="20" t="s">
        <v>798</v>
      </c>
      <c r="F228" s="20">
        <v>92</v>
      </c>
      <c r="G228" s="20">
        <v>2087</v>
      </c>
      <c r="H228" s="20" t="s">
        <v>851</v>
      </c>
      <c r="I228" s="20">
        <v>30</v>
      </c>
      <c r="J228" s="20">
        <v>0</v>
      </c>
      <c r="K228" s="21">
        <v>22318.29</v>
      </c>
    </row>
    <row r="229" spans="1:11" x14ac:dyDescent="0.25">
      <c r="A229" s="20" t="s">
        <v>909</v>
      </c>
      <c r="B229" s="20" t="s">
        <v>910</v>
      </c>
      <c r="C229" s="20" t="s">
        <v>767</v>
      </c>
      <c r="D229" s="20" t="s">
        <v>771</v>
      </c>
      <c r="E229" s="20" t="s">
        <v>798</v>
      </c>
      <c r="F229" s="20">
        <v>93</v>
      </c>
      <c r="G229" s="20">
        <v>5343</v>
      </c>
      <c r="H229" s="20" t="s">
        <v>1056</v>
      </c>
      <c r="I229" s="20">
        <v>4.0999999999999996</v>
      </c>
      <c r="J229" s="20">
        <v>0</v>
      </c>
      <c r="K229" s="21">
        <v>22322.39</v>
      </c>
    </row>
    <row r="230" spans="1:11" x14ac:dyDescent="0.25">
      <c r="A230" s="20" t="s">
        <v>909</v>
      </c>
      <c r="B230" s="20" t="s">
        <v>910</v>
      </c>
      <c r="C230" s="20" t="s">
        <v>767</v>
      </c>
      <c r="D230" s="20" t="s">
        <v>771</v>
      </c>
      <c r="E230" s="20" t="s">
        <v>798</v>
      </c>
      <c r="F230" s="20">
        <v>93</v>
      </c>
      <c r="G230" s="20">
        <v>5344</v>
      </c>
      <c r="H230" s="20" t="s">
        <v>1057</v>
      </c>
      <c r="I230" s="20">
        <v>8.83</v>
      </c>
      <c r="J230" s="20">
        <v>0</v>
      </c>
      <c r="K230" s="21">
        <v>22331.22</v>
      </c>
    </row>
    <row r="231" spans="1:11" x14ac:dyDescent="0.25">
      <c r="A231" s="20" t="s">
        <v>909</v>
      </c>
      <c r="B231" s="20" t="s">
        <v>910</v>
      </c>
      <c r="C231" s="20" t="s">
        <v>767</v>
      </c>
      <c r="D231" s="20" t="s">
        <v>856</v>
      </c>
      <c r="E231" s="20" t="s">
        <v>798</v>
      </c>
      <c r="F231" s="20">
        <v>94</v>
      </c>
      <c r="G231" s="20">
        <v>85402</v>
      </c>
      <c r="H231" s="20" t="s">
        <v>1058</v>
      </c>
      <c r="I231" s="20">
        <v>79.81</v>
      </c>
      <c r="J231" s="20">
        <v>0</v>
      </c>
      <c r="K231" s="21">
        <v>22411.03</v>
      </c>
    </row>
    <row r="232" spans="1:11" x14ac:dyDescent="0.25">
      <c r="A232" s="20" t="s">
        <v>909</v>
      </c>
      <c r="B232" s="20" t="s">
        <v>910</v>
      </c>
      <c r="C232" s="20" t="s">
        <v>767</v>
      </c>
      <c r="D232" s="20" t="s">
        <v>856</v>
      </c>
      <c r="E232" s="20" t="s">
        <v>798</v>
      </c>
      <c r="F232" s="20">
        <v>94</v>
      </c>
      <c r="G232" s="20">
        <v>85427</v>
      </c>
      <c r="H232" s="20" t="s">
        <v>1059</v>
      </c>
      <c r="I232" s="20">
        <v>64.87</v>
      </c>
      <c r="J232" s="20">
        <v>0</v>
      </c>
      <c r="K232" s="21">
        <v>22475.9</v>
      </c>
    </row>
    <row r="233" spans="1:11" x14ac:dyDescent="0.25">
      <c r="A233" s="20" t="s">
        <v>909</v>
      </c>
      <c r="B233" s="20" t="s">
        <v>910</v>
      </c>
      <c r="C233" s="20" t="s">
        <v>767</v>
      </c>
      <c r="D233" s="20" t="s">
        <v>856</v>
      </c>
      <c r="E233" s="20" t="s">
        <v>798</v>
      </c>
      <c r="F233" s="20">
        <v>94</v>
      </c>
      <c r="G233" s="20">
        <v>85430</v>
      </c>
      <c r="H233" s="20" t="s">
        <v>1060</v>
      </c>
      <c r="I233" s="20">
        <v>405.66</v>
      </c>
      <c r="J233" s="20">
        <v>0</v>
      </c>
      <c r="K233" s="21">
        <v>22881.56</v>
      </c>
    </row>
    <row r="234" spans="1:11" x14ac:dyDescent="0.25">
      <c r="A234" s="20" t="s">
        <v>909</v>
      </c>
      <c r="B234" s="20" t="s">
        <v>910</v>
      </c>
      <c r="C234" s="20" t="s">
        <v>767</v>
      </c>
      <c r="D234" s="20" t="s">
        <v>856</v>
      </c>
      <c r="E234" s="20" t="s">
        <v>798</v>
      </c>
      <c r="F234" s="20">
        <v>95</v>
      </c>
      <c r="G234" s="20">
        <v>7718</v>
      </c>
      <c r="H234" s="20" t="s">
        <v>1061</v>
      </c>
      <c r="I234" s="20">
        <v>85.1</v>
      </c>
      <c r="J234" s="20">
        <v>0</v>
      </c>
      <c r="K234" s="21">
        <v>22966.66</v>
      </c>
    </row>
    <row r="235" spans="1:11" x14ac:dyDescent="0.25">
      <c r="A235" s="20" t="s">
        <v>909</v>
      </c>
      <c r="B235" s="20" t="s">
        <v>910</v>
      </c>
      <c r="C235" s="20" t="s">
        <v>767</v>
      </c>
      <c r="D235" s="20" t="s">
        <v>856</v>
      </c>
      <c r="E235" s="20" t="s">
        <v>798</v>
      </c>
      <c r="F235" s="20">
        <v>95</v>
      </c>
      <c r="G235" s="20">
        <v>7719</v>
      </c>
      <c r="H235" s="20" t="s">
        <v>1062</v>
      </c>
      <c r="I235" s="20">
        <v>10.71</v>
      </c>
      <c r="J235" s="20">
        <v>0</v>
      </c>
      <c r="K235" s="21">
        <v>22977.37</v>
      </c>
    </row>
    <row r="236" spans="1:11" x14ac:dyDescent="0.25">
      <c r="A236" s="20" t="s">
        <v>909</v>
      </c>
      <c r="B236" s="20" t="s">
        <v>910</v>
      </c>
      <c r="C236" s="20" t="s">
        <v>767</v>
      </c>
      <c r="D236" s="20" t="s">
        <v>856</v>
      </c>
      <c r="E236" s="20" t="s">
        <v>798</v>
      </c>
      <c r="F236" s="20">
        <v>95</v>
      </c>
      <c r="G236" s="20">
        <v>7721</v>
      </c>
      <c r="H236" s="20" t="s">
        <v>1063</v>
      </c>
      <c r="I236" s="20">
        <v>28.34</v>
      </c>
      <c r="J236" s="20">
        <v>0</v>
      </c>
      <c r="K236" s="21">
        <v>23005.71</v>
      </c>
    </row>
    <row r="237" spans="1:11" x14ac:dyDescent="0.25">
      <c r="A237" s="20" t="s">
        <v>909</v>
      </c>
      <c r="B237" s="20" t="s">
        <v>910</v>
      </c>
      <c r="C237" s="20" t="s">
        <v>767</v>
      </c>
      <c r="D237" s="20" t="s">
        <v>852</v>
      </c>
      <c r="E237" s="20" t="s">
        <v>798</v>
      </c>
      <c r="F237" s="20">
        <v>96</v>
      </c>
      <c r="G237" s="20">
        <v>514</v>
      </c>
      <c r="H237" s="20" t="s">
        <v>853</v>
      </c>
      <c r="I237" s="20">
        <v>51.74</v>
      </c>
      <c r="J237" s="20">
        <v>0</v>
      </c>
      <c r="K237" s="21">
        <v>23057.45</v>
      </c>
    </row>
    <row r="238" spans="1:11" x14ac:dyDescent="0.25">
      <c r="A238" s="20" t="s">
        <v>909</v>
      </c>
      <c r="B238" s="20" t="s">
        <v>910</v>
      </c>
      <c r="C238" s="20" t="s">
        <v>767</v>
      </c>
      <c r="D238" s="20" t="s">
        <v>852</v>
      </c>
      <c r="E238" s="20" t="s">
        <v>798</v>
      </c>
      <c r="F238" s="20">
        <v>96</v>
      </c>
      <c r="G238" s="20">
        <v>515</v>
      </c>
      <c r="H238" s="20" t="s">
        <v>854</v>
      </c>
      <c r="I238" s="20">
        <v>21.15</v>
      </c>
      <c r="J238" s="20">
        <v>0</v>
      </c>
      <c r="K238" s="21">
        <v>23078.6</v>
      </c>
    </row>
    <row r="239" spans="1:11" x14ac:dyDescent="0.25">
      <c r="A239" s="20" t="s">
        <v>909</v>
      </c>
      <c r="B239" s="20" t="s">
        <v>910</v>
      </c>
      <c r="C239" s="20" t="s">
        <v>767</v>
      </c>
      <c r="D239" s="20" t="s">
        <v>852</v>
      </c>
      <c r="E239" s="20" t="s">
        <v>798</v>
      </c>
      <c r="F239" s="20">
        <v>96</v>
      </c>
      <c r="G239" s="20">
        <v>519</v>
      </c>
      <c r="H239" s="20" t="s">
        <v>855</v>
      </c>
      <c r="I239" s="20">
        <v>16.46</v>
      </c>
      <c r="J239" s="20">
        <v>0</v>
      </c>
      <c r="K239" s="21">
        <v>23095.06</v>
      </c>
    </row>
    <row r="240" spans="1:11" x14ac:dyDescent="0.25">
      <c r="A240" s="20" t="s">
        <v>909</v>
      </c>
      <c r="B240" s="20" t="s">
        <v>910</v>
      </c>
      <c r="C240" s="20" t="s">
        <v>767</v>
      </c>
      <c r="D240" s="20" t="s">
        <v>852</v>
      </c>
      <c r="E240" s="20" t="s">
        <v>798</v>
      </c>
      <c r="F240" s="20">
        <v>97</v>
      </c>
      <c r="G240" s="20">
        <v>85464</v>
      </c>
      <c r="H240" s="20" t="s">
        <v>1064</v>
      </c>
      <c r="I240" s="20">
        <v>144.12</v>
      </c>
      <c r="J240" s="20">
        <v>0</v>
      </c>
      <c r="K240" s="21">
        <v>23239.18</v>
      </c>
    </row>
    <row r="241" spans="1:11" x14ac:dyDescent="0.25">
      <c r="A241" s="20" t="s">
        <v>909</v>
      </c>
      <c r="B241" s="20" t="s">
        <v>910</v>
      </c>
      <c r="C241" s="20" t="s">
        <v>767</v>
      </c>
      <c r="D241" s="20" t="s">
        <v>852</v>
      </c>
      <c r="E241" s="20" t="s">
        <v>798</v>
      </c>
      <c r="F241" s="20">
        <v>98</v>
      </c>
      <c r="G241" s="20">
        <v>7724</v>
      </c>
      <c r="H241" s="20" t="s">
        <v>1065</v>
      </c>
      <c r="I241" s="20">
        <v>6.3</v>
      </c>
      <c r="J241" s="20">
        <v>0</v>
      </c>
      <c r="K241" s="21">
        <v>23245.48</v>
      </c>
    </row>
    <row r="242" spans="1:11" x14ac:dyDescent="0.25">
      <c r="A242" s="20" t="s">
        <v>909</v>
      </c>
      <c r="B242" s="20" t="s">
        <v>910</v>
      </c>
      <c r="C242" s="20" t="s">
        <v>767</v>
      </c>
      <c r="D242" s="20" t="s">
        <v>852</v>
      </c>
      <c r="E242" s="20" t="s">
        <v>798</v>
      </c>
      <c r="F242" s="20">
        <v>98</v>
      </c>
      <c r="G242" s="20">
        <v>7727</v>
      </c>
      <c r="H242" s="20" t="s">
        <v>1066</v>
      </c>
      <c r="I242" s="20">
        <v>13.33</v>
      </c>
      <c r="J242" s="20">
        <v>0</v>
      </c>
      <c r="K242" s="21">
        <v>23258.81</v>
      </c>
    </row>
    <row r="243" spans="1:11" x14ac:dyDescent="0.25">
      <c r="A243" s="20" t="s">
        <v>909</v>
      </c>
      <c r="B243" s="20" t="s">
        <v>910</v>
      </c>
      <c r="C243" s="20" t="s">
        <v>767</v>
      </c>
      <c r="D243" s="20" t="s">
        <v>852</v>
      </c>
      <c r="E243" s="20" t="s">
        <v>798</v>
      </c>
      <c r="F243" s="20">
        <v>98</v>
      </c>
      <c r="G243" s="20">
        <v>7730</v>
      </c>
      <c r="H243" s="20" t="s">
        <v>1067</v>
      </c>
      <c r="I243" s="20">
        <v>37.08</v>
      </c>
      <c r="J243" s="20">
        <v>0</v>
      </c>
      <c r="K243" s="21">
        <v>23295.89</v>
      </c>
    </row>
    <row r="244" spans="1:11" x14ac:dyDescent="0.25">
      <c r="A244" s="20" t="s">
        <v>909</v>
      </c>
      <c r="B244" s="20" t="s">
        <v>910</v>
      </c>
      <c r="C244" s="20" t="s">
        <v>767</v>
      </c>
      <c r="D244" s="20" t="s">
        <v>852</v>
      </c>
      <c r="E244" s="20" t="s">
        <v>798</v>
      </c>
      <c r="F244" s="20">
        <v>99</v>
      </c>
      <c r="G244" s="20">
        <v>5368</v>
      </c>
      <c r="H244" s="20" t="s">
        <v>1068</v>
      </c>
      <c r="I244" s="20">
        <v>25.68</v>
      </c>
      <c r="J244" s="20">
        <v>0</v>
      </c>
      <c r="K244" s="21">
        <v>23321.57</v>
      </c>
    </row>
    <row r="245" spans="1:11" x14ac:dyDescent="0.25">
      <c r="A245" s="20" t="s">
        <v>909</v>
      </c>
      <c r="B245" s="20" t="s">
        <v>910</v>
      </c>
      <c r="C245" s="20" t="s">
        <v>767</v>
      </c>
      <c r="D245" s="20" t="s">
        <v>856</v>
      </c>
      <c r="E245" s="20" t="s">
        <v>857</v>
      </c>
      <c r="F245" s="20">
        <v>105</v>
      </c>
      <c r="G245" s="20"/>
      <c r="H245" s="20" t="s">
        <v>858</v>
      </c>
      <c r="I245" s="20">
        <v>457.24</v>
      </c>
      <c r="J245" s="20">
        <v>0</v>
      </c>
      <c r="K245" s="21">
        <v>23778.81</v>
      </c>
    </row>
    <row r="246" spans="1:11" x14ac:dyDescent="0.25">
      <c r="A246" s="20" t="s">
        <v>909</v>
      </c>
      <c r="B246" s="20" t="s">
        <v>910</v>
      </c>
      <c r="C246" s="20" t="s">
        <v>767</v>
      </c>
      <c r="D246" s="20" t="s">
        <v>856</v>
      </c>
      <c r="E246" s="20" t="s">
        <v>857</v>
      </c>
      <c r="F246" s="20">
        <v>108</v>
      </c>
      <c r="G246" s="20"/>
      <c r="H246" s="20" t="s">
        <v>858</v>
      </c>
      <c r="I246" s="20">
        <v>35.590000000000003</v>
      </c>
      <c r="J246" s="20">
        <v>0</v>
      </c>
      <c r="K246" s="21">
        <v>23814.400000000001</v>
      </c>
    </row>
    <row r="247" spans="1:11" x14ac:dyDescent="0.25">
      <c r="A247" s="20" t="s">
        <v>909</v>
      </c>
      <c r="B247" s="20" t="s">
        <v>910</v>
      </c>
      <c r="C247" s="20" t="s">
        <v>767</v>
      </c>
      <c r="D247" s="20" t="s">
        <v>797</v>
      </c>
      <c r="E247" s="20" t="s">
        <v>857</v>
      </c>
      <c r="F247" s="20">
        <v>126</v>
      </c>
      <c r="G247" s="20"/>
      <c r="H247" s="20" t="s">
        <v>858</v>
      </c>
      <c r="I247" s="20">
        <v>50.09</v>
      </c>
      <c r="J247" s="20">
        <v>0</v>
      </c>
      <c r="K247" s="21">
        <v>23864.49</v>
      </c>
    </row>
    <row r="248" spans="1:11" x14ac:dyDescent="0.25">
      <c r="A248" s="20" t="s">
        <v>909</v>
      </c>
      <c r="B248" s="20" t="s">
        <v>910</v>
      </c>
      <c r="C248" s="20" t="s">
        <v>767</v>
      </c>
      <c r="D248" s="20" t="s">
        <v>800</v>
      </c>
      <c r="E248" s="20" t="s">
        <v>857</v>
      </c>
      <c r="F248" s="20">
        <v>132</v>
      </c>
      <c r="G248" s="20"/>
      <c r="H248" s="20" t="s">
        <v>858</v>
      </c>
      <c r="I248" s="20">
        <v>103.08</v>
      </c>
      <c r="J248" s="20">
        <v>0</v>
      </c>
      <c r="K248" s="21">
        <v>23967.57</v>
      </c>
    </row>
    <row r="249" spans="1:11" x14ac:dyDescent="0.25">
      <c r="A249" s="20" t="s">
        <v>909</v>
      </c>
      <c r="B249" s="20" t="s">
        <v>910</v>
      </c>
      <c r="C249" s="20" t="s">
        <v>767</v>
      </c>
      <c r="D249" s="20" t="s">
        <v>800</v>
      </c>
      <c r="E249" s="20" t="s">
        <v>857</v>
      </c>
      <c r="F249" s="20">
        <v>135</v>
      </c>
      <c r="G249" s="20"/>
      <c r="H249" s="20" t="s">
        <v>858</v>
      </c>
      <c r="I249" s="20">
        <v>144.13999999999999</v>
      </c>
      <c r="J249" s="20">
        <v>0</v>
      </c>
      <c r="K249" s="21">
        <v>24111.71</v>
      </c>
    </row>
    <row r="250" spans="1:11" x14ac:dyDescent="0.25">
      <c r="A250" s="20" t="s">
        <v>909</v>
      </c>
      <c r="B250" s="20" t="s">
        <v>910</v>
      </c>
      <c r="C250" s="20" t="s">
        <v>767</v>
      </c>
      <c r="D250" s="20" t="s">
        <v>777</v>
      </c>
      <c r="E250" s="20" t="s">
        <v>857</v>
      </c>
      <c r="F250" s="20">
        <v>153</v>
      </c>
      <c r="G250" s="20"/>
      <c r="H250" s="20" t="s">
        <v>858</v>
      </c>
      <c r="I250" s="20">
        <v>115.75</v>
      </c>
      <c r="J250" s="20">
        <v>0</v>
      </c>
      <c r="K250" s="21">
        <v>24227.46</v>
      </c>
    </row>
    <row r="251" spans="1:11" x14ac:dyDescent="0.25">
      <c r="A251" s="20" t="s">
        <v>909</v>
      </c>
      <c r="B251" s="20" t="s">
        <v>910</v>
      </c>
      <c r="C251" s="20" t="s">
        <v>767</v>
      </c>
      <c r="D251" s="20" t="s">
        <v>781</v>
      </c>
      <c r="E251" s="20" t="s">
        <v>857</v>
      </c>
      <c r="F251" s="20">
        <v>182</v>
      </c>
      <c r="G251" s="20"/>
      <c r="H251" s="20" t="s">
        <v>858</v>
      </c>
      <c r="I251" s="20">
        <v>88.03</v>
      </c>
      <c r="J251" s="20">
        <v>0</v>
      </c>
      <c r="K251" s="21">
        <v>24315.49</v>
      </c>
    </row>
    <row r="252" spans="1:11" x14ac:dyDescent="0.25">
      <c r="A252" s="20" t="s">
        <v>909</v>
      </c>
      <c r="B252" s="20" t="s">
        <v>910</v>
      </c>
      <c r="C252" s="20" t="s">
        <v>767</v>
      </c>
      <c r="D252" s="20" t="s">
        <v>781</v>
      </c>
      <c r="E252" s="20" t="s">
        <v>857</v>
      </c>
      <c r="F252" s="20">
        <v>184</v>
      </c>
      <c r="G252" s="20"/>
      <c r="H252" s="20" t="s">
        <v>858</v>
      </c>
      <c r="I252" s="20">
        <v>39.619999999999997</v>
      </c>
      <c r="J252" s="20">
        <v>0</v>
      </c>
      <c r="K252" s="21">
        <v>24355.11</v>
      </c>
    </row>
    <row r="253" spans="1:11" x14ac:dyDescent="0.25">
      <c r="A253" s="20" t="s">
        <v>909</v>
      </c>
      <c r="B253" s="20" t="s">
        <v>910</v>
      </c>
      <c r="C253" s="20" t="s">
        <v>767</v>
      </c>
      <c r="D253" s="20" t="s">
        <v>817</v>
      </c>
      <c r="E253" s="20" t="s">
        <v>857</v>
      </c>
      <c r="F253" s="20">
        <v>284</v>
      </c>
      <c r="G253" s="20"/>
      <c r="H253" s="20" t="s">
        <v>858</v>
      </c>
      <c r="I253" s="20">
        <v>144.13999999999999</v>
      </c>
      <c r="J253" s="20">
        <v>0</v>
      </c>
      <c r="K253" s="21">
        <v>24499.25</v>
      </c>
    </row>
    <row r="254" spans="1:11" x14ac:dyDescent="0.25">
      <c r="A254" s="20" t="s">
        <v>909</v>
      </c>
      <c r="B254" s="20" t="s">
        <v>910</v>
      </c>
      <c r="C254" s="20" t="s">
        <v>767</v>
      </c>
      <c r="D254" s="20" t="s">
        <v>788</v>
      </c>
      <c r="E254" s="20" t="s">
        <v>857</v>
      </c>
      <c r="F254" s="20">
        <v>297</v>
      </c>
      <c r="G254" s="20"/>
      <c r="H254" s="20" t="s">
        <v>858</v>
      </c>
      <c r="I254" s="20">
        <v>91.31</v>
      </c>
      <c r="J254" s="20">
        <v>0</v>
      </c>
      <c r="K254" s="21">
        <v>24590.560000000001</v>
      </c>
    </row>
    <row r="255" spans="1:11" x14ac:dyDescent="0.25">
      <c r="A255" s="20" t="s">
        <v>909</v>
      </c>
      <c r="B255" s="20" t="s">
        <v>910</v>
      </c>
      <c r="C255" s="20" t="s">
        <v>767</v>
      </c>
      <c r="D255" s="20" t="s">
        <v>822</v>
      </c>
      <c r="E255" s="20" t="s">
        <v>857</v>
      </c>
      <c r="F255" s="20">
        <v>305</v>
      </c>
      <c r="G255" s="20"/>
      <c r="H255" s="20" t="s">
        <v>858</v>
      </c>
      <c r="I255" s="20">
        <v>79.459999999999994</v>
      </c>
      <c r="J255" s="20">
        <v>0</v>
      </c>
      <c r="K255" s="21">
        <v>24670.02</v>
      </c>
    </row>
    <row r="256" spans="1:11" x14ac:dyDescent="0.25">
      <c r="A256" s="20" t="s">
        <v>909</v>
      </c>
      <c r="B256" s="20" t="s">
        <v>910</v>
      </c>
      <c r="C256" s="20" t="s">
        <v>767</v>
      </c>
      <c r="D256" s="20" t="s">
        <v>881</v>
      </c>
      <c r="E256" s="20" t="s">
        <v>857</v>
      </c>
      <c r="F256" s="20">
        <v>334</v>
      </c>
      <c r="G256" s="20"/>
      <c r="H256" s="20" t="s">
        <v>858</v>
      </c>
      <c r="I256" s="20">
        <v>457.24</v>
      </c>
      <c r="J256" s="20">
        <v>0</v>
      </c>
      <c r="K256" s="21">
        <v>25127.26</v>
      </c>
    </row>
    <row r="257" spans="1:11" x14ac:dyDescent="0.25">
      <c r="A257" s="20" t="s">
        <v>909</v>
      </c>
      <c r="B257" s="20" t="s">
        <v>910</v>
      </c>
      <c r="C257" s="20" t="s">
        <v>767</v>
      </c>
      <c r="D257" s="20" t="s">
        <v>859</v>
      </c>
      <c r="E257" s="20" t="s">
        <v>857</v>
      </c>
      <c r="F257" s="20">
        <v>350</v>
      </c>
      <c r="G257" s="20"/>
      <c r="H257" s="20" t="s">
        <v>858</v>
      </c>
      <c r="I257" s="20">
        <v>122.15</v>
      </c>
      <c r="J257" s="20">
        <v>0</v>
      </c>
      <c r="K257" s="21">
        <v>25249.41</v>
      </c>
    </row>
    <row r="258" spans="1:11" x14ac:dyDescent="0.25">
      <c r="A258" s="20" t="s">
        <v>909</v>
      </c>
      <c r="B258" s="20" t="s">
        <v>910</v>
      </c>
      <c r="C258" s="20" t="s">
        <v>767</v>
      </c>
      <c r="D258" s="20" t="s">
        <v>824</v>
      </c>
      <c r="E258" s="20" t="s">
        <v>857</v>
      </c>
      <c r="F258" s="20">
        <v>386</v>
      </c>
      <c r="G258" s="20"/>
      <c r="H258" s="20" t="s">
        <v>858</v>
      </c>
      <c r="I258" s="20">
        <v>250.37</v>
      </c>
      <c r="J258" s="20">
        <v>0</v>
      </c>
      <c r="K258" s="21">
        <v>25499.78</v>
      </c>
    </row>
    <row r="259" spans="1:11" x14ac:dyDescent="0.25">
      <c r="A259" s="20" t="s">
        <v>909</v>
      </c>
      <c r="B259" s="20" t="s">
        <v>910</v>
      </c>
      <c r="C259" s="20" t="s">
        <v>767</v>
      </c>
      <c r="D259" s="20" t="s">
        <v>841</v>
      </c>
      <c r="E259" s="20" t="s">
        <v>857</v>
      </c>
      <c r="F259" s="20">
        <v>66</v>
      </c>
      <c r="G259" s="20"/>
      <c r="H259" s="20" t="s">
        <v>858</v>
      </c>
      <c r="I259" s="20">
        <v>228.62</v>
      </c>
      <c r="J259" s="20">
        <v>0</v>
      </c>
      <c r="K259" s="21">
        <v>25728.400000000001</v>
      </c>
    </row>
    <row r="260" spans="1:11" x14ac:dyDescent="0.25">
      <c r="A260" s="20" t="s">
        <v>909</v>
      </c>
      <c r="B260" s="20" t="s">
        <v>910</v>
      </c>
      <c r="C260" s="20" t="s">
        <v>767</v>
      </c>
      <c r="D260" s="20" t="s">
        <v>841</v>
      </c>
      <c r="E260" s="20" t="s">
        <v>857</v>
      </c>
      <c r="F260" s="20">
        <v>69</v>
      </c>
      <c r="G260" s="20"/>
      <c r="H260" s="20" t="s">
        <v>858</v>
      </c>
      <c r="I260" s="20">
        <v>115.32</v>
      </c>
      <c r="J260" s="20">
        <v>0</v>
      </c>
      <c r="K260" s="21">
        <v>25843.72</v>
      </c>
    </row>
    <row r="261" spans="1:11" x14ac:dyDescent="0.25">
      <c r="A261" s="20" t="s">
        <v>909</v>
      </c>
      <c r="B261" s="20" t="s">
        <v>910</v>
      </c>
      <c r="C261" s="20" t="s">
        <v>767</v>
      </c>
      <c r="D261" s="20" t="s">
        <v>845</v>
      </c>
      <c r="E261" s="20" t="s">
        <v>857</v>
      </c>
      <c r="F261" s="20">
        <v>78</v>
      </c>
      <c r="G261" s="20"/>
      <c r="H261" s="20" t="s">
        <v>858</v>
      </c>
      <c r="I261" s="20">
        <v>144.13999999999999</v>
      </c>
      <c r="J261" s="20">
        <v>0</v>
      </c>
      <c r="K261" s="21">
        <v>25987.86</v>
      </c>
    </row>
    <row r="262" spans="1:11" x14ac:dyDescent="0.25">
      <c r="A262" s="20" t="s">
        <v>909</v>
      </c>
      <c r="B262" s="20" t="s">
        <v>910</v>
      </c>
      <c r="C262" s="20" t="s">
        <v>767</v>
      </c>
      <c r="D262" s="20" t="s">
        <v>771</v>
      </c>
      <c r="E262" s="20" t="s">
        <v>878</v>
      </c>
      <c r="F262" s="20">
        <v>102</v>
      </c>
      <c r="G262" s="20"/>
      <c r="H262" s="20" t="s">
        <v>879</v>
      </c>
      <c r="I262" s="20">
        <v>24</v>
      </c>
      <c r="J262" s="20">
        <v>0</v>
      </c>
      <c r="K262" s="21">
        <v>21175.47</v>
      </c>
    </row>
    <row r="263" spans="1:11" x14ac:dyDescent="0.25">
      <c r="A263" s="20" t="s">
        <v>909</v>
      </c>
      <c r="B263" s="20" t="s">
        <v>910</v>
      </c>
      <c r="C263" s="20" t="s">
        <v>767</v>
      </c>
      <c r="D263" s="20" t="s">
        <v>771</v>
      </c>
      <c r="E263" s="20" t="s">
        <v>878</v>
      </c>
      <c r="F263" s="20">
        <v>103</v>
      </c>
      <c r="G263" s="20"/>
      <c r="H263" s="20" t="s">
        <v>879</v>
      </c>
      <c r="I263" s="20">
        <v>8.0399999999999991</v>
      </c>
      <c r="J263" s="20">
        <v>0</v>
      </c>
      <c r="K263" s="21">
        <v>21183.51</v>
      </c>
    </row>
    <row r="264" spans="1:11" x14ac:dyDescent="0.25">
      <c r="A264" s="20" t="s">
        <v>909</v>
      </c>
      <c r="B264" s="20" t="s">
        <v>910</v>
      </c>
      <c r="C264" s="20" t="s">
        <v>767</v>
      </c>
      <c r="D264" s="20" t="s">
        <v>856</v>
      </c>
      <c r="E264" s="20" t="s">
        <v>878</v>
      </c>
      <c r="F264" s="20">
        <v>107</v>
      </c>
      <c r="G264" s="20"/>
      <c r="H264" s="20" t="s">
        <v>879</v>
      </c>
      <c r="I264" s="20">
        <v>14.25</v>
      </c>
      <c r="J264" s="20">
        <v>0</v>
      </c>
      <c r="K264" s="21">
        <v>21197.759999999998</v>
      </c>
    </row>
    <row r="265" spans="1:11" x14ac:dyDescent="0.25">
      <c r="A265" s="20" t="s">
        <v>909</v>
      </c>
      <c r="B265" s="20" t="s">
        <v>910</v>
      </c>
      <c r="C265" s="20" t="s">
        <v>767</v>
      </c>
      <c r="D265" s="20" t="s">
        <v>856</v>
      </c>
      <c r="E265" s="20" t="s">
        <v>878</v>
      </c>
      <c r="F265" s="20">
        <v>109</v>
      </c>
      <c r="G265" s="20"/>
      <c r="H265" s="20" t="s">
        <v>879</v>
      </c>
      <c r="I265" s="20">
        <v>5.36</v>
      </c>
      <c r="J265" s="20">
        <v>0</v>
      </c>
      <c r="K265" s="21">
        <v>21203.119999999999</v>
      </c>
    </row>
    <row r="266" spans="1:11" x14ac:dyDescent="0.25">
      <c r="A266" s="20" t="s">
        <v>909</v>
      </c>
      <c r="B266" s="20" t="s">
        <v>910</v>
      </c>
      <c r="C266" s="20" t="s">
        <v>767</v>
      </c>
      <c r="D266" s="20" t="s">
        <v>852</v>
      </c>
      <c r="E266" s="20" t="s">
        <v>878</v>
      </c>
      <c r="F266" s="20">
        <v>111</v>
      </c>
      <c r="G266" s="20"/>
      <c r="H266" s="20" t="s">
        <v>879</v>
      </c>
      <c r="I266" s="20">
        <v>8.4</v>
      </c>
      <c r="J266" s="20">
        <v>0</v>
      </c>
      <c r="K266" s="21">
        <v>21211.52</v>
      </c>
    </row>
    <row r="267" spans="1:11" x14ac:dyDescent="0.25">
      <c r="A267" s="20" t="s">
        <v>909</v>
      </c>
      <c r="B267" s="20" t="s">
        <v>910</v>
      </c>
      <c r="C267" s="20" t="s">
        <v>767</v>
      </c>
      <c r="D267" s="20" t="s">
        <v>797</v>
      </c>
      <c r="E267" s="20" t="s">
        <v>878</v>
      </c>
      <c r="F267" s="20">
        <v>125</v>
      </c>
      <c r="G267" s="20"/>
      <c r="H267" s="20" t="s">
        <v>879</v>
      </c>
      <c r="I267" s="20">
        <v>26.85</v>
      </c>
      <c r="J267" s="20">
        <v>0</v>
      </c>
      <c r="K267" s="21">
        <v>21238.37</v>
      </c>
    </row>
    <row r="268" spans="1:11" x14ac:dyDescent="0.25">
      <c r="A268" s="20" t="s">
        <v>909</v>
      </c>
      <c r="B268" s="20" t="s">
        <v>910</v>
      </c>
      <c r="C268" s="20" t="s">
        <v>767</v>
      </c>
      <c r="D268" s="20" t="s">
        <v>800</v>
      </c>
      <c r="E268" s="20" t="s">
        <v>878</v>
      </c>
      <c r="F268" s="20">
        <v>134</v>
      </c>
      <c r="G268" s="20"/>
      <c r="H268" s="20" t="s">
        <v>879</v>
      </c>
      <c r="I268" s="20">
        <v>7.65</v>
      </c>
      <c r="J268" s="20">
        <v>0</v>
      </c>
      <c r="K268" s="21">
        <v>21246.02</v>
      </c>
    </row>
    <row r="269" spans="1:11" x14ac:dyDescent="0.25">
      <c r="A269" s="20" t="s">
        <v>909</v>
      </c>
      <c r="B269" s="20" t="s">
        <v>910</v>
      </c>
      <c r="C269" s="20" t="s">
        <v>767</v>
      </c>
      <c r="D269" s="20" t="s">
        <v>777</v>
      </c>
      <c r="E269" s="20" t="s">
        <v>878</v>
      </c>
      <c r="F269" s="20">
        <v>150</v>
      </c>
      <c r="G269" s="20"/>
      <c r="H269" s="20" t="s">
        <v>879</v>
      </c>
      <c r="I269" s="20">
        <v>10.5</v>
      </c>
      <c r="J269" s="20">
        <v>0</v>
      </c>
      <c r="K269" s="21">
        <v>21256.52</v>
      </c>
    </row>
    <row r="270" spans="1:11" x14ac:dyDescent="0.25">
      <c r="A270" s="20" t="s">
        <v>909</v>
      </c>
      <c r="B270" s="20" t="s">
        <v>910</v>
      </c>
      <c r="C270" s="20" t="s">
        <v>767</v>
      </c>
      <c r="D270" s="20" t="s">
        <v>777</v>
      </c>
      <c r="E270" s="20" t="s">
        <v>878</v>
      </c>
      <c r="F270" s="20">
        <v>152</v>
      </c>
      <c r="G270" s="20"/>
      <c r="H270" s="20" t="s">
        <v>879</v>
      </c>
      <c r="I270" s="20">
        <v>7.8</v>
      </c>
      <c r="J270" s="20">
        <v>0</v>
      </c>
      <c r="K270" s="21">
        <v>21264.32</v>
      </c>
    </row>
    <row r="271" spans="1:11" x14ac:dyDescent="0.25">
      <c r="A271" s="20" t="s">
        <v>909</v>
      </c>
      <c r="B271" s="20" t="s">
        <v>910</v>
      </c>
      <c r="C271" s="20" t="s">
        <v>767</v>
      </c>
      <c r="D271" s="20" t="s">
        <v>781</v>
      </c>
      <c r="E271" s="20" t="s">
        <v>878</v>
      </c>
      <c r="F271" s="20">
        <v>183</v>
      </c>
      <c r="G271" s="20"/>
      <c r="H271" s="20" t="s">
        <v>879</v>
      </c>
      <c r="I271" s="20">
        <v>3.9</v>
      </c>
      <c r="J271" s="20">
        <v>0</v>
      </c>
      <c r="K271" s="21">
        <v>21268.22</v>
      </c>
    </row>
    <row r="272" spans="1:11" x14ac:dyDescent="0.25">
      <c r="A272" s="20" t="s">
        <v>909</v>
      </c>
      <c r="B272" s="20" t="s">
        <v>910</v>
      </c>
      <c r="C272" s="20" t="s">
        <v>767</v>
      </c>
      <c r="D272" s="20" t="s">
        <v>781</v>
      </c>
      <c r="E272" s="20" t="s">
        <v>878</v>
      </c>
      <c r="F272" s="20">
        <v>185</v>
      </c>
      <c r="G272" s="20"/>
      <c r="H272" s="20" t="s">
        <v>879</v>
      </c>
      <c r="I272" s="20">
        <v>3.06</v>
      </c>
      <c r="J272" s="20">
        <v>0</v>
      </c>
      <c r="K272" s="21">
        <v>21271.279999999999</v>
      </c>
    </row>
    <row r="273" spans="1:11" x14ac:dyDescent="0.25">
      <c r="A273" s="20" t="s">
        <v>909</v>
      </c>
      <c r="B273" s="20" t="s">
        <v>910</v>
      </c>
      <c r="C273" s="20" t="s">
        <v>767</v>
      </c>
      <c r="D273" s="20" t="s">
        <v>880</v>
      </c>
      <c r="E273" s="20" t="s">
        <v>878</v>
      </c>
      <c r="F273" s="20">
        <v>191</v>
      </c>
      <c r="G273" s="20"/>
      <c r="H273" s="20" t="s">
        <v>879</v>
      </c>
      <c r="I273" s="20">
        <v>19.8</v>
      </c>
      <c r="J273" s="20">
        <v>0</v>
      </c>
      <c r="K273" s="21">
        <v>21291.08</v>
      </c>
    </row>
    <row r="274" spans="1:11" x14ac:dyDescent="0.25">
      <c r="A274" s="20" t="s">
        <v>909</v>
      </c>
      <c r="B274" s="20" t="s">
        <v>910</v>
      </c>
      <c r="C274" s="20" t="s">
        <v>767</v>
      </c>
      <c r="D274" s="20" t="s">
        <v>880</v>
      </c>
      <c r="E274" s="20" t="s">
        <v>878</v>
      </c>
      <c r="F274" s="20">
        <v>192</v>
      </c>
      <c r="G274" s="20"/>
      <c r="H274" s="20" t="s">
        <v>879</v>
      </c>
      <c r="I274" s="20">
        <v>8.0399999999999991</v>
      </c>
      <c r="J274" s="20">
        <v>0</v>
      </c>
      <c r="K274" s="21">
        <v>21299.119999999999</v>
      </c>
    </row>
    <row r="275" spans="1:11" x14ac:dyDescent="0.25">
      <c r="A275" s="20" t="s">
        <v>909</v>
      </c>
      <c r="B275" s="20" t="s">
        <v>910</v>
      </c>
      <c r="C275" s="20" t="s">
        <v>767</v>
      </c>
      <c r="D275" s="20" t="s">
        <v>785</v>
      </c>
      <c r="E275" s="20" t="s">
        <v>878</v>
      </c>
      <c r="F275" s="20">
        <v>226</v>
      </c>
      <c r="G275" s="20"/>
      <c r="H275" s="20" t="s">
        <v>879</v>
      </c>
      <c r="I275" s="20">
        <v>4.5</v>
      </c>
      <c r="J275" s="20">
        <v>0</v>
      </c>
      <c r="K275" s="21">
        <v>21303.62</v>
      </c>
    </row>
    <row r="276" spans="1:11" x14ac:dyDescent="0.25">
      <c r="A276" s="20" t="s">
        <v>909</v>
      </c>
      <c r="B276" s="20" t="s">
        <v>910</v>
      </c>
      <c r="C276" s="20" t="s">
        <v>767</v>
      </c>
      <c r="D276" s="20" t="s">
        <v>785</v>
      </c>
      <c r="E276" s="20" t="s">
        <v>878</v>
      </c>
      <c r="F276" s="20">
        <v>227</v>
      </c>
      <c r="G276" s="20"/>
      <c r="H276" s="20" t="s">
        <v>879</v>
      </c>
      <c r="I276" s="20">
        <v>5.36</v>
      </c>
      <c r="J276" s="20">
        <v>0</v>
      </c>
      <c r="K276" s="21">
        <v>21308.98</v>
      </c>
    </row>
    <row r="277" spans="1:11" x14ac:dyDescent="0.25">
      <c r="A277" s="20" t="s">
        <v>909</v>
      </c>
      <c r="B277" s="20" t="s">
        <v>910</v>
      </c>
      <c r="C277" s="20" t="s">
        <v>767</v>
      </c>
      <c r="D277" s="20" t="s">
        <v>811</v>
      </c>
      <c r="E277" s="20" t="s">
        <v>878</v>
      </c>
      <c r="F277" s="20">
        <v>235</v>
      </c>
      <c r="G277" s="20"/>
      <c r="H277" s="20" t="s">
        <v>879</v>
      </c>
      <c r="I277" s="20">
        <v>6.75</v>
      </c>
      <c r="J277" s="20">
        <v>0</v>
      </c>
      <c r="K277" s="21">
        <v>21315.73</v>
      </c>
    </row>
    <row r="278" spans="1:11" x14ac:dyDescent="0.25">
      <c r="A278" s="20" t="s">
        <v>909</v>
      </c>
      <c r="B278" s="20" t="s">
        <v>910</v>
      </c>
      <c r="C278" s="20" t="s">
        <v>767</v>
      </c>
      <c r="D278" s="20" t="s">
        <v>811</v>
      </c>
      <c r="E278" s="20" t="s">
        <v>878</v>
      </c>
      <c r="F278" s="20">
        <v>236</v>
      </c>
      <c r="G278" s="20"/>
      <c r="H278" s="20" t="s">
        <v>879</v>
      </c>
      <c r="I278" s="20">
        <v>16.8</v>
      </c>
      <c r="J278" s="20">
        <v>0</v>
      </c>
      <c r="K278" s="21">
        <v>21332.53</v>
      </c>
    </row>
    <row r="279" spans="1:11" x14ac:dyDescent="0.25">
      <c r="A279" s="20" t="s">
        <v>909</v>
      </c>
      <c r="B279" s="20" t="s">
        <v>910</v>
      </c>
      <c r="C279" s="20" t="s">
        <v>767</v>
      </c>
      <c r="D279" s="20" t="s">
        <v>811</v>
      </c>
      <c r="E279" s="20" t="s">
        <v>878</v>
      </c>
      <c r="F279" s="20">
        <v>237</v>
      </c>
      <c r="G279" s="20"/>
      <c r="H279" s="20" t="s">
        <v>879</v>
      </c>
      <c r="I279" s="20">
        <v>5.36</v>
      </c>
      <c r="J279" s="20">
        <v>0</v>
      </c>
      <c r="K279" s="21">
        <v>21337.89</v>
      </c>
    </row>
    <row r="280" spans="1:11" x14ac:dyDescent="0.25">
      <c r="A280" s="20" t="s">
        <v>909</v>
      </c>
      <c r="B280" s="20" t="s">
        <v>910</v>
      </c>
      <c r="C280" s="20" t="s">
        <v>767</v>
      </c>
      <c r="D280" s="20" t="s">
        <v>768</v>
      </c>
      <c r="E280" s="20" t="s">
        <v>878</v>
      </c>
      <c r="F280" s="20">
        <v>266</v>
      </c>
      <c r="G280" s="20"/>
      <c r="H280" s="20" t="s">
        <v>879</v>
      </c>
      <c r="I280" s="20">
        <v>21.6</v>
      </c>
      <c r="J280" s="20">
        <v>0</v>
      </c>
      <c r="K280" s="21">
        <v>21359.49</v>
      </c>
    </row>
    <row r="281" spans="1:11" x14ac:dyDescent="0.25">
      <c r="A281" s="20" t="s">
        <v>909</v>
      </c>
      <c r="B281" s="20" t="s">
        <v>910</v>
      </c>
      <c r="C281" s="20" t="s">
        <v>767</v>
      </c>
      <c r="D281" s="20" t="s">
        <v>768</v>
      </c>
      <c r="E281" s="20" t="s">
        <v>878</v>
      </c>
      <c r="F281" s="20">
        <v>267</v>
      </c>
      <c r="G281" s="20"/>
      <c r="H281" s="20" t="s">
        <v>879</v>
      </c>
      <c r="I281" s="20">
        <v>10.72</v>
      </c>
      <c r="J281" s="20">
        <v>0</v>
      </c>
      <c r="K281" s="21">
        <v>21370.21</v>
      </c>
    </row>
    <row r="282" spans="1:11" x14ac:dyDescent="0.25">
      <c r="A282" s="20" t="s">
        <v>909</v>
      </c>
      <c r="B282" s="20" t="s">
        <v>910</v>
      </c>
      <c r="C282" s="20" t="s">
        <v>767</v>
      </c>
      <c r="D282" s="20" t="s">
        <v>817</v>
      </c>
      <c r="E282" s="20" t="s">
        <v>878</v>
      </c>
      <c r="F282" s="20">
        <v>283</v>
      </c>
      <c r="G282" s="20"/>
      <c r="H282" s="20" t="s">
        <v>879</v>
      </c>
      <c r="I282" s="20">
        <v>21.3</v>
      </c>
      <c r="J282" s="20">
        <v>0</v>
      </c>
      <c r="K282" s="21">
        <v>21391.51</v>
      </c>
    </row>
    <row r="283" spans="1:11" x14ac:dyDescent="0.25">
      <c r="A283" s="20" t="s">
        <v>909</v>
      </c>
      <c r="B283" s="20" t="s">
        <v>910</v>
      </c>
      <c r="C283" s="20" t="s">
        <v>767</v>
      </c>
      <c r="D283" s="20" t="s">
        <v>817</v>
      </c>
      <c r="E283" s="20" t="s">
        <v>878</v>
      </c>
      <c r="F283" s="20">
        <v>285</v>
      </c>
      <c r="G283" s="20"/>
      <c r="H283" s="20" t="s">
        <v>879</v>
      </c>
      <c r="I283" s="20">
        <v>2.68</v>
      </c>
      <c r="J283" s="20">
        <v>0</v>
      </c>
      <c r="K283" s="21">
        <v>21394.19</v>
      </c>
    </row>
    <row r="284" spans="1:11" x14ac:dyDescent="0.25">
      <c r="A284" s="20" t="s">
        <v>909</v>
      </c>
      <c r="B284" s="20" t="s">
        <v>910</v>
      </c>
      <c r="C284" s="20" t="s">
        <v>767</v>
      </c>
      <c r="D284" s="20" t="s">
        <v>788</v>
      </c>
      <c r="E284" s="20" t="s">
        <v>878</v>
      </c>
      <c r="F284" s="20">
        <v>298</v>
      </c>
      <c r="G284" s="20"/>
      <c r="H284" s="20" t="s">
        <v>879</v>
      </c>
      <c r="I284" s="20">
        <v>15</v>
      </c>
      <c r="J284" s="20">
        <v>0</v>
      </c>
      <c r="K284" s="21">
        <v>21409.19</v>
      </c>
    </row>
    <row r="285" spans="1:11" x14ac:dyDescent="0.25">
      <c r="A285" s="20" t="s">
        <v>909</v>
      </c>
      <c r="B285" s="20" t="s">
        <v>910</v>
      </c>
      <c r="C285" s="20" t="s">
        <v>767</v>
      </c>
      <c r="D285" s="20" t="s">
        <v>822</v>
      </c>
      <c r="E285" s="20" t="s">
        <v>878</v>
      </c>
      <c r="F285" s="20">
        <v>304</v>
      </c>
      <c r="G285" s="20"/>
      <c r="H285" s="20" t="s">
        <v>879</v>
      </c>
      <c r="I285" s="20">
        <v>3.3</v>
      </c>
      <c r="J285" s="20">
        <v>0</v>
      </c>
      <c r="K285" s="21">
        <v>21412.49</v>
      </c>
    </row>
    <row r="286" spans="1:11" x14ac:dyDescent="0.25">
      <c r="A286" s="20" t="s">
        <v>909</v>
      </c>
      <c r="B286" s="20" t="s">
        <v>910</v>
      </c>
      <c r="C286" s="20" t="s">
        <v>767</v>
      </c>
      <c r="D286" s="20" t="s">
        <v>881</v>
      </c>
      <c r="E286" s="20" t="s">
        <v>878</v>
      </c>
      <c r="F286" s="20">
        <v>336</v>
      </c>
      <c r="G286" s="20"/>
      <c r="H286" s="20" t="s">
        <v>879</v>
      </c>
      <c r="I286" s="20">
        <v>4.8</v>
      </c>
      <c r="J286" s="20">
        <v>0</v>
      </c>
      <c r="K286" s="21">
        <v>21417.29</v>
      </c>
    </row>
    <row r="287" spans="1:11" x14ac:dyDescent="0.25">
      <c r="A287" s="20" t="s">
        <v>909</v>
      </c>
      <c r="B287" s="20" t="s">
        <v>910</v>
      </c>
      <c r="C287" s="20" t="s">
        <v>767</v>
      </c>
      <c r="D287" s="20" t="s">
        <v>881</v>
      </c>
      <c r="E287" s="20" t="s">
        <v>878</v>
      </c>
      <c r="F287" s="20">
        <v>337</v>
      </c>
      <c r="G287" s="20"/>
      <c r="H287" s="20" t="s">
        <v>879</v>
      </c>
      <c r="I287" s="20">
        <v>8.0399999999999991</v>
      </c>
      <c r="J287" s="20">
        <v>0</v>
      </c>
      <c r="K287" s="21">
        <v>21425.33</v>
      </c>
    </row>
    <row r="288" spans="1:11" x14ac:dyDescent="0.25">
      <c r="A288" s="20" t="s">
        <v>909</v>
      </c>
      <c r="B288" s="20" t="s">
        <v>910</v>
      </c>
      <c r="C288" s="20" t="s">
        <v>767</v>
      </c>
      <c r="D288" s="20" t="s">
        <v>882</v>
      </c>
      <c r="E288" s="20" t="s">
        <v>878</v>
      </c>
      <c r="F288" s="20">
        <v>343</v>
      </c>
      <c r="G288" s="20"/>
      <c r="H288" s="20" t="s">
        <v>879</v>
      </c>
      <c r="I288" s="20">
        <v>12.15</v>
      </c>
      <c r="J288" s="20">
        <v>0</v>
      </c>
      <c r="K288" s="21">
        <v>21437.48</v>
      </c>
    </row>
    <row r="289" spans="1:11" x14ac:dyDescent="0.25">
      <c r="A289" s="20" t="s">
        <v>909</v>
      </c>
      <c r="B289" s="20" t="s">
        <v>910</v>
      </c>
      <c r="C289" s="20" t="s">
        <v>767</v>
      </c>
      <c r="D289" s="20" t="s">
        <v>882</v>
      </c>
      <c r="E289" s="20" t="s">
        <v>878</v>
      </c>
      <c r="F289" s="20">
        <v>344</v>
      </c>
      <c r="G289" s="20"/>
      <c r="H289" s="20" t="s">
        <v>879</v>
      </c>
      <c r="I289" s="20">
        <v>2.68</v>
      </c>
      <c r="J289" s="20">
        <v>0</v>
      </c>
      <c r="K289" s="21">
        <v>21440.16</v>
      </c>
    </row>
    <row r="290" spans="1:11" x14ac:dyDescent="0.25">
      <c r="A290" s="20" t="s">
        <v>909</v>
      </c>
      <c r="B290" s="20" t="s">
        <v>910</v>
      </c>
      <c r="C290" s="20" t="s">
        <v>767</v>
      </c>
      <c r="D290" s="20" t="s">
        <v>859</v>
      </c>
      <c r="E290" s="20" t="s">
        <v>878</v>
      </c>
      <c r="F290" s="20">
        <v>348</v>
      </c>
      <c r="G290" s="20"/>
      <c r="H290" s="20" t="s">
        <v>879</v>
      </c>
      <c r="I290" s="20">
        <v>3.75</v>
      </c>
      <c r="J290" s="20">
        <v>0</v>
      </c>
      <c r="K290" s="21">
        <v>21443.91</v>
      </c>
    </row>
    <row r="291" spans="1:11" x14ac:dyDescent="0.25">
      <c r="A291" s="20" t="s">
        <v>909</v>
      </c>
      <c r="B291" s="20" t="s">
        <v>910</v>
      </c>
      <c r="C291" s="20" t="s">
        <v>767</v>
      </c>
      <c r="D291" s="20" t="s">
        <v>859</v>
      </c>
      <c r="E291" s="20" t="s">
        <v>878</v>
      </c>
      <c r="F291" s="20">
        <v>349</v>
      </c>
      <c r="G291" s="20"/>
      <c r="H291" s="20" t="s">
        <v>879</v>
      </c>
      <c r="I291" s="20">
        <v>20.7</v>
      </c>
      <c r="J291" s="20">
        <v>0</v>
      </c>
      <c r="K291" s="21">
        <v>21464.61</v>
      </c>
    </row>
    <row r="292" spans="1:11" x14ac:dyDescent="0.25">
      <c r="A292" s="20" t="s">
        <v>909</v>
      </c>
      <c r="B292" s="20" t="s">
        <v>910</v>
      </c>
      <c r="C292" s="20" t="s">
        <v>767</v>
      </c>
      <c r="D292" s="20" t="s">
        <v>859</v>
      </c>
      <c r="E292" s="20" t="s">
        <v>878</v>
      </c>
      <c r="F292" s="20">
        <v>351</v>
      </c>
      <c r="G292" s="20"/>
      <c r="H292" s="20" t="s">
        <v>879</v>
      </c>
      <c r="I292" s="20">
        <v>2.68</v>
      </c>
      <c r="J292" s="20">
        <v>0</v>
      </c>
      <c r="K292" s="21">
        <v>21467.29</v>
      </c>
    </row>
    <row r="293" spans="1:11" x14ac:dyDescent="0.25">
      <c r="A293" s="20" t="s">
        <v>909</v>
      </c>
      <c r="B293" s="20" t="s">
        <v>910</v>
      </c>
      <c r="C293" s="20" t="s">
        <v>767</v>
      </c>
      <c r="D293" s="20" t="s">
        <v>824</v>
      </c>
      <c r="E293" s="20" t="s">
        <v>878</v>
      </c>
      <c r="F293" s="20">
        <v>387</v>
      </c>
      <c r="G293" s="20"/>
      <c r="H293" s="20" t="s">
        <v>879</v>
      </c>
      <c r="I293" s="20">
        <v>11.7</v>
      </c>
      <c r="J293" s="20">
        <v>0</v>
      </c>
      <c r="K293" s="21">
        <v>21478.99</v>
      </c>
    </row>
    <row r="294" spans="1:11" x14ac:dyDescent="0.25">
      <c r="A294" s="20" t="s">
        <v>909</v>
      </c>
      <c r="B294" s="20" t="s">
        <v>910</v>
      </c>
      <c r="C294" s="20" t="s">
        <v>767</v>
      </c>
      <c r="D294" s="20" t="s">
        <v>824</v>
      </c>
      <c r="E294" s="20" t="s">
        <v>878</v>
      </c>
      <c r="F294" s="20">
        <v>388</v>
      </c>
      <c r="G294" s="20"/>
      <c r="H294" s="20" t="s">
        <v>879</v>
      </c>
      <c r="I294" s="20">
        <v>9</v>
      </c>
      <c r="J294" s="20">
        <v>0</v>
      </c>
      <c r="K294" s="21">
        <v>21487.99</v>
      </c>
    </row>
    <row r="295" spans="1:11" x14ac:dyDescent="0.25">
      <c r="A295" s="20" t="s">
        <v>909</v>
      </c>
      <c r="B295" s="20" t="s">
        <v>910</v>
      </c>
      <c r="C295" s="20" t="s">
        <v>767</v>
      </c>
      <c r="D295" s="20" t="s">
        <v>829</v>
      </c>
      <c r="E295" s="20" t="s">
        <v>878</v>
      </c>
      <c r="F295" s="20">
        <v>394</v>
      </c>
      <c r="G295" s="20"/>
      <c r="H295" s="20" t="s">
        <v>879</v>
      </c>
      <c r="I295" s="20">
        <v>15.45</v>
      </c>
      <c r="J295" s="20">
        <v>0</v>
      </c>
      <c r="K295" s="21">
        <v>21503.439999999999</v>
      </c>
    </row>
    <row r="296" spans="1:11" x14ac:dyDescent="0.25">
      <c r="A296" s="20" t="s">
        <v>909</v>
      </c>
      <c r="B296" s="20" t="s">
        <v>910</v>
      </c>
      <c r="C296" s="20" t="s">
        <v>767</v>
      </c>
      <c r="D296" s="20" t="s">
        <v>793</v>
      </c>
      <c r="E296" s="20" t="s">
        <v>878</v>
      </c>
      <c r="F296" s="20">
        <v>399</v>
      </c>
      <c r="G296" s="20"/>
      <c r="H296" s="20" t="s">
        <v>879</v>
      </c>
      <c r="I296" s="20">
        <v>1.5</v>
      </c>
      <c r="J296" s="20">
        <v>0</v>
      </c>
      <c r="K296" s="21">
        <v>21504.94</v>
      </c>
    </row>
    <row r="297" spans="1:11" x14ac:dyDescent="0.25">
      <c r="A297" s="20" t="s">
        <v>909</v>
      </c>
      <c r="B297" s="20" t="s">
        <v>910</v>
      </c>
      <c r="C297" s="20" t="s">
        <v>767</v>
      </c>
      <c r="D297" s="20" t="s">
        <v>795</v>
      </c>
      <c r="E297" s="20" t="s">
        <v>878</v>
      </c>
      <c r="F297" s="20">
        <v>57</v>
      </c>
      <c r="G297" s="20"/>
      <c r="H297" s="20" t="s">
        <v>879</v>
      </c>
      <c r="I297" s="20">
        <v>3.45</v>
      </c>
      <c r="J297" s="20">
        <v>0</v>
      </c>
      <c r="K297" s="21">
        <v>21508.39</v>
      </c>
    </row>
    <row r="298" spans="1:11" x14ac:dyDescent="0.25">
      <c r="A298" s="20" t="s">
        <v>909</v>
      </c>
      <c r="B298" s="20" t="s">
        <v>910</v>
      </c>
      <c r="C298" s="20" t="s">
        <v>767</v>
      </c>
      <c r="D298" s="20" t="s">
        <v>795</v>
      </c>
      <c r="E298" s="20" t="s">
        <v>878</v>
      </c>
      <c r="F298" s="20">
        <v>59</v>
      </c>
      <c r="G298" s="20"/>
      <c r="H298" s="20" t="s">
        <v>879</v>
      </c>
      <c r="I298" s="20">
        <v>16.13</v>
      </c>
      <c r="J298" s="20">
        <v>0</v>
      </c>
      <c r="K298" s="21">
        <v>21524.52</v>
      </c>
    </row>
    <row r="299" spans="1:11" x14ac:dyDescent="0.25">
      <c r="A299" s="20" t="s">
        <v>909</v>
      </c>
      <c r="B299" s="20" t="s">
        <v>910</v>
      </c>
      <c r="C299" s="20" t="s">
        <v>767</v>
      </c>
      <c r="D299" s="20" t="s">
        <v>795</v>
      </c>
      <c r="E299" s="20" t="s">
        <v>878</v>
      </c>
      <c r="F299" s="20">
        <v>60</v>
      </c>
      <c r="G299" s="20"/>
      <c r="H299" s="20" t="s">
        <v>879</v>
      </c>
      <c r="I299" s="20">
        <v>8.0399999999999991</v>
      </c>
      <c r="J299" s="20">
        <v>0</v>
      </c>
      <c r="K299" s="21">
        <v>21532.560000000001</v>
      </c>
    </row>
    <row r="300" spans="1:11" x14ac:dyDescent="0.25">
      <c r="A300" s="20" t="s">
        <v>909</v>
      </c>
      <c r="B300" s="20" t="s">
        <v>910</v>
      </c>
      <c r="C300" s="20" t="s">
        <v>767</v>
      </c>
      <c r="D300" s="20" t="s">
        <v>841</v>
      </c>
      <c r="E300" s="20" t="s">
        <v>878</v>
      </c>
      <c r="F300" s="20">
        <v>67</v>
      </c>
      <c r="G300" s="20"/>
      <c r="H300" s="20" t="s">
        <v>879</v>
      </c>
      <c r="I300" s="20">
        <v>3.91</v>
      </c>
      <c r="J300" s="20">
        <v>0</v>
      </c>
      <c r="K300" s="21">
        <v>21536.47</v>
      </c>
    </row>
    <row r="301" spans="1:11" x14ac:dyDescent="0.25">
      <c r="A301" s="20" t="s">
        <v>909</v>
      </c>
      <c r="B301" s="20" t="s">
        <v>910</v>
      </c>
      <c r="C301" s="20" t="s">
        <v>767</v>
      </c>
      <c r="D301" s="20" t="s">
        <v>841</v>
      </c>
      <c r="E301" s="20" t="s">
        <v>878</v>
      </c>
      <c r="F301" s="20">
        <v>68</v>
      </c>
      <c r="G301" s="20"/>
      <c r="H301" s="20" t="s">
        <v>879</v>
      </c>
      <c r="I301" s="20">
        <v>25.8</v>
      </c>
      <c r="J301" s="20">
        <v>0</v>
      </c>
      <c r="K301" s="21">
        <v>21562.27</v>
      </c>
    </row>
    <row r="302" spans="1:11" x14ac:dyDescent="0.25">
      <c r="A302" s="20" t="s">
        <v>909</v>
      </c>
      <c r="B302" s="20" t="s">
        <v>910</v>
      </c>
      <c r="C302" s="20" t="s">
        <v>767</v>
      </c>
      <c r="D302" s="20" t="s">
        <v>841</v>
      </c>
      <c r="E302" s="20" t="s">
        <v>878</v>
      </c>
      <c r="F302" s="20">
        <v>70</v>
      </c>
      <c r="G302" s="20"/>
      <c r="H302" s="20" t="s">
        <v>879</v>
      </c>
      <c r="I302" s="20">
        <v>2.68</v>
      </c>
      <c r="J302" s="20">
        <v>0</v>
      </c>
      <c r="K302" s="21">
        <v>21564.95</v>
      </c>
    </row>
    <row r="303" spans="1:11" x14ac:dyDescent="0.25">
      <c r="A303" s="20" t="s">
        <v>909</v>
      </c>
      <c r="B303" s="20" t="s">
        <v>910</v>
      </c>
      <c r="C303" s="20" t="s">
        <v>767</v>
      </c>
      <c r="D303" s="20" t="s">
        <v>845</v>
      </c>
      <c r="E303" s="20" t="s">
        <v>878</v>
      </c>
      <c r="F303" s="20">
        <v>77</v>
      </c>
      <c r="G303" s="20"/>
      <c r="H303" s="20" t="s">
        <v>879</v>
      </c>
      <c r="I303" s="20">
        <v>12.6</v>
      </c>
      <c r="J303" s="20">
        <v>0</v>
      </c>
      <c r="K303" s="21">
        <v>21577.55</v>
      </c>
    </row>
    <row r="304" spans="1:11" x14ac:dyDescent="0.25">
      <c r="A304" s="20" t="s">
        <v>909</v>
      </c>
      <c r="B304" s="20" t="s">
        <v>910</v>
      </c>
      <c r="C304" s="20" t="s">
        <v>767</v>
      </c>
      <c r="D304" s="20" t="s">
        <v>845</v>
      </c>
      <c r="E304" s="20" t="s">
        <v>878</v>
      </c>
      <c r="F304" s="20">
        <v>79</v>
      </c>
      <c r="G304" s="20"/>
      <c r="H304" s="20" t="s">
        <v>879</v>
      </c>
      <c r="I304" s="20">
        <v>11.17</v>
      </c>
      <c r="J304" s="20">
        <v>0</v>
      </c>
      <c r="K304" s="21">
        <v>21588.720000000001</v>
      </c>
    </row>
    <row r="305" spans="1:11" x14ac:dyDescent="0.25">
      <c r="I305">
        <f>SUM(I2:I304)</f>
        <v>26434.410000000007</v>
      </c>
      <c r="J305">
        <f>SUM(J2:J304)</f>
        <v>9.3000000000000007</v>
      </c>
    </row>
    <row r="306" spans="1:11" x14ac:dyDescent="0.25">
      <c r="K306" s="4">
        <f>+I305-J305</f>
        <v>26425.110000000008</v>
      </c>
    </row>
    <row r="316" spans="1:11" x14ac:dyDescent="0.25">
      <c r="A316" t="s">
        <v>909</v>
      </c>
      <c r="B316" t="s">
        <v>910</v>
      </c>
      <c r="C316" t="s">
        <v>767</v>
      </c>
      <c r="D316" t="s">
        <v>795</v>
      </c>
      <c r="E316" t="s">
        <v>1069</v>
      </c>
      <c r="F316">
        <v>414</v>
      </c>
      <c r="H316" t="s">
        <v>1070</v>
      </c>
      <c r="I316">
        <v>0</v>
      </c>
      <c r="J316">
        <v>35.25</v>
      </c>
      <c r="K316" s="2">
        <v>25952.61</v>
      </c>
    </row>
    <row r="317" spans="1:11" x14ac:dyDescent="0.25">
      <c r="A317" t="s">
        <v>909</v>
      </c>
      <c r="B317" t="s">
        <v>910</v>
      </c>
      <c r="C317" t="s">
        <v>767</v>
      </c>
      <c r="D317" t="s">
        <v>841</v>
      </c>
      <c r="E317" t="s">
        <v>1069</v>
      </c>
      <c r="F317">
        <v>415</v>
      </c>
      <c r="H317" t="s">
        <v>1070</v>
      </c>
      <c r="I317">
        <v>0</v>
      </c>
      <c r="J317">
        <v>714.03</v>
      </c>
      <c r="K317" s="2">
        <v>25238.58</v>
      </c>
    </row>
    <row r="318" spans="1:11" x14ac:dyDescent="0.25">
      <c r="A318" t="s">
        <v>909</v>
      </c>
      <c r="B318" t="s">
        <v>910</v>
      </c>
      <c r="C318" t="s">
        <v>767</v>
      </c>
      <c r="D318" t="s">
        <v>845</v>
      </c>
      <c r="E318" t="s">
        <v>1069</v>
      </c>
      <c r="F318">
        <v>416</v>
      </c>
      <c r="H318" t="s">
        <v>1070</v>
      </c>
      <c r="I318">
        <v>0</v>
      </c>
      <c r="J318">
        <v>110.79</v>
      </c>
      <c r="K318" s="2">
        <v>25127.79</v>
      </c>
    </row>
    <row r="319" spans="1:11" x14ac:dyDescent="0.25">
      <c r="A319" t="s">
        <v>909</v>
      </c>
      <c r="B319" t="s">
        <v>910</v>
      </c>
      <c r="C319" t="s">
        <v>767</v>
      </c>
      <c r="D319" t="s">
        <v>856</v>
      </c>
      <c r="E319" t="s">
        <v>1069</v>
      </c>
      <c r="F319">
        <v>417</v>
      </c>
      <c r="H319" t="s">
        <v>1070</v>
      </c>
      <c r="I319">
        <v>0</v>
      </c>
      <c r="J319">
        <v>38.26</v>
      </c>
      <c r="K319" s="2">
        <v>25089.53</v>
      </c>
    </row>
    <row r="320" spans="1:11" x14ac:dyDescent="0.25">
      <c r="A320" t="s">
        <v>909</v>
      </c>
      <c r="B320" t="s">
        <v>910</v>
      </c>
      <c r="C320" t="s">
        <v>767</v>
      </c>
      <c r="D320" t="s">
        <v>852</v>
      </c>
      <c r="E320" t="s">
        <v>1069</v>
      </c>
      <c r="F320">
        <v>418</v>
      </c>
      <c r="H320" t="s">
        <v>1070</v>
      </c>
      <c r="I320">
        <v>0</v>
      </c>
      <c r="J320">
        <v>23.24</v>
      </c>
      <c r="K320" s="2">
        <v>25066.29</v>
      </c>
    </row>
    <row r="321" spans="1:11" x14ac:dyDescent="0.25">
      <c r="A321" t="s">
        <v>909</v>
      </c>
      <c r="B321" t="s">
        <v>910</v>
      </c>
      <c r="C321" t="s">
        <v>767</v>
      </c>
      <c r="D321" t="s">
        <v>797</v>
      </c>
      <c r="E321" t="s">
        <v>1069</v>
      </c>
      <c r="F321">
        <v>419</v>
      </c>
      <c r="H321" t="s">
        <v>1070</v>
      </c>
      <c r="I321">
        <v>0</v>
      </c>
      <c r="J321">
        <v>29.12</v>
      </c>
      <c r="K321" s="2">
        <v>25037.17</v>
      </c>
    </row>
    <row r="322" spans="1:11" x14ac:dyDescent="0.25">
      <c r="A322" t="s">
        <v>909</v>
      </c>
      <c r="B322" t="s">
        <v>910</v>
      </c>
      <c r="C322" t="s">
        <v>767</v>
      </c>
      <c r="D322" t="s">
        <v>800</v>
      </c>
      <c r="E322" t="s">
        <v>1069</v>
      </c>
      <c r="F322">
        <v>420</v>
      </c>
      <c r="H322" t="s">
        <v>1070</v>
      </c>
      <c r="I322">
        <v>0</v>
      </c>
      <c r="J322">
        <v>6.16</v>
      </c>
      <c r="K322" s="2">
        <v>25031.01</v>
      </c>
    </row>
    <row r="323" spans="1:11" x14ac:dyDescent="0.25">
      <c r="A323" t="s">
        <v>909</v>
      </c>
      <c r="B323" t="s">
        <v>910</v>
      </c>
      <c r="C323" t="s">
        <v>767</v>
      </c>
      <c r="D323" t="s">
        <v>777</v>
      </c>
      <c r="E323" t="s">
        <v>1069</v>
      </c>
      <c r="F323">
        <v>421</v>
      </c>
      <c r="H323" t="s">
        <v>1070</v>
      </c>
      <c r="I323">
        <v>0</v>
      </c>
      <c r="J323">
        <v>14.98</v>
      </c>
      <c r="K323" s="2">
        <v>25016.03</v>
      </c>
    </row>
    <row r="324" spans="1:11" x14ac:dyDescent="0.25">
      <c r="A324" t="s">
        <v>909</v>
      </c>
      <c r="B324" t="s">
        <v>910</v>
      </c>
      <c r="C324" t="s">
        <v>767</v>
      </c>
      <c r="D324" t="s">
        <v>781</v>
      </c>
      <c r="E324" t="s">
        <v>1069</v>
      </c>
      <c r="F324">
        <v>422</v>
      </c>
      <c r="H324" t="s">
        <v>1070</v>
      </c>
      <c r="I324">
        <v>49.95</v>
      </c>
      <c r="J324">
        <v>0</v>
      </c>
      <c r="K324" s="2">
        <v>25065.98</v>
      </c>
    </row>
    <row r="325" spans="1:11" x14ac:dyDescent="0.25">
      <c r="A325" t="s">
        <v>909</v>
      </c>
      <c r="B325" t="s">
        <v>910</v>
      </c>
      <c r="C325" t="s">
        <v>767</v>
      </c>
      <c r="D325" t="s">
        <v>880</v>
      </c>
      <c r="E325" t="s">
        <v>1069</v>
      </c>
      <c r="F325">
        <v>423</v>
      </c>
      <c r="H325" t="s">
        <v>1070</v>
      </c>
      <c r="I325">
        <v>0</v>
      </c>
      <c r="J325">
        <v>72.400000000000006</v>
      </c>
      <c r="K325" s="2">
        <v>24993.58</v>
      </c>
    </row>
    <row r="326" spans="1:11" x14ac:dyDescent="0.25">
      <c r="A326" t="s">
        <v>909</v>
      </c>
      <c r="B326" t="s">
        <v>910</v>
      </c>
      <c r="C326" t="s">
        <v>767</v>
      </c>
      <c r="D326" t="s">
        <v>869</v>
      </c>
      <c r="E326" t="s">
        <v>1069</v>
      </c>
      <c r="F326">
        <v>424</v>
      </c>
      <c r="H326" t="s">
        <v>1070</v>
      </c>
      <c r="I326">
        <v>0</v>
      </c>
      <c r="J326">
        <v>117.89</v>
      </c>
      <c r="K326" s="2">
        <v>24875.69</v>
      </c>
    </row>
    <row r="327" spans="1:11" x14ac:dyDescent="0.25">
      <c r="A327" t="s">
        <v>909</v>
      </c>
      <c r="B327" t="s">
        <v>910</v>
      </c>
      <c r="C327" t="s">
        <v>767</v>
      </c>
      <c r="D327" t="s">
        <v>785</v>
      </c>
      <c r="E327" t="s">
        <v>1069</v>
      </c>
      <c r="F327">
        <v>425</v>
      </c>
      <c r="H327" t="s">
        <v>1070</v>
      </c>
      <c r="I327">
        <v>0</v>
      </c>
      <c r="J327">
        <v>120.96</v>
      </c>
      <c r="K327" s="2">
        <v>24754.73</v>
      </c>
    </row>
    <row r="328" spans="1:11" x14ac:dyDescent="0.25">
      <c r="A328" t="s">
        <v>909</v>
      </c>
      <c r="B328" t="s">
        <v>910</v>
      </c>
      <c r="C328" t="s">
        <v>767</v>
      </c>
      <c r="D328" t="s">
        <v>811</v>
      </c>
      <c r="E328" t="s">
        <v>1069</v>
      </c>
      <c r="F328">
        <v>426</v>
      </c>
      <c r="H328" t="s">
        <v>1070</v>
      </c>
      <c r="I328">
        <v>0</v>
      </c>
      <c r="J328">
        <v>30.21</v>
      </c>
      <c r="K328" s="2">
        <v>24724.52</v>
      </c>
    </row>
    <row r="329" spans="1:11" x14ac:dyDescent="0.25">
      <c r="A329" t="s">
        <v>909</v>
      </c>
      <c r="B329" t="s">
        <v>910</v>
      </c>
      <c r="C329" t="s">
        <v>767</v>
      </c>
      <c r="D329" t="s">
        <v>768</v>
      </c>
      <c r="E329" t="s">
        <v>1069</v>
      </c>
      <c r="F329">
        <v>427</v>
      </c>
      <c r="H329" t="s">
        <v>1070</v>
      </c>
      <c r="I329">
        <v>0</v>
      </c>
      <c r="J329">
        <v>204.71</v>
      </c>
      <c r="K329" s="2">
        <v>24519.81</v>
      </c>
    </row>
    <row r="330" spans="1:11" x14ac:dyDescent="0.25">
      <c r="A330" t="s">
        <v>909</v>
      </c>
      <c r="B330" t="s">
        <v>910</v>
      </c>
      <c r="C330" t="s">
        <v>767</v>
      </c>
      <c r="D330" t="s">
        <v>817</v>
      </c>
      <c r="E330" t="s">
        <v>1069</v>
      </c>
      <c r="F330">
        <v>428</v>
      </c>
      <c r="H330" t="s">
        <v>1070</v>
      </c>
      <c r="I330">
        <v>0</v>
      </c>
      <c r="J330">
        <v>62.39</v>
      </c>
      <c r="K330" s="2">
        <v>24457.42</v>
      </c>
    </row>
    <row r="331" spans="1:11" x14ac:dyDescent="0.25">
      <c r="A331" t="s">
        <v>909</v>
      </c>
      <c r="B331" t="s">
        <v>910</v>
      </c>
      <c r="C331" t="s">
        <v>767</v>
      </c>
      <c r="D331" t="s">
        <v>788</v>
      </c>
      <c r="E331" t="s">
        <v>1069</v>
      </c>
      <c r="F331">
        <v>429</v>
      </c>
      <c r="H331" t="s">
        <v>1070</v>
      </c>
      <c r="I331">
        <v>0</v>
      </c>
      <c r="J331">
        <v>127.8</v>
      </c>
      <c r="K331" s="2">
        <v>24329.62</v>
      </c>
    </row>
    <row r="332" spans="1:11" x14ac:dyDescent="0.25">
      <c r="A332" t="s">
        <v>909</v>
      </c>
      <c r="B332" t="s">
        <v>910</v>
      </c>
      <c r="C332" t="s">
        <v>767</v>
      </c>
      <c r="D332" t="s">
        <v>822</v>
      </c>
      <c r="E332" t="s">
        <v>1069</v>
      </c>
      <c r="F332">
        <v>430</v>
      </c>
      <c r="H332" t="s">
        <v>1070</v>
      </c>
      <c r="I332">
        <v>0</v>
      </c>
      <c r="J332">
        <v>12.23</v>
      </c>
      <c r="K332" s="2">
        <v>24317.39</v>
      </c>
    </row>
    <row r="333" spans="1:11" x14ac:dyDescent="0.25">
      <c r="A333" t="s">
        <v>909</v>
      </c>
      <c r="B333" t="s">
        <v>910</v>
      </c>
      <c r="C333" t="s">
        <v>767</v>
      </c>
      <c r="D333" t="s">
        <v>881</v>
      </c>
      <c r="E333" t="s">
        <v>1069</v>
      </c>
      <c r="F333">
        <v>431</v>
      </c>
      <c r="H333" t="s">
        <v>1070</v>
      </c>
      <c r="I333">
        <v>0</v>
      </c>
      <c r="J333">
        <v>3.42</v>
      </c>
      <c r="K333" s="2">
        <v>24313.97</v>
      </c>
    </row>
    <row r="334" spans="1:11" x14ac:dyDescent="0.25">
      <c r="A334" t="s">
        <v>909</v>
      </c>
      <c r="B334" t="s">
        <v>910</v>
      </c>
      <c r="C334" t="s">
        <v>767</v>
      </c>
      <c r="D334" t="s">
        <v>882</v>
      </c>
      <c r="E334" t="s">
        <v>1069</v>
      </c>
      <c r="F334">
        <v>432</v>
      </c>
      <c r="H334" t="s">
        <v>1070</v>
      </c>
      <c r="I334">
        <v>0</v>
      </c>
      <c r="J334">
        <v>76.05</v>
      </c>
      <c r="K334" s="2">
        <v>24237.919999999998</v>
      </c>
    </row>
    <row r="335" spans="1:11" x14ac:dyDescent="0.25">
      <c r="A335" t="s">
        <v>909</v>
      </c>
      <c r="B335" t="s">
        <v>910</v>
      </c>
      <c r="C335" t="s">
        <v>767</v>
      </c>
      <c r="D335" t="s">
        <v>859</v>
      </c>
      <c r="E335" t="s">
        <v>1069</v>
      </c>
      <c r="F335">
        <v>433</v>
      </c>
      <c r="H335" t="s">
        <v>1070</v>
      </c>
      <c r="I335">
        <v>0</v>
      </c>
      <c r="J335">
        <v>29.46</v>
      </c>
      <c r="K335" s="2">
        <v>24208.46</v>
      </c>
    </row>
    <row r="336" spans="1:11" x14ac:dyDescent="0.25">
      <c r="A336" t="s">
        <v>909</v>
      </c>
      <c r="B336" t="s">
        <v>910</v>
      </c>
      <c r="C336" t="s">
        <v>767</v>
      </c>
      <c r="D336" t="s">
        <v>824</v>
      </c>
      <c r="E336" t="s">
        <v>1069</v>
      </c>
      <c r="F336">
        <v>434</v>
      </c>
      <c r="H336" t="s">
        <v>1070</v>
      </c>
      <c r="I336">
        <v>0</v>
      </c>
      <c r="J336">
        <v>572.04</v>
      </c>
      <c r="K336" s="2">
        <v>23636.42</v>
      </c>
    </row>
    <row r="337" spans="1:11" x14ac:dyDescent="0.25">
      <c r="A337" t="s">
        <v>909</v>
      </c>
      <c r="B337" t="s">
        <v>910</v>
      </c>
      <c r="C337" t="s">
        <v>767</v>
      </c>
      <c r="D337" t="s">
        <v>829</v>
      </c>
      <c r="E337" t="s">
        <v>1069</v>
      </c>
      <c r="F337">
        <v>435</v>
      </c>
      <c r="H337" t="s">
        <v>1070</v>
      </c>
      <c r="I337">
        <v>0</v>
      </c>
      <c r="J337">
        <v>428.81</v>
      </c>
      <c r="K337" s="2">
        <v>23207.61</v>
      </c>
    </row>
    <row r="338" spans="1:11" x14ac:dyDescent="0.25">
      <c r="A338" t="s">
        <v>909</v>
      </c>
      <c r="B338" t="s">
        <v>910</v>
      </c>
      <c r="C338" t="s">
        <v>767</v>
      </c>
      <c r="D338" t="s">
        <v>793</v>
      </c>
      <c r="E338" t="s">
        <v>1069</v>
      </c>
      <c r="F338">
        <v>436</v>
      </c>
      <c r="H338" t="s">
        <v>1070</v>
      </c>
      <c r="I338">
        <v>0</v>
      </c>
      <c r="J338">
        <v>18.32</v>
      </c>
      <c r="K338" s="2">
        <v>23189.29</v>
      </c>
    </row>
    <row r="339" spans="1:11" x14ac:dyDescent="0.25">
      <c r="A339" t="s">
        <v>909</v>
      </c>
      <c r="B339" t="s">
        <v>910</v>
      </c>
      <c r="C339" t="s">
        <v>767</v>
      </c>
      <c r="D339" t="s">
        <v>795</v>
      </c>
      <c r="E339" t="s">
        <v>1069</v>
      </c>
      <c r="F339">
        <v>437</v>
      </c>
      <c r="H339" t="s">
        <v>1071</v>
      </c>
      <c r="I339">
        <v>0</v>
      </c>
      <c r="J339">
        <v>267.47000000000003</v>
      </c>
      <c r="K339" s="2">
        <v>22921.82</v>
      </c>
    </row>
    <row r="340" spans="1:11" x14ac:dyDescent="0.25">
      <c r="A340" t="s">
        <v>909</v>
      </c>
      <c r="B340" t="s">
        <v>910</v>
      </c>
      <c r="C340" t="s">
        <v>767</v>
      </c>
      <c r="D340" t="s">
        <v>795</v>
      </c>
      <c r="E340" t="s">
        <v>1069</v>
      </c>
      <c r="F340">
        <v>437</v>
      </c>
      <c r="H340" t="s">
        <v>1072</v>
      </c>
      <c r="I340">
        <v>0</v>
      </c>
      <c r="J340">
        <v>105.58</v>
      </c>
      <c r="K340" s="2">
        <v>22816.240000000002</v>
      </c>
    </row>
    <row r="341" spans="1:11" x14ac:dyDescent="0.25">
      <c r="A341" t="s">
        <v>909</v>
      </c>
      <c r="B341" t="s">
        <v>910</v>
      </c>
      <c r="C341" t="s">
        <v>767</v>
      </c>
      <c r="D341" t="s">
        <v>841</v>
      </c>
      <c r="E341" t="s">
        <v>1069</v>
      </c>
      <c r="F341">
        <v>438</v>
      </c>
      <c r="H341" t="s">
        <v>1071</v>
      </c>
      <c r="I341">
        <v>0</v>
      </c>
      <c r="J341">
        <v>55.73</v>
      </c>
      <c r="K341" s="2">
        <v>22760.51</v>
      </c>
    </row>
    <row r="342" spans="1:11" x14ac:dyDescent="0.25">
      <c r="A342" t="s">
        <v>909</v>
      </c>
      <c r="B342" t="s">
        <v>910</v>
      </c>
      <c r="C342" t="s">
        <v>767</v>
      </c>
      <c r="D342" t="s">
        <v>841</v>
      </c>
      <c r="E342" t="s">
        <v>1069</v>
      </c>
      <c r="F342">
        <v>438</v>
      </c>
      <c r="H342" t="s">
        <v>1071</v>
      </c>
      <c r="I342">
        <v>12.68</v>
      </c>
      <c r="J342">
        <v>0</v>
      </c>
      <c r="K342" s="2">
        <v>22773.19</v>
      </c>
    </row>
    <row r="343" spans="1:11" x14ac:dyDescent="0.25">
      <c r="A343" t="s">
        <v>909</v>
      </c>
      <c r="B343" t="s">
        <v>910</v>
      </c>
      <c r="C343" t="s">
        <v>767</v>
      </c>
      <c r="D343" t="s">
        <v>845</v>
      </c>
      <c r="E343" t="s">
        <v>1069</v>
      </c>
      <c r="F343">
        <v>439</v>
      </c>
      <c r="H343" t="s">
        <v>1071</v>
      </c>
      <c r="I343">
        <v>0</v>
      </c>
      <c r="J343">
        <v>90.45</v>
      </c>
      <c r="K343" s="2">
        <v>22682.74</v>
      </c>
    </row>
    <row r="344" spans="1:11" x14ac:dyDescent="0.25">
      <c r="A344" t="s">
        <v>909</v>
      </c>
      <c r="B344" t="s">
        <v>910</v>
      </c>
      <c r="C344" t="s">
        <v>767</v>
      </c>
      <c r="D344" t="s">
        <v>845</v>
      </c>
      <c r="E344" t="s">
        <v>1069</v>
      </c>
      <c r="F344">
        <v>439</v>
      </c>
      <c r="H344" t="s">
        <v>1072</v>
      </c>
      <c r="I344">
        <v>0</v>
      </c>
      <c r="J344">
        <v>1.24</v>
      </c>
      <c r="K344" s="2">
        <v>22681.5</v>
      </c>
    </row>
    <row r="345" spans="1:11" x14ac:dyDescent="0.25">
      <c r="A345" t="s">
        <v>909</v>
      </c>
      <c r="B345" t="s">
        <v>910</v>
      </c>
      <c r="C345" t="s">
        <v>767</v>
      </c>
      <c r="D345" t="s">
        <v>771</v>
      </c>
      <c r="E345" t="s">
        <v>1069</v>
      </c>
      <c r="F345">
        <v>440</v>
      </c>
      <c r="H345" t="s">
        <v>1071</v>
      </c>
      <c r="I345">
        <v>0</v>
      </c>
      <c r="J345">
        <v>38.729999999999997</v>
      </c>
      <c r="K345" s="2">
        <v>22642.77</v>
      </c>
    </row>
    <row r="346" spans="1:11" x14ac:dyDescent="0.25">
      <c r="A346" t="s">
        <v>909</v>
      </c>
      <c r="B346" t="s">
        <v>910</v>
      </c>
      <c r="C346" t="s">
        <v>767</v>
      </c>
      <c r="D346" t="s">
        <v>856</v>
      </c>
      <c r="E346" t="s">
        <v>1069</v>
      </c>
      <c r="F346">
        <v>441</v>
      </c>
      <c r="H346" t="s">
        <v>1071</v>
      </c>
      <c r="I346">
        <v>0</v>
      </c>
      <c r="J346">
        <v>169.56</v>
      </c>
      <c r="K346" s="2">
        <v>22473.21</v>
      </c>
    </row>
    <row r="347" spans="1:11" x14ac:dyDescent="0.25">
      <c r="A347" t="s">
        <v>909</v>
      </c>
      <c r="B347" t="s">
        <v>910</v>
      </c>
      <c r="C347" t="s">
        <v>767</v>
      </c>
      <c r="D347" t="s">
        <v>852</v>
      </c>
      <c r="E347" t="s">
        <v>1069</v>
      </c>
      <c r="F347">
        <v>442</v>
      </c>
      <c r="H347" t="s">
        <v>1071</v>
      </c>
      <c r="I347">
        <v>0</v>
      </c>
      <c r="J347">
        <v>38.630000000000003</v>
      </c>
      <c r="K347" s="2">
        <v>22434.58</v>
      </c>
    </row>
    <row r="348" spans="1:11" x14ac:dyDescent="0.25">
      <c r="A348" t="s">
        <v>909</v>
      </c>
      <c r="B348" t="s">
        <v>910</v>
      </c>
      <c r="C348" t="s">
        <v>767</v>
      </c>
      <c r="D348" t="s">
        <v>797</v>
      </c>
      <c r="E348" t="s">
        <v>1069</v>
      </c>
      <c r="F348">
        <v>443</v>
      </c>
      <c r="H348" t="s">
        <v>1071</v>
      </c>
      <c r="I348">
        <v>0</v>
      </c>
      <c r="J348">
        <v>126.27</v>
      </c>
      <c r="K348" s="2">
        <v>22308.31</v>
      </c>
    </row>
    <row r="349" spans="1:11" x14ac:dyDescent="0.25">
      <c r="A349" t="s">
        <v>909</v>
      </c>
      <c r="B349" t="s">
        <v>910</v>
      </c>
      <c r="C349" t="s">
        <v>767</v>
      </c>
      <c r="D349" t="s">
        <v>777</v>
      </c>
      <c r="E349" t="s">
        <v>1069</v>
      </c>
      <c r="F349">
        <v>444</v>
      </c>
      <c r="H349" t="s">
        <v>1072</v>
      </c>
      <c r="I349">
        <v>0</v>
      </c>
      <c r="J349">
        <v>18.420000000000002</v>
      </c>
      <c r="K349" s="2">
        <v>22289.89</v>
      </c>
    </row>
    <row r="350" spans="1:11" x14ac:dyDescent="0.25">
      <c r="A350" t="s">
        <v>909</v>
      </c>
      <c r="B350" t="s">
        <v>910</v>
      </c>
      <c r="C350" t="s">
        <v>767</v>
      </c>
      <c r="D350" t="s">
        <v>781</v>
      </c>
      <c r="E350" t="s">
        <v>1069</v>
      </c>
      <c r="F350">
        <v>445</v>
      </c>
      <c r="H350" t="s">
        <v>1071</v>
      </c>
      <c r="I350">
        <v>0</v>
      </c>
      <c r="J350">
        <v>13.92</v>
      </c>
      <c r="K350" s="2">
        <v>22275.97</v>
      </c>
    </row>
    <row r="351" spans="1:11" x14ac:dyDescent="0.25">
      <c r="A351" t="s">
        <v>909</v>
      </c>
      <c r="B351" t="s">
        <v>910</v>
      </c>
      <c r="C351" t="s">
        <v>767</v>
      </c>
      <c r="D351" t="s">
        <v>781</v>
      </c>
      <c r="E351" t="s">
        <v>1069</v>
      </c>
      <c r="F351">
        <v>445</v>
      </c>
      <c r="H351" t="s">
        <v>1072</v>
      </c>
      <c r="I351">
        <v>0</v>
      </c>
      <c r="J351">
        <v>33.68</v>
      </c>
      <c r="K351" s="2">
        <v>22242.29</v>
      </c>
    </row>
    <row r="352" spans="1:11" x14ac:dyDescent="0.25">
      <c r="A352" t="s">
        <v>909</v>
      </c>
      <c r="B352" t="s">
        <v>910</v>
      </c>
      <c r="C352" t="s">
        <v>767</v>
      </c>
      <c r="D352" t="s">
        <v>880</v>
      </c>
      <c r="E352" t="s">
        <v>1069</v>
      </c>
      <c r="F352">
        <v>446</v>
      </c>
      <c r="H352" t="s">
        <v>1071</v>
      </c>
      <c r="I352">
        <v>0</v>
      </c>
      <c r="J352">
        <v>11.34</v>
      </c>
      <c r="K352" s="2">
        <v>22230.95</v>
      </c>
    </row>
    <row r="353" spans="1:11" x14ac:dyDescent="0.25">
      <c r="A353" t="s">
        <v>909</v>
      </c>
      <c r="B353" t="s">
        <v>910</v>
      </c>
      <c r="C353" t="s">
        <v>767</v>
      </c>
      <c r="D353" t="s">
        <v>869</v>
      </c>
      <c r="E353" t="s">
        <v>1069</v>
      </c>
      <c r="F353">
        <v>447</v>
      </c>
      <c r="H353" t="s">
        <v>1071</v>
      </c>
      <c r="I353">
        <v>0</v>
      </c>
      <c r="J353">
        <v>4.8</v>
      </c>
      <c r="K353" s="2">
        <v>22226.15</v>
      </c>
    </row>
    <row r="354" spans="1:11" x14ac:dyDescent="0.25">
      <c r="A354" t="s">
        <v>909</v>
      </c>
      <c r="B354" t="s">
        <v>910</v>
      </c>
      <c r="C354" t="s">
        <v>767</v>
      </c>
      <c r="D354" t="s">
        <v>785</v>
      </c>
      <c r="E354" t="s">
        <v>1069</v>
      </c>
      <c r="F354">
        <v>448</v>
      </c>
      <c r="H354" t="s">
        <v>1071</v>
      </c>
      <c r="I354">
        <v>0</v>
      </c>
      <c r="J354">
        <v>17.12</v>
      </c>
      <c r="K354" s="2">
        <v>22209.03</v>
      </c>
    </row>
    <row r="355" spans="1:11" x14ac:dyDescent="0.25">
      <c r="A355" t="s">
        <v>909</v>
      </c>
      <c r="B355" t="s">
        <v>910</v>
      </c>
      <c r="C355" t="s">
        <v>767</v>
      </c>
      <c r="D355" t="s">
        <v>785</v>
      </c>
      <c r="E355" t="s">
        <v>1069</v>
      </c>
      <c r="F355">
        <v>448</v>
      </c>
      <c r="H355" t="s">
        <v>1072</v>
      </c>
      <c r="I355">
        <v>0</v>
      </c>
      <c r="J355">
        <v>7.83</v>
      </c>
      <c r="K355" s="2">
        <v>22201.200000000001</v>
      </c>
    </row>
    <row r="356" spans="1:11" x14ac:dyDescent="0.25">
      <c r="A356" t="s">
        <v>909</v>
      </c>
      <c r="B356" t="s">
        <v>910</v>
      </c>
      <c r="C356" t="s">
        <v>767</v>
      </c>
      <c r="D356" t="s">
        <v>811</v>
      </c>
      <c r="E356" t="s">
        <v>1069</v>
      </c>
      <c r="F356">
        <v>449</v>
      </c>
      <c r="H356" t="s">
        <v>1071</v>
      </c>
      <c r="I356">
        <v>0</v>
      </c>
      <c r="J356">
        <v>109.04</v>
      </c>
      <c r="K356" s="2">
        <v>22092.16</v>
      </c>
    </row>
    <row r="357" spans="1:11" x14ac:dyDescent="0.25">
      <c r="A357" t="s">
        <v>909</v>
      </c>
      <c r="B357" t="s">
        <v>910</v>
      </c>
      <c r="C357" t="s">
        <v>767</v>
      </c>
      <c r="D357" t="s">
        <v>768</v>
      </c>
      <c r="E357" t="s">
        <v>1069</v>
      </c>
      <c r="F357">
        <v>450</v>
      </c>
      <c r="H357" t="s">
        <v>1071</v>
      </c>
      <c r="I357">
        <v>0</v>
      </c>
      <c r="J357">
        <v>9.2200000000000006</v>
      </c>
      <c r="K357" s="2">
        <v>22082.94</v>
      </c>
    </row>
    <row r="358" spans="1:11" x14ac:dyDescent="0.25">
      <c r="A358" t="s">
        <v>909</v>
      </c>
      <c r="B358" t="s">
        <v>910</v>
      </c>
      <c r="C358" t="s">
        <v>767</v>
      </c>
      <c r="D358" t="s">
        <v>817</v>
      </c>
      <c r="E358" t="s">
        <v>1069</v>
      </c>
      <c r="F358">
        <v>451</v>
      </c>
      <c r="H358" t="s">
        <v>1071</v>
      </c>
      <c r="I358">
        <v>0</v>
      </c>
      <c r="J358">
        <v>15.84</v>
      </c>
      <c r="K358" s="2">
        <v>22067.1</v>
      </c>
    </row>
    <row r="359" spans="1:11" x14ac:dyDescent="0.25">
      <c r="A359" t="s">
        <v>909</v>
      </c>
      <c r="B359" t="s">
        <v>910</v>
      </c>
      <c r="C359" t="s">
        <v>767</v>
      </c>
      <c r="D359" t="s">
        <v>788</v>
      </c>
      <c r="E359" t="s">
        <v>1069</v>
      </c>
      <c r="F359">
        <v>452</v>
      </c>
      <c r="H359" t="s">
        <v>1071</v>
      </c>
      <c r="I359">
        <v>0</v>
      </c>
      <c r="J359">
        <v>81.64</v>
      </c>
      <c r="K359" s="2">
        <v>21985.46</v>
      </c>
    </row>
    <row r="360" spans="1:11" x14ac:dyDescent="0.25">
      <c r="A360" t="s">
        <v>909</v>
      </c>
      <c r="B360" t="s">
        <v>910</v>
      </c>
      <c r="C360" t="s">
        <v>767</v>
      </c>
      <c r="D360" t="s">
        <v>788</v>
      </c>
      <c r="E360" t="s">
        <v>1069</v>
      </c>
      <c r="F360">
        <v>452</v>
      </c>
      <c r="H360" t="s">
        <v>1072</v>
      </c>
      <c r="I360">
        <v>0</v>
      </c>
      <c r="J360">
        <v>75.650000000000006</v>
      </c>
      <c r="K360" s="2">
        <v>21909.81</v>
      </c>
    </row>
    <row r="361" spans="1:11" x14ac:dyDescent="0.25">
      <c r="A361" t="s">
        <v>909</v>
      </c>
      <c r="B361" t="s">
        <v>910</v>
      </c>
      <c r="C361" t="s">
        <v>767</v>
      </c>
      <c r="D361" t="s">
        <v>881</v>
      </c>
      <c r="E361" t="s">
        <v>1069</v>
      </c>
      <c r="F361">
        <v>453</v>
      </c>
      <c r="H361" t="s">
        <v>1071</v>
      </c>
      <c r="I361">
        <v>0</v>
      </c>
      <c r="J361">
        <v>3.23</v>
      </c>
      <c r="K361" s="2">
        <v>21906.58</v>
      </c>
    </row>
    <row r="362" spans="1:11" x14ac:dyDescent="0.25">
      <c r="A362" t="s">
        <v>909</v>
      </c>
      <c r="B362" t="s">
        <v>910</v>
      </c>
      <c r="C362" t="s">
        <v>767</v>
      </c>
      <c r="D362" t="s">
        <v>882</v>
      </c>
      <c r="E362" t="s">
        <v>1069</v>
      </c>
      <c r="F362">
        <v>454</v>
      </c>
      <c r="H362" t="s">
        <v>1071</v>
      </c>
      <c r="I362">
        <v>0</v>
      </c>
      <c r="J362">
        <v>28.95</v>
      </c>
      <c r="K362" s="2">
        <v>21877.63</v>
      </c>
    </row>
    <row r="363" spans="1:11" x14ac:dyDescent="0.25">
      <c r="A363" t="s">
        <v>909</v>
      </c>
      <c r="B363" t="s">
        <v>910</v>
      </c>
      <c r="C363" t="s">
        <v>767</v>
      </c>
      <c r="D363" t="s">
        <v>882</v>
      </c>
      <c r="E363" t="s">
        <v>1069</v>
      </c>
      <c r="F363">
        <v>454</v>
      </c>
      <c r="H363" t="s">
        <v>1072</v>
      </c>
      <c r="I363">
        <v>0</v>
      </c>
      <c r="J363">
        <v>7.17</v>
      </c>
      <c r="K363" s="2">
        <v>21870.46</v>
      </c>
    </row>
    <row r="364" spans="1:11" x14ac:dyDescent="0.25">
      <c r="A364" t="s">
        <v>909</v>
      </c>
      <c r="B364" t="s">
        <v>910</v>
      </c>
      <c r="C364" t="s">
        <v>767</v>
      </c>
      <c r="D364" t="s">
        <v>859</v>
      </c>
      <c r="E364" t="s">
        <v>1069</v>
      </c>
      <c r="F364">
        <v>455</v>
      </c>
      <c r="H364" t="s">
        <v>1071</v>
      </c>
      <c r="I364">
        <v>0</v>
      </c>
      <c r="J364">
        <v>3.76</v>
      </c>
      <c r="K364" s="2">
        <v>21866.7</v>
      </c>
    </row>
    <row r="365" spans="1:11" x14ac:dyDescent="0.25">
      <c r="A365" t="s">
        <v>909</v>
      </c>
      <c r="B365" t="s">
        <v>910</v>
      </c>
      <c r="C365" t="s">
        <v>767</v>
      </c>
      <c r="D365" t="s">
        <v>824</v>
      </c>
      <c r="E365" t="s">
        <v>1069</v>
      </c>
      <c r="F365">
        <v>456</v>
      </c>
      <c r="H365" t="s">
        <v>1071</v>
      </c>
      <c r="I365">
        <v>0</v>
      </c>
      <c r="J365">
        <v>55.31</v>
      </c>
      <c r="K365" s="2">
        <v>21811.39</v>
      </c>
    </row>
    <row r="366" spans="1:11" x14ac:dyDescent="0.25">
      <c r="A366" t="s">
        <v>909</v>
      </c>
      <c r="B366" t="s">
        <v>910</v>
      </c>
      <c r="C366" t="s">
        <v>767</v>
      </c>
      <c r="D366" t="s">
        <v>829</v>
      </c>
      <c r="E366" t="s">
        <v>1069</v>
      </c>
      <c r="F366">
        <v>457</v>
      </c>
      <c r="H366" t="s">
        <v>1071</v>
      </c>
      <c r="I366">
        <v>0</v>
      </c>
      <c r="J366">
        <v>7.15</v>
      </c>
      <c r="K366" s="2">
        <v>21804.240000000002</v>
      </c>
    </row>
    <row r="367" spans="1:11" x14ac:dyDescent="0.25">
      <c r="A367" t="s">
        <v>909</v>
      </c>
      <c r="B367" t="s">
        <v>910</v>
      </c>
      <c r="C367" t="s">
        <v>767</v>
      </c>
      <c r="D367" t="s">
        <v>829</v>
      </c>
      <c r="E367" t="s">
        <v>1069</v>
      </c>
      <c r="F367">
        <v>457</v>
      </c>
      <c r="H367" t="s">
        <v>1072</v>
      </c>
      <c r="I367">
        <v>0</v>
      </c>
      <c r="J367">
        <v>32.69</v>
      </c>
      <c r="K367" s="2">
        <v>21771.55</v>
      </c>
    </row>
    <row r="368" spans="1:11" x14ac:dyDescent="0.25">
      <c r="A368" t="s">
        <v>909</v>
      </c>
      <c r="B368" t="s">
        <v>910</v>
      </c>
      <c r="C368" t="s">
        <v>767</v>
      </c>
      <c r="D368" t="s">
        <v>795</v>
      </c>
      <c r="E368" t="s">
        <v>1069</v>
      </c>
      <c r="F368">
        <v>458</v>
      </c>
      <c r="H368" t="s">
        <v>1073</v>
      </c>
      <c r="I368">
        <v>0</v>
      </c>
      <c r="J368">
        <v>3.39</v>
      </c>
      <c r="K368" s="2">
        <v>21768.16</v>
      </c>
    </row>
    <row r="369" spans="1:11" x14ac:dyDescent="0.25">
      <c r="A369" t="s">
        <v>909</v>
      </c>
      <c r="B369" t="s">
        <v>910</v>
      </c>
      <c r="C369" t="s">
        <v>767</v>
      </c>
      <c r="D369" t="s">
        <v>845</v>
      </c>
      <c r="E369" t="s">
        <v>1069</v>
      </c>
      <c r="F369">
        <v>459</v>
      </c>
      <c r="H369" t="s">
        <v>1073</v>
      </c>
      <c r="I369">
        <v>0</v>
      </c>
      <c r="J369">
        <v>3.39</v>
      </c>
      <c r="K369" s="2">
        <v>21764.77</v>
      </c>
    </row>
    <row r="370" spans="1:11" x14ac:dyDescent="0.25">
      <c r="A370" t="s">
        <v>909</v>
      </c>
      <c r="B370" t="s">
        <v>910</v>
      </c>
      <c r="C370" t="s">
        <v>767</v>
      </c>
      <c r="D370" t="s">
        <v>777</v>
      </c>
      <c r="E370" t="s">
        <v>1069</v>
      </c>
      <c r="F370">
        <v>460</v>
      </c>
      <c r="H370" t="s">
        <v>1073</v>
      </c>
      <c r="I370">
        <v>0</v>
      </c>
      <c r="J370">
        <v>22.89</v>
      </c>
      <c r="K370" s="2">
        <v>21741.88</v>
      </c>
    </row>
    <row r="371" spans="1:11" x14ac:dyDescent="0.25">
      <c r="A371" t="s">
        <v>909</v>
      </c>
      <c r="B371" t="s">
        <v>910</v>
      </c>
      <c r="C371" t="s">
        <v>767</v>
      </c>
      <c r="D371" t="s">
        <v>785</v>
      </c>
      <c r="E371" t="s">
        <v>1069</v>
      </c>
      <c r="F371">
        <v>461</v>
      </c>
      <c r="H371" t="s">
        <v>1073</v>
      </c>
      <c r="I371">
        <v>0</v>
      </c>
      <c r="J371">
        <v>2.83</v>
      </c>
      <c r="K371" s="2">
        <v>21739.05</v>
      </c>
    </row>
    <row r="372" spans="1:11" x14ac:dyDescent="0.25">
      <c r="A372" t="s">
        <v>909</v>
      </c>
      <c r="B372" t="s">
        <v>910</v>
      </c>
      <c r="C372" t="s">
        <v>767</v>
      </c>
      <c r="D372" t="s">
        <v>811</v>
      </c>
      <c r="E372" t="s">
        <v>1069</v>
      </c>
      <c r="F372">
        <v>462</v>
      </c>
      <c r="H372" t="s">
        <v>1073</v>
      </c>
      <c r="I372">
        <v>0</v>
      </c>
      <c r="J372">
        <v>23.08</v>
      </c>
      <c r="K372" s="2">
        <v>21715.97</v>
      </c>
    </row>
    <row r="373" spans="1:11" x14ac:dyDescent="0.25">
      <c r="A373" t="s">
        <v>909</v>
      </c>
      <c r="B373" t="s">
        <v>910</v>
      </c>
      <c r="C373" t="s">
        <v>767</v>
      </c>
      <c r="D373" t="s">
        <v>768</v>
      </c>
      <c r="E373" t="s">
        <v>1069</v>
      </c>
      <c r="F373">
        <v>463</v>
      </c>
      <c r="H373" t="s">
        <v>1073</v>
      </c>
      <c r="I373">
        <v>0</v>
      </c>
      <c r="J373">
        <v>58.39</v>
      </c>
      <c r="K373" s="2">
        <v>21657.58</v>
      </c>
    </row>
    <row r="374" spans="1:11" x14ac:dyDescent="0.25">
      <c r="A374" t="s">
        <v>909</v>
      </c>
      <c r="B374" t="s">
        <v>910</v>
      </c>
      <c r="C374" t="s">
        <v>767</v>
      </c>
      <c r="D374" t="s">
        <v>817</v>
      </c>
      <c r="E374" t="s">
        <v>1069</v>
      </c>
      <c r="F374">
        <v>464</v>
      </c>
      <c r="H374" t="s">
        <v>1073</v>
      </c>
      <c r="I374">
        <v>0</v>
      </c>
      <c r="J374">
        <v>2.7</v>
      </c>
      <c r="K374" s="2">
        <v>21654.880000000001</v>
      </c>
    </row>
    <row r="375" spans="1:11" x14ac:dyDescent="0.25">
      <c r="A375" t="s">
        <v>909</v>
      </c>
      <c r="B375" t="s">
        <v>910</v>
      </c>
      <c r="C375" t="s">
        <v>767</v>
      </c>
      <c r="D375" t="s">
        <v>788</v>
      </c>
      <c r="E375" t="s">
        <v>1069</v>
      </c>
      <c r="F375">
        <v>465</v>
      </c>
      <c r="H375" t="s">
        <v>1073</v>
      </c>
      <c r="I375">
        <v>0</v>
      </c>
      <c r="J375">
        <v>31.86</v>
      </c>
      <c r="K375" s="2">
        <v>21623.02</v>
      </c>
    </row>
    <row r="376" spans="1:11" x14ac:dyDescent="0.25">
      <c r="A376" t="s">
        <v>909</v>
      </c>
      <c r="B376" t="s">
        <v>910</v>
      </c>
      <c r="C376" t="s">
        <v>767</v>
      </c>
      <c r="D376" t="s">
        <v>881</v>
      </c>
      <c r="E376" t="s">
        <v>1069</v>
      </c>
      <c r="F376">
        <v>466</v>
      </c>
      <c r="H376" t="s">
        <v>1073</v>
      </c>
      <c r="I376">
        <v>0</v>
      </c>
      <c r="J376">
        <v>95.83</v>
      </c>
      <c r="K376" s="2">
        <v>21527.19</v>
      </c>
    </row>
    <row r="377" spans="1:11" x14ac:dyDescent="0.25">
      <c r="A377" t="s">
        <v>909</v>
      </c>
      <c r="B377" t="s">
        <v>910</v>
      </c>
      <c r="C377" t="s">
        <v>767</v>
      </c>
      <c r="D377" t="s">
        <v>882</v>
      </c>
      <c r="E377" t="s">
        <v>1069</v>
      </c>
      <c r="F377">
        <v>467</v>
      </c>
      <c r="H377" t="s">
        <v>1073</v>
      </c>
      <c r="I377">
        <v>0</v>
      </c>
      <c r="J377">
        <v>6.79</v>
      </c>
      <c r="K377" s="2">
        <v>21520.400000000001</v>
      </c>
    </row>
    <row r="378" spans="1:11" x14ac:dyDescent="0.25">
      <c r="A378" t="s">
        <v>909</v>
      </c>
      <c r="B378" t="s">
        <v>910</v>
      </c>
      <c r="C378" t="s">
        <v>767</v>
      </c>
      <c r="D378" t="s">
        <v>793</v>
      </c>
      <c r="E378" t="s">
        <v>1069</v>
      </c>
      <c r="F378">
        <v>468</v>
      </c>
      <c r="H378" t="s">
        <v>1073</v>
      </c>
      <c r="I378">
        <v>0</v>
      </c>
      <c r="J378">
        <v>17.05</v>
      </c>
      <c r="K378" s="2">
        <v>21503.35</v>
      </c>
    </row>
    <row r="379" spans="1:11" x14ac:dyDescent="0.25">
      <c r="A379" t="s">
        <v>909</v>
      </c>
      <c r="B379" t="s">
        <v>910</v>
      </c>
      <c r="C379" t="s">
        <v>767</v>
      </c>
      <c r="D379" t="s">
        <v>841</v>
      </c>
      <c r="E379" t="s">
        <v>1069</v>
      </c>
      <c r="F379">
        <v>469</v>
      </c>
      <c r="H379" t="s">
        <v>1074</v>
      </c>
      <c r="I379">
        <v>0</v>
      </c>
      <c r="J379">
        <v>3.84</v>
      </c>
      <c r="K379" s="2">
        <v>21499.51</v>
      </c>
    </row>
    <row r="380" spans="1:11" x14ac:dyDescent="0.25">
      <c r="A380" t="s">
        <v>909</v>
      </c>
      <c r="B380" t="s">
        <v>910</v>
      </c>
      <c r="C380" t="s">
        <v>767</v>
      </c>
      <c r="D380" t="s">
        <v>845</v>
      </c>
      <c r="E380" t="s">
        <v>1069</v>
      </c>
      <c r="F380">
        <v>470</v>
      </c>
      <c r="H380" t="s">
        <v>1074</v>
      </c>
      <c r="I380">
        <v>0</v>
      </c>
      <c r="J380">
        <v>7.53</v>
      </c>
      <c r="K380" s="2">
        <v>21491.98</v>
      </c>
    </row>
    <row r="381" spans="1:11" x14ac:dyDescent="0.25">
      <c r="A381" t="s">
        <v>909</v>
      </c>
      <c r="B381" t="s">
        <v>910</v>
      </c>
      <c r="C381" t="s">
        <v>767</v>
      </c>
      <c r="D381" t="s">
        <v>852</v>
      </c>
      <c r="E381" t="s">
        <v>1069</v>
      </c>
      <c r="F381">
        <v>471</v>
      </c>
      <c r="H381" t="s">
        <v>1074</v>
      </c>
      <c r="I381">
        <v>0</v>
      </c>
      <c r="J381">
        <v>20.51</v>
      </c>
      <c r="K381" s="2">
        <v>21471.47</v>
      </c>
    </row>
    <row r="382" spans="1:11" x14ac:dyDescent="0.25">
      <c r="A382" t="s">
        <v>909</v>
      </c>
      <c r="B382" t="s">
        <v>910</v>
      </c>
      <c r="C382" t="s">
        <v>767</v>
      </c>
      <c r="D382" t="s">
        <v>797</v>
      </c>
      <c r="E382" t="s">
        <v>1069</v>
      </c>
      <c r="F382">
        <v>472</v>
      </c>
      <c r="H382" t="s">
        <v>1074</v>
      </c>
      <c r="I382">
        <v>0</v>
      </c>
      <c r="J382">
        <v>7.09</v>
      </c>
      <c r="K382" s="2">
        <v>21464.38</v>
      </c>
    </row>
    <row r="383" spans="1:11" x14ac:dyDescent="0.25">
      <c r="A383" t="s">
        <v>909</v>
      </c>
      <c r="B383" t="s">
        <v>910</v>
      </c>
      <c r="C383" t="s">
        <v>767</v>
      </c>
      <c r="D383" t="s">
        <v>800</v>
      </c>
      <c r="E383" t="s">
        <v>1069</v>
      </c>
      <c r="F383">
        <v>473</v>
      </c>
      <c r="H383" t="s">
        <v>1074</v>
      </c>
      <c r="I383">
        <v>0</v>
      </c>
      <c r="J383">
        <v>16.54</v>
      </c>
      <c r="K383" s="2">
        <v>21447.84</v>
      </c>
    </row>
    <row r="384" spans="1:11" x14ac:dyDescent="0.25">
      <c r="A384" t="s">
        <v>909</v>
      </c>
      <c r="B384" t="s">
        <v>910</v>
      </c>
      <c r="C384" t="s">
        <v>767</v>
      </c>
      <c r="D384" t="s">
        <v>880</v>
      </c>
      <c r="E384" t="s">
        <v>1069</v>
      </c>
      <c r="F384">
        <v>474</v>
      </c>
      <c r="H384" t="s">
        <v>1074</v>
      </c>
      <c r="I384">
        <v>0</v>
      </c>
      <c r="J384">
        <v>234.91</v>
      </c>
      <c r="K384" s="2">
        <v>21212.93</v>
      </c>
    </row>
    <row r="385" spans="1:11" x14ac:dyDescent="0.25">
      <c r="A385" t="s">
        <v>909</v>
      </c>
      <c r="B385" t="s">
        <v>910</v>
      </c>
      <c r="C385" t="s">
        <v>767</v>
      </c>
      <c r="D385" t="s">
        <v>785</v>
      </c>
      <c r="E385" t="s">
        <v>1069</v>
      </c>
      <c r="F385">
        <v>475</v>
      </c>
      <c r="H385" t="s">
        <v>1074</v>
      </c>
      <c r="I385">
        <v>0</v>
      </c>
      <c r="J385">
        <v>0.98</v>
      </c>
      <c r="K385" s="2">
        <v>21211.95</v>
      </c>
    </row>
    <row r="386" spans="1:11" x14ac:dyDescent="0.25">
      <c r="A386" t="s">
        <v>909</v>
      </c>
      <c r="B386" t="s">
        <v>910</v>
      </c>
      <c r="C386" t="s">
        <v>767</v>
      </c>
      <c r="D386" t="s">
        <v>817</v>
      </c>
      <c r="E386" t="s">
        <v>1069</v>
      </c>
      <c r="F386">
        <v>476</v>
      </c>
      <c r="H386" t="s">
        <v>1074</v>
      </c>
      <c r="I386">
        <v>0</v>
      </c>
      <c r="J386">
        <v>2.61</v>
      </c>
      <c r="K386" s="2">
        <v>21209.34</v>
      </c>
    </row>
    <row r="387" spans="1:11" x14ac:dyDescent="0.25">
      <c r="A387" t="s">
        <v>909</v>
      </c>
      <c r="B387" t="s">
        <v>910</v>
      </c>
      <c r="C387" t="s">
        <v>767</v>
      </c>
      <c r="D387" t="s">
        <v>829</v>
      </c>
      <c r="E387" t="s">
        <v>1069</v>
      </c>
      <c r="F387">
        <v>477</v>
      </c>
      <c r="H387" t="s">
        <v>1074</v>
      </c>
      <c r="I387">
        <v>0</v>
      </c>
      <c r="J387">
        <v>5.1100000000000003</v>
      </c>
      <c r="K387" s="2">
        <v>21204.23</v>
      </c>
    </row>
    <row r="388" spans="1:11" x14ac:dyDescent="0.25">
      <c r="A388" t="s">
        <v>909</v>
      </c>
      <c r="B388" t="s">
        <v>910</v>
      </c>
      <c r="C388" t="s">
        <v>767</v>
      </c>
      <c r="D388" t="s">
        <v>793</v>
      </c>
      <c r="E388" t="s">
        <v>1069</v>
      </c>
      <c r="F388">
        <v>478</v>
      </c>
      <c r="H388" t="s">
        <v>1074</v>
      </c>
      <c r="I388">
        <v>0</v>
      </c>
      <c r="J388">
        <v>6.52</v>
      </c>
      <c r="K388" s="2">
        <v>21197.71</v>
      </c>
    </row>
    <row r="389" spans="1:11" x14ac:dyDescent="0.25">
      <c r="A389" t="s">
        <v>909</v>
      </c>
      <c r="B389" t="s">
        <v>910</v>
      </c>
      <c r="C389" t="s">
        <v>767</v>
      </c>
      <c r="D389" t="s">
        <v>793</v>
      </c>
      <c r="E389" t="s">
        <v>1069</v>
      </c>
      <c r="F389">
        <v>480</v>
      </c>
      <c r="H389" t="s">
        <v>1071</v>
      </c>
      <c r="I389">
        <v>0</v>
      </c>
      <c r="J389">
        <v>7.48</v>
      </c>
      <c r="K389" s="2">
        <v>21190.23</v>
      </c>
    </row>
    <row r="390" spans="1:11" x14ac:dyDescent="0.25">
      <c r="A390" t="s">
        <v>909</v>
      </c>
      <c r="B390" t="s">
        <v>910</v>
      </c>
      <c r="C390" t="s">
        <v>767</v>
      </c>
      <c r="D390" t="s">
        <v>793</v>
      </c>
      <c r="E390" t="s">
        <v>1069</v>
      </c>
      <c r="F390">
        <v>480</v>
      </c>
      <c r="H390" t="s">
        <v>1072</v>
      </c>
      <c r="I390">
        <v>0</v>
      </c>
      <c r="J390">
        <v>38.76</v>
      </c>
      <c r="K390" s="2">
        <v>21151.47</v>
      </c>
    </row>
    <row r="391" spans="1:11" x14ac:dyDescent="0.25">
      <c r="I391">
        <f>SUM(I316:I390)</f>
        <v>62.63</v>
      </c>
      <c r="J391">
        <f>SUM(J316:J390)</f>
        <v>4899.0199999999995</v>
      </c>
      <c r="K391" s="2"/>
    </row>
    <row r="392" spans="1:11" x14ac:dyDescent="0.25">
      <c r="K392" s="2">
        <f>+J391-I391</f>
        <v>4836.3899999999994</v>
      </c>
    </row>
    <row r="393" spans="1:11" x14ac:dyDescent="0.25">
      <c r="K393" s="2"/>
    </row>
    <row r="394" spans="1:11" x14ac:dyDescent="0.25">
      <c r="A394" t="s">
        <v>909</v>
      </c>
      <c r="B394" t="s">
        <v>910</v>
      </c>
      <c r="C394" t="s">
        <v>767</v>
      </c>
      <c r="D394" t="s">
        <v>793</v>
      </c>
      <c r="E394" t="s">
        <v>1075</v>
      </c>
      <c r="F394">
        <v>400</v>
      </c>
      <c r="H394" t="s">
        <v>1076</v>
      </c>
      <c r="I394">
        <v>0</v>
      </c>
      <c r="J394" s="2">
        <v>11917.3</v>
      </c>
      <c r="K394" s="2">
        <v>9671.42</v>
      </c>
    </row>
    <row r="395" spans="1:11" x14ac:dyDescent="0.25">
      <c r="A395" t="s">
        <v>909</v>
      </c>
      <c r="B395" t="s">
        <v>910</v>
      </c>
      <c r="C395" t="s">
        <v>767</v>
      </c>
      <c r="D395" t="s">
        <v>793</v>
      </c>
      <c r="E395" t="s">
        <v>1075</v>
      </c>
      <c r="F395">
        <v>400</v>
      </c>
      <c r="H395" t="s">
        <v>1076</v>
      </c>
      <c r="I395">
        <v>0</v>
      </c>
      <c r="J395" s="2">
        <v>9191.81</v>
      </c>
      <c r="K395">
        <v>479.61</v>
      </c>
    </row>
    <row r="396" spans="1:11" x14ac:dyDescent="0.25">
      <c r="A396" t="s">
        <v>909</v>
      </c>
      <c r="B396" t="s">
        <v>910</v>
      </c>
      <c r="C396" t="s">
        <v>767</v>
      </c>
      <c r="D396" t="s">
        <v>793</v>
      </c>
      <c r="E396" t="s">
        <v>1075</v>
      </c>
      <c r="F396">
        <v>401</v>
      </c>
      <c r="H396" t="s">
        <v>1077</v>
      </c>
      <c r="I396" s="2">
        <v>1069.8800000000001</v>
      </c>
      <c r="J396">
        <v>0</v>
      </c>
      <c r="K396" s="2">
        <v>1549.49</v>
      </c>
    </row>
    <row r="397" spans="1:11" x14ac:dyDescent="0.25">
      <c r="A397" t="s">
        <v>909</v>
      </c>
      <c r="B397" t="s">
        <v>910</v>
      </c>
      <c r="C397" t="s">
        <v>767</v>
      </c>
      <c r="D397" t="s">
        <v>793</v>
      </c>
      <c r="E397" t="s">
        <v>1075</v>
      </c>
      <c r="F397">
        <v>407</v>
      </c>
      <c r="H397" t="s">
        <v>1078</v>
      </c>
      <c r="I397">
        <v>0</v>
      </c>
      <c r="J397" s="2">
        <v>3479.77</v>
      </c>
      <c r="K397" s="2">
        <v>-1930.28</v>
      </c>
    </row>
    <row r="398" spans="1:11" x14ac:dyDescent="0.25">
      <c r="A398" t="s">
        <v>909</v>
      </c>
      <c r="B398" t="s">
        <v>910</v>
      </c>
      <c r="C398" t="s">
        <v>767</v>
      </c>
      <c r="D398" t="s">
        <v>793</v>
      </c>
      <c r="E398" t="s">
        <v>1075</v>
      </c>
      <c r="F398">
        <v>407</v>
      </c>
      <c r="H398" t="s">
        <v>1078</v>
      </c>
      <c r="I398">
        <v>0</v>
      </c>
      <c r="J398" s="2">
        <v>3127.52</v>
      </c>
      <c r="K398" s="2">
        <v>-5057.8</v>
      </c>
    </row>
    <row r="399" spans="1:11" x14ac:dyDescent="0.25">
      <c r="A399" t="s">
        <v>909</v>
      </c>
      <c r="B399" t="s">
        <v>910</v>
      </c>
      <c r="C399" t="s">
        <v>767</v>
      </c>
      <c r="D399" t="s">
        <v>793</v>
      </c>
      <c r="E399" t="s">
        <v>1075</v>
      </c>
      <c r="F399">
        <v>408</v>
      </c>
      <c r="H399" t="s">
        <v>1079</v>
      </c>
      <c r="I399">
        <v>86.18</v>
      </c>
      <c r="J399">
        <v>0</v>
      </c>
      <c r="K399" s="2">
        <v>-4971.62</v>
      </c>
    </row>
    <row r="400" spans="1:11" x14ac:dyDescent="0.25">
      <c r="A400" t="s">
        <v>909</v>
      </c>
      <c r="B400" t="s">
        <v>910</v>
      </c>
      <c r="C400" t="s">
        <v>767</v>
      </c>
      <c r="D400" t="s">
        <v>793</v>
      </c>
      <c r="E400" t="s">
        <v>1075</v>
      </c>
      <c r="F400">
        <v>409</v>
      </c>
      <c r="H400" t="s">
        <v>1080</v>
      </c>
      <c r="I400">
        <v>0</v>
      </c>
      <c r="J400" s="2">
        <v>1047.94</v>
      </c>
      <c r="K400" s="2">
        <v>-6019.56</v>
      </c>
    </row>
    <row r="401" spans="1:11" x14ac:dyDescent="0.25">
      <c r="A401" t="s">
        <v>909</v>
      </c>
      <c r="B401" t="s">
        <v>910</v>
      </c>
      <c r="C401" t="s">
        <v>767</v>
      </c>
      <c r="D401" t="s">
        <v>793</v>
      </c>
      <c r="E401" t="s">
        <v>1075</v>
      </c>
      <c r="F401">
        <v>409</v>
      </c>
      <c r="H401" t="s">
        <v>1080</v>
      </c>
      <c r="I401">
        <v>0</v>
      </c>
      <c r="J401" s="2">
        <v>1115.57</v>
      </c>
      <c r="K401" s="2">
        <v>-7135.13</v>
      </c>
    </row>
    <row r="402" spans="1:11" x14ac:dyDescent="0.25">
      <c r="A402" t="s">
        <v>909</v>
      </c>
      <c r="B402" t="s">
        <v>910</v>
      </c>
      <c r="C402" t="s">
        <v>767</v>
      </c>
      <c r="D402" t="s">
        <v>793</v>
      </c>
      <c r="E402" t="s">
        <v>1075</v>
      </c>
      <c r="F402">
        <v>410</v>
      </c>
      <c r="H402" t="s">
        <v>1081</v>
      </c>
      <c r="I402">
        <v>440.74</v>
      </c>
      <c r="J402">
        <v>0</v>
      </c>
      <c r="K402" s="2">
        <v>-6694.39</v>
      </c>
    </row>
    <row r="403" spans="1:11" x14ac:dyDescent="0.25">
      <c r="A403" t="s">
        <v>909</v>
      </c>
      <c r="B403" t="s">
        <v>910</v>
      </c>
      <c r="C403" t="s">
        <v>767</v>
      </c>
      <c r="D403" t="s">
        <v>793</v>
      </c>
      <c r="E403" t="s">
        <v>1075</v>
      </c>
      <c r="F403">
        <v>411</v>
      </c>
      <c r="H403" t="s">
        <v>1082</v>
      </c>
      <c r="I403">
        <v>0</v>
      </c>
      <c r="J403" s="2">
        <v>1516.93</v>
      </c>
      <c r="K403" s="2">
        <v>-8211.32</v>
      </c>
    </row>
    <row r="404" spans="1:11" x14ac:dyDescent="0.25">
      <c r="A404" t="s">
        <v>909</v>
      </c>
      <c r="B404" t="s">
        <v>910</v>
      </c>
      <c r="C404" t="s">
        <v>767</v>
      </c>
      <c r="D404" t="s">
        <v>793</v>
      </c>
      <c r="E404" t="s">
        <v>1075</v>
      </c>
      <c r="F404">
        <v>411</v>
      </c>
      <c r="H404" t="s">
        <v>1082</v>
      </c>
      <c r="I404">
        <v>0</v>
      </c>
      <c r="J404">
        <v>644.58000000000004</v>
      </c>
      <c r="K404" s="2">
        <v>-8855.9</v>
      </c>
    </row>
    <row r="405" spans="1:11" x14ac:dyDescent="0.25">
      <c r="A405" t="s">
        <v>909</v>
      </c>
      <c r="B405" t="s">
        <v>910</v>
      </c>
      <c r="C405" t="s">
        <v>767</v>
      </c>
      <c r="D405" t="s">
        <v>793</v>
      </c>
      <c r="E405" t="s">
        <v>1075</v>
      </c>
      <c r="F405">
        <v>412</v>
      </c>
      <c r="H405" t="s">
        <v>1080</v>
      </c>
      <c r="I405">
        <v>0</v>
      </c>
      <c r="J405">
        <v>209.64</v>
      </c>
      <c r="K405" s="2">
        <v>-9065.5400000000009</v>
      </c>
    </row>
    <row r="406" spans="1:11" x14ac:dyDescent="0.25">
      <c r="A406" t="s">
        <v>909</v>
      </c>
      <c r="B406" t="s">
        <v>910</v>
      </c>
      <c r="C406" t="s">
        <v>767</v>
      </c>
      <c r="D406" t="s">
        <v>793</v>
      </c>
      <c r="E406" t="s">
        <v>1075</v>
      </c>
      <c r="F406">
        <v>413</v>
      </c>
      <c r="H406" t="s">
        <v>1083</v>
      </c>
      <c r="I406">
        <v>0</v>
      </c>
      <c r="J406">
        <v>936.04</v>
      </c>
      <c r="K406" s="2">
        <v>-10001.58</v>
      </c>
    </row>
    <row r="407" spans="1:11" x14ac:dyDescent="0.25">
      <c r="A407" t="s">
        <v>909</v>
      </c>
      <c r="B407" t="s">
        <v>910</v>
      </c>
      <c r="C407" t="s">
        <v>767</v>
      </c>
      <c r="D407" t="s">
        <v>793</v>
      </c>
      <c r="E407" t="s">
        <v>1075</v>
      </c>
      <c r="F407">
        <v>413</v>
      </c>
      <c r="H407" t="s">
        <v>1083</v>
      </c>
      <c r="I407">
        <v>0</v>
      </c>
      <c r="J407" s="2">
        <v>1319.47</v>
      </c>
      <c r="K407" s="2">
        <v>-11321.05</v>
      </c>
    </row>
    <row r="408" spans="1:11" x14ac:dyDescent="0.25">
      <c r="I408">
        <f>SUM(I394:I407)</f>
        <v>1596.8000000000002</v>
      </c>
      <c r="J408">
        <f>SUM(J394:J407)</f>
        <v>34506.57</v>
      </c>
    </row>
    <row r="409" spans="1:11" x14ac:dyDescent="0.25">
      <c r="J409">
        <f>+J408-I408</f>
        <v>32909.769999999997</v>
      </c>
    </row>
    <row r="411" spans="1:11" x14ac:dyDescent="0.25">
      <c r="K411" s="2">
        <f>+J409+K392</f>
        <v>37746.159999999996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SCB</vt:lpstr>
      <vt:lpstr>SRI</vt:lpstr>
      <vt:lpstr>RESUMEN DE VENTAS</vt:lpstr>
      <vt:lpstr>LIBRO COMPRAS</vt:lpstr>
      <vt:lpstr>RET PROV</vt:lpstr>
      <vt:lpstr>MAYOR RET</vt:lpstr>
      <vt:lpstr>MAYOR 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Velez</dc:creator>
  <cp:lastModifiedBy>Andrea Velez</cp:lastModifiedBy>
  <dcterms:created xsi:type="dcterms:W3CDTF">2026-02-04T22:45:25Z</dcterms:created>
  <dcterms:modified xsi:type="dcterms:W3CDTF">2026-02-05T16:52:11Z</dcterms:modified>
</cp:coreProperties>
</file>